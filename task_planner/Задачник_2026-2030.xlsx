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Главная" sheetId="1" state="visible" r:id="rId1"/>
    <sheet name="📅 Календарь" sheetId="2" state="visible" r:id="rId2"/>
    <sheet name="✅ Задачи" sheetId="3" state="visible" r:id="rId3"/>
    <sheet name="🕘 План дня" sheetId="4" state="visible" r:id="rId4"/>
    <sheet name="📊 Итоги" sheetId="5" state="visible" r:id="rId5"/>
    <sheet name="🗓 По месяцам" sheetId="6" state="visible" r:id="rId6"/>
    <sheet name="📚 Справочник" sheetId="7" state="visible" r:id="rId7"/>
  </sheets>
  <definedNames>
    <definedName name="lst_groups">'📚 Справочник'!$A$5:$A$24</definedName>
    <definedName name="lst_cats">'📚 Справочник'!$C$5:$C$24</definedName>
    <definedName name="lst_prio">'📚 Справочник'!$E$5:$E$7</definedName>
    <definedName name="lst_tstatus">'📚 Справочник'!$G$5:$G$8</definedName>
    <definedName name="lst_estatus">'📚 Справочник'!$I$5:$I$7</definedName>
    <definedName name="lst_years">'📚 Справочник'!$K$5:$K$9</definedName>
    <definedName name="lst_months">'📚 Справочник'!$L$5:$L$16</definedName>
    <definedName name="t_name">'✅ Задачи'!$B$5:$B$1004</definedName>
    <definedName name="t_group">'✅ Задачи'!$C$5:$C$1004</definedName>
    <definedName name="t_cat">'✅ Задачи'!$D$5:$D$1004</definedName>
    <definedName name="t_prio">'✅ Задачи'!$E$5:$E$1004</definedName>
    <definedName name="t_date">'✅ Задачи'!$F$5:$F$1004</definedName>
    <definedName name="t_status">'✅ Задачи'!$G$5:$G$1004</definedName>
    <definedName name="t_done">'✅ Задачи'!$H$5:$H$1004</definedName>
    <definedName name="t_label">'✅ Задачи'!$K$5:$K$1004</definedName>
    <definedName name="t_key">'✅ Задачи'!$L$5:$L$1004</definedName>
    <definedName name="t_od">'✅ Задачи'!$M$5:$M$1004</definedName>
    <definedName name="e_date">'🕘 План дня'!$A$5:$A$3004</definedName>
    <definedName name="e_start">'🕘 План дня'!$C$5:$C$3004</definedName>
    <definedName name="e_dur">'🕘 План дня'!$E$5:$E$3004</definedName>
    <definedName name="e_name">'🕘 План дня'!$F$5:$F$3004</definedName>
    <definedName name="e_group">'🕘 План дня'!$G$5:$G$3004</definedName>
    <definedName name="e_cat">'🕘 План дня'!$H$5:$H$3004</definedName>
    <definedName name="e_status">'🕘 План дня'!$J$5:$J$3004</definedName>
    <definedName name="e_label">'🕘 План дня'!$M$5:$M$3004</definedName>
    <definedName name="e_key">'🕘 План дня'!$N$5:$N$3004</definedName>
    <definedName name="cal_y">'📅 Календарь'!$J$3</definedName>
    <definedName name="cal_m">'📅 Календарь'!$K$3</definedName>
    <definedName name="_xlnm._FilterDatabase" localSheetId="2" hidden="1">'✅ Задачи'!$A$4:$J$1004</definedName>
    <definedName name="_xlnm._FilterDatabase" localSheetId="3" hidden="1">'🕘 План дня'!$A$4:$L$3004</definedName>
    <definedName name="_xlnm._FilterDatabase" localSheetId="5" hidden="1">'🗓 По месяцам'!$A$4:$L$64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.MM.YYYY"/>
    <numFmt numFmtId="166" formatCode="HH:MM"/>
    <numFmt numFmtId="167" formatCode="0.0;-0.0;&quot;–&quot;"/>
    <numFmt numFmtId="168" formatCode="d"/>
    <numFmt numFmtId="169" formatCode="0;-0;&quot;–&quot;"/>
    <numFmt numFmtId="170" formatCode="0%;-0%;&quot;–&quot;"/>
    <numFmt numFmtId="171" formatCode="0.0&quot; ч&quot;;-0.0&quot; ч&quot;;&quot;–&quot;"/>
  </numFmts>
  <fonts count="3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strike val="0"/>
      <color rgb="008D99AE"/>
      <sz val="9"/>
    </font>
    <font>
      <name val="Arial"/>
      <b val="1"/>
      <color rgb="00FFFFFF"/>
    </font>
    <font>
      <name val="Arial"/>
      <strike val="0"/>
      <color rgb="000000FF"/>
      <sz val="10"/>
    </font>
    <font>
      <name val="Arial"/>
      <strike val="0"/>
      <color rgb="002B2D42"/>
      <sz val="10"/>
    </font>
    <font>
      <name val="Arial"/>
      <i val="1"/>
      <strike val="0"/>
      <color rgb="008D99AE"/>
      <sz val="8"/>
    </font>
    <font>
      <name val="Arial"/>
      <b val="1"/>
      <color rgb="00FFFFFF"/>
      <sz val="10"/>
    </font>
    <font>
      <name val="Arial"/>
      <strike val="0"/>
      <color rgb="008D99AE"/>
      <sz val="10"/>
    </font>
    <font>
      <name val="Arial"/>
      <b val="1"/>
      <strike val="0"/>
      <color rgb="003A86FF"/>
      <sz val="10"/>
    </font>
    <font>
      <name val="Arial"/>
      <b val="1"/>
      <color rgb="000000FF"/>
      <sz val="11"/>
    </font>
    <font>
      <name val="Arial"/>
      <strike val="0"/>
      <color rgb="008D99AE"/>
      <sz val="8"/>
    </font>
    <font>
      <name val="Arial"/>
      <b val="1"/>
      <color rgb="004F6272"/>
      <sz val="20"/>
    </font>
    <font>
      <name val="Arial"/>
      <b val="1"/>
      <color rgb="002B2D42"/>
      <sz val="11"/>
    </font>
    <font>
      <name val="Arial"/>
      <b val="1"/>
      <color rgb="00D62839"/>
      <sz val="11"/>
    </font>
    <font>
      <name val="Arial"/>
      <b val="1"/>
      <color rgb="002B2D42"/>
      <sz val="13"/>
    </font>
    <font>
      <name val="Arial"/>
      <strike val="0"/>
      <color rgb="002B2D42"/>
      <sz val="8"/>
    </font>
    <font>
      <name val="Arial"/>
      <b val="1"/>
      <color rgb="00D62839"/>
      <sz val="13"/>
    </font>
    <font>
      <name val="Arial"/>
      <b val="1"/>
      <color rgb="00FFFFFF"/>
      <sz val="11"/>
    </font>
    <font>
      <name val="Arial"/>
      <b val="1"/>
      <strike val="0"/>
      <color rgb="002B2D42"/>
      <sz val="9"/>
    </font>
    <font>
      <name val="Arial"/>
      <b val="1"/>
      <color rgb="003A86FF"/>
      <sz val="11"/>
    </font>
    <font>
      <name val="Arial"/>
      <strike val="0"/>
      <color rgb="001D4ED8"/>
      <sz val="9"/>
    </font>
    <font>
      <name val="Arial"/>
      <strike val="0"/>
      <color rgb="002B2D42"/>
      <sz val="9"/>
    </font>
    <font>
      <name val="Arial"/>
      <strike val="0"/>
      <color rgb="00D62839"/>
      <sz val="9"/>
    </font>
    <font>
      <name val="Arial"/>
      <strike val="1"/>
      <color rgb="008D99AE"/>
      <sz val="9"/>
    </font>
    <font>
      <name val="Arial"/>
      <strike val="1"/>
      <color rgb="00C0C0C0"/>
      <sz val="9"/>
    </font>
    <font>
      <name val="Arial"/>
      <strike val="0"/>
      <color rgb="008D99AE"/>
      <sz val="9"/>
    </font>
    <font>
      <name val="Arial"/>
      <strike val="0"/>
      <color rgb="004F6272"/>
      <sz val="9"/>
    </font>
    <font>
      <name val="Arial"/>
      <b val="1"/>
      <strike val="0"/>
      <color rgb="008338EC"/>
      <sz val="13"/>
    </font>
    <font>
      <name val="Arial"/>
      <b val="1"/>
      <strike val="0"/>
      <color rgb="002B2D42"/>
      <sz val="10"/>
    </font>
    <font>
      <name val="Arial"/>
      <b val="1"/>
      <strike val="0"/>
      <color rgb="002A9D8F"/>
      <sz val="13"/>
    </font>
    <font>
      <name val="Arial"/>
      <b val="1"/>
      <strike val="0"/>
      <color rgb="00E76F51"/>
      <sz val="13"/>
    </font>
    <font>
      <name val="Arial"/>
      <b val="1"/>
      <color rgb="00FFFFFF"/>
      <sz val="12"/>
    </font>
    <font>
      <name val="Arial"/>
      <b val="1"/>
      <color rgb="004B3F9E"/>
      <sz val="13"/>
    </font>
    <font>
      <name val="Arial"/>
      <strike val="0"/>
      <color rgb="00FFFFFF"/>
      <sz val="8"/>
    </font>
    <font>
      <name val="Arial"/>
      <strike val="0"/>
      <color rgb="00D62839"/>
      <sz val="10"/>
    </font>
    <font>
      <name val="Arial"/>
      <b val="1"/>
      <strike val="0"/>
      <color rgb="008D99AE"/>
      <sz val="9"/>
    </font>
    <font>
      <name val="Arial"/>
      <b val="1"/>
      <color rgb="001155CC"/>
      <sz val="11"/>
      <u val="single"/>
    </font>
  </fonts>
  <fills count="16">
    <fill>
      <patternFill/>
    </fill>
    <fill>
      <patternFill patternType="gray125"/>
    </fill>
    <fill>
      <patternFill patternType="solid">
        <fgColor rgb="00495057"/>
        <bgColor rgb="00495057"/>
      </patternFill>
    </fill>
    <fill>
      <patternFill patternType="solid">
        <fgColor rgb="00FFFBEA"/>
        <bgColor rgb="00FFFBEA"/>
      </patternFill>
    </fill>
    <fill>
      <patternFill patternType="solid">
        <fgColor rgb="00E76F51"/>
        <bgColor rgb="00E76F51"/>
      </patternFill>
    </fill>
    <fill>
      <patternFill patternType="solid">
        <fgColor rgb="00F4A261"/>
        <bgColor rgb="00F4A261"/>
      </patternFill>
    </fill>
    <fill>
      <patternFill patternType="solid">
        <fgColor rgb="003A86FF"/>
        <bgColor rgb="003A86FF"/>
      </patternFill>
    </fill>
    <fill>
      <patternFill patternType="solid">
        <fgColor rgb="00E9ECF1"/>
        <bgColor rgb="00E9ECF1"/>
      </patternFill>
    </fill>
    <fill>
      <patternFill patternType="solid">
        <fgColor rgb="00F4F5F7"/>
        <bgColor rgb="00F4F5F7"/>
      </patternFill>
    </fill>
    <fill>
      <patternFill patternType="solid">
        <fgColor rgb="00FFFFFF"/>
        <bgColor rgb="00FFFFFF"/>
      </patternFill>
    </fill>
    <fill>
      <patternFill patternType="solid">
        <fgColor rgb="008338EC"/>
        <bgColor rgb="008338EC"/>
      </patternFill>
    </fill>
    <fill>
      <patternFill patternType="solid">
        <fgColor rgb="00EDE3FF"/>
        <bgColor rgb="00EDE3FF"/>
      </patternFill>
    </fill>
    <fill>
      <patternFill patternType="solid">
        <fgColor rgb="002A9D8F"/>
        <bgColor rgb="002A9D8F"/>
      </patternFill>
    </fill>
    <fill>
      <patternFill patternType="solid">
        <fgColor rgb="00DDF2EF"/>
        <bgColor rgb="00DDF2EF"/>
      </patternFill>
    </fill>
    <fill>
      <patternFill patternType="solid">
        <fgColor rgb="004B3F9E"/>
        <bgColor rgb="004B3F9E"/>
      </patternFill>
    </fill>
    <fill>
      <patternFill patternType="solid">
        <fgColor rgb="00D62839"/>
        <bgColor rgb="00D62839"/>
      </patternFill>
    </fill>
  </fills>
  <borders count="9">
    <border>
      <left/>
      <right/>
      <top/>
      <bottom/>
      <diagonal/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  <border>
      <left style="thin">
        <color rgb="00D9DCE3"/>
      </left>
      <right style="thin">
        <color rgb="00D9DCE3"/>
      </right>
      <top style="thin">
        <color rgb="00D9DCE3"/>
      </top>
      <bottom style="medium">
        <color rgb="003A86FF"/>
      </bottom>
    </border>
    <border>
      <bottom style="medium">
        <color rgb="004F6272"/>
      </bottom>
    </border>
    <border>
      <left style="medium">
        <color rgb="00C5CBD3"/>
      </left>
      <right style="medium">
        <color rgb="00C5CBD3"/>
      </right>
      <top style="medium">
        <color rgb="00C5CBD3"/>
      </top>
    </border>
    <border>
      <left style="medium">
        <color rgb="00C5CBD3"/>
      </left>
      <right style="medium">
        <color rgb="00C5CBD3"/>
      </right>
    </border>
    <border>
      <left style="medium">
        <color rgb="00C5CBD3"/>
      </left>
      <right style="medium">
        <color rgb="00C5CBD3"/>
      </right>
      <bottom style="medium">
        <color rgb="00C5CBD3"/>
      </bottom>
    </border>
    <border>
      <left style="thin">
        <color rgb="00D9DCE3"/>
      </left>
      <right style="thin">
        <color rgb="00D9DCE3"/>
      </right>
      <top style="medium">
        <color rgb="002A9D8F"/>
      </top>
      <bottom style="thin">
        <color rgb="00D9DCE3"/>
      </bottom>
    </border>
    <border>
      <bottom style="hair">
        <color rgb="00D9DCE3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14" borderId="0" applyAlignment="1" pivotButton="0" quotePrefix="0" xfId="0">
      <alignment vertical="center" indent="1"/>
    </xf>
    <xf numFmtId="0" fontId="0" fillId="14" borderId="0" pivotButton="0" quotePrefix="0" xfId="0"/>
    <xf numFmtId="0" fontId="2" fillId="0" borderId="0" applyAlignment="1" pivotButton="0" quotePrefix="0" xfId="0">
      <alignment vertical="center" wrapText="1" indent="1"/>
    </xf>
    <xf numFmtId="0" fontId="32" fillId="14" borderId="0" pivotButton="0" quotePrefix="0" xfId="0"/>
    <xf numFmtId="0" fontId="32" fillId="6" borderId="0" pivotButton="0" quotePrefix="0" xfId="0"/>
    <xf numFmtId="0" fontId="0" fillId="9" borderId="0" pivotButton="0" quotePrefix="0" xfId="0"/>
    <xf numFmtId="0" fontId="32" fillId="15" borderId="0" pivotButton="0" quotePrefix="0" xfId="0"/>
    <xf numFmtId="0" fontId="0" fillId="15" borderId="0" pivotButton="0" quotePrefix="0" xfId="0"/>
    <xf numFmtId="0" fontId="29" fillId="0" borderId="1" pivotButton="0" quotePrefix="0" xfId="0"/>
    <xf numFmtId="169" fontId="33" fillId="0" borderId="1" applyAlignment="1" pivotButton="0" quotePrefix="0" xfId="0">
      <alignment horizontal="center"/>
    </xf>
    <xf numFmtId="0" fontId="5" fillId="0" borderId="8" pivotButton="0" quotePrefix="0" xfId="0"/>
    <xf numFmtId="165" fontId="34" fillId="0" borderId="0" pivotButton="0" quotePrefix="0" xfId="0"/>
    <xf numFmtId="0" fontId="35" fillId="0" borderId="8" pivotButton="0" quotePrefix="0" xfId="0"/>
    <xf numFmtId="165" fontId="26" fillId="0" borderId="8" applyAlignment="1" pivotButton="0" quotePrefix="0" xfId="0">
      <alignment horizontal="center"/>
    </xf>
    <xf numFmtId="170" fontId="33" fillId="0" borderId="1" applyAlignment="1" pivotButton="0" quotePrefix="0" xfId="0">
      <alignment horizontal="center"/>
    </xf>
    <xf numFmtId="171" fontId="33" fillId="0" borderId="1" applyAlignment="1" pivotButton="0" quotePrefix="0" xfId="0">
      <alignment horizontal="center"/>
    </xf>
    <xf numFmtId="0" fontId="37" fillId="0" borderId="0" pivotButton="0" quotePrefix="0" xfId="0"/>
    <xf numFmtId="0" fontId="6" fillId="0" borderId="0" pivotButton="0" quotePrefix="0" xfId="0"/>
    <xf numFmtId="0" fontId="36" fillId="0" borderId="0" pivotButton="0" quotePrefix="0" xfId="0"/>
    <xf numFmtId="0" fontId="5" fillId="0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indent="1"/>
    </xf>
    <xf numFmtId="0" fontId="0" fillId="6" borderId="0" pivotButton="0" quotePrefix="0" xfId="0"/>
    <xf numFmtId="0" fontId="9" fillId="0" borderId="0" applyAlignment="1" pivotButton="0" quotePrefix="0" xfId="0">
      <alignment horizontal="right" vertical="center"/>
    </xf>
    <xf numFmtId="0" fontId="10" fillId="3" borderId="2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168" fontId="15" fillId="8" borderId="4" applyAlignment="1" pivotButton="0" quotePrefix="0" xfId="0">
      <alignment horizontal="left" vertical="center" indent="1"/>
    </xf>
    <xf numFmtId="168" fontId="17" fillId="8" borderId="4" applyAlignment="1" pivotButton="0" quotePrefix="0" xfId="0">
      <alignment horizontal="left" vertical="center" indent="1"/>
    </xf>
    <xf numFmtId="0" fontId="18" fillId="6" borderId="0" pivotButton="0" quotePrefix="0" xfId="0"/>
    <xf numFmtId="0" fontId="16" fillId="9" borderId="5" applyAlignment="1" pivotButton="0" quotePrefix="0" xfId="0">
      <alignment vertical="center" shrinkToFit="1"/>
    </xf>
    <xf numFmtId="0" fontId="19" fillId="0" borderId="1" pivotButton="0" quotePrefix="0" xfId="0"/>
    <xf numFmtId="169" fontId="20" fillId="0" borderId="1" applyAlignment="1" pivotButton="0" quotePrefix="0" xfId="0">
      <alignment horizontal="center"/>
    </xf>
    <xf numFmtId="170" fontId="20" fillId="0" borderId="1" applyAlignment="1" pivotButton="0" quotePrefix="0" xfId="0">
      <alignment horizontal="center"/>
    </xf>
    <xf numFmtId="0" fontId="16" fillId="9" borderId="6" applyAlignment="1" pivotButton="0" quotePrefix="0" xfId="0">
      <alignment vertical="center" shrinkToFit="1"/>
    </xf>
    <xf numFmtId="171" fontId="20" fillId="0" borderId="1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6" fillId="0" borderId="0" applyAlignment="1" pivotButton="0" quotePrefix="0" xfId="0">
      <alignment wrapText="1"/>
    </xf>
    <xf numFmtId="0" fontId="1" fillId="4" borderId="0" applyAlignment="1" pivotButton="0" quotePrefix="0" xfId="0">
      <alignment vertical="center" indent="1"/>
    </xf>
    <xf numFmtId="0" fontId="0" fillId="4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1" fillId="5" borderId="0" applyAlignment="1" pivotButton="0" quotePrefix="0" xfId="0">
      <alignment vertical="center" indent="1"/>
    </xf>
    <xf numFmtId="0" fontId="0" fillId="5" borderId="0" pivotButton="0" quotePrefix="0" xfId="0"/>
    <xf numFmtId="0" fontId="7" fillId="5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0" fontId="1" fillId="10" borderId="0" applyAlignment="1" pivotButton="0" quotePrefix="0" xfId="0">
      <alignment vertical="center" indent="1"/>
    </xf>
    <xf numFmtId="0" fontId="0" fillId="10" borderId="0" pivotButton="0" quotePrefix="0" xfId="0"/>
    <xf numFmtId="0" fontId="28" fillId="0" borderId="0" pivotButton="0" quotePrefix="0" xfId="0"/>
    <xf numFmtId="0" fontId="7" fillId="10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left"/>
    </xf>
    <xf numFmtId="169" fontId="5" fillId="0" borderId="1" applyAlignment="1" pivotButton="0" quotePrefix="0" xfId="0">
      <alignment horizontal="center"/>
    </xf>
    <xf numFmtId="170" fontId="5" fillId="0" borderId="1" applyAlignment="1" pivotButton="0" quotePrefix="0" xfId="0">
      <alignment horizontal="center"/>
    </xf>
    <xf numFmtId="169" fontId="29" fillId="0" borderId="1" applyAlignment="1" pivotButton="0" quotePrefix="0" xfId="0">
      <alignment horizontal="center"/>
    </xf>
    <xf numFmtId="171" fontId="5" fillId="0" borderId="1" applyAlignment="1" pivotButton="0" quotePrefix="0" xfId="0">
      <alignment horizontal="center"/>
    </xf>
    <xf numFmtId="0" fontId="29" fillId="11" borderId="1" applyAlignment="1" pivotButton="0" quotePrefix="0" xfId="0">
      <alignment horizontal="left"/>
    </xf>
    <xf numFmtId="169" fontId="29" fillId="11" borderId="1" applyAlignment="1" pivotButton="0" quotePrefix="0" xfId="0">
      <alignment horizontal="center"/>
    </xf>
    <xf numFmtId="170" fontId="29" fillId="11" borderId="1" applyAlignment="1" pivotButton="0" quotePrefix="0" xfId="0">
      <alignment horizontal="center"/>
    </xf>
    <xf numFmtId="171" fontId="29" fillId="11" borderId="1" applyAlignment="1" pivotButton="0" quotePrefix="0" xfId="0">
      <alignment horizontal="center"/>
    </xf>
    <xf numFmtId="0" fontId="30" fillId="0" borderId="0" pivotButton="0" quotePrefix="0" xfId="0"/>
    <xf numFmtId="0" fontId="7" fillId="12" borderId="1" applyAlignment="1" pivotButton="0" quotePrefix="0" xfId="0">
      <alignment horizontal="center" vertical="center" wrapText="1"/>
    </xf>
    <xf numFmtId="0" fontId="31" fillId="0" borderId="0" pivotButton="0" quotePrefix="0" xfId="0"/>
    <xf numFmtId="0" fontId="1" fillId="12" borderId="0" applyAlignment="1" pivotButton="0" quotePrefix="0" xfId="0">
      <alignment vertical="center" indent="1"/>
    </xf>
    <xf numFmtId="0" fontId="0" fillId="12" borderId="0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164" fontId="5" fillId="0" borderId="7" applyAlignment="1" pivotButton="0" quotePrefix="0" xfId="0">
      <alignment horizontal="center"/>
    </xf>
    <xf numFmtId="169" fontId="5" fillId="0" borderId="7" applyAlignment="1" pivotButton="0" quotePrefix="0" xfId="0">
      <alignment horizontal="center"/>
    </xf>
    <xf numFmtId="170" fontId="5" fillId="0" borderId="7" applyAlignment="1" pivotButton="0" quotePrefix="0" xfId="0">
      <alignment horizontal="center"/>
    </xf>
    <xf numFmtId="171" fontId="5" fillId="0" borderId="7" applyAlignment="1" pivotButton="0" quotePrefix="0" xfId="0">
      <alignment horizontal="center"/>
    </xf>
    <xf numFmtId="0" fontId="29" fillId="13" borderId="1" applyAlignment="1" pivotButton="0" quotePrefix="0" xfId="0">
      <alignment horizontal="center"/>
    </xf>
    <xf numFmtId="169" fontId="29" fillId="13" borderId="1" applyAlignment="1" pivotButton="0" quotePrefix="0" xfId="0">
      <alignment horizontal="center"/>
    </xf>
    <xf numFmtId="170" fontId="29" fillId="13" borderId="1" applyAlignment="1" pivotButton="0" quotePrefix="0" xfId="0">
      <alignment horizontal="center"/>
    </xf>
    <xf numFmtId="171" fontId="29" fillId="13" borderId="1" applyAlignment="1" pivotButton="0" quotePrefix="0" xfId="0">
      <alignment horizontal="center"/>
    </xf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dxfs count="14">
    <dxf>
      <font>
        <b val="1"/>
        <color rgb="00D62839"/>
      </font>
      <fill>
        <patternFill patternType="solid">
          <fgColor rgb="00FFE9E9"/>
          <bgColor rgb="00FFE9E9"/>
        </patternFill>
      </fill>
    </dxf>
    <dxf>
      <font>
        <strike val="1"/>
        <color rgb="008D99AE"/>
      </font>
    </dxf>
    <dxf>
      <font>
        <i val="1"/>
        <strike val="1"/>
        <color rgb="00C0C0C0"/>
      </font>
    </dxf>
    <dxf>
      <font>
        <b val="1"/>
        <color rgb="00D62839"/>
      </font>
    </dxf>
    <dxf>
      <font>
        <color rgb="001D4ED8"/>
      </font>
    </dxf>
    <dxf>
      <font>
        <b val="1"/>
        <i val="1"/>
        <color rgb="008D99AE"/>
      </font>
    </dxf>
    <dxf>
      <font>
        <b val="1"/>
        <color rgb="00FFFFFF"/>
      </font>
      <fill>
        <patternFill patternType="solid">
          <fgColor rgb="004F6272"/>
          <bgColor rgb="004F6272"/>
        </patternFill>
      </fill>
    </dxf>
    <dxf>
      <font>
        <color rgb="00C0C4CC"/>
      </font>
      <fill>
        <patternFill patternType="solid">
          <fgColor rgb="00FAFAFB"/>
          <bgColor rgb="00FAFAFB"/>
        </patternFill>
      </fill>
    </dxf>
    <dxf>
      <fill>
        <patternFill patternType="solid">
          <fgColor rgb="00FFF3BF"/>
          <bgColor rgb="00FFF3BF"/>
        </patternFill>
      </fill>
    </dxf>
    <dxf>
      <font>
        <strike val="1"/>
        <color rgb="008D99AE"/>
      </font>
      <fill>
        <patternFill patternType="solid">
          <fgColor rgb="00EFEFEF"/>
          <bgColor rgb="00EFEFEF"/>
        </patternFill>
      </fill>
    </dxf>
    <dxf>
      <fill>
        <patternFill patternType="solid">
          <fgColor rgb="00FFE9E9"/>
          <bgColor rgb="00FFE9E9"/>
        </patternFill>
      </fill>
    </dxf>
    <dxf>
      <font>
        <b val="1"/>
        <color rgb="003A86FF"/>
      </font>
    </dxf>
    <dxf>
      <font>
        <b val="1"/>
        <color rgb="00E76F51"/>
      </font>
      <fill>
        <patternFill patternType="solid">
          <fgColor rgb="00FFF1EC"/>
          <bgColor rgb="00FFF1EC"/>
        </patternFill>
      </fill>
    </dxf>
    <dxf>
      <font>
        <b val="1"/>
      </font>
      <fill>
        <patternFill patternType="solid">
          <fgColor rgb="00FFF3BF"/>
          <bgColor rgb="00FFF3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📌 Задачи по месяцам: запланировано vs выполнено</a:t>
            </a:r>
          </a:p>
        </rich>
      </tx>
    </title>
    <plotArea>
      <lineChart>
        <grouping val="standard"/>
        <ser>
          <idx val="0"/>
          <order val="0"/>
          <tx>
            <strRef>
              <f>'🗓 По месяцам'!E4</f>
            </strRef>
          </tx>
          <spPr>
            <a:ln w="28000">
              <a:solidFill>
                <a:srgbClr val="8338EC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'🗓 По месяцам'!$D$5:$D$64</f>
            </numRef>
          </cat>
          <val>
            <numRef>
              <f>'🗓 По месяцам'!$E$5:$E$64</f>
            </numRef>
          </val>
          <smooth val="0"/>
        </ser>
        <ser>
          <idx val="1"/>
          <order val="1"/>
          <tx>
            <strRef>
              <f>'🗓 По месяцам'!F4</f>
            </strRef>
          </tx>
          <spPr>
            <a:ln w="28000">
              <a:solidFill>
                <a:srgbClr val="2E9E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'🗓 По месяцам'!$D$5:$D$64</f>
            </numRef>
          </cat>
          <val>
            <numRef>
              <f>'🗓 По месяцам'!$F$5:$F$64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задач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🗂 Задачи по группам: всего и выполнено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Итоги'!B15</f>
            </strRef>
          </tx>
          <spPr>
            <a:solidFill>
              <a:srgbClr val="C9B6F7"/>
            </a:solidFill>
            <a:ln>
              <a:prstDash val="solid"/>
            </a:ln>
          </spPr>
          <cat>
            <numRef>
              <f>'📊 Итоги'!$A$16:$A$27</f>
            </numRef>
          </cat>
          <val>
            <numRef>
              <f>'📊 Итоги'!$B$16:$B$27</f>
            </numRef>
          </val>
        </ser>
        <ser>
          <idx val="1"/>
          <order val="1"/>
          <tx>
            <strRef>
              <f>'📊 Итоги'!C15</f>
            </strRef>
          </tx>
          <spPr>
            <a:solidFill>
              <a:srgbClr val="2E9E5B"/>
            </a:solidFill>
            <a:ln>
              <a:prstDash val="solid"/>
            </a:ln>
          </spPr>
          <cat>
            <numRef>
              <f>'📊 Итоги'!$A$16:$A$27</f>
            </numRef>
          </cat>
          <val>
            <numRef>
              <f>'📊 Итоги'!$C$16:$C$27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prstDash val="solid"/>
            </a:ln>
          </spPr>
        </majorGridlines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⏱ Часы по группам: план и сделано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Итоги'!G15</f>
            </strRef>
          </tx>
          <spPr>
            <a:solidFill>
              <a:srgbClr val="F4C9A0"/>
            </a:solidFill>
            <a:ln>
              <a:prstDash val="solid"/>
            </a:ln>
          </spPr>
          <cat>
            <numRef>
              <f>'📊 Итоги'!$A$16:$A$27</f>
            </numRef>
          </cat>
          <val>
            <numRef>
              <f>'📊 Итоги'!$G$16:$G$27</f>
            </numRef>
          </val>
        </ser>
        <ser>
          <idx val="1"/>
          <order val="1"/>
          <tx>
            <strRef>
              <f>'📊 Итоги'!H15</f>
            </strRef>
          </tx>
          <spPr>
            <a:solidFill>
              <a:srgbClr val="E76F51"/>
            </a:solidFill>
            <a:ln>
              <a:prstDash val="solid"/>
            </a:ln>
          </spPr>
          <cat>
            <numRef>
              <f>'📊 Итоги'!$A$16:$A$27</f>
            </numRef>
          </cat>
          <val>
            <numRef>
              <f>'📊 Итоги'!$H$16:$H$27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prstDash val="solid"/>
            </a:ln>
          </spPr>
        </majorGridlines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📌 Задачи по месяцам: запланировано vs выполнено</a:t>
            </a:r>
          </a:p>
        </rich>
      </tx>
    </title>
    <plotArea>
      <lineChart>
        <grouping val="standard"/>
        <ser>
          <idx val="0"/>
          <order val="0"/>
          <tx>
            <strRef>
              <f>'🗓 По месяцам'!E4</f>
            </strRef>
          </tx>
          <spPr>
            <a:ln w="28000">
              <a:solidFill>
                <a:srgbClr val="8338EC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'🗓 По месяцам'!$D$5:$D$64</f>
            </numRef>
          </cat>
          <val>
            <numRef>
              <f>'🗓 По месяцам'!$E$5:$E$64</f>
            </numRef>
          </val>
          <smooth val="0"/>
        </ser>
        <ser>
          <idx val="1"/>
          <order val="1"/>
          <tx>
            <strRef>
              <f>'🗓 По месяцам'!F4</f>
            </strRef>
          </tx>
          <spPr>
            <a:ln w="28000">
              <a:solidFill>
                <a:srgbClr val="2E9E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'🗓 По месяцам'!$D$5:$D$64</f>
            </numRef>
          </cat>
          <val>
            <numRef>
              <f>'🗓 По месяцам'!$F$5:$F$64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задач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⏱ Часы по месяцам: план vs сделано</a:t>
            </a:r>
          </a:p>
        </rich>
      </tx>
    </title>
    <plotArea>
      <lineChart>
        <grouping val="standard"/>
        <ser>
          <idx val="0"/>
          <order val="0"/>
          <tx>
            <strRef>
              <f>'🗓 По месяцам'!K4</f>
            </strRef>
          </tx>
          <spPr>
            <a:ln w="28000">
              <a:solidFill>
                <a:srgbClr val="F4A261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'🗓 По месяцам'!$D$5:$D$64</f>
            </numRef>
          </cat>
          <val>
            <numRef>
              <f>'🗓 По месяцам'!$K$5:$K$64</f>
            </numRef>
          </val>
          <smooth val="0"/>
        </ser>
        <ser>
          <idx val="1"/>
          <order val="1"/>
          <tx>
            <strRef>
              <f>'🗓 По месяцам'!L4</f>
            </strRef>
          </tx>
          <spPr>
            <a:ln w="28000">
              <a:solidFill>
                <a:srgbClr val="E76F5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'🗓 По месяцам'!$D$5:$D$64</f>
            </numRef>
          </cat>
          <val>
            <numRef>
              <f>'🗓 По месяцам'!$L$5:$L$64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часов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Задачник</author>
  </authors>
  <commentList>
    <comment ref="G4" authorId="0" shapeId="0">
      <text>
        <t>Отметка выполнения: «✅ Выполнена» зачёркивает задачу здесь и в календаре.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29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22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28197; &#1050;&#1072;&#1083;&#1077;&#1085;&#1076;&#1072;&#1088;&#1100;'!A1" TargetMode="External" Id="rId1" /><Relationship Type="http://schemas.openxmlformats.org/officeDocument/2006/relationships/hyperlink" Target="#'&#9989; &#1047;&#1072;&#1076;&#1072;&#1095;&#1080;'!A1" TargetMode="External" Id="rId2" /><Relationship Type="http://schemas.openxmlformats.org/officeDocument/2006/relationships/hyperlink" Target="#'&#128344; &#1055;&#1083;&#1072;&#1085; &#1076;&#1085;&#1103;'!A1" TargetMode="External" Id="rId3" /><Relationship Type="http://schemas.openxmlformats.org/officeDocument/2006/relationships/hyperlink" Target="#'&#128202; &#1048;&#1090;&#1086;&#1075;&#1080;'!A1" TargetMode="External" Id="rId4" /><Relationship Type="http://schemas.openxmlformats.org/officeDocument/2006/relationships/hyperlink" Target="#'&#128467; &#1055;&#1086; &#1084;&#1077;&#1089;&#1103;&#1094;&#1072;&#1084;'!A1" TargetMode="External" Id="rId5" /><Relationship Type="http://schemas.openxmlformats.org/officeDocument/2006/relationships/hyperlink" Target="#'&#128218; &#1057;&#1087;&#1088;&#1072;&#1074;&#1086;&#1095;&#1085;&#1080;&#1082;'!A1" TargetMode="External" Id="rId6" /><Relationship Type="http://schemas.openxmlformats.org/officeDocument/2006/relationships/drawing" Target="/xl/drawings/drawing1.xml" Id="rId7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2E9E5B"/>
    <outlinePr summaryBelow="1" summaryRight="1"/>
    <pageSetUpPr/>
  </sheetPr>
  <dimension ref="A1:K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3" customWidth="1" min="4" max="4"/>
    <col width="40" customWidth="1" min="5" max="5"/>
    <col width="3" customWidth="1" min="6" max="6"/>
    <col width="30" customWidth="1" min="7" max="7"/>
    <col width="14" customWidth="1" min="8" max="8"/>
    <col width="3" customWidth="1" min="9" max="9"/>
    <col width="3" customWidth="1" min="10" max="10"/>
    <col width="3" customWidth="1" min="11" max="11"/>
  </cols>
  <sheetData>
    <row r="1" ht="36" customHeight="1">
      <c r="A1" s="1" t="inlineStr">
        <is>
          <t>🏠 Задачи и календарь 2026 – 2030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3" t="inlineStr">
        <is>
          <t>Личный задачник: задачи с отметкой выполнения, расписание по времени, календарь месяца и итоги.</t>
        </is>
      </c>
    </row>
    <row r="4">
      <c r="B4" s="4" t="inlineStr">
        <is>
          <t>📌 Сводка</t>
        </is>
      </c>
      <c r="C4" s="2" t="n"/>
      <c r="E4" s="5">
        <f>"☀️ Сегодня, "&amp;RIGHT("0"&amp;DAY(TODAY()),2)&amp;"."&amp;RIGHT("0"&amp;MONTH(TODAY()),2)&amp;"."&amp;YEAR(TODAY())&amp;" ("&amp;CHOOSE(WEEKDAY(TODAY(),2),"Пн","Вт","Ср","Чт","Пт","Сб","Вс")&amp;")"</f>
        <v/>
      </c>
      <c r="F4" s="6" t="n"/>
      <c r="G4" s="7" t="inlineStr">
        <is>
          <t>❗ Просроченные задачи</t>
        </is>
      </c>
      <c r="H4" s="8" t="n"/>
    </row>
    <row r="5" ht="22" customHeight="1">
      <c r="B5" s="9" t="inlineStr">
        <is>
          <t>Всего задач</t>
        </is>
      </c>
      <c r="C5" s="10">
        <f>'📊 Итоги'!B9</f>
        <v/>
      </c>
      <c r="E5" s="11">
        <f>IFERROR(IF(1&lt;=COUNTIFS(e_date,$F$5,e_name,"?*"),INDEX(e_label,MATCH($F$5&amp;"#"&amp;1,e_key,0)),IF(1-COUNTIFS(e_date,$F$5,e_name,"?*")&lt;=COUNTIFS(t_date,$F$5,t_name,"?*",t_status,"&lt;&gt;❌ Отменена"),INDEX(t_label,MATCH($F$5&amp;"#"&amp;(1-COUNTIFS(e_date,$F$5,e_name,"?*")),t_key,0)),"")),"")</f>
        <v/>
      </c>
      <c r="F5" s="12">
        <f>TODAY()</f>
        <v/>
      </c>
      <c r="G5" s="13">
        <f>IFERROR(INDEX(t_name,MATCH(1,t_od,0)),"")</f>
        <v/>
      </c>
      <c r="H5" s="14">
        <f>IFERROR(INDEX(t_date,MATCH(1,t_od,0)),"")</f>
        <v/>
      </c>
    </row>
    <row r="6" ht="22" customHeight="1">
      <c r="B6" s="9" t="inlineStr">
        <is>
          <t>✅ Выполнено</t>
        </is>
      </c>
      <c r="C6" s="10">
        <f>'📊 Итоги'!B7</f>
        <v/>
      </c>
      <c r="E6" s="11">
        <f>IFERROR(IF(2&lt;=COUNTIFS(e_date,$F$5,e_name,"?*"),INDEX(e_label,MATCH($F$5&amp;"#"&amp;2,e_key,0)),IF(2-COUNTIFS(e_date,$F$5,e_name,"?*")&lt;=COUNTIFS(t_date,$F$5,t_name,"?*",t_status,"&lt;&gt;❌ Отменена"),INDEX(t_label,MATCH($F$5&amp;"#"&amp;(2-COUNTIFS(e_date,$F$5,e_name,"?*")),t_key,0)),"")),"")</f>
        <v/>
      </c>
      <c r="G6" s="13">
        <f>IFERROR(INDEX(t_name,MATCH(2,t_od,0)),"")</f>
        <v/>
      </c>
      <c r="H6" s="14">
        <f>IFERROR(INDEX(t_date,MATCH(2,t_od,0)),"")</f>
        <v/>
      </c>
    </row>
    <row r="7" ht="22" customHeight="1">
      <c r="B7" s="9" t="inlineStr">
        <is>
          <t>🎯 Прогресс</t>
        </is>
      </c>
      <c r="C7" s="15">
        <f>IF(('📊 Итоги'!B9-'📊 Итоги'!B8)=0,"",'📊 Итоги'!B7/('📊 Итоги'!B9-'📊 Итоги'!B8))</f>
        <v/>
      </c>
      <c r="E7" s="11">
        <f>IFERROR(IF(3&lt;=COUNTIFS(e_date,$F$5,e_name,"?*"),INDEX(e_label,MATCH($F$5&amp;"#"&amp;3,e_key,0)),IF(3-COUNTIFS(e_date,$F$5,e_name,"?*")&lt;=COUNTIFS(t_date,$F$5,t_name,"?*",t_status,"&lt;&gt;❌ Отменена"),INDEX(t_label,MATCH($F$5&amp;"#"&amp;(3-COUNTIFS(e_date,$F$5,e_name,"?*")),t_key,0)),"")),"")</f>
        <v/>
      </c>
      <c r="G7" s="13">
        <f>IFERROR(INDEX(t_name,MATCH(3,t_od,0)),"")</f>
        <v/>
      </c>
      <c r="H7" s="14">
        <f>IFERROR(INDEX(t_date,MATCH(3,t_od,0)),"")</f>
        <v/>
      </c>
    </row>
    <row r="8" ht="22" customHeight="1">
      <c r="B8" s="9" t="inlineStr">
        <is>
          <t>❗ Просрочено</t>
        </is>
      </c>
      <c r="C8" s="10">
        <f>'📊 Итоги'!B10</f>
        <v/>
      </c>
      <c r="E8" s="11">
        <f>IFERROR(IF(4&lt;=COUNTIFS(e_date,$F$5,e_name,"?*"),INDEX(e_label,MATCH($F$5&amp;"#"&amp;4,e_key,0)),IF(4-COUNTIFS(e_date,$F$5,e_name,"?*")&lt;=COUNTIFS(t_date,$F$5,t_name,"?*",t_status,"&lt;&gt;❌ Отменена"),INDEX(t_label,MATCH($F$5&amp;"#"&amp;(4-COUNTIFS(e_date,$F$5,e_name,"?*")),t_key,0)),"")),"")</f>
        <v/>
      </c>
      <c r="G8" s="13">
        <f>IFERROR(INDEX(t_name,MATCH(4,t_od,0)),"")</f>
        <v/>
      </c>
      <c r="H8" s="14">
        <f>IFERROR(INDEX(t_date,MATCH(4,t_od,0)),"")</f>
        <v/>
      </c>
    </row>
    <row r="9" ht="22" customHeight="1">
      <c r="B9" s="9" t="inlineStr">
        <is>
          <t>🔥 На сегодня (дел + задач)</t>
        </is>
      </c>
      <c r="C9" s="10">
        <f>COUNTIFS(e_date,TODAY(),e_name,"?*")+COUNTIFS(t_date,TODAY(),t_name,"?*",t_status,"&lt;&gt;❌ Отменена")</f>
        <v/>
      </c>
      <c r="E9" s="11">
        <f>IFERROR(IF(5&lt;=COUNTIFS(e_date,$F$5,e_name,"?*"),INDEX(e_label,MATCH($F$5&amp;"#"&amp;5,e_key,0)),IF(5-COUNTIFS(e_date,$F$5,e_name,"?*")&lt;=COUNTIFS(t_date,$F$5,t_name,"?*",t_status,"&lt;&gt;❌ Отменена"),INDEX(t_label,MATCH($F$5&amp;"#"&amp;(5-COUNTIFS(e_date,$F$5,e_name,"?*")),t_key,0)),"")),"")</f>
        <v/>
      </c>
      <c r="G9" s="13">
        <f>IFERROR(INDEX(t_name,MATCH(5,t_od,0)),"")</f>
        <v/>
      </c>
      <c r="H9" s="14">
        <f>IFERROR(INDEX(t_date,MATCH(5,t_od,0)),"")</f>
        <v/>
      </c>
    </row>
    <row r="10" ht="22" customHeight="1">
      <c r="B10" s="9" t="inlineStr">
        <is>
          <t>⏱ Часов на этой неделе</t>
        </is>
      </c>
      <c r="C10" s="16">
        <f>SUMIFS(e_dur,e_date,"&gt;="&amp;(TODAY()-WEEKDAY(TODAY(),2)+1),e_date,"&lt;"&amp;(TODAY()-WEEKDAY(TODAY(),2)+8))</f>
        <v/>
      </c>
      <c r="E10" s="11">
        <f>IFERROR(IF(6&lt;=COUNTIFS(e_date,$F$5,e_name,"?*"),INDEX(e_label,MATCH($F$5&amp;"#"&amp;6,e_key,0)),IF(6-COUNTIFS(e_date,$F$5,e_name,"?*")&lt;=COUNTIFS(t_date,$F$5,t_name,"?*",t_status,"&lt;&gt;❌ Отменена"),INDEX(t_label,MATCH($F$5&amp;"#"&amp;(6-COUNTIFS(e_date,$F$5,e_name,"?*")),t_key,0)),"")),"")</f>
        <v/>
      </c>
      <c r="G10" s="13">
        <f>IFERROR(INDEX(t_name,MATCH(6,t_od,0)),"")</f>
        <v/>
      </c>
      <c r="H10" s="14">
        <f>IFERROR(INDEX(t_date,MATCH(6,t_od,0)),"")</f>
        <v/>
      </c>
    </row>
    <row r="11">
      <c r="E11" s="11">
        <f>IFERROR(IF(7&lt;=COUNTIFS(e_date,$F$5,e_name,"?*"),INDEX(e_label,MATCH($F$5&amp;"#"&amp;7,e_key,0)),IF(7-COUNTIFS(e_date,$F$5,e_name,"?*")&lt;=COUNTIFS(t_date,$F$5,t_name,"?*",t_status,"&lt;&gt;❌ Отменена"),INDEX(t_label,MATCH($F$5&amp;"#"&amp;(7-COUNTIFS(e_date,$F$5,e_name,"?*")),t_key,0)),"")),"")</f>
        <v/>
      </c>
      <c r="G11" s="13">
        <f>IFERROR(INDEX(t_name,MATCH(7,t_od,0)),"")</f>
        <v/>
      </c>
      <c r="H11" s="14">
        <f>IFERROR(INDEX(t_date,MATCH(7,t_od,0)),"")</f>
        <v/>
      </c>
    </row>
    <row r="12">
      <c r="B12" s="4" t="inlineStr">
        <is>
          <t>🧭 Навигация</t>
        </is>
      </c>
      <c r="C12" s="2" t="n"/>
      <c r="E12" s="11">
        <f>IFERROR(IF(8&lt;=COUNTIFS(e_date,$F$5,e_name,"?*"),INDEX(e_label,MATCH($F$5&amp;"#"&amp;8,e_key,0)),IF(8-COUNTIFS(e_date,$F$5,e_name,"?*")&lt;=COUNTIFS(t_date,$F$5,t_name,"?*",t_status,"&lt;&gt;❌ Отменена"),INDEX(t_label,MATCH($F$5&amp;"#"&amp;(8-COUNTIFS(e_date,$F$5,e_name,"?*")),t_key,0)),"")),"")</f>
        <v/>
      </c>
      <c r="G12" s="13">
        <f>IFERROR(INDEX(t_name,MATCH(8,t_od,0)),"")</f>
        <v/>
      </c>
      <c r="H12" s="14">
        <f>IFERROR(INDEX(t_date,MATCH(8,t_od,0)),"")</f>
        <v/>
      </c>
    </row>
    <row r="13">
      <c r="B13" s="17" t="inlineStr">
        <is>
          <t>📅 Календарь</t>
        </is>
      </c>
      <c r="C13" s="18" t="inlineStr">
        <is>
          <t>календарь месяца</t>
        </is>
      </c>
      <c r="E13" s="11">
        <f>IFERROR(IF(9&lt;=COUNTIFS(e_date,$F$5,e_name,"?*"),INDEX(e_label,MATCH($F$5&amp;"#"&amp;9,e_key,0)),IF(9-COUNTIFS(e_date,$F$5,e_name,"?*")&lt;=COUNTIFS(t_date,$F$5,t_name,"?*",t_status,"&lt;&gt;❌ Отменена"),INDEX(t_label,MATCH($F$5&amp;"#"&amp;(9-COUNTIFS(e_date,$F$5,e_name,"?*")),t_key,0)),"")),"")</f>
        <v/>
      </c>
      <c r="G13" s="13">
        <f>IFERROR(INDEX(t_name,MATCH(9,t_od,0)),"")</f>
        <v/>
      </c>
      <c r="H13" s="14">
        <f>IFERROR(INDEX(t_date,MATCH(9,t_od,0)),"")</f>
        <v/>
      </c>
    </row>
    <row r="14">
      <c r="B14" s="17" t="inlineStr">
        <is>
          <t>✅ Задачи</t>
        </is>
      </c>
      <c r="C14" s="18" t="inlineStr">
        <is>
          <t>задачи и отметка выполнения</t>
        </is>
      </c>
      <c r="E14" s="11">
        <f>IFERROR(IF(10&lt;=COUNTIFS(e_date,$F$5,e_name,"?*"),INDEX(e_label,MATCH($F$5&amp;"#"&amp;10,e_key,0)),IF(10-COUNTIFS(e_date,$F$5,e_name,"?*")&lt;=COUNTIFS(t_date,$F$5,t_name,"?*",t_status,"&lt;&gt;❌ Отменена"),INDEX(t_label,MATCH($F$5&amp;"#"&amp;(10-COUNTIFS(e_date,$F$5,e_name,"?*")),t_key,0)),"")),"")</f>
        <v/>
      </c>
      <c r="G14" s="13">
        <f>IFERROR(INDEX(t_name,MATCH(10,t_od,0)),"")</f>
        <v/>
      </c>
      <c r="H14" s="14">
        <f>IFERROR(INDEX(t_date,MATCH(10,t_od,0)),"")</f>
        <v/>
      </c>
    </row>
    <row r="15">
      <c r="B15" s="17" t="inlineStr">
        <is>
          <t>🕘 План дня</t>
        </is>
      </c>
      <c r="C15" s="18" t="inlineStr">
        <is>
          <t>расписание по времени</t>
        </is>
      </c>
      <c r="E15" s="11">
        <f>IFERROR(IF(11&lt;=COUNTIFS(e_date,$F$5,e_name,"?*"),INDEX(e_label,MATCH($F$5&amp;"#"&amp;11,e_key,0)),IF(11-COUNTIFS(e_date,$F$5,e_name,"?*")&lt;=COUNTIFS(t_date,$F$5,t_name,"?*",t_status,"&lt;&gt;❌ Отменена"),INDEX(t_label,MATCH($F$5&amp;"#"&amp;(11-COUNTIFS(e_date,$F$5,e_name,"?*")),t_key,0)),"")),"")</f>
        <v/>
      </c>
      <c r="G15" s="19">
        <f>IF(COUNT(t_od)&gt;10,"… и ещё "&amp;(COUNT(t_od)-10),IF(COUNT(t_od)=0,"🎉 Просроченных нет!",""))</f>
        <v/>
      </c>
    </row>
    <row r="16">
      <c r="B16" s="17" t="inlineStr">
        <is>
          <t>📊 Итоги</t>
        </is>
      </c>
      <c r="C16" s="18" t="inlineStr">
        <is>
          <t>итоги по группам и категориям</t>
        </is>
      </c>
      <c r="E16" s="11">
        <f>IFERROR(IF(COUNTIFS(e_date,$F$5,e_name,"?*")+COUNTIFS(t_date,$F$5,t_name,"?*",t_status,"&lt;&gt;❌ Отменена")&gt;12,"… ещё "&amp;(COUNTIFS(e_date,$F$5,e_name,"?*")+COUNTIFS(t_date,$F$5,t_name,"?*",t_status,"&lt;&gt;❌ Отменена")-11),IF(12&lt;=COUNTIFS(e_date,$F$5,e_name,"?*"),INDEX(e_label,MATCH($F$5&amp;"#"&amp;12,e_key,0)),IF(12-COUNTIFS(e_date,$F$5,e_name,"?*")&lt;=COUNTIFS(t_date,$F$5,t_name,"?*",t_status,"&lt;&gt;❌ Отменена"),INDEX(t_label,MATCH($F$5&amp;"#"&amp;(12-COUNTIFS(e_date,$F$5,e_name,"?*")),t_key,0)),""))),"")</f>
        <v/>
      </c>
    </row>
    <row r="17">
      <c r="B17" s="17" t="inlineStr">
        <is>
          <t>🗓 По месяцам</t>
        </is>
      </c>
      <c r="C17" s="18" t="inlineStr">
        <is>
          <t>итоги по месяцам + графики</t>
        </is>
      </c>
      <c r="E17" s="18" t="inlineStr">
        <is>
          <t>Пусто? Добавьте дела в «🕘 План дня» и задачи со сроком на сегодня.</t>
        </is>
      </c>
    </row>
    <row r="18">
      <c r="B18" s="17" t="inlineStr">
        <is>
          <t>📚 Справочник</t>
        </is>
      </c>
      <c r="C18" s="18" t="inlineStr">
        <is>
          <t>справочник списков</t>
        </is>
      </c>
    </row>
    <row r="20">
      <c r="B20" s="4" t="inlineStr">
        <is>
          <t>🎨 Как пользоваться</t>
        </is>
      </c>
      <c r="C20" s="2" t="n"/>
    </row>
    <row r="21" ht="18" customHeight="1">
      <c r="B21" s="20" t="inlineStr">
        <is>
          <t>1️⃣ «✅ Задачи» — записываете задачи: группа, категория, приоритет, срок. Выполнили → статус «✅ Выполнена».</t>
        </is>
      </c>
    </row>
    <row r="22" ht="18" customHeight="1">
      <c r="B22" s="20" t="inlineStr">
        <is>
          <t>2️⃣ «🕘 План дня» — расписание: дата, начало, конец, дело. Сделали → статус «✅ Сделано».</t>
        </is>
      </c>
    </row>
    <row r="23" ht="18" customHeight="1">
      <c r="B23" s="20" t="inlineStr">
        <is>
          <t>3️⃣ «📅 Календарь» — выберите год и месяц: в каждом дне видны дела и задачи.</t>
        </is>
      </c>
    </row>
    <row r="24" ht="18" customHeight="1">
      <c r="B24" s="20" t="inlineStr">
        <is>
          <t>4️⃣ «📊 Итоги» и «🗓 По месяцам» — считаются сами, вводить ничего не нужно.</t>
        </is>
      </c>
    </row>
    <row r="25" ht="18" customHeight="1">
      <c r="B25" s="20" t="inlineStr">
        <is>
          <t>🟢 Зелёные вкладки — витрины (смотреть), 🔴 красные — технические (вводить данные).</t>
        </is>
      </c>
    </row>
    <row r="26" ht="18" customHeight="1">
      <c r="B26" s="20" t="inlineStr">
        <is>
          <t>Жёлтые ячейки — ввод. Синий шрифт — ваши данные. Зачёркнуто — выполнено. Красным — просрочено.</t>
        </is>
      </c>
    </row>
    <row r="27" ht="18" customHeight="1">
      <c r="B27" s="20" t="inlineStr">
        <is>
          <t>В «Задачах» и «Плане дня» есть строки-ПРИМЕРЫ — замените или удалите их.</t>
        </is>
      </c>
    </row>
  </sheetData>
  <mergeCells count="9">
    <mergeCell ref="B22:H22"/>
    <mergeCell ref="B26:H26"/>
    <mergeCell ref="B27:H27"/>
    <mergeCell ref="B21:H21"/>
    <mergeCell ref="A2:K2"/>
    <mergeCell ref="B24:H24"/>
    <mergeCell ref="B25:H25"/>
    <mergeCell ref="A1:K1"/>
    <mergeCell ref="B23:H23"/>
  </mergeCells>
  <conditionalFormatting sqref="C7">
    <cfRule type="dataBar" priority="1">
      <dataBar>
        <cfvo type="num" val="0"/>
        <cfvo type="num" val="1"/>
        <color rgb="002E9E5B"/>
      </dataBar>
    </cfRule>
  </conditionalFormatting>
  <conditionalFormatting sqref="C8">
    <cfRule type="cellIs" priority="2" operator="greaterThan" dxfId="0">
      <formula>0</formula>
    </cfRule>
  </conditionalFormatting>
  <conditionalFormatting sqref="E5:E16">
    <cfRule type="expression" priority="3" dxfId="1">
      <formula>LEFT(E5,1)="✔"</formula>
    </cfRule>
    <cfRule type="expression" priority="4" dxfId="2">
      <formula>LEFT(E5,1)="✖"</formula>
    </cfRule>
    <cfRule type="expression" priority="5" dxfId="3">
      <formula>LEFT(E5,1)="❗"</formula>
    </cfRule>
    <cfRule type="expression" priority="6" dxfId="4">
      <formula>LEFT(E5,1)="⏰"</formula>
    </cfRule>
    <cfRule type="expression" priority="7" dxfId="5">
      <formula>LEFT(E5,1)="…"</formula>
    </cfRule>
  </conditionalFormatting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tabColor rgb="002E9E5B"/>
    <outlinePr summaryBelow="1" summaryRight="1"/>
    <pageSetUpPr/>
  </sheetPr>
  <dimension ref="A1:Q4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" customWidth="1" min="9" max="9"/>
    <col width="24" customWidth="1" min="10" max="10"/>
    <col width="14" customWidth="1" min="11" max="11"/>
  </cols>
  <sheetData>
    <row r="1" ht="36" customHeight="1">
      <c r="A1" s="21" t="inlineStr">
        <is>
          <t>📅 Календарь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</row>
    <row r="2" ht="30" customHeight="1">
      <c r="A2" s="3" t="inlineStr">
        <is>
          <t>Выберите год и месяц в жёлтых ячейках (пусто = текущий месяц). В каждом дне — дела из «🕘 План дня» (по времени) и задачи из «✅ Задачи» (по сроку). ✔ — сделано, ❗ — просрочено, ☐ — в планах.</t>
        </is>
      </c>
    </row>
    <row r="3" ht="24" customHeight="1">
      <c r="B3" s="23" t="inlineStr">
        <is>
          <t>📆 Год ▸</t>
        </is>
      </c>
      <c r="C3" s="24" t="n"/>
      <c r="D3" s="23" t="inlineStr">
        <is>
          <t>🗓 Месяц ▸</t>
        </is>
      </c>
      <c r="E3" s="24" t="n"/>
      <c r="J3" s="25">
        <f>IF($C$3="",YEAR(TODAY()),$C$3)</f>
        <v/>
      </c>
      <c r="K3" s="25">
        <f>IF($E$3="",MONTH(TODAY()),MATCH($E$3,lst_months,0))</f>
        <v/>
      </c>
    </row>
    <row r="4" ht="34" customHeight="1">
      <c r="B4" s="26">
        <f>INDEX(lst_months,cal_m)&amp;" "&amp;cal_y</f>
        <v/>
      </c>
    </row>
    <row r="5" ht="24" customHeight="1">
      <c r="B5" s="27" t="inlineStr">
        <is>
          <t>Пн</t>
        </is>
      </c>
      <c r="C5" s="27" t="inlineStr">
        <is>
          <t>Вт</t>
        </is>
      </c>
      <c r="D5" s="27" t="inlineStr">
        <is>
          <t>Ср</t>
        </is>
      </c>
      <c r="E5" s="27" t="inlineStr">
        <is>
          <t>Чт</t>
        </is>
      </c>
      <c r="F5" s="27" t="inlineStr">
        <is>
          <t>Пт</t>
        </is>
      </c>
      <c r="G5" s="28" t="inlineStr">
        <is>
          <t>Сб</t>
        </is>
      </c>
      <c r="H5" s="28" t="inlineStr">
        <is>
          <t>Вс</t>
        </is>
      </c>
    </row>
    <row r="6" ht="22" customHeight="1">
      <c r="B6" s="29">
        <f>(DATE(cal_y,cal_m,1)-WEEKDAY(DATE(cal_y,cal_m,1),2)+1)+0</f>
        <v/>
      </c>
      <c r="C6" s="29">
        <f>(DATE(cal_y,cal_m,1)-WEEKDAY(DATE(cal_y,cal_m,1),2)+1)+1</f>
        <v/>
      </c>
      <c r="D6" s="29">
        <f>(DATE(cal_y,cal_m,1)-WEEKDAY(DATE(cal_y,cal_m,1),2)+1)+2</f>
        <v/>
      </c>
      <c r="E6" s="29">
        <f>(DATE(cal_y,cal_m,1)-WEEKDAY(DATE(cal_y,cal_m,1),2)+1)+3</f>
        <v/>
      </c>
      <c r="F6" s="29">
        <f>(DATE(cal_y,cal_m,1)-WEEKDAY(DATE(cal_y,cal_m,1),2)+1)+4</f>
        <v/>
      </c>
      <c r="G6" s="30">
        <f>(DATE(cal_y,cal_m,1)-WEEKDAY(DATE(cal_y,cal_m,1),2)+1)+5</f>
        <v/>
      </c>
      <c r="H6" s="30">
        <f>(DATE(cal_y,cal_m,1)-WEEKDAY(DATE(cal_y,cal_m,1),2)+1)+6</f>
        <v/>
      </c>
      <c r="J6" s="31" t="inlineStr">
        <is>
          <t>📊 Этот месяц</t>
        </is>
      </c>
      <c r="K6" s="22" t="n"/>
    </row>
    <row r="7" ht="15" customHeight="1">
      <c r="B7" s="32">
        <f>IFERROR(IF(1&lt;=COUNTIFS(e_date,B$6,e_name,"?*"),INDEX(e_label,MATCH(B$6&amp;"#"&amp;1,e_key,0)),IF(1-COUNTIFS(e_date,B$6,e_name,"?*")&lt;=COUNTIFS(t_date,B$6,t_name,"?*",t_status,"&lt;&gt;❌ Отменена"),INDEX(t_label,MATCH(B$6&amp;"#"&amp;(1-COUNTIFS(e_date,B$6,e_name,"?*")),t_key,0)),"")),"")</f>
        <v/>
      </c>
      <c r="C7" s="32">
        <f>IFERROR(IF(1&lt;=COUNTIFS(e_date,C$6,e_name,"?*"),INDEX(e_label,MATCH(C$6&amp;"#"&amp;1,e_key,0)),IF(1-COUNTIFS(e_date,C$6,e_name,"?*")&lt;=COUNTIFS(t_date,C$6,t_name,"?*",t_status,"&lt;&gt;❌ Отменена"),INDEX(t_label,MATCH(C$6&amp;"#"&amp;(1-COUNTIFS(e_date,C$6,e_name,"?*")),t_key,0)),"")),"")</f>
        <v/>
      </c>
      <c r="D7" s="32">
        <f>IFERROR(IF(1&lt;=COUNTIFS(e_date,D$6,e_name,"?*"),INDEX(e_label,MATCH(D$6&amp;"#"&amp;1,e_key,0)),IF(1-COUNTIFS(e_date,D$6,e_name,"?*")&lt;=COUNTIFS(t_date,D$6,t_name,"?*",t_status,"&lt;&gt;❌ Отменена"),INDEX(t_label,MATCH(D$6&amp;"#"&amp;(1-COUNTIFS(e_date,D$6,e_name,"?*")),t_key,0)),"")),"")</f>
        <v/>
      </c>
      <c r="E7" s="32">
        <f>IFERROR(IF(1&lt;=COUNTIFS(e_date,E$6,e_name,"?*"),INDEX(e_label,MATCH(E$6&amp;"#"&amp;1,e_key,0)),IF(1-COUNTIFS(e_date,E$6,e_name,"?*")&lt;=COUNTIFS(t_date,E$6,t_name,"?*",t_status,"&lt;&gt;❌ Отменена"),INDEX(t_label,MATCH(E$6&amp;"#"&amp;(1-COUNTIFS(e_date,E$6,e_name,"?*")),t_key,0)),"")),"")</f>
        <v/>
      </c>
      <c r="F7" s="32">
        <f>IFERROR(IF(1&lt;=COUNTIFS(e_date,F$6,e_name,"?*"),INDEX(e_label,MATCH(F$6&amp;"#"&amp;1,e_key,0)),IF(1-COUNTIFS(e_date,F$6,e_name,"?*")&lt;=COUNTIFS(t_date,F$6,t_name,"?*",t_status,"&lt;&gt;❌ Отменена"),INDEX(t_label,MATCH(F$6&amp;"#"&amp;(1-COUNTIFS(e_date,F$6,e_name,"?*")),t_key,0)),"")),"")</f>
        <v/>
      </c>
      <c r="G7" s="32">
        <f>IFERROR(IF(1&lt;=COUNTIFS(e_date,G$6,e_name,"?*"),INDEX(e_label,MATCH(G$6&amp;"#"&amp;1,e_key,0)),IF(1-COUNTIFS(e_date,G$6,e_name,"?*")&lt;=COUNTIFS(t_date,G$6,t_name,"?*",t_status,"&lt;&gt;❌ Отменена"),INDEX(t_label,MATCH(G$6&amp;"#"&amp;(1-COUNTIFS(e_date,G$6,e_name,"?*")),t_key,0)),"")),"")</f>
        <v/>
      </c>
      <c r="H7" s="32">
        <f>IFERROR(IF(1&lt;=COUNTIFS(e_date,H$6,e_name,"?*"),INDEX(e_label,MATCH(H$6&amp;"#"&amp;1,e_key,0)),IF(1-COUNTIFS(e_date,H$6,e_name,"?*")&lt;=COUNTIFS(t_date,H$6,t_name,"?*",t_status,"&lt;&gt;❌ Отменена"),INDEX(t_label,MATCH(H$6&amp;"#"&amp;(1-COUNTIFS(e_date,H$6,e_name,"?*")),t_key,0)),"")),"")</f>
        <v/>
      </c>
      <c r="J7" s="33" t="inlineStr">
        <is>
          <t>Задач со сроком</t>
        </is>
      </c>
      <c r="K7" s="34">
        <f>COUNTIFS(t_date,"&gt;="&amp;DATE(cal_y,cal_m,1),t_date,"&lt;"&amp;DATE(cal_y,cal_m+1,1),t_name,"?*",t_status,"&lt;&gt;❌ Отменена")</f>
        <v/>
      </c>
    </row>
    <row r="8" ht="15" customHeight="1">
      <c r="B8" s="32">
        <f>IFERROR(IF(2&lt;=COUNTIFS(e_date,B$6,e_name,"?*"),INDEX(e_label,MATCH(B$6&amp;"#"&amp;2,e_key,0)),IF(2-COUNTIFS(e_date,B$6,e_name,"?*")&lt;=COUNTIFS(t_date,B$6,t_name,"?*",t_status,"&lt;&gt;❌ Отменена"),INDEX(t_label,MATCH(B$6&amp;"#"&amp;(2-COUNTIFS(e_date,B$6,e_name,"?*")),t_key,0)),"")),"")</f>
        <v/>
      </c>
      <c r="C8" s="32">
        <f>IFERROR(IF(2&lt;=COUNTIFS(e_date,C$6,e_name,"?*"),INDEX(e_label,MATCH(C$6&amp;"#"&amp;2,e_key,0)),IF(2-COUNTIFS(e_date,C$6,e_name,"?*")&lt;=COUNTIFS(t_date,C$6,t_name,"?*",t_status,"&lt;&gt;❌ Отменена"),INDEX(t_label,MATCH(C$6&amp;"#"&amp;(2-COUNTIFS(e_date,C$6,e_name,"?*")),t_key,0)),"")),"")</f>
        <v/>
      </c>
      <c r="D8" s="32">
        <f>IFERROR(IF(2&lt;=COUNTIFS(e_date,D$6,e_name,"?*"),INDEX(e_label,MATCH(D$6&amp;"#"&amp;2,e_key,0)),IF(2-COUNTIFS(e_date,D$6,e_name,"?*")&lt;=COUNTIFS(t_date,D$6,t_name,"?*",t_status,"&lt;&gt;❌ Отменена"),INDEX(t_label,MATCH(D$6&amp;"#"&amp;(2-COUNTIFS(e_date,D$6,e_name,"?*")),t_key,0)),"")),"")</f>
        <v/>
      </c>
      <c r="E8" s="32">
        <f>IFERROR(IF(2&lt;=COUNTIFS(e_date,E$6,e_name,"?*"),INDEX(e_label,MATCH(E$6&amp;"#"&amp;2,e_key,0)),IF(2-COUNTIFS(e_date,E$6,e_name,"?*")&lt;=COUNTIFS(t_date,E$6,t_name,"?*",t_status,"&lt;&gt;❌ Отменена"),INDEX(t_label,MATCH(E$6&amp;"#"&amp;(2-COUNTIFS(e_date,E$6,e_name,"?*")),t_key,0)),"")),"")</f>
        <v/>
      </c>
      <c r="F8" s="32">
        <f>IFERROR(IF(2&lt;=COUNTIFS(e_date,F$6,e_name,"?*"),INDEX(e_label,MATCH(F$6&amp;"#"&amp;2,e_key,0)),IF(2-COUNTIFS(e_date,F$6,e_name,"?*")&lt;=COUNTIFS(t_date,F$6,t_name,"?*",t_status,"&lt;&gt;❌ Отменена"),INDEX(t_label,MATCH(F$6&amp;"#"&amp;(2-COUNTIFS(e_date,F$6,e_name,"?*")),t_key,0)),"")),"")</f>
        <v/>
      </c>
      <c r="G8" s="32">
        <f>IFERROR(IF(2&lt;=COUNTIFS(e_date,G$6,e_name,"?*"),INDEX(e_label,MATCH(G$6&amp;"#"&amp;2,e_key,0)),IF(2-COUNTIFS(e_date,G$6,e_name,"?*")&lt;=COUNTIFS(t_date,G$6,t_name,"?*",t_status,"&lt;&gt;❌ Отменена"),INDEX(t_label,MATCH(G$6&amp;"#"&amp;(2-COUNTIFS(e_date,G$6,e_name,"?*")),t_key,0)),"")),"")</f>
        <v/>
      </c>
      <c r="H8" s="32">
        <f>IFERROR(IF(2&lt;=COUNTIFS(e_date,H$6,e_name,"?*"),INDEX(e_label,MATCH(H$6&amp;"#"&amp;2,e_key,0)),IF(2-COUNTIFS(e_date,H$6,e_name,"?*")&lt;=COUNTIFS(t_date,H$6,t_name,"?*",t_status,"&lt;&gt;❌ Отменена"),INDEX(t_label,MATCH(H$6&amp;"#"&amp;(2-COUNTIFS(e_date,H$6,e_name,"?*")),t_key,0)),"")),"")</f>
        <v/>
      </c>
      <c r="J8" s="33" t="inlineStr">
        <is>
          <t>✅ Выполнено</t>
        </is>
      </c>
      <c r="K8" s="34">
        <f>COUNTIFS(t_date,"&gt;="&amp;DATE(cal_y,cal_m,1),t_date,"&lt;"&amp;DATE(cal_y,cal_m+1,1),t_status,"✅ Выполнена")</f>
        <v/>
      </c>
    </row>
    <row r="9" ht="15" customHeight="1">
      <c r="B9" s="32">
        <f>IFERROR(IF(3&lt;=COUNTIFS(e_date,B$6,e_name,"?*"),INDEX(e_label,MATCH(B$6&amp;"#"&amp;3,e_key,0)),IF(3-COUNTIFS(e_date,B$6,e_name,"?*")&lt;=COUNTIFS(t_date,B$6,t_name,"?*",t_status,"&lt;&gt;❌ Отменена"),INDEX(t_label,MATCH(B$6&amp;"#"&amp;(3-COUNTIFS(e_date,B$6,e_name,"?*")),t_key,0)),"")),"")</f>
        <v/>
      </c>
      <c r="C9" s="32">
        <f>IFERROR(IF(3&lt;=COUNTIFS(e_date,C$6,e_name,"?*"),INDEX(e_label,MATCH(C$6&amp;"#"&amp;3,e_key,0)),IF(3-COUNTIFS(e_date,C$6,e_name,"?*")&lt;=COUNTIFS(t_date,C$6,t_name,"?*",t_status,"&lt;&gt;❌ Отменена"),INDEX(t_label,MATCH(C$6&amp;"#"&amp;(3-COUNTIFS(e_date,C$6,e_name,"?*")),t_key,0)),"")),"")</f>
        <v/>
      </c>
      <c r="D9" s="32">
        <f>IFERROR(IF(3&lt;=COUNTIFS(e_date,D$6,e_name,"?*"),INDEX(e_label,MATCH(D$6&amp;"#"&amp;3,e_key,0)),IF(3-COUNTIFS(e_date,D$6,e_name,"?*")&lt;=COUNTIFS(t_date,D$6,t_name,"?*",t_status,"&lt;&gt;❌ Отменена"),INDEX(t_label,MATCH(D$6&amp;"#"&amp;(3-COUNTIFS(e_date,D$6,e_name,"?*")),t_key,0)),"")),"")</f>
        <v/>
      </c>
      <c r="E9" s="32">
        <f>IFERROR(IF(3&lt;=COUNTIFS(e_date,E$6,e_name,"?*"),INDEX(e_label,MATCH(E$6&amp;"#"&amp;3,e_key,0)),IF(3-COUNTIFS(e_date,E$6,e_name,"?*")&lt;=COUNTIFS(t_date,E$6,t_name,"?*",t_status,"&lt;&gt;❌ Отменена"),INDEX(t_label,MATCH(E$6&amp;"#"&amp;(3-COUNTIFS(e_date,E$6,e_name,"?*")),t_key,0)),"")),"")</f>
        <v/>
      </c>
      <c r="F9" s="32">
        <f>IFERROR(IF(3&lt;=COUNTIFS(e_date,F$6,e_name,"?*"),INDEX(e_label,MATCH(F$6&amp;"#"&amp;3,e_key,0)),IF(3-COUNTIFS(e_date,F$6,e_name,"?*")&lt;=COUNTIFS(t_date,F$6,t_name,"?*",t_status,"&lt;&gt;❌ Отменена"),INDEX(t_label,MATCH(F$6&amp;"#"&amp;(3-COUNTIFS(e_date,F$6,e_name,"?*")),t_key,0)),"")),"")</f>
        <v/>
      </c>
      <c r="G9" s="32">
        <f>IFERROR(IF(3&lt;=COUNTIFS(e_date,G$6,e_name,"?*"),INDEX(e_label,MATCH(G$6&amp;"#"&amp;3,e_key,0)),IF(3-COUNTIFS(e_date,G$6,e_name,"?*")&lt;=COUNTIFS(t_date,G$6,t_name,"?*",t_status,"&lt;&gt;❌ Отменена"),INDEX(t_label,MATCH(G$6&amp;"#"&amp;(3-COUNTIFS(e_date,G$6,e_name,"?*")),t_key,0)),"")),"")</f>
        <v/>
      </c>
      <c r="H9" s="32">
        <f>IFERROR(IF(3&lt;=COUNTIFS(e_date,H$6,e_name,"?*"),INDEX(e_label,MATCH(H$6&amp;"#"&amp;3,e_key,0)),IF(3-COUNTIFS(e_date,H$6,e_name,"?*")&lt;=COUNTIFS(t_date,H$6,t_name,"?*",t_status,"&lt;&gt;❌ Отменена"),INDEX(t_label,MATCH(H$6&amp;"#"&amp;(3-COUNTIFS(e_date,H$6,e_name,"?*")),t_key,0)),"")),"")</f>
        <v/>
      </c>
      <c r="J9" s="33" t="inlineStr">
        <is>
          <t>🎯 Прогресс</t>
        </is>
      </c>
      <c r="K9" s="35">
        <f>IF(K7=0,"",K8/K7)</f>
        <v/>
      </c>
    </row>
    <row r="10" ht="15" customHeight="1">
      <c r="B10" s="32">
        <f>IFERROR(IF(4&lt;=COUNTIFS(e_date,B$6,e_name,"?*"),INDEX(e_label,MATCH(B$6&amp;"#"&amp;4,e_key,0)),IF(4-COUNTIFS(e_date,B$6,e_name,"?*")&lt;=COUNTIFS(t_date,B$6,t_name,"?*",t_status,"&lt;&gt;❌ Отменена"),INDEX(t_label,MATCH(B$6&amp;"#"&amp;(4-COUNTIFS(e_date,B$6,e_name,"?*")),t_key,0)),"")),"")</f>
        <v/>
      </c>
      <c r="C10" s="32">
        <f>IFERROR(IF(4&lt;=COUNTIFS(e_date,C$6,e_name,"?*"),INDEX(e_label,MATCH(C$6&amp;"#"&amp;4,e_key,0)),IF(4-COUNTIFS(e_date,C$6,e_name,"?*")&lt;=COUNTIFS(t_date,C$6,t_name,"?*",t_status,"&lt;&gt;❌ Отменена"),INDEX(t_label,MATCH(C$6&amp;"#"&amp;(4-COUNTIFS(e_date,C$6,e_name,"?*")),t_key,0)),"")),"")</f>
        <v/>
      </c>
      <c r="D10" s="32">
        <f>IFERROR(IF(4&lt;=COUNTIFS(e_date,D$6,e_name,"?*"),INDEX(e_label,MATCH(D$6&amp;"#"&amp;4,e_key,0)),IF(4-COUNTIFS(e_date,D$6,e_name,"?*")&lt;=COUNTIFS(t_date,D$6,t_name,"?*",t_status,"&lt;&gt;❌ Отменена"),INDEX(t_label,MATCH(D$6&amp;"#"&amp;(4-COUNTIFS(e_date,D$6,e_name,"?*")),t_key,0)),"")),"")</f>
        <v/>
      </c>
      <c r="E10" s="32">
        <f>IFERROR(IF(4&lt;=COUNTIFS(e_date,E$6,e_name,"?*"),INDEX(e_label,MATCH(E$6&amp;"#"&amp;4,e_key,0)),IF(4-COUNTIFS(e_date,E$6,e_name,"?*")&lt;=COUNTIFS(t_date,E$6,t_name,"?*",t_status,"&lt;&gt;❌ Отменена"),INDEX(t_label,MATCH(E$6&amp;"#"&amp;(4-COUNTIFS(e_date,E$6,e_name,"?*")),t_key,0)),"")),"")</f>
        <v/>
      </c>
      <c r="F10" s="32">
        <f>IFERROR(IF(4&lt;=COUNTIFS(e_date,F$6,e_name,"?*"),INDEX(e_label,MATCH(F$6&amp;"#"&amp;4,e_key,0)),IF(4-COUNTIFS(e_date,F$6,e_name,"?*")&lt;=COUNTIFS(t_date,F$6,t_name,"?*",t_status,"&lt;&gt;❌ Отменена"),INDEX(t_label,MATCH(F$6&amp;"#"&amp;(4-COUNTIFS(e_date,F$6,e_name,"?*")),t_key,0)),"")),"")</f>
        <v/>
      </c>
      <c r="G10" s="32">
        <f>IFERROR(IF(4&lt;=COUNTIFS(e_date,G$6,e_name,"?*"),INDEX(e_label,MATCH(G$6&amp;"#"&amp;4,e_key,0)),IF(4-COUNTIFS(e_date,G$6,e_name,"?*")&lt;=COUNTIFS(t_date,G$6,t_name,"?*",t_status,"&lt;&gt;❌ Отменена"),INDEX(t_label,MATCH(G$6&amp;"#"&amp;(4-COUNTIFS(e_date,G$6,e_name,"?*")),t_key,0)),"")),"")</f>
        <v/>
      </c>
      <c r="H10" s="32">
        <f>IFERROR(IF(4&lt;=COUNTIFS(e_date,H$6,e_name,"?*"),INDEX(e_label,MATCH(H$6&amp;"#"&amp;4,e_key,0)),IF(4-COUNTIFS(e_date,H$6,e_name,"?*")&lt;=COUNTIFS(t_date,H$6,t_name,"?*",t_status,"&lt;&gt;❌ Отменена"),INDEX(t_label,MATCH(H$6&amp;"#"&amp;(4-COUNTIFS(e_date,H$6,e_name,"?*")),t_key,0)),"")),"")</f>
        <v/>
      </c>
      <c r="J10" s="33" t="inlineStr">
        <is>
          <t>❗ Просрочено</t>
        </is>
      </c>
      <c r="K10" s="34">
        <f>COUNTIFS(t_date,"&gt;="&amp;DATE(cal_y,cal_m,1),t_date,"&lt;"&amp;DATE(cal_y,cal_m+1,1),t_od,"&gt;0")</f>
        <v/>
      </c>
    </row>
    <row r="11" ht="15" customHeight="1">
      <c r="B11" s="32">
        <f>IFERROR(IF(5&lt;=COUNTIFS(e_date,B$6,e_name,"?*"),INDEX(e_label,MATCH(B$6&amp;"#"&amp;5,e_key,0)),IF(5-COUNTIFS(e_date,B$6,e_name,"?*")&lt;=COUNTIFS(t_date,B$6,t_name,"?*",t_status,"&lt;&gt;❌ Отменена"),INDEX(t_label,MATCH(B$6&amp;"#"&amp;(5-COUNTIFS(e_date,B$6,e_name,"?*")),t_key,0)),"")),"")</f>
        <v/>
      </c>
      <c r="C11" s="32">
        <f>IFERROR(IF(5&lt;=COUNTIFS(e_date,C$6,e_name,"?*"),INDEX(e_label,MATCH(C$6&amp;"#"&amp;5,e_key,0)),IF(5-COUNTIFS(e_date,C$6,e_name,"?*")&lt;=COUNTIFS(t_date,C$6,t_name,"?*",t_status,"&lt;&gt;❌ Отменена"),INDEX(t_label,MATCH(C$6&amp;"#"&amp;(5-COUNTIFS(e_date,C$6,e_name,"?*")),t_key,0)),"")),"")</f>
        <v/>
      </c>
      <c r="D11" s="32">
        <f>IFERROR(IF(5&lt;=COUNTIFS(e_date,D$6,e_name,"?*"),INDEX(e_label,MATCH(D$6&amp;"#"&amp;5,e_key,0)),IF(5-COUNTIFS(e_date,D$6,e_name,"?*")&lt;=COUNTIFS(t_date,D$6,t_name,"?*",t_status,"&lt;&gt;❌ Отменена"),INDEX(t_label,MATCH(D$6&amp;"#"&amp;(5-COUNTIFS(e_date,D$6,e_name,"?*")),t_key,0)),"")),"")</f>
        <v/>
      </c>
      <c r="E11" s="32">
        <f>IFERROR(IF(5&lt;=COUNTIFS(e_date,E$6,e_name,"?*"),INDEX(e_label,MATCH(E$6&amp;"#"&amp;5,e_key,0)),IF(5-COUNTIFS(e_date,E$6,e_name,"?*")&lt;=COUNTIFS(t_date,E$6,t_name,"?*",t_status,"&lt;&gt;❌ Отменена"),INDEX(t_label,MATCH(E$6&amp;"#"&amp;(5-COUNTIFS(e_date,E$6,e_name,"?*")),t_key,0)),"")),"")</f>
        <v/>
      </c>
      <c r="F11" s="32">
        <f>IFERROR(IF(5&lt;=COUNTIFS(e_date,F$6,e_name,"?*"),INDEX(e_label,MATCH(F$6&amp;"#"&amp;5,e_key,0)),IF(5-COUNTIFS(e_date,F$6,e_name,"?*")&lt;=COUNTIFS(t_date,F$6,t_name,"?*",t_status,"&lt;&gt;❌ Отменена"),INDEX(t_label,MATCH(F$6&amp;"#"&amp;(5-COUNTIFS(e_date,F$6,e_name,"?*")),t_key,0)),"")),"")</f>
        <v/>
      </c>
      <c r="G11" s="32">
        <f>IFERROR(IF(5&lt;=COUNTIFS(e_date,G$6,e_name,"?*"),INDEX(e_label,MATCH(G$6&amp;"#"&amp;5,e_key,0)),IF(5-COUNTIFS(e_date,G$6,e_name,"?*")&lt;=COUNTIFS(t_date,G$6,t_name,"?*",t_status,"&lt;&gt;❌ Отменена"),INDEX(t_label,MATCH(G$6&amp;"#"&amp;(5-COUNTIFS(e_date,G$6,e_name,"?*")),t_key,0)),"")),"")</f>
        <v/>
      </c>
      <c r="H11" s="32">
        <f>IFERROR(IF(5&lt;=COUNTIFS(e_date,H$6,e_name,"?*"),INDEX(e_label,MATCH(H$6&amp;"#"&amp;5,e_key,0)),IF(5-COUNTIFS(e_date,H$6,e_name,"?*")&lt;=COUNTIFS(t_date,H$6,t_name,"?*",t_status,"&lt;&gt;❌ Отменена"),INDEX(t_label,MATCH(H$6&amp;"#"&amp;(5-COUNTIFS(e_date,H$6,e_name,"?*")),t_key,0)),"")),"")</f>
        <v/>
      </c>
      <c r="J11" s="33" t="inlineStr">
        <is>
          <t>🕘 Дел в расписании</t>
        </is>
      </c>
      <c r="K11" s="34">
        <f>COUNTIFS(e_date,"&gt;="&amp;DATE(cal_y,cal_m,1),e_date,"&lt;"&amp;DATE(cal_y,cal_m+1,1),e_name,"?*")</f>
        <v/>
      </c>
    </row>
    <row r="12" ht="15" customHeight="1">
      <c r="B12" s="36">
        <f>IFERROR(IF(COUNTIFS(e_date,B$6,e_name,"?*")+COUNTIFS(t_date,B$6,t_name,"?*",t_status,"&lt;&gt;❌ Отменена")&gt;6,"… ещё "&amp;(COUNTIFS(e_date,B$6,e_name,"?*")+COUNTIFS(t_date,B$6,t_name,"?*",t_status,"&lt;&gt;❌ Отменена")-5),IF(6&lt;=COUNTIFS(e_date,B$6,e_name,"?*"),INDEX(e_label,MATCH(B$6&amp;"#"&amp;6,e_key,0)),IF(6-COUNTIFS(e_date,B$6,e_name,"?*")&lt;=COUNTIFS(t_date,B$6,t_name,"?*",t_status,"&lt;&gt;❌ Отменена"),INDEX(t_label,MATCH(B$6&amp;"#"&amp;(6-COUNTIFS(e_date,B$6,e_name,"?*")),t_key,0)),""))),"")</f>
        <v/>
      </c>
      <c r="C12" s="36">
        <f>IFERROR(IF(COUNTIFS(e_date,C$6,e_name,"?*")+COUNTIFS(t_date,C$6,t_name,"?*",t_status,"&lt;&gt;❌ Отменена")&gt;6,"… ещё "&amp;(COUNTIFS(e_date,C$6,e_name,"?*")+COUNTIFS(t_date,C$6,t_name,"?*",t_status,"&lt;&gt;❌ Отменена")-5),IF(6&lt;=COUNTIFS(e_date,C$6,e_name,"?*"),INDEX(e_label,MATCH(C$6&amp;"#"&amp;6,e_key,0)),IF(6-COUNTIFS(e_date,C$6,e_name,"?*")&lt;=COUNTIFS(t_date,C$6,t_name,"?*",t_status,"&lt;&gt;❌ Отменена"),INDEX(t_label,MATCH(C$6&amp;"#"&amp;(6-COUNTIFS(e_date,C$6,e_name,"?*")),t_key,0)),""))),"")</f>
        <v/>
      </c>
      <c r="D12" s="36">
        <f>IFERROR(IF(COUNTIFS(e_date,D$6,e_name,"?*")+COUNTIFS(t_date,D$6,t_name,"?*",t_status,"&lt;&gt;❌ Отменена")&gt;6,"… ещё "&amp;(COUNTIFS(e_date,D$6,e_name,"?*")+COUNTIFS(t_date,D$6,t_name,"?*",t_status,"&lt;&gt;❌ Отменена")-5),IF(6&lt;=COUNTIFS(e_date,D$6,e_name,"?*"),INDEX(e_label,MATCH(D$6&amp;"#"&amp;6,e_key,0)),IF(6-COUNTIFS(e_date,D$6,e_name,"?*")&lt;=COUNTIFS(t_date,D$6,t_name,"?*",t_status,"&lt;&gt;❌ Отменена"),INDEX(t_label,MATCH(D$6&amp;"#"&amp;(6-COUNTIFS(e_date,D$6,e_name,"?*")),t_key,0)),""))),"")</f>
        <v/>
      </c>
      <c r="E12" s="36">
        <f>IFERROR(IF(COUNTIFS(e_date,E$6,e_name,"?*")+COUNTIFS(t_date,E$6,t_name,"?*",t_status,"&lt;&gt;❌ Отменена")&gt;6,"… ещё "&amp;(COUNTIFS(e_date,E$6,e_name,"?*")+COUNTIFS(t_date,E$6,t_name,"?*",t_status,"&lt;&gt;❌ Отменена")-5),IF(6&lt;=COUNTIFS(e_date,E$6,e_name,"?*"),INDEX(e_label,MATCH(E$6&amp;"#"&amp;6,e_key,0)),IF(6-COUNTIFS(e_date,E$6,e_name,"?*")&lt;=COUNTIFS(t_date,E$6,t_name,"?*",t_status,"&lt;&gt;❌ Отменена"),INDEX(t_label,MATCH(E$6&amp;"#"&amp;(6-COUNTIFS(e_date,E$6,e_name,"?*")),t_key,0)),""))),"")</f>
        <v/>
      </c>
      <c r="F12" s="36">
        <f>IFERROR(IF(COUNTIFS(e_date,F$6,e_name,"?*")+COUNTIFS(t_date,F$6,t_name,"?*",t_status,"&lt;&gt;❌ Отменена")&gt;6,"… ещё "&amp;(COUNTIFS(e_date,F$6,e_name,"?*")+COUNTIFS(t_date,F$6,t_name,"?*",t_status,"&lt;&gt;❌ Отменена")-5),IF(6&lt;=COUNTIFS(e_date,F$6,e_name,"?*"),INDEX(e_label,MATCH(F$6&amp;"#"&amp;6,e_key,0)),IF(6-COUNTIFS(e_date,F$6,e_name,"?*")&lt;=COUNTIFS(t_date,F$6,t_name,"?*",t_status,"&lt;&gt;❌ Отменена"),INDEX(t_label,MATCH(F$6&amp;"#"&amp;(6-COUNTIFS(e_date,F$6,e_name,"?*")),t_key,0)),""))),"")</f>
        <v/>
      </c>
      <c r="G12" s="36">
        <f>IFERROR(IF(COUNTIFS(e_date,G$6,e_name,"?*")+COUNTIFS(t_date,G$6,t_name,"?*",t_status,"&lt;&gt;❌ Отменена")&gt;6,"… ещё "&amp;(COUNTIFS(e_date,G$6,e_name,"?*")+COUNTIFS(t_date,G$6,t_name,"?*",t_status,"&lt;&gt;❌ Отменена")-5),IF(6&lt;=COUNTIFS(e_date,G$6,e_name,"?*"),INDEX(e_label,MATCH(G$6&amp;"#"&amp;6,e_key,0)),IF(6-COUNTIFS(e_date,G$6,e_name,"?*")&lt;=COUNTIFS(t_date,G$6,t_name,"?*",t_status,"&lt;&gt;❌ Отменена"),INDEX(t_label,MATCH(G$6&amp;"#"&amp;(6-COUNTIFS(e_date,G$6,e_name,"?*")),t_key,0)),""))),"")</f>
        <v/>
      </c>
      <c r="H12" s="36">
        <f>IFERROR(IF(COUNTIFS(e_date,H$6,e_name,"?*")+COUNTIFS(t_date,H$6,t_name,"?*",t_status,"&lt;&gt;❌ Отменена")&gt;6,"… ещё "&amp;(COUNTIFS(e_date,H$6,e_name,"?*")+COUNTIFS(t_date,H$6,t_name,"?*",t_status,"&lt;&gt;❌ Отменена")-5),IF(6&lt;=COUNTIFS(e_date,H$6,e_name,"?*"),INDEX(e_label,MATCH(H$6&amp;"#"&amp;6,e_key,0)),IF(6-COUNTIFS(e_date,H$6,e_name,"?*")&lt;=COUNTIFS(t_date,H$6,t_name,"?*",t_status,"&lt;&gt;❌ Отменена"),INDEX(t_label,MATCH(H$6&amp;"#"&amp;(6-COUNTIFS(e_date,H$6,e_name,"?*")),t_key,0)),""))),"")</f>
        <v/>
      </c>
      <c r="J12" s="33" t="inlineStr">
        <is>
          <t>⏱ Часов запланировано</t>
        </is>
      </c>
      <c r="K12" s="37">
        <f>SUMIFS(e_dur,e_date,"&gt;="&amp;DATE(cal_y,cal_m,1),e_date,"&lt;"&amp;DATE(cal_y,cal_m+1,1))</f>
        <v/>
      </c>
    </row>
    <row r="13" ht="22" customHeight="1">
      <c r="B13" s="29">
        <f>(DATE(cal_y,cal_m,1)-WEEKDAY(DATE(cal_y,cal_m,1),2)+1)+7</f>
        <v/>
      </c>
      <c r="C13" s="29">
        <f>(DATE(cal_y,cal_m,1)-WEEKDAY(DATE(cal_y,cal_m,1),2)+1)+8</f>
        <v/>
      </c>
      <c r="D13" s="29">
        <f>(DATE(cal_y,cal_m,1)-WEEKDAY(DATE(cal_y,cal_m,1),2)+1)+9</f>
        <v/>
      </c>
      <c r="E13" s="29">
        <f>(DATE(cal_y,cal_m,1)-WEEKDAY(DATE(cal_y,cal_m,1),2)+1)+10</f>
        <v/>
      </c>
      <c r="F13" s="29">
        <f>(DATE(cal_y,cal_m,1)-WEEKDAY(DATE(cal_y,cal_m,1),2)+1)+11</f>
        <v/>
      </c>
      <c r="G13" s="30">
        <f>(DATE(cal_y,cal_m,1)-WEEKDAY(DATE(cal_y,cal_m,1),2)+1)+12</f>
        <v/>
      </c>
      <c r="H13" s="30">
        <f>(DATE(cal_y,cal_m,1)-WEEKDAY(DATE(cal_y,cal_m,1),2)+1)+13</f>
        <v/>
      </c>
      <c r="J13" s="33" t="inlineStr">
        <is>
          <t>⏱ Часов сделано</t>
        </is>
      </c>
      <c r="K13" s="37">
        <f>SUMIFS(e_dur,e_date,"&gt;="&amp;DATE(cal_y,cal_m,1),e_date,"&lt;"&amp;DATE(cal_y,cal_m+1,1),e_status,"✅ Сделано")</f>
        <v/>
      </c>
    </row>
    <row r="14" ht="15" customHeight="1">
      <c r="B14" s="32">
        <f>IFERROR(IF(1&lt;=COUNTIFS(e_date,B$13,e_name,"?*"),INDEX(e_label,MATCH(B$13&amp;"#"&amp;1,e_key,0)),IF(1-COUNTIFS(e_date,B$13,e_name,"?*")&lt;=COUNTIFS(t_date,B$13,t_name,"?*",t_status,"&lt;&gt;❌ Отменена"),INDEX(t_label,MATCH(B$13&amp;"#"&amp;(1-COUNTIFS(e_date,B$13,e_name,"?*")),t_key,0)),"")),"")</f>
        <v/>
      </c>
      <c r="C14" s="32">
        <f>IFERROR(IF(1&lt;=COUNTIFS(e_date,C$13,e_name,"?*"),INDEX(e_label,MATCH(C$13&amp;"#"&amp;1,e_key,0)),IF(1-COUNTIFS(e_date,C$13,e_name,"?*")&lt;=COUNTIFS(t_date,C$13,t_name,"?*",t_status,"&lt;&gt;❌ Отменена"),INDEX(t_label,MATCH(C$13&amp;"#"&amp;(1-COUNTIFS(e_date,C$13,e_name,"?*")),t_key,0)),"")),"")</f>
        <v/>
      </c>
      <c r="D14" s="32">
        <f>IFERROR(IF(1&lt;=COUNTIFS(e_date,D$13,e_name,"?*"),INDEX(e_label,MATCH(D$13&amp;"#"&amp;1,e_key,0)),IF(1-COUNTIFS(e_date,D$13,e_name,"?*")&lt;=COUNTIFS(t_date,D$13,t_name,"?*",t_status,"&lt;&gt;❌ Отменена"),INDEX(t_label,MATCH(D$13&amp;"#"&amp;(1-COUNTIFS(e_date,D$13,e_name,"?*")),t_key,0)),"")),"")</f>
        <v/>
      </c>
      <c r="E14" s="32">
        <f>IFERROR(IF(1&lt;=COUNTIFS(e_date,E$13,e_name,"?*"),INDEX(e_label,MATCH(E$13&amp;"#"&amp;1,e_key,0)),IF(1-COUNTIFS(e_date,E$13,e_name,"?*")&lt;=COUNTIFS(t_date,E$13,t_name,"?*",t_status,"&lt;&gt;❌ Отменена"),INDEX(t_label,MATCH(E$13&amp;"#"&amp;(1-COUNTIFS(e_date,E$13,e_name,"?*")),t_key,0)),"")),"")</f>
        <v/>
      </c>
      <c r="F14" s="32">
        <f>IFERROR(IF(1&lt;=COUNTIFS(e_date,F$13,e_name,"?*"),INDEX(e_label,MATCH(F$13&amp;"#"&amp;1,e_key,0)),IF(1-COUNTIFS(e_date,F$13,e_name,"?*")&lt;=COUNTIFS(t_date,F$13,t_name,"?*",t_status,"&lt;&gt;❌ Отменена"),INDEX(t_label,MATCH(F$13&amp;"#"&amp;(1-COUNTIFS(e_date,F$13,e_name,"?*")),t_key,0)),"")),"")</f>
        <v/>
      </c>
      <c r="G14" s="32">
        <f>IFERROR(IF(1&lt;=COUNTIFS(e_date,G$13,e_name,"?*"),INDEX(e_label,MATCH(G$13&amp;"#"&amp;1,e_key,0)),IF(1-COUNTIFS(e_date,G$13,e_name,"?*")&lt;=COUNTIFS(t_date,G$13,t_name,"?*",t_status,"&lt;&gt;❌ Отменена"),INDEX(t_label,MATCH(G$13&amp;"#"&amp;(1-COUNTIFS(e_date,G$13,e_name,"?*")),t_key,0)),"")),"")</f>
        <v/>
      </c>
      <c r="H14" s="32">
        <f>IFERROR(IF(1&lt;=COUNTIFS(e_date,H$13,e_name,"?*"),INDEX(e_label,MATCH(H$13&amp;"#"&amp;1,e_key,0)),IF(1-COUNTIFS(e_date,H$13,e_name,"?*")&lt;=COUNTIFS(t_date,H$13,t_name,"?*",t_status,"&lt;&gt;❌ Отменена"),INDEX(t_label,MATCH(H$13&amp;"#"&amp;(1-COUNTIFS(e_date,H$13,e_name,"?*")),t_key,0)),"")),"")</f>
        <v/>
      </c>
    </row>
    <row r="15" ht="15" customHeight="1">
      <c r="B15" s="32">
        <f>IFERROR(IF(2&lt;=COUNTIFS(e_date,B$13,e_name,"?*"),INDEX(e_label,MATCH(B$13&amp;"#"&amp;2,e_key,0)),IF(2-COUNTIFS(e_date,B$13,e_name,"?*")&lt;=COUNTIFS(t_date,B$13,t_name,"?*",t_status,"&lt;&gt;❌ Отменена"),INDEX(t_label,MATCH(B$13&amp;"#"&amp;(2-COUNTIFS(e_date,B$13,e_name,"?*")),t_key,0)),"")),"")</f>
        <v/>
      </c>
      <c r="C15" s="32">
        <f>IFERROR(IF(2&lt;=COUNTIFS(e_date,C$13,e_name,"?*"),INDEX(e_label,MATCH(C$13&amp;"#"&amp;2,e_key,0)),IF(2-COUNTIFS(e_date,C$13,e_name,"?*")&lt;=COUNTIFS(t_date,C$13,t_name,"?*",t_status,"&lt;&gt;❌ Отменена"),INDEX(t_label,MATCH(C$13&amp;"#"&amp;(2-COUNTIFS(e_date,C$13,e_name,"?*")),t_key,0)),"")),"")</f>
        <v/>
      </c>
      <c r="D15" s="32">
        <f>IFERROR(IF(2&lt;=COUNTIFS(e_date,D$13,e_name,"?*"),INDEX(e_label,MATCH(D$13&amp;"#"&amp;2,e_key,0)),IF(2-COUNTIFS(e_date,D$13,e_name,"?*")&lt;=COUNTIFS(t_date,D$13,t_name,"?*",t_status,"&lt;&gt;❌ Отменена"),INDEX(t_label,MATCH(D$13&amp;"#"&amp;(2-COUNTIFS(e_date,D$13,e_name,"?*")),t_key,0)),"")),"")</f>
        <v/>
      </c>
      <c r="E15" s="32">
        <f>IFERROR(IF(2&lt;=COUNTIFS(e_date,E$13,e_name,"?*"),INDEX(e_label,MATCH(E$13&amp;"#"&amp;2,e_key,0)),IF(2-COUNTIFS(e_date,E$13,e_name,"?*")&lt;=COUNTIFS(t_date,E$13,t_name,"?*",t_status,"&lt;&gt;❌ Отменена"),INDEX(t_label,MATCH(E$13&amp;"#"&amp;(2-COUNTIFS(e_date,E$13,e_name,"?*")),t_key,0)),"")),"")</f>
        <v/>
      </c>
      <c r="F15" s="32">
        <f>IFERROR(IF(2&lt;=COUNTIFS(e_date,F$13,e_name,"?*"),INDEX(e_label,MATCH(F$13&amp;"#"&amp;2,e_key,0)),IF(2-COUNTIFS(e_date,F$13,e_name,"?*")&lt;=COUNTIFS(t_date,F$13,t_name,"?*",t_status,"&lt;&gt;❌ Отменена"),INDEX(t_label,MATCH(F$13&amp;"#"&amp;(2-COUNTIFS(e_date,F$13,e_name,"?*")),t_key,0)),"")),"")</f>
        <v/>
      </c>
      <c r="G15" s="32">
        <f>IFERROR(IF(2&lt;=COUNTIFS(e_date,G$13,e_name,"?*"),INDEX(e_label,MATCH(G$13&amp;"#"&amp;2,e_key,0)),IF(2-COUNTIFS(e_date,G$13,e_name,"?*")&lt;=COUNTIFS(t_date,G$13,t_name,"?*",t_status,"&lt;&gt;❌ Отменена"),INDEX(t_label,MATCH(G$13&amp;"#"&amp;(2-COUNTIFS(e_date,G$13,e_name,"?*")),t_key,0)),"")),"")</f>
        <v/>
      </c>
      <c r="H15" s="32">
        <f>IFERROR(IF(2&lt;=COUNTIFS(e_date,H$13,e_name,"?*"),INDEX(e_label,MATCH(H$13&amp;"#"&amp;2,e_key,0)),IF(2-COUNTIFS(e_date,H$13,e_name,"?*")&lt;=COUNTIFS(t_date,H$13,t_name,"?*",t_status,"&lt;&gt;❌ Отменена"),INDEX(t_label,MATCH(H$13&amp;"#"&amp;(2-COUNTIFS(e_date,H$13,e_name,"?*")),t_key,0)),"")),"")</f>
        <v/>
      </c>
    </row>
    <row r="16" ht="15" customHeight="1">
      <c r="B16" s="32">
        <f>IFERROR(IF(3&lt;=COUNTIFS(e_date,B$13,e_name,"?*"),INDEX(e_label,MATCH(B$13&amp;"#"&amp;3,e_key,0)),IF(3-COUNTIFS(e_date,B$13,e_name,"?*")&lt;=COUNTIFS(t_date,B$13,t_name,"?*",t_status,"&lt;&gt;❌ Отменена"),INDEX(t_label,MATCH(B$13&amp;"#"&amp;(3-COUNTIFS(e_date,B$13,e_name,"?*")),t_key,0)),"")),"")</f>
        <v/>
      </c>
      <c r="C16" s="32">
        <f>IFERROR(IF(3&lt;=COUNTIFS(e_date,C$13,e_name,"?*"),INDEX(e_label,MATCH(C$13&amp;"#"&amp;3,e_key,0)),IF(3-COUNTIFS(e_date,C$13,e_name,"?*")&lt;=COUNTIFS(t_date,C$13,t_name,"?*",t_status,"&lt;&gt;❌ Отменена"),INDEX(t_label,MATCH(C$13&amp;"#"&amp;(3-COUNTIFS(e_date,C$13,e_name,"?*")),t_key,0)),"")),"")</f>
        <v/>
      </c>
      <c r="D16" s="32">
        <f>IFERROR(IF(3&lt;=COUNTIFS(e_date,D$13,e_name,"?*"),INDEX(e_label,MATCH(D$13&amp;"#"&amp;3,e_key,0)),IF(3-COUNTIFS(e_date,D$13,e_name,"?*")&lt;=COUNTIFS(t_date,D$13,t_name,"?*",t_status,"&lt;&gt;❌ Отменена"),INDEX(t_label,MATCH(D$13&amp;"#"&amp;(3-COUNTIFS(e_date,D$13,e_name,"?*")),t_key,0)),"")),"")</f>
        <v/>
      </c>
      <c r="E16" s="32">
        <f>IFERROR(IF(3&lt;=COUNTIFS(e_date,E$13,e_name,"?*"),INDEX(e_label,MATCH(E$13&amp;"#"&amp;3,e_key,0)),IF(3-COUNTIFS(e_date,E$13,e_name,"?*")&lt;=COUNTIFS(t_date,E$13,t_name,"?*",t_status,"&lt;&gt;❌ Отменена"),INDEX(t_label,MATCH(E$13&amp;"#"&amp;(3-COUNTIFS(e_date,E$13,e_name,"?*")),t_key,0)),"")),"")</f>
        <v/>
      </c>
      <c r="F16" s="32">
        <f>IFERROR(IF(3&lt;=COUNTIFS(e_date,F$13,e_name,"?*"),INDEX(e_label,MATCH(F$13&amp;"#"&amp;3,e_key,0)),IF(3-COUNTIFS(e_date,F$13,e_name,"?*")&lt;=COUNTIFS(t_date,F$13,t_name,"?*",t_status,"&lt;&gt;❌ Отменена"),INDEX(t_label,MATCH(F$13&amp;"#"&amp;(3-COUNTIFS(e_date,F$13,e_name,"?*")),t_key,0)),"")),"")</f>
        <v/>
      </c>
      <c r="G16" s="32">
        <f>IFERROR(IF(3&lt;=COUNTIFS(e_date,G$13,e_name,"?*"),INDEX(e_label,MATCH(G$13&amp;"#"&amp;3,e_key,0)),IF(3-COUNTIFS(e_date,G$13,e_name,"?*")&lt;=COUNTIFS(t_date,G$13,t_name,"?*",t_status,"&lt;&gt;❌ Отменена"),INDEX(t_label,MATCH(G$13&amp;"#"&amp;(3-COUNTIFS(e_date,G$13,e_name,"?*")),t_key,0)),"")),"")</f>
        <v/>
      </c>
      <c r="H16" s="32">
        <f>IFERROR(IF(3&lt;=COUNTIFS(e_date,H$13,e_name,"?*"),INDEX(e_label,MATCH(H$13&amp;"#"&amp;3,e_key,0)),IF(3-COUNTIFS(e_date,H$13,e_name,"?*")&lt;=COUNTIFS(t_date,H$13,t_name,"?*",t_status,"&lt;&gt;❌ Отменена"),INDEX(t_label,MATCH(H$13&amp;"#"&amp;(3-COUNTIFS(e_date,H$13,e_name,"?*")),t_key,0)),"")),"")</f>
        <v/>
      </c>
      <c r="J16" s="31" t="inlineStr">
        <is>
          <t>🔎 Обозначения</t>
        </is>
      </c>
      <c r="K16" s="22" t="n"/>
    </row>
    <row r="17" ht="15" customHeight="1">
      <c r="B17" s="32">
        <f>IFERROR(IF(4&lt;=COUNTIFS(e_date,B$13,e_name,"?*"),INDEX(e_label,MATCH(B$13&amp;"#"&amp;4,e_key,0)),IF(4-COUNTIFS(e_date,B$13,e_name,"?*")&lt;=COUNTIFS(t_date,B$13,t_name,"?*",t_status,"&lt;&gt;❌ Отменена"),INDEX(t_label,MATCH(B$13&amp;"#"&amp;(4-COUNTIFS(e_date,B$13,e_name,"?*")),t_key,0)),"")),"")</f>
        <v/>
      </c>
      <c r="C17" s="32">
        <f>IFERROR(IF(4&lt;=COUNTIFS(e_date,C$13,e_name,"?*"),INDEX(e_label,MATCH(C$13&amp;"#"&amp;4,e_key,0)),IF(4-COUNTIFS(e_date,C$13,e_name,"?*")&lt;=COUNTIFS(t_date,C$13,t_name,"?*",t_status,"&lt;&gt;❌ Отменена"),INDEX(t_label,MATCH(C$13&amp;"#"&amp;(4-COUNTIFS(e_date,C$13,e_name,"?*")),t_key,0)),"")),"")</f>
        <v/>
      </c>
      <c r="D17" s="32">
        <f>IFERROR(IF(4&lt;=COUNTIFS(e_date,D$13,e_name,"?*"),INDEX(e_label,MATCH(D$13&amp;"#"&amp;4,e_key,0)),IF(4-COUNTIFS(e_date,D$13,e_name,"?*")&lt;=COUNTIFS(t_date,D$13,t_name,"?*",t_status,"&lt;&gt;❌ Отменена"),INDEX(t_label,MATCH(D$13&amp;"#"&amp;(4-COUNTIFS(e_date,D$13,e_name,"?*")),t_key,0)),"")),"")</f>
        <v/>
      </c>
      <c r="E17" s="32">
        <f>IFERROR(IF(4&lt;=COUNTIFS(e_date,E$13,e_name,"?*"),INDEX(e_label,MATCH(E$13&amp;"#"&amp;4,e_key,0)),IF(4-COUNTIFS(e_date,E$13,e_name,"?*")&lt;=COUNTIFS(t_date,E$13,t_name,"?*",t_status,"&lt;&gt;❌ Отменена"),INDEX(t_label,MATCH(E$13&amp;"#"&amp;(4-COUNTIFS(e_date,E$13,e_name,"?*")),t_key,0)),"")),"")</f>
        <v/>
      </c>
      <c r="F17" s="32">
        <f>IFERROR(IF(4&lt;=COUNTIFS(e_date,F$13,e_name,"?*"),INDEX(e_label,MATCH(F$13&amp;"#"&amp;4,e_key,0)),IF(4-COUNTIFS(e_date,F$13,e_name,"?*")&lt;=COUNTIFS(t_date,F$13,t_name,"?*",t_status,"&lt;&gt;❌ Отменена"),INDEX(t_label,MATCH(F$13&amp;"#"&amp;(4-COUNTIFS(e_date,F$13,e_name,"?*")),t_key,0)),"")),"")</f>
        <v/>
      </c>
      <c r="G17" s="32">
        <f>IFERROR(IF(4&lt;=COUNTIFS(e_date,G$13,e_name,"?*"),INDEX(e_label,MATCH(G$13&amp;"#"&amp;4,e_key,0)),IF(4-COUNTIFS(e_date,G$13,e_name,"?*")&lt;=COUNTIFS(t_date,G$13,t_name,"?*",t_status,"&lt;&gt;❌ Отменена"),INDEX(t_label,MATCH(G$13&amp;"#"&amp;(4-COUNTIFS(e_date,G$13,e_name,"?*")),t_key,0)),"")),"")</f>
        <v/>
      </c>
      <c r="H17" s="32">
        <f>IFERROR(IF(4&lt;=COUNTIFS(e_date,H$13,e_name,"?*"),INDEX(e_label,MATCH(H$13&amp;"#"&amp;4,e_key,0)),IF(4-COUNTIFS(e_date,H$13,e_name,"?*")&lt;=COUNTIFS(t_date,H$13,t_name,"?*",t_status,"&lt;&gt;❌ Отменена"),INDEX(t_label,MATCH(H$13&amp;"#"&amp;(4-COUNTIFS(e_date,H$13,e_name,"?*")),t_key,0)),"")),"")</f>
        <v/>
      </c>
      <c r="J17" s="38" t="inlineStr">
        <is>
          <t>⏰ 09:00–10:00 — дело из расписания</t>
        </is>
      </c>
    </row>
    <row r="18" ht="15" customHeight="1">
      <c r="B18" s="32">
        <f>IFERROR(IF(5&lt;=COUNTIFS(e_date,B$13,e_name,"?*"),INDEX(e_label,MATCH(B$13&amp;"#"&amp;5,e_key,0)),IF(5-COUNTIFS(e_date,B$13,e_name,"?*")&lt;=COUNTIFS(t_date,B$13,t_name,"?*",t_status,"&lt;&gt;❌ Отменена"),INDEX(t_label,MATCH(B$13&amp;"#"&amp;(5-COUNTIFS(e_date,B$13,e_name,"?*")),t_key,0)),"")),"")</f>
        <v/>
      </c>
      <c r="C18" s="32">
        <f>IFERROR(IF(5&lt;=COUNTIFS(e_date,C$13,e_name,"?*"),INDEX(e_label,MATCH(C$13&amp;"#"&amp;5,e_key,0)),IF(5-COUNTIFS(e_date,C$13,e_name,"?*")&lt;=COUNTIFS(t_date,C$13,t_name,"?*",t_status,"&lt;&gt;❌ Отменена"),INDEX(t_label,MATCH(C$13&amp;"#"&amp;(5-COUNTIFS(e_date,C$13,e_name,"?*")),t_key,0)),"")),"")</f>
        <v/>
      </c>
      <c r="D18" s="32">
        <f>IFERROR(IF(5&lt;=COUNTIFS(e_date,D$13,e_name,"?*"),INDEX(e_label,MATCH(D$13&amp;"#"&amp;5,e_key,0)),IF(5-COUNTIFS(e_date,D$13,e_name,"?*")&lt;=COUNTIFS(t_date,D$13,t_name,"?*",t_status,"&lt;&gt;❌ Отменена"),INDEX(t_label,MATCH(D$13&amp;"#"&amp;(5-COUNTIFS(e_date,D$13,e_name,"?*")),t_key,0)),"")),"")</f>
        <v/>
      </c>
      <c r="E18" s="32">
        <f>IFERROR(IF(5&lt;=COUNTIFS(e_date,E$13,e_name,"?*"),INDEX(e_label,MATCH(E$13&amp;"#"&amp;5,e_key,0)),IF(5-COUNTIFS(e_date,E$13,e_name,"?*")&lt;=COUNTIFS(t_date,E$13,t_name,"?*",t_status,"&lt;&gt;❌ Отменена"),INDEX(t_label,MATCH(E$13&amp;"#"&amp;(5-COUNTIFS(e_date,E$13,e_name,"?*")),t_key,0)),"")),"")</f>
        <v/>
      </c>
      <c r="F18" s="32">
        <f>IFERROR(IF(5&lt;=COUNTIFS(e_date,F$13,e_name,"?*"),INDEX(e_label,MATCH(F$13&amp;"#"&amp;5,e_key,0)),IF(5-COUNTIFS(e_date,F$13,e_name,"?*")&lt;=COUNTIFS(t_date,F$13,t_name,"?*",t_status,"&lt;&gt;❌ Отменена"),INDEX(t_label,MATCH(F$13&amp;"#"&amp;(5-COUNTIFS(e_date,F$13,e_name,"?*")),t_key,0)),"")),"")</f>
        <v/>
      </c>
      <c r="G18" s="32">
        <f>IFERROR(IF(5&lt;=COUNTIFS(e_date,G$13,e_name,"?*"),INDEX(e_label,MATCH(G$13&amp;"#"&amp;5,e_key,0)),IF(5-COUNTIFS(e_date,G$13,e_name,"?*")&lt;=COUNTIFS(t_date,G$13,t_name,"?*",t_status,"&lt;&gt;❌ Отменена"),INDEX(t_label,MATCH(G$13&amp;"#"&amp;(5-COUNTIFS(e_date,G$13,e_name,"?*")),t_key,0)),"")),"")</f>
        <v/>
      </c>
      <c r="H18" s="32">
        <f>IFERROR(IF(5&lt;=COUNTIFS(e_date,H$13,e_name,"?*"),INDEX(e_label,MATCH(H$13&amp;"#"&amp;5,e_key,0)),IF(5-COUNTIFS(e_date,H$13,e_name,"?*")&lt;=COUNTIFS(t_date,H$13,t_name,"?*",t_status,"&lt;&gt;❌ Отменена"),INDEX(t_label,MATCH(H$13&amp;"#"&amp;(5-COUNTIFS(e_date,H$13,e_name,"?*")),t_key,0)),"")),"")</f>
        <v/>
      </c>
      <c r="J18" s="39" t="inlineStr">
        <is>
          <t>☐ задача в планах</t>
        </is>
      </c>
    </row>
    <row r="19" ht="15" customHeight="1">
      <c r="B19" s="36">
        <f>IFERROR(IF(COUNTIFS(e_date,B$13,e_name,"?*")+COUNTIFS(t_date,B$13,t_name,"?*",t_status,"&lt;&gt;❌ Отменена")&gt;6,"… ещё "&amp;(COUNTIFS(e_date,B$13,e_name,"?*")+COUNTIFS(t_date,B$13,t_name,"?*",t_status,"&lt;&gt;❌ Отменена")-5),IF(6&lt;=COUNTIFS(e_date,B$13,e_name,"?*"),INDEX(e_label,MATCH(B$13&amp;"#"&amp;6,e_key,0)),IF(6-COUNTIFS(e_date,B$13,e_name,"?*")&lt;=COUNTIFS(t_date,B$13,t_name,"?*",t_status,"&lt;&gt;❌ Отменена"),INDEX(t_label,MATCH(B$13&amp;"#"&amp;(6-COUNTIFS(e_date,B$13,e_name,"?*")),t_key,0)),""))),"")</f>
        <v/>
      </c>
      <c r="C19" s="36">
        <f>IFERROR(IF(COUNTIFS(e_date,C$13,e_name,"?*")+COUNTIFS(t_date,C$13,t_name,"?*",t_status,"&lt;&gt;❌ Отменена")&gt;6,"… ещё "&amp;(COUNTIFS(e_date,C$13,e_name,"?*")+COUNTIFS(t_date,C$13,t_name,"?*",t_status,"&lt;&gt;❌ Отменена")-5),IF(6&lt;=COUNTIFS(e_date,C$13,e_name,"?*"),INDEX(e_label,MATCH(C$13&amp;"#"&amp;6,e_key,0)),IF(6-COUNTIFS(e_date,C$13,e_name,"?*")&lt;=COUNTIFS(t_date,C$13,t_name,"?*",t_status,"&lt;&gt;❌ Отменена"),INDEX(t_label,MATCH(C$13&amp;"#"&amp;(6-COUNTIFS(e_date,C$13,e_name,"?*")),t_key,0)),""))),"")</f>
        <v/>
      </c>
      <c r="D19" s="36">
        <f>IFERROR(IF(COUNTIFS(e_date,D$13,e_name,"?*")+COUNTIFS(t_date,D$13,t_name,"?*",t_status,"&lt;&gt;❌ Отменена")&gt;6,"… ещё "&amp;(COUNTIFS(e_date,D$13,e_name,"?*")+COUNTIFS(t_date,D$13,t_name,"?*",t_status,"&lt;&gt;❌ Отменена")-5),IF(6&lt;=COUNTIFS(e_date,D$13,e_name,"?*"),INDEX(e_label,MATCH(D$13&amp;"#"&amp;6,e_key,0)),IF(6-COUNTIFS(e_date,D$13,e_name,"?*")&lt;=COUNTIFS(t_date,D$13,t_name,"?*",t_status,"&lt;&gt;❌ Отменена"),INDEX(t_label,MATCH(D$13&amp;"#"&amp;(6-COUNTIFS(e_date,D$13,e_name,"?*")),t_key,0)),""))),"")</f>
        <v/>
      </c>
      <c r="E19" s="36">
        <f>IFERROR(IF(COUNTIFS(e_date,E$13,e_name,"?*")+COUNTIFS(t_date,E$13,t_name,"?*",t_status,"&lt;&gt;❌ Отменена")&gt;6,"… ещё "&amp;(COUNTIFS(e_date,E$13,e_name,"?*")+COUNTIFS(t_date,E$13,t_name,"?*",t_status,"&lt;&gt;❌ Отменена")-5),IF(6&lt;=COUNTIFS(e_date,E$13,e_name,"?*"),INDEX(e_label,MATCH(E$13&amp;"#"&amp;6,e_key,0)),IF(6-COUNTIFS(e_date,E$13,e_name,"?*")&lt;=COUNTIFS(t_date,E$13,t_name,"?*",t_status,"&lt;&gt;❌ Отменена"),INDEX(t_label,MATCH(E$13&amp;"#"&amp;(6-COUNTIFS(e_date,E$13,e_name,"?*")),t_key,0)),""))),"")</f>
        <v/>
      </c>
      <c r="F19" s="36">
        <f>IFERROR(IF(COUNTIFS(e_date,F$13,e_name,"?*")+COUNTIFS(t_date,F$13,t_name,"?*",t_status,"&lt;&gt;❌ Отменена")&gt;6,"… ещё "&amp;(COUNTIFS(e_date,F$13,e_name,"?*")+COUNTIFS(t_date,F$13,t_name,"?*",t_status,"&lt;&gt;❌ Отменена")-5),IF(6&lt;=COUNTIFS(e_date,F$13,e_name,"?*"),INDEX(e_label,MATCH(F$13&amp;"#"&amp;6,e_key,0)),IF(6-COUNTIFS(e_date,F$13,e_name,"?*")&lt;=COUNTIFS(t_date,F$13,t_name,"?*",t_status,"&lt;&gt;❌ Отменена"),INDEX(t_label,MATCH(F$13&amp;"#"&amp;(6-COUNTIFS(e_date,F$13,e_name,"?*")),t_key,0)),""))),"")</f>
        <v/>
      </c>
      <c r="G19" s="36">
        <f>IFERROR(IF(COUNTIFS(e_date,G$13,e_name,"?*")+COUNTIFS(t_date,G$13,t_name,"?*",t_status,"&lt;&gt;❌ Отменена")&gt;6,"… ещё "&amp;(COUNTIFS(e_date,G$13,e_name,"?*")+COUNTIFS(t_date,G$13,t_name,"?*",t_status,"&lt;&gt;❌ Отменена")-5),IF(6&lt;=COUNTIFS(e_date,G$13,e_name,"?*"),INDEX(e_label,MATCH(G$13&amp;"#"&amp;6,e_key,0)),IF(6-COUNTIFS(e_date,G$13,e_name,"?*")&lt;=COUNTIFS(t_date,G$13,t_name,"?*",t_status,"&lt;&gt;❌ Отменена"),INDEX(t_label,MATCH(G$13&amp;"#"&amp;(6-COUNTIFS(e_date,G$13,e_name,"?*")),t_key,0)),""))),"")</f>
        <v/>
      </c>
      <c r="H19" s="36">
        <f>IFERROR(IF(COUNTIFS(e_date,H$13,e_name,"?*")+COUNTIFS(t_date,H$13,t_name,"?*",t_status,"&lt;&gt;❌ Отменена")&gt;6,"… ещё "&amp;(COUNTIFS(e_date,H$13,e_name,"?*")+COUNTIFS(t_date,H$13,t_name,"?*",t_status,"&lt;&gt;❌ Отменена")-5),IF(6&lt;=COUNTIFS(e_date,H$13,e_name,"?*"),INDEX(e_label,MATCH(H$13&amp;"#"&amp;6,e_key,0)),IF(6-COUNTIFS(e_date,H$13,e_name,"?*")&lt;=COUNTIFS(t_date,H$13,t_name,"?*",t_status,"&lt;&gt;❌ Отменена"),INDEX(t_label,MATCH(H$13&amp;"#"&amp;(6-COUNTIFS(e_date,H$13,e_name,"?*")),t_key,0)),""))),"")</f>
        <v/>
      </c>
      <c r="J19" s="40" t="inlineStr">
        <is>
          <t>❗ задача просрочена</t>
        </is>
      </c>
    </row>
    <row r="20" ht="22" customHeight="1">
      <c r="B20" s="29">
        <f>(DATE(cal_y,cal_m,1)-WEEKDAY(DATE(cal_y,cal_m,1),2)+1)+14</f>
        <v/>
      </c>
      <c r="C20" s="29">
        <f>(DATE(cal_y,cal_m,1)-WEEKDAY(DATE(cal_y,cal_m,1),2)+1)+15</f>
        <v/>
      </c>
      <c r="D20" s="29">
        <f>(DATE(cal_y,cal_m,1)-WEEKDAY(DATE(cal_y,cal_m,1),2)+1)+16</f>
        <v/>
      </c>
      <c r="E20" s="29">
        <f>(DATE(cal_y,cal_m,1)-WEEKDAY(DATE(cal_y,cal_m,1),2)+1)+17</f>
        <v/>
      </c>
      <c r="F20" s="29">
        <f>(DATE(cal_y,cal_m,1)-WEEKDAY(DATE(cal_y,cal_m,1),2)+1)+18</f>
        <v/>
      </c>
      <c r="G20" s="30">
        <f>(DATE(cal_y,cal_m,1)-WEEKDAY(DATE(cal_y,cal_m,1),2)+1)+19</f>
        <v/>
      </c>
      <c r="H20" s="30">
        <f>(DATE(cal_y,cal_m,1)-WEEKDAY(DATE(cal_y,cal_m,1),2)+1)+20</f>
        <v/>
      </c>
      <c r="J20" s="41" t="inlineStr">
        <is>
          <t>✔ сделано (зачёркнуто)</t>
        </is>
      </c>
    </row>
    <row r="21" ht="15" customHeight="1">
      <c r="B21" s="32">
        <f>IFERROR(IF(1&lt;=COUNTIFS(e_date,B$20,e_name,"?*"),INDEX(e_label,MATCH(B$20&amp;"#"&amp;1,e_key,0)),IF(1-COUNTIFS(e_date,B$20,e_name,"?*")&lt;=COUNTIFS(t_date,B$20,t_name,"?*",t_status,"&lt;&gt;❌ Отменена"),INDEX(t_label,MATCH(B$20&amp;"#"&amp;(1-COUNTIFS(e_date,B$20,e_name,"?*")),t_key,0)),"")),"")</f>
        <v/>
      </c>
      <c r="C21" s="32">
        <f>IFERROR(IF(1&lt;=COUNTIFS(e_date,C$20,e_name,"?*"),INDEX(e_label,MATCH(C$20&amp;"#"&amp;1,e_key,0)),IF(1-COUNTIFS(e_date,C$20,e_name,"?*")&lt;=COUNTIFS(t_date,C$20,t_name,"?*",t_status,"&lt;&gt;❌ Отменена"),INDEX(t_label,MATCH(C$20&amp;"#"&amp;(1-COUNTIFS(e_date,C$20,e_name,"?*")),t_key,0)),"")),"")</f>
        <v/>
      </c>
      <c r="D21" s="32">
        <f>IFERROR(IF(1&lt;=COUNTIFS(e_date,D$20,e_name,"?*"),INDEX(e_label,MATCH(D$20&amp;"#"&amp;1,e_key,0)),IF(1-COUNTIFS(e_date,D$20,e_name,"?*")&lt;=COUNTIFS(t_date,D$20,t_name,"?*",t_status,"&lt;&gt;❌ Отменена"),INDEX(t_label,MATCH(D$20&amp;"#"&amp;(1-COUNTIFS(e_date,D$20,e_name,"?*")),t_key,0)),"")),"")</f>
        <v/>
      </c>
      <c r="E21" s="32">
        <f>IFERROR(IF(1&lt;=COUNTIFS(e_date,E$20,e_name,"?*"),INDEX(e_label,MATCH(E$20&amp;"#"&amp;1,e_key,0)),IF(1-COUNTIFS(e_date,E$20,e_name,"?*")&lt;=COUNTIFS(t_date,E$20,t_name,"?*",t_status,"&lt;&gt;❌ Отменена"),INDEX(t_label,MATCH(E$20&amp;"#"&amp;(1-COUNTIFS(e_date,E$20,e_name,"?*")),t_key,0)),"")),"")</f>
        <v/>
      </c>
      <c r="F21" s="32">
        <f>IFERROR(IF(1&lt;=COUNTIFS(e_date,F$20,e_name,"?*"),INDEX(e_label,MATCH(F$20&amp;"#"&amp;1,e_key,0)),IF(1-COUNTIFS(e_date,F$20,e_name,"?*")&lt;=COUNTIFS(t_date,F$20,t_name,"?*",t_status,"&lt;&gt;❌ Отменена"),INDEX(t_label,MATCH(F$20&amp;"#"&amp;(1-COUNTIFS(e_date,F$20,e_name,"?*")),t_key,0)),"")),"")</f>
        <v/>
      </c>
      <c r="G21" s="32">
        <f>IFERROR(IF(1&lt;=COUNTIFS(e_date,G$20,e_name,"?*"),INDEX(e_label,MATCH(G$20&amp;"#"&amp;1,e_key,0)),IF(1-COUNTIFS(e_date,G$20,e_name,"?*")&lt;=COUNTIFS(t_date,G$20,t_name,"?*",t_status,"&lt;&gt;❌ Отменена"),INDEX(t_label,MATCH(G$20&amp;"#"&amp;(1-COUNTIFS(e_date,G$20,e_name,"?*")),t_key,0)),"")),"")</f>
        <v/>
      </c>
      <c r="H21" s="32">
        <f>IFERROR(IF(1&lt;=COUNTIFS(e_date,H$20,e_name,"?*"),INDEX(e_label,MATCH(H$20&amp;"#"&amp;1,e_key,0)),IF(1-COUNTIFS(e_date,H$20,e_name,"?*")&lt;=COUNTIFS(t_date,H$20,t_name,"?*",t_status,"&lt;&gt;❌ Отменена"),INDEX(t_label,MATCH(H$20&amp;"#"&amp;(1-COUNTIFS(e_date,H$20,e_name,"?*")),t_key,0)),"")),"")</f>
        <v/>
      </c>
      <c r="J21" s="42" t="inlineStr">
        <is>
          <t>✖ пропущено / отменено</t>
        </is>
      </c>
    </row>
    <row r="22" ht="15" customHeight="1">
      <c r="B22" s="32">
        <f>IFERROR(IF(2&lt;=COUNTIFS(e_date,B$20,e_name,"?*"),INDEX(e_label,MATCH(B$20&amp;"#"&amp;2,e_key,0)),IF(2-COUNTIFS(e_date,B$20,e_name,"?*")&lt;=COUNTIFS(t_date,B$20,t_name,"?*",t_status,"&lt;&gt;❌ Отменена"),INDEX(t_label,MATCH(B$20&amp;"#"&amp;(2-COUNTIFS(e_date,B$20,e_name,"?*")),t_key,0)),"")),"")</f>
        <v/>
      </c>
      <c r="C22" s="32">
        <f>IFERROR(IF(2&lt;=COUNTIFS(e_date,C$20,e_name,"?*"),INDEX(e_label,MATCH(C$20&amp;"#"&amp;2,e_key,0)),IF(2-COUNTIFS(e_date,C$20,e_name,"?*")&lt;=COUNTIFS(t_date,C$20,t_name,"?*",t_status,"&lt;&gt;❌ Отменена"),INDEX(t_label,MATCH(C$20&amp;"#"&amp;(2-COUNTIFS(e_date,C$20,e_name,"?*")),t_key,0)),"")),"")</f>
        <v/>
      </c>
      <c r="D22" s="32">
        <f>IFERROR(IF(2&lt;=COUNTIFS(e_date,D$20,e_name,"?*"),INDEX(e_label,MATCH(D$20&amp;"#"&amp;2,e_key,0)),IF(2-COUNTIFS(e_date,D$20,e_name,"?*")&lt;=COUNTIFS(t_date,D$20,t_name,"?*",t_status,"&lt;&gt;❌ Отменена"),INDEX(t_label,MATCH(D$20&amp;"#"&amp;(2-COUNTIFS(e_date,D$20,e_name,"?*")),t_key,0)),"")),"")</f>
        <v/>
      </c>
      <c r="E22" s="32">
        <f>IFERROR(IF(2&lt;=COUNTIFS(e_date,E$20,e_name,"?*"),INDEX(e_label,MATCH(E$20&amp;"#"&amp;2,e_key,0)),IF(2-COUNTIFS(e_date,E$20,e_name,"?*")&lt;=COUNTIFS(t_date,E$20,t_name,"?*",t_status,"&lt;&gt;❌ Отменена"),INDEX(t_label,MATCH(E$20&amp;"#"&amp;(2-COUNTIFS(e_date,E$20,e_name,"?*")),t_key,0)),"")),"")</f>
        <v/>
      </c>
      <c r="F22" s="32">
        <f>IFERROR(IF(2&lt;=COUNTIFS(e_date,F$20,e_name,"?*"),INDEX(e_label,MATCH(F$20&amp;"#"&amp;2,e_key,0)),IF(2-COUNTIFS(e_date,F$20,e_name,"?*")&lt;=COUNTIFS(t_date,F$20,t_name,"?*",t_status,"&lt;&gt;❌ Отменена"),INDEX(t_label,MATCH(F$20&amp;"#"&amp;(2-COUNTIFS(e_date,F$20,e_name,"?*")),t_key,0)),"")),"")</f>
        <v/>
      </c>
      <c r="G22" s="32">
        <f>IFERROR(IF(2&lt;=COUNTIFS(e_date,G$20,e_name,"?*"),INDEX(e_label,MATCH(G$20&amp;"#"&amp;2,e_key,0)),IF(2-COUNTIFS(e_date,G$20,e_name,"?*")&lt;=COUNTIFS(t_date,G$20,t_name,"?*",t_status,"&lt;&gt;❌ Отменена"),INDEX(t_label,MATCH(G$20&amp;"#"&amp;(2-COUNTIFS(e_date,G$20,e_name,"?*")),t_key,0)),"")),"")</f>
        <v/>
      </c>
      <c r="H22" s="32">
        <f>IFERROR(IF(2&lt;=COUNTIFS(e_date,H$20,e_name,"?*"),INDEX(e_label,MATCH(H$20&amp;"#"&amp;2,e_key,0)),IF(2-COUNTIFS(e_date,H$20,e_name,"?*")&lt;=COUNTIFS(t_date,H$20,t_name,"?*",t_status,"&lt;&gt;❌ Отменена"),INDEX(t_label,MATCH(H$20&amp;"#"&amp;(2-COUNTIFS(e_date,H$20,e_name,"?*")),t_key,0)),"")),"")</f>
        <v/>
      </c>
      <c r="J22" s="39" t="inlineStr">
        <is>
          <t>🔥 высокий приоритет</t>
        </is>
      </c>
    </row>
    <row r="23" ht="15" customHeight="1">
      <c r="B23" s="32">
        <f>IFERROR(IF(3&lt;=COUNTIFS(e_date,B$20,e_name,"?*"),INDEX(e_label,MATCH(B$20&amp;"#"&amp;3,e_key,0)),IF(3-COUNTIFS(e_date,B$20,e_name,"?*")&lt;=COUNTIFS(t_date,B$20,t_name,"?*",t_status,"&lt;&gt;❌ Отменена"),INDEX(t_label,MATCH(B$20&amp;"#"&amp;(3-COUNTIFS(e_date,B$20,e_name,"?*")),t_key,0)),"")),"")</f>
        <v/>
      </c>
      <c r="C23" s="32">
        <f>IFERROR(IF(3&lt;=COUNTIFS(e_date,C$20,e_name,"?*"),INDEX(e_label,MATCH(C$20&amp;"#"&amp;3,e_key,0)),IF(3-COUNTIFS(e_date,C$20,e_name,"?*")&lt;=COUNTIFS(t_date,C$20,t_name,"?*",t_status,"&lt;&gt;❌ Отменена"),INDEX(t_label,MATCH(C$20&amp;"#"&amp;(3-COUNTIFS(e_date,C$20,e_name,"?*")),t_key,0)),"")),"")</f>
        <v/>
      </c>
      <c r="D23" s="32">
        <f>IFERROR(IF(3&lt;=COUNTIFS(e_date,D$20,e_name,"?*"),INDEX(e_label,MATCH(D$20&amp;"#"&amp;3,e_key,0)),IF(3-COUNTIFS(e_date,D$20,e_name,"?*")&lt;=COUNTIFS(t_date,D$20,t_name,"?*",t_status,"&lt;&gt;❌ Отменена"),INDEX(t_label,MATCH(D$20&amp;"#"&amp;(3-COUNTIFS(e_date,D$20,e_name,"?*")),t_key,0)),"")),"")</f>
        <v/>
      </c>
      <c r="E23" s="32">
        <f>IFERROR(IF(3&lt;=COUNTIFS(e_date,E$20,e_name,"?*"),INDEX(e_label,MATCH(E$20&amp;"#"&amp;3,e_key,0)),IF(3-COUNTIFS(e_date,E$20,e_name,"?*")&lt;=COUNTIFS(t_date,E$20,t_name,"?*",t_status,"&lt;&gt;❌ Отменена"),INDEX(t_label,MATCH(E$20&amp;"#"&amp;(3-COUNTIFS(e_date,E$20,e_name,"?*")),t_key,0)),"")),"")</f>
        <v/>
      </c>
      <c r="F23" s="32">
        <f>IFERROR(IF(3&lt;=COUNTIFS(e_date,F$20,e_name,"?*"),INDEX(e_label,MATCH(F$20&amp;"#"&amp;3,e_key,0)),IF(3-COUNTIFS(e_date,F$20,e_name,"?*")&lt;=COUNTIFS(t_date,F$20,t_name,"?*",t_status,"&lt;&gt;❌ Отменена"),INDEX(t_label,MATCH(F$20&amp;"#"&amp;(3-COUNTIFS(e_date,F$20,e_name,"?*")),t_key,0)),"")),"")</f>
        <v/>
      </c>
      <c r="G23" s="32">
        <f>IFERROR(IF(3&lt;=COUNTIFS(e_date,G$20,e_name,"?*"),INDEX(e_label,MATCH(G$20&amp;"#"&amp;3,e_key,0)),IF(3-COUNTIFS(e_date,G$20,e_name,"?*")&lt;=COUNTIFS(t_date,G$20,t_name,"?*",t_status,"&lt;&gt;❌ Отменена"),INDEX(t_label,MATCH(G$20&amp;"#"&amp;(3-COUNTIFS(e_date,G$20,e_name,"?*")),t_key,0)),"")),"")</f>
        <v/>
      </c>
      <c r="H23" s="32">
        <f>IFERROR(IF(3&lt;=COUNTIFS(e_date,H$20,e_name,"?*"),INDEX(e_label,MATCH(H$20&amp;"#"&amp;3,e_key,0)),IF(3-COUNTIFS(e_date,H$20,e_name,"?*")&lt;=COUNTIFS(t_date,H$20,t_name,"?*",t_status,"&lt;&gt;❌ Отменена"),INDEX(t_label,MATCH(H$20&amp;"#"&amp;(3-COUNTIFS(e_date,H$20,e_name,"?*")),t_key,0)),"")),"")</f>
        <v/>
      </c>
      <c r="J23" s="43" t="inlineStr">
        <is>
          <t>… ещё N — не поместилось</t>
        </is>
      </c>
    </row>
    <row r="24" ht="15" customHeight="1">
      <c r="B24" s="32">
        <f>IFERROR(IF(4&lt;=COUNTIFS(e_date,B$20,e_name,"?*"),INDEX(e_label,MATCH(B$20&amp;"#"&amp;4,e_key,0)),IF(4-COUNTIFS(e_date,B$20,e_name,"?*")&lt;=COUNTIFS(t_date,B$20,t_name,"?*",t_status,"&lt;&gt;❌ Отменена"),INDEX(t_label,MATCH(B$20&amp;"#"&amp;(4-COUNTIFS(e_date,B$20,e_name,"?*")),t_key,0)),"")),"")</f>
        <v/>
      </c>
      <c r="C24" s="32">
        <f>IFERROR(IF(4&lt;=COUNTIFS(e_date,C$20,e_name,"?*"),INDEX(e_label,MATCH(C$20&amp;"#"&amp;4,e_key,0)),IF(4-COUNTIFS(e_date,C$20,e_name,"?*")&lt;=COUNTIFS(t_date,C$20,t_name,"?*",t_status,"&lt;&gt;❌ Отменена"),INDEX(t_label,MATCH(C$20&amp;"#"&amp;(4-COUNTIFS(e_date,C$20,e_name,"?*")),t_key,0)),"")),"")</f>
        <v/>
      </c>
      <c r="D24" s="32">
        <f>IFERROR(IF(4&lt;=COUNTIFS(e_date,D$20,e_name,"?*"),INDEX(e_label,MATCH(D$20&amp;"#"&amp;4,e_key,0)),IF(4-COUNTIFS(e_date,D$20,e_name,"?*")&lt;=COUNTIFS(t_date,D$20,t_name,"?*",t_status,"&lt;&gt;❌ Отменена"),INDEX(t_label,MATCH(D$20&amp;"#"&amp;(4-COUNTIFS(e_date,D$20,e_name,"?*")),t_key,0)),"")),"")</f>
        <v/>
      </c>
      <c r="E24" s="32">
        <f>IFERROR(IF(4&lt;=COUNTIFS(e_date,E$20,e_name,"?*"),INDEX(e_label,MATCH(E$20&amp;"#"&amp;4,e_key,0)),IF(4-COUNTIFS(e_date,E$20,e_name,"?*")&lt;=COUNTIFS(t_date,E$20,t_name,"?*",t_status,"&lt;&gt;❌ Отменена"),INDEX(t_label,MATCH(E$20&amp;"#"&amp;(4-COUNTIFS(e_date,E$20,e_name,"?*")),t_key,0)),"")),"")</f>
        <v/>
      </c>
      <c r="F24" s="32">
        <f>IFERROR(IF(4&lt;=COUNTIFS(e_date,F$20,e_name,"?*"),INDEX(e_label,MATCH(F$20&amp;"#"&amp;4,e_key,0)),IF(4-COUNTIFS(e_date,F$20,e_name,"?*")&lt;=COUNTIFS(t_date,F$20,t_name,"?*",t_status,"&lt;&gt;❌ Отменена"),INDEX(t_label,MATCH(F$20&amp;"#"&amp;(4-COUNTIFS(e_date,F$20,e_name,"?*")),t_key,0)),"")),"")</f>
        <v/>
      </c>
      <c r="G24" s="32">
        <f>IFERROR(IF(4&lt;=COUNTIFS(e_date,G$20,e_name,"?*"),INDEX(e_label,MATCH(G$20&amp;"#"&amp;4,e_key,0)),IF(4-COUNTIFS(e_date,G$20,e_name,"?*")&lt;=COUNTIFS(t_date,G$20,t_name,"?*",t_status,"&lt;&gt;❌ Отменена"),INDEX(t_label,MATCH(G$20&amp;"#"&amp;(4-COUNTIFS(e_date,G$20,e_name,"?*")),t_key,0)),"")),"")</f>
        <v/>
      </c>
      <c r="H24" s="32">
        <f>IFERROR(IF(4&lt;=COUNTIFS(e_date,H$20,e_name,"?*"),INDEX(e_label,MATCH(H$20&amp;"#"&amp;4,e_key,0)),IF(4-COUNTIFS(e_date,H$20,e_name,"?*")&lt;=COUNTIFS(t_date,H$20,t_name,"?*",t_status,"&lt;&gt;❌ Отменена"),INDEX(t_label,MATCH(H$20&amp;"#"&amp;(4-COUNTIFS(e_date,H$20,e_name,"?*")),t_key,0)),"")),"")</f>
        <v/>
      </c>
      <c r="J24" s="44" t="inlineStr">
        <is>
          <t>Тёмный кружок — сегодня</t>
        </is>
      </c>
    </row>
    <row r="25" ht="15" customHeight="1">
      <c r="B25" s="32">
        <f>IFERROR(IF(5&lt;=COUNTIFS(e_date,B$20,e_name,"?*"),INDEX(e_label,MATCH(B$20&amp;"#"&amp;5,e_key,0)),IF(5-COUNTIFS(e_date,B$20,e_name,"?*")&lt;=COUNTIFS(t_date,B$20,t_name,"?*",t_status,"&lt;&gt;❌ Отменена"),INDEX(t_label,MATCH(B$20&amp;"#"&amp;(5-COUNTIFS(e_date,B$20,e_name,"?*")),t_key,0)),"")),"")</f>
        <v/>
      </c>
      <c r="C25" s="32">
        <f>IFERROR(IF(5&lt;=COUNTIFS(e_date,C$20,e_name,"?*"),INDEX(e_label,MATCH(C$20&amp;"#"&amp;5,e_key,0)),IF(5-COUNTIFS(e_date,C$20,e_name,"?*")&lt;=COUNTIFS(t_date,C$20,t_name,"?*",t_status,"&lt;&gt;❌ Отменена"),INDEX(t_label,MATCH(C$20&amp;"#"&amp;(5-COUNTIFS(e_date,C$20,e_name,"?*")),t_key,0)),"")),"")</f>
        <v/>
      </c>
      <c r="D25" s="32">
        <f>IFERROR(IF(5&lt;=COUNTIFS(e_date,D$20,e_name,"?*"),INDEX(e_label,MATCH(D$20&amp;"#"&amp;5,e_key,0)),IF(5-COUNTIFS(e_date,D$20,e_name,"?*")&lt;=COUNTIFS(t_date,D$20,t_name,"?*",t_status,"&lt;&gt;❌ Отменена"),INDEX(t_label,MATCH(D$20&amp;"#"&amp;(5-COUNTIFS(e_date,D$20,e_name,"?*")),t_key,0)),"")),"")</f>
        <v/>
      </c>
      <c r="E25" s="32">
        <f>IFERROR(IF(5&lt;=COUNTIFS(e_date,E$20,e_name,"?*"),INDEX(e_label,MATCH(E$20&amp;"#"&amp;5,e_key,0)),IF(5-COUNTIFS(e_date,E$20,e_name,"?*")&lt;=COUNTIFS(t_date,E$20,t_name,"?*",t_status,"&lt;&gt;❌ Отменена"),INDEX(t_label,MATCH(E$20&amp;"#"&amp;(5-COUNTIFS(e_date,E$20,e_name,"?*")),t_key,0)),"")),"")</f>
        <v/>
      </c>
      <c r="F25" s="32">
        <f>IFERROR(IF(5&lt;=COUNTIFS(e_date,F$20,e_name,"?*"),INDEX(e_label,MATCH(F$20&amp;"#"&amp;5,e_key,0)),IF(5-COUNTIFS(e_date,F$20,e_name,"?*")&lt;=COUNTIFS(t_date,F$20,t_name,"?*",t_status,"&lt;&gt;❌ Отменена"),INDEX(t_label,MATCH(F$20&amp;"#"&amp;(5-COUNTIFS(e_date,F$20,e_name,"?*")),t_key,0)),"")),"")</f>
        <v/>
      </c>
      <c r="G25" s="32">
        <f>IFERROR(IF(5&lt;=COUNTIFS(e_date,G$20,e_name,"?*"),INDEX(e_label,MATCH(G$20&amp;"#"&amp;5,e_key,0)),IF(5-COUNTIFS(e_date,G$20,e_name,"?*")&lt;=COUNTIFS(t_date,G$20,t_name,"?*",t_status,"&lt;&gt;❌ Отменена"),INDEX(t_label,MATCH(G$20&amp;"#"&amp;(5-COUNTIFS(e_date,G$20,e_name,"?*")),t_key,0)),"")),"")</f>
        <v/>
      </c>
      <c r="H25" s="32">
        <f>IFERROR(IF(5&lt;=COUNTIFS(e_date,H$20,e_name,"?*"),INDEX(e_label,MATCH(H$20&amp;"#"&amp;5,e_key,0)),IF(5-COUNTIFS(e_date,H$20,e_name,"?*")&lt;=COUNTIFS(t_date,H$20,t_name,"?*",t_status,"&lt;&gt;❌ Отменена"),INDEX(t_label,MATCH(H$20&amp;"#"&amp;(5-COUNTIFS(e_date,H$20,e_name,"?*")),t_key,0)),"")),"")</f>
        <v/>
      </c>
    </row>
    <row r="26" ht="15" customHeight="1">
      <c r="B26" s="36">
        <f>IFERROR(IF(COUNTIFS(e_date,B$20,e_name,"?*")+COUNTIFS(t_date,B$20,t_name,"?*",t_status,"&lt;&gt;❌ Отменена")&gt;6,"… ещё "&amp;(COUNTIFS(e_date,B$20,e_name,"?*")+COUNTIFS(t_date,B$20,t_name,"?*",t_status,"&lt;&gt;❌ Отменена")-5),IF(6&lt;=COUNTIFS(e_date,B$20,e_name,"?*"),INDEX(e_label,MATCH(B$20&amp;"#"&amp;6,e_key,0)),IF(6-COUNTIFS(e_date,B$20,e_name,"?*")&lt;=COUNTIFS(t_date,B$20,t_name,"?*",t_status,"&lt;&gt;❌ Отменена"),INDEX(t_label,MATCH(B$20&amp;"#"&amp;(6-COUNTIFS(e_date,B$20,e_name,"?*")),t_key,0)),""))),"")</f>
        <v/>
      </c>
      <c r="C26" s="36">
        <f>IFERROR(IF(COUNTIFS(e_date,C$20,e_name,"?*")+COUNTIFS(t_date,C$20,t_name,"?*",t_status,"&lt;&gt;❌ Отменена")&gt;6,"… ещё "&amp;(COUNTIFS(e_date,C$20,e_name,"?*")+COUNTIFS(t_date,C$20,t_name,"?*",t_status,"&lt;&gt;❌ Отменена")-5),IF(6&lt;=COUNTIFS(e_date,C$20,e_name,"?*"),INDEX(e_label,MATCH(C$20&amp;"#"&amp;6,e_key,0)),IF(6-COUNTIFS(e_date,C$20,e_name,"?*")&lt;=COUNTIFS(t_date,C$20,t_name,"?*",t_status,"&lt;&gt;❌ Отменена"),INDEX(t_label,MATCH(C$20&amp;"#"&amp;(6-COUNTIFS(e_date,C$20,e_name,"?*")),t_key,0)),""))),"")</f>
        <v/>
      </c>
      <c r="D26" s="36">
        <f>IFERROR(IF(COUNTIFS(e_date,D$20,e_name,"?*")+COUNTIFS(t_date,D$20,t_name,"?*",t_status,"&lt;&gt;❌ Отменена")&gt;6,"… ещё "&amp;(COUNTIFS(e_date,D$20,e_name,"?*")+COUNTIFS(t_date,D$20,t_name,"?*",t_status,"&lt;&gt;❌ Отменена")-5),IF(6&lt;=COUNTIFS(e_date,D$20,e_name,"?*"),INDEX(e_label,MATCH(D$20&amp;"#"&amp;6,e_key,0)),IF(6-COUNTIFS(e_date,D$20,e_name,"?*")&lt;=COUNTIFS(t_date,D$20,t_name,"?*",t_status,"&lt;&gt;❌ Отменена"),INDEX(t_label,MATCH(D$20&amp;"#"&amp;(6-COUNTIFS(e_date,D$20,e_name,"?*")),t_key,0)),""))),"")</f>
        <v/>
      </c>
      <c r="E26" s="36">
        <f>IFERROR(IF(COUNTIFS(e_date,E$20,e_name,"?*")+COUNTIFS(t_date,E$20,t_name,"?*",t_status,"&lt;&gt;❌ Отменена")&gt;6,"… ещё "&amp;(COUNTIFS(e_date,E$20,e_name,"?*")+COUNTIFS(t_date,E$20,t_name,"?*",t_status,"&lt;&gt;❌ Отменена")-5),IF(6&lt;=COUNTIFS(e_date,E$20,e_name,"?*"),INDEX(e_label,MATCH(E$20&amp;"#"&amp;6,e_key,0)),IF(6-COUNTIFS(e_date,E$20,e_name,"?*")&lt;=COUNTIFS(t_date,E$20,t_name,"?*",t_status,"&lt;&gt;❌ Отменена"),INDEX(t_label,MATCH(E$20&amp;"#"&amp;(6-COUNTIFS(e_date,E$20,e_name,"?*")),t_key,0)),""))),"")</f>
        <v/>
      </c>
      <c r="F26" s="36">
        <f>IFERROR(IF(COUNTIFS(e_date,F$20,e_name,"?*")+COUNTIFS(t_date,F$20,t_name,"?*",t_status,"&lt;&gt;❌ Отменена")&gt;6,"… ещё "&amp;(COUNTIFS(e_date,F$20,e_name,"?*")+COUNTIFS(t_date,F$20,t_name,"?*",t_status,"&lt;&gt;❌ Отменена")-5),IF(6&lt;=COUNTIFS(e_date,F$20,e_name,"?*"),INDEX(e_label,MATCH(F$20&amp;"#"&amp;6,e_key,0)),IF(6-COUNTIFS(e_date,F$20,e_name,"?*")&lt;=COUNTIFS(t_date,F$20,t_name,"?*",t_status,"&lt;&gt;❌ Отменена"),INDEX(t_label,MATCH(F$20&amp;"#"&amp;(6-COUNTIFS(e_date,F$20,e_name,"?*")),t_key,0)),""))),"")</f>
        <v/>
      </c>
      <c r="G26" s="36">
        <f>IFERROR(IF(COUNTIFS(e_date,G$20,e_name,"?*")+COUNTIFS(t_date,G$20,t_name,"?*",t_status,"&lt;&gt;❌ Отменена")&gt;6,"… ещё "&amp;(COUNTIFS(e_date,G$20,e_name,"?*")+COUNTIFS(t_date,G$20,t_name,"?*",t_status,"&lt;&gt;❌ Отменена")-5),IF(6&lt;=COUNTIFS(e_date,G$20,e_name,"?*"),INDEX(e_label,MATCH(G$20&amp;"#"&amp;6,e_key,0)),IF(6-COUNTIFS(e_date,G$20,e_name,"?*")&lt;=COUNTIFS(t_date,G$20,t_name,"?*",t_status,"&lt;&gt;❌ Отменена"),INDEX(t_label,MATCH(G$20&amp;"#"&amp;(6-COUNTIFS(e_date,G$20,e_name,"?*")),t_key,0)),""))),"")</f>
        <v/>
      </c>
      <c r="H26" s="36">
        <f>IFERROR(IF(COUNTIFS(e_date,H$20,e_name,"?*")+COUNTIFS(t_date,H$20,t_name,"?*",t_status,"&lt;&gt;❌ Отменена")&gt;6,"… ещё "&amp;(COUNTIFS(e_date,H$20,e_name,"?*")+COUNTIFS(t_date,H$20,t_name,"?*",t_status,"&lt;&gt;❌ Отменена")-5),IF(6&lt;=COUNTIFS(e_date,H$20,e_name,"?*"),INDEX(e_label,MATCH(H$20&amp;"#"&amp;6,e_key,0)),IF(6-COUNTIFS(e_date,H$20,e_name,"?*")&lt;=COUNTIFS(t_date,H$20,t_name,"?*",t_status,"&lt;&gt;❌ Отменена"),INDEX(t_label,MATCH(H$20&amp;"#"&amp;(6-COUNTIFS(e_date,H$20,e_name,"?*")),t_key,0)),""))),"")</f>
        <v/>
      </c>
      <c r="J26" s="45" t="inlineStr">
        <is>
          <t>Больше 6 записей в день? Полный список — в «🕘 План дня» (фильтр по дате).</t>
        </is>
      </c>
    </row>
    <row r="27" ht="22" customHeight="1">
      <c r="B27" s="29">
        <f>(DATE(cal_y,cal_m,1)-WEEKDAY(DATE(cal_y,cal_m,1),2)+1)+21</f>
        <v/>
      </c>
      <c r="C27" s="29">
        <f>(DATE(cal_y,cal_m,1)-WEEKDAY(DATE(cal_y,cal_m,1),2)+1)+22</f>
        <v/>
      </c>
      <c r="D27" s="29">
        <f>(DATE(cal_y,cal_m,1)-WEEKDAY(DATE(cal_y,cal_m,1),2)+1)+23</f>
        <v/>
      </c>
      <c r="E27" s="29">
        <f>(DATE(cal_y,cal_m,1)-WEEKDAY(DATE(cal_y,cal_m,1),2)+1)+24</f>
        <v/>
      </c>
      <c r="F27" s="29">
        <f>(DATE(cal_y,cal_m,1)-WEEKDAY(DATE(cal_y,cal_m,1),2)+1)+25</f>
        <v/>
      </c>
      <c r="G27" s="30">
        <f>(DATE(cal_y,cal_m,1)-WEEKDAY(DATE(cal_y,cal_m,1),2)+1)+26</f>
        <v/>
      </c>
      <c r="H27" s="30">
        <f>(DATE(cal_y,cal_m,1)-WEEKDAY(DATE(cal_y,cal_m,1),2)+1)+27</f>
        <v/>
      </c>
    </row>
    <row r="28" ht="15" customHeight="1">
      <c r="B28" s="32">
        <f>IFERROR(IF(1&lt;=COUNTIFS(e_date,B$27,e_name,"?*"),INDEX(e_label,MATCH(B$27&amp;"#"&amp;1,e_key,0)),IF(1-COUNTIFS(e_date,B$27,e_name,"?*")&lt;=COUNTIFS(t_date,B$27,t_name,"?*",t_status,"&lt;&gt;❌ Отменена"),INDEX(t_label,MATCH(B$27&amp;"#"&amp;(1-COUNTIFS(e_date,B$27,e_name,"?*")),t_key,0)),"")),"")</f>
        <v/>
      </c>
      <c r="C28" s="32">
        <f>IFERROR(IF(1&lt;=COUNTIFS(e_date,C$27,e_name,"?*"),INDEX(e_label,MATCH(C$27&amp;"#"&amp;1,e_key,0)),IF(1-COUNTIFS(e_date,C$27,e_name,"?*")&lt;=COUNTIFS(t_date,C$27,t_name,"?*",t_status,"&lt;&gt;❌ Отменена"),INDEX(t_label,MATCH(C$27&amp;"#"&amp;(1-COUNTIFS(e_date,C$27,e_name,"?*")),t_key,0)),"")),"")</f>
        <v/>
      </c>
      <c r="D28" s="32">
        <f>IFERROR(IF(1&lt;=COUNTIFS(e_date,D$27,e_name,"?*"),INDEX(e_label,MATCH(D$27&amp;"#"&amp;1,e_key,0)),IF(1-COUNTIFS(e_date,D$27,e_name,"?*")&lt;=COUNTIFS(t_date,D$27,t_name,"?*",t_status,"&lt;&gt;❌ Отменена"),INDEX(t_label,MATCH(D$27&amp;"#"&amp;(1-COUNTIFS(e_date,D$27,e_name,"?*")),t_key,0)),"")),"")</f>
        <v/>
      </c>
      <c r="E28" s="32">
        <f>IFERROR(IF(1&lt;=COUNTIFS(e_date,E$27,e_name,"?*"),INDEX(e_label,MATCH(E$27&amp;"#"&amp;1,e_key,0)),IF(1-COUNTIFS(e_date,E$27,e_name,"?*")&lt;=COUNTIFS(t_date,E$27,t_name,"?*",t_status,"&lt;&gt;❌ Отменена"),INDEX(t_label,MATCH(E$27&amp;"#"&amp;(1-COUNTIFS(e_date,E$27,e_name,"?*")),t_key,0)),"")),"")</f>
        <v/>
      </c>
      <c r="F28" s="32">
        <f>IFERROR(IF(1&lt;=COUNTIFS(e_date,F$27,e_name,"?*"),INDEX(e_label,MATCH(F$27&amp;"#"&amp;1,e_key,0)),IF(1-COUNTIFS(e_date,F$27,e_name,"?*")&lt;=COUNTIFS(t_date,F$27,t_name,"?*",t_status,"&lt;&gt;❌ Отменена"),INDEX(t_label,MATCH(F$27&amp;"#"&amp;(1-COUNTIFS(e_date,F$27,e_name,"?*")),t_key,0)),"")),"")</f>
        <v/>
      </c>
      <c r="G28" s="32">
        <f>IFERROR(IF(1&lt;=COUNTIFS(e_date,G$27,e_name,"?*"),INDEX(e_label,MATCH(G$27&amp;"#"&amp;1,e_key,0)),IF(1-COUNTIFS(e_date,G$27,e_name,"?*")&lt;=COUNTIFS(t_date,G$27,t_name,"?*",t_status,"&lt;&gt;❌ Отменена"),INDEX(t_label,MATCH(G$27&amp;"#"&amp;(1-COUNTIFS(e_date,G$27,e_name,"?*")),t_key,0)),"")),"")</f>
        <v/>
      </c>
      <c r="H28" s="32">
        <f>IFERROR(IF(1&lt;=COUNTIFS(e_date,H$27,e_name,"?*"),INDEX(e_label,MATCH(H$27&amp;"#"&amp;1,e_key,0)),IF(1-COUNTIFS(e_date,H$27,e_name,"?*")&lt;=COUNTIFS(t_date,H$27,t_name,"?*",t_status,"&lt;&gt;❌ Отменена"),INDEX(t_label,MATCH(H$27&amp;"#"&amp;(1-COUNTIFS(e_date,H$27,e_name,"?*")),t_key,0)),"")),"")</f>
        <v/>
      </c>
    </row>
    <row r="29" ht="15" customHeight="1">
      <c r="B29" s="32">
        <f>IFERROR(IF(2&lt;=COUNTIFS(e_date,B$27,e_name,"?*"),INDEX(e_label,MATCH(B$27&amp;"#"&amp;2,e_key,0)),IF(2-COUNTIFS(e_date,B$27,e_name,"?*")&lt;=COUNTIFS(t_date,B$27,t_name,"?*",t_status,"&lt;&gt;❌ Отменена"),INDEX(t_label,MATCH(B$27&amp;"#"&amp;(2-COUNTIFS(e_date,B$27,e_name,"?*")),t_key,0)),"")),"")</f>
        <v/>
      </c>
      <c r="C29" s="32">
        <f>IFERROR(IF(2&lt;=COUNTIFS(e_date,C$27,e_name,"?*"),INDEX(e_label,MATCH(C$27&amp;"#"&amp;2,e_key,0)),IF(2-COUNTIFS(e_date,C$27,e_name,"?*")&lt;=COUNTIFS(t_date,C$27,t_name,"?*",t_status,"&lt;&gt;❌ Отменена"),INDEX(t_label,MATCH(C$27&amp;"#"&amp;(2-COUNTIFS(e_date,C$27,e_name,"?*")),t_key,0)),"")),"")</f>
        <v/>
      </c>
      <c r="D29" s="32">
        <f>IFERROR(IF(2&lt;=COUNTIFS(e_date,D$27,e_name,"?*"),INDEX(e_label,MATCH(D$27&amp;"#"&amp;2,e_key,0)),IF(2-COUNTIFS(e_date,D$27,e_name,"?*")&lt;=COUNTIFS(t_date,D$27,t_name,"?*",t_status,"&lt;&gt;❌ Отменена"),INDEX(t_label,MATCH(D$27&amp;"#"&amp;(2-COUNTIFS(e_date,D$27,e_name,"?*")),t_key,0)),"")),"")</f>
        <v/>
      </c>
      <c r="E29" s="32">
        <f>IFERROR(IF(2&lt;=COUNTIFS(e_date,E$27,e_name,"?*"),INDEX(e_label,MATCH(E$27&amp;"#"&amp;2,e_key,0)),IF(2-COUNTIFS(e_date,E$27,e_name,"?*")&lt;=COUNTIFS(t_date,E$27,t_name,"?*",t_status,"&lt;&gt;❌ Отменена"),INDEX(t_label,MATCH(E$27&amp;"#"&amp;(2-COUNTIFS(e_date,E$27,e_name,"?*")),t_key,0)),"")),"")</f>
        <v/>
      </c>
      <c r="F29" s="32">
        <f>IFERROR(IF(2&lt;=COUNTIFS(e_date,F$27,e_name,"?*"),INDEX(e_label,MATCH(F$27&amp;"#"&amp;2,e_key,0)),IF(2-COUNTIFS(e_date,F$27,e_name,"?*")&lt;=COUNTIFS(t_date,F$27,t_name,"?*",t_status,"&lt;&gt;❌ Отменена"),INDEX(t_label,MATCH(F$27&amp;"#"&amp;(2-COUNTIFS(e_date,F$27,e_name,"?*")),t_key,0)),"")),"")</f>
        <v/>
      </c>
      <c r="G29" s="32">
        <f>IFERROR(IF(2&lt;=COUNTIFS(e_date,G$27,e_name,"?*"),INDEX(e_label,MATCH(G$27&amp;"#"&amp;2,e_key,0)),IF(2-COUNTIFS(e_date,G$27,e_name,"?*")&lt;=COUNTIFS(t_date,G$27,t_name,"?*",t_status,"&lt;&gt;❌ Отменена"),INDEX(t_label,MATCH(G$27&amp;"#"&amp;(2-COUNTIFS(e_date,G$27,e_name,"?*")),t_key,0)),"")),"")</f>
        <v/>
      </c>
      <c r="H29" s="32">
        <f>IFERROR(IF(2&lt;=COUNTIFS(e_date,H$27,e_name,"?*"),INDEX(e_label,MATCH(H$27&amp;"#"&amp;2,e_key,0)),IF(2-COUNTIFS(e_date,H$27,e_name,"?*")&lt;=COUNTIFS(t_date,H$27,t_name,"?*",t_status,"&lt;&gt;❌ Отменена"),INDEX(t_label,MATCH(H$27&amp;"#"&amp;(2-COUNTIFS(e_date,H$27,e_name,"?*")),t_key,0)),"")),"")</f>
        <v/>
      </c>
    </row>
    <row r="30" ht="15" customHeight="1">
      <c r="B30" s="32">
        <f>IFERROR(IF(3&lt;=COUNTIFS(e_date,B$27,e_name,"?*"),INDEX(e_label,MATCH(B$27&amp;"#"&amp;3,e_key,0)),IF(3-COUNTIFS(e_date,B$27,e_name,"?*")&lt;=COUNTIFS(t_date,B$27,t_name,"?*",t_status,"&lt;&gt;❌ Отменена"),INDEX(t_label,MATCH(B$27&amp;"#"&amp;(3-COUNTIFS(e_date,B$27,e_name,"?*")),t_key,0)),"")),"")</f>
        <v/>
      </c>
      <c r="C30" s="32">
        <f>IFERROR(IF(3&lt;=COUNTIFS(e_date,C$27,e_name,"?*"),INDEX(e_label,MATCH(C$27&amp;"#"&amp;3,e_key,0)),IF(3-COUNTIFS(e_date,C$27,e_name,"?*")&lt;=COUNTIFS(t_date,C$27,t_name,"?*",t_status,"&lt;&gt;❌ Отменена"),INDEX(t_label,MATCH(C$27&amp;"#"&amp;(3-COUNTIFS(e_date,C$27,e_name,"?*")),t_key,0)),"")),"")</f>
        <v/>
      </c>
      <c r="D30" s="32">
        <f>IFERROR(IF(3&lt;=COUNTIFS(e_date,D$27,e_name,"?*"),INDEX(e_label,MATCH(D$27&amp;"#"&amp;3,e_key,0)),IF(3-COUNTIFS(e_date,D$27,e_name,"?*")&lt;=COUNTIFS(t_date,D$27,t_name,"?*",t_status,"&lt;&gt;❌ Отменена"),INDEX(t_label,MATCH(D$27&amp;"#"&amp;(3-COUNTIFS(e_date,D$27,e_name,"?*")),t_key,0)),"")),"")</f>
        <v/>
      </c>
      <c r="E30" s="32">
        <f>IFERROR(IF(3&lt;=COUNTIFS(e_date,E$27,e_name,"?*"),INDEX(e_label,MATCH(E$27&amp;"#"&amp;3,e_key,0)),IF(3-COUNTIFS(e_date,E$27,e_name,"?*")&lt;=COUNTIFS(t_date,E$27,t_name,"?*",t_status,"&lt;&gt;❌ Отменена"),INDEX(t_label,MATCH(E$27&amp;"#"&amp;(3-COUNTIFS(e_date,E$27,e_name,"?*")),t_key,0)),"")),"")</f>
        <v/>
      </c>
      <c r="F30" s="32">
        <f>IFERROR(IF(3&lt;=COUNTIFS(e_date,F$27,e_name,"?*"),INDEX(e_label,MATCH(F$27&amp;"#"&amp;3,e_key,0)),IF(3-COUNTIFS(e_date,F$27,e_name,"?*")&lt;=COUNTIFS(t_date,F$27,t_name,"?*",t_status,"&lt;&gt;❌ Отменена"),INDEX(t_label,MATCH(F$27&amp;"#"&amp;(3-COUNTIFS(e_date,F$27,e_name,"?*")),t_key,0)),"")),"")</f>
        <v/>
      </c>
      <c r="G30" s="32">
        <f>IFERROR(IF(3&lt;=COUNTIFS(e_date,G$27,e_name,"?*"),INDEX(e_label,MATCH(G$27&amp;"#"&amp;3,e_key,0)),IF(3-COUNTIFS(e_date,G$27,e_name,"?*")&lt;=COUNTIFS(t_date,G$27,t_name,"?*",t_status,"&lt;&gt;❌ Отменена"),INDEX(t_label,MATCH(G$27&amp;"#"&amp;(3-COUNTIFS(e_date,G$27,e_name,"?*")),t_key,0)),"")),"")</f>
        <v/>
      </c>
      <c r="H30" s="32">
        <f>IFERROR(IF(3&lt;=COUNTIFS(e_date,H$27,e_name,"?*"),INDEX(e_label,MATCH(H$27&amp;"#"&amp;3,e_key,0)),IF(3-COUNTIFS(e_date,H$27,e_name,"?*")&lt;=COUNTIFS(t_date,H$27,t_name,"?*",t_status,"&lt;&gt;❌ Отменена"),INDEX(t_label,MATCH(H$27&amp;"#"&amp;(3-COUNTIFS(e_date,H$27,e_name,"?*")),t_key,0)),"")),"")</f>
        <v/>
      </c>
    </row>
    <row r="31" ht="15" customHeight="1">
      <c r="B31" s="32">
        <f>IFERROR(IF(4&lt;=COUNTIFS(e_date,B$27,e_name,"?*"),INDEX(e_label,MATCH(B$27&amp;"#"&amp;4,e_key,0)),IF(4-COUNTIFS(e_date,B$27,e_name,"?*")&lt;=COUNTIFS(t_date,B$27,t_name,"?*",t_status,"&lt;&gt;❌ Отменена"),INDEX(t_label,MATCH(B$27&amp;"#"&amp;(4-COUNTIFS(e_date,B$27,e_name,"?*")),t_key,0)),"")),"")</f>
        <v/>
      </c>
      <c r="C31" s="32">
        <f>IFERROR(IF(4&lt;=COUNTIFS(e_date,C$27,e_name,"?*"),INDEX(e_label,MATCH(C$27&amp;"#"&amp;4,e_key,0)),IF(4-COUNTIFS(e_date,C$27,e_name,"?*")&lt;=COUNTIFS(t_date,C$27,t_name,"?*",t_status,"&lt;&gt;❌ Отменена"),INDEX(t_label,MATCH(C$27&amp;"#"&amp;(4-COUNTIFS(e_date,C$27,e_name,"?*")),t_key,0)),"")),"")</f>
        <v/>
      </c>
      <c r="D31" s="32">
        <f>IFERROR(IF(4&lt;=COUNTIFS(e_date,D$27,e_name,"?*"),INDEX(e_label,MATCH(D$27&amp;"#"&amp;4,e_key,0)),IF(4-COUNTIFS(e_date,D$27,e_name,"?*")&lt;=COUNTIFS(t_date,D$27,t_name,"?*",t_status,"&lt;&gt;❌ Отменена"),INDEX(t_label,MATCH(D$27&amp;"#"&amp;(4-COUNTIFS(e_date,D$27,e_name,"?*")),t_key,0)),"")),"")</f>
        <v/>
      </c>
      <c r="E31" s="32">
        <f>IFERROR(IF(4&lt;=COUNTIFS(e_date,E$27,e_name,"?*"),INDEX(e_label,MATCH(E$27&amp;"#"&amp;4,e_key,0)),IF(4-COUNTIFS(e_date,E$27,e_name,"?*")&lt;=COUNTIFS(t_date,E$27,t_name,"?*",t_status,"&lt;&gt;❌ Отменена"),INDEX(t_label,MATCH(E$27&amp;"#"&amp;(4-COUNTIFS(e_date,E$27,e_name,"?*")),t_key,0)),"")),"")</f>
        <v/>
      </c>
      <c r="F31" s="32">
        <f>IFERROR(IF(4&lt;=COUNTIFS(e_date,F$27,e_name,"?*"),INDEX(e_label,MATCH(F$27&amp;"#"&amp;4,e_key,0)),IF(4-COUNTIFS(e_date,F$27,e_name,"?*")&lt;=COUNTIFS(t_date,F$27,t_name,"?*",t_status,"&lt;&gt;❌ Отменена"),INDEX(t_label,MATCH(F$27&amp;"#"&amp;(4-COUNTIFS(e_date,F$27,e_name,"?*")),t_key,0)),"")),"")</f>
        <v/>
      </c>
      <c r="G31" s="32">
        <f>IFERROR(IF(4&lt;=COUNTIFS(e_date,G$27,e_name,"?*"),INDEX(e_label,MATCH(G$27&amp;"#"&amp;4,e_key,0)),IF(4-COUNTIFS(e_date,G$27,e_name,"?*")&lt;=COUNTIFS(t_date,G$27,t_name,"?*",t_status,"&lt;&gt;❌ Отменена"),INDEX(t_label,MATCH(G$27&amp;"#"&amp;(4-COUNTIFS(e_date,G$27,e_name,"?*")),t_key,0)),"")),"")</f>
        <v/>
      </c>
      <c r="H31" s="32">
        <f>IFERROR(IF(4&lt;=COUNTIFS(e_date,H$27,e_name,"?*"),INDEX(e_label,MATCH(H$27&amp;"#"&amp;4,e_key,0)),IF(4-COUNTIFS(e_date,H$27,e_name,"?*")&lt;=COUNTIFS(t_date,H$27,t_name,"?*",t_status,"&lt;&gt;❌ Отменена"),INDEX(t_label,MATCH(H$27&amp;"#"&amp;(4-COUNTIFS(e_date,H$27,e_name,"?*")),t_key,0)),"")),"")</f>
        <v/>
      </c>
    </row>
    <row r="32" ht="15" customHeight="1">
      <c r="B32" s="32">
        <f>IFERROR(IF(5&lt;=COUNTIFS(e_date,B$27,e_name,"?*"),INDEX(e_label,MATCH(B$27&amp;"#"&amp;5,e_key,0)),IF(5-COUNTIFS(e_date,B$27,e_name,"?*")&lt;=COUNTIFS(t_date,B$27,t_name,"?*",t_status,"&lt;&gt;❌ Отменена"),INDEX(t_label,MATCH(B$27&amp;"#"&amp;(5-COUNTIFS(e_date,B$27,e_name,"?*")),t_key,0)),"")),"")</f>
        <v/>
      </c>
      <c r="C32" s="32">
        <f>IFERROR(IF(5&lt;=COUNTIFS(e_date,C$27,e_name,"?*"),INDEX(e_label,MATCH(C$27&amp;"#"&amp;5,e_key,0)),IF(5-COUNTIFS(e_date,C$27,e_name,"?*")&lt;=COUNTIFS(t_date,C$27,t_name,"?*",t_status,"&lt;&gt;❌ Отменена"),INDEX(t_label,MATCH(C$27&amp;"#"&amp;(5-COUNTIFS(e_date,C$27,e_name,"?*")),t_key,0)),"")),"")</f>
        <v/>
      </c>
      <c r="D32" s="32">
        <f>IFERROR(IF(5&lt;=COUNTIFS(e_date,D$27,e_name,"?*"),INDEX(e_label,MATCH(D$27&amp;"#"&amp;5,e_key,0)),IF(5-COUNTIFS(e_date,D$27,e_name,"?*")&lt;=COUNTIFS(t_date,D$27,t_name,"?*",t_status,"&lt;&gt;❌ Отменена"),INDEX(t_label,MATCH(D$27&amp;"#"&amp;(5-COUNTIFS(e_date,D$27,e_name,"?*")),t_key,0)),"")),"")</f>
        <v/>
      </c>
      <c r="E32" s="32">
        <f>IFERROR(IF(5&lt;=COUNTIFS(e_date,E$27,e_name,"?*"),INDEX(e_label,MATCH(E$27&amp;"#"&amp;5,e_key,0)),IF(5-COUNTIFS(e_date,E$27,e_name,"?*")&lt;=COUNTIFS(t_date,E$27,t_name,"?*",t_status,"&lt;&gt;❌ Отменена"),INDEX(t_label,MATCH(E$27&amp;"#"&amp;(5-COUNTIFS(e_date,E$27,e_name,"?*")),t_key,0)),"")),"")</f>
        <v/>
      </c>
      <c r="F32" s="32">
        <f>IFERROR(IF(5&lt;=COUNTIFS(e_date,F$27,e_name,"?*"),INDEX(e_label,MATCH(F$27&amp;"#"&amp;5,e_key,0)),IF(5-COUNTIFS(e_date,F$27,e_name,"?*")&lt;=COUNTIFS(t_date,F$27,t_name,"?*",t_status,"&lt;&gt;❌ Отменена"),INDEX(t_label,MATCH(F$27&amp;"#"&amp;(5-COUNTIFS(e_date,F$27,e_name,"?*")),t_key,0)),"")),"")</f>
        <v/>
      </c>
      <c r="G32" s="32">
        <f>IFERROR(IF(5&lt;=COUNTIFS(e_date,G$27,e_name,"?*"),INDEX(e_label,MATCH(G$27&amp;"#"&amp;5,e_key,0)),IF(5-COUNTIFS(e_date,G$27,e_name,"?*")&lt;=COUNTIFS(t_date,G$27,t_name,"?*",t_status,"&lt;&gt;❌ Отменена"),INDEX(t_label,MATCH(G$27&amp;"#"&amp;(5-COUNTIFS(e_date,G$27,e_name,"?*")),t_key,0)),"")),"")</f>
        <v/>
      </c>
      <c r="H32" s="32">
        <f>IFERROR(IF(5&lt;=COUNTIFS(e_date,H$27,e_name,"?*"),INDEX(e_label,MATCH(H$27&amp;"#"&amp;5,e_key,0)),IF(5-COUNTIFS(e_date,H$27,e_name,"?*")&lt;=COUNTIFS(t_date,H$27,t_name,"?*",t_status,"&lt;&gt;❌ Отменена"),INDEX(t_label,MATCH(H$27&amp;"#"&amp;(5-COUNTIFS(e_date,H$27,e_name,"?*")),t_key,0)),"")),"")</f>
        <v/>
      </c>
    </row>
    <row r="33" ht="15" customHeight="1">
      <c r="B33" s="36">
        <f>IFERROR(IF(COUNTIFS(e_date,B$27,e_name,"?*")+COUNTIFS(t_date,B$27,t_name,"?*",t_status,"&lt;&gt;❌ Отменена")&gt;6,"… ещё "&amp;(COUNTIFS(e_date,B$27,e_name,"?*")+COUNTIFS(t_date,B$27,t_name,"?*",t_status,"&lt;&gt;❌ Отменена")-5),IF(6&lt;=COUNTIFS(e_date,B$27,e_name,"?*"),INDEX(e_label,MATCH(B$27&amp;"#"&amp;6,e_key,0)),IF(6-COUNTIFS(e_date,B$27,e_name,"?*")&lt;=COUNTIFS(t_date,B$27,t_name,"?*",t_status,"&lt;&gt;❌ Отменена"),INDEX(t_label,MATCH(B$27&amp;"#"&amp;(6-COUNTIFS(e_date,B$27,e_name,"?*")),t_key,0)),""))),"")</f>
        <v/>
      </c>
      <c r="C33" s="36">
        <f>IFERROR(IF(COUNTIFS(e_date,C$27,e_name,"?*")+COUNTIFS(t_date,C$27,t_name,"?*",t_status,"&lt;&gt;❌ Отменена")&gt;6,"… ещё "&amp;(COUNTIFS(e_date,C$27,e_name,"?*")+COUNTIFS(t_date,C$27,t_name,"?*",t_status,"&lt;&gt;❌ Отменена")-5),IF(6&lt;=COUNTIFS(e_date,C$27,e_name,"?*"),INDEX(e_label,MATCH(C$27&amp;"#"&amp;6,e_key,0)),IF(6-COUNTIFS(e_date,C$27,e_name,"?*")&lt;=COUNTIFS(t_date,C$27,t_name,"?*",t_status,"&lt;&gt;❌ Отменена"),INDEX(t_label,MATCH(C$27&amp;"#"&amp;(6-COUNTIFS(e_date,C$27,e_name,"?*")),t_key,0)),""))),"")</f>
        <v/>
      </c>
      <c r="D33" s="36">
        <f>IFERROR(IF(COUNTIFS(e_date,D$27,e_name,"?*")+COUNTIFS(t_date,D$27,t_name,"?*",t_status,"&lt;&gt;❌ Отменена")&gt;6,"… ещё "&amp;(COUNTIFS(e_date,D$27,e_name,"?*")+COUNTIFS(t_date,D$27,t_name,"?*",t_status,"&lt;&gt;❌ Отменена")-5),IF(6&lt;=COUNTIFS(e_date,D$27,e_name,"?*"),INDEX(e_label,MATCH(D$27&amp;"#"&amp;6,e_key,0)),IF(6-COUNTIFS(e_date,D$27,e_name,"?*")&lt;=COUNTIFS(t_date,D$27,t_name,"?*",t_status,"&lt;&gt;❌ Отменена"),INDEX(t_label,MATCH(D$27&amp;"#"&amp;(6-COUNTIFS(e_date,D$27,e_name,"?*")),t_key,0)),""))),"")</f>
        <v/>
      </c>
      <c r="E33" s="36">
        <f>IFERROR(IF(COUNTIFS(e_date,E$27,e_name,"?*")+COUNTIFS(t_date,E$27,t_name,"?*",t_status,"&lt;&gt;❌ Отменена")&gt;6,"… ещё "&amp;(COUNTIFS(e_date,E$27,e_name,"?*")+COUNTIFS(t_date,E$27,t_name,"?*",t_status,"&lt;&gt;❌ Отменена")-5),IF(6&lt;=COUNTIFS(e_date,E$27,e_name,"?*"),INDEX(e_label,MATCH(E$27&amp;"#"&amp;6,e_key,0)),IF(6-COUNTIFS(e_date,E$27,e_name,"?*")&lt;=COUNTIFS(t_date,E$27,t_name,"?*",t_status,"&lt;&gt;❌ Отменена"),INDEX(t_label,MATCH(E$27&amp;"#"&amp;(6-COUNTIFS(e_date,E$27,e_name,"?*")),t_key,0)),""))),"")</f>
        <v/>
      </c>
      <c r="F33" s="36">
        <f>IFERROR(IF(COUNTIFS(e_date,F$27,e_name,"?*")+COUNTIFS(t_date,F$27,t_name,"?*",t_status,"&lt;&gt;❌ Отменена")&gt;6,"… ещё "&amp;(COUNTIFS(e_date,F$27,e_name,"?*")+COUNTIFS(t_date,F$27,t_name,"?*",t_status,"&lt;&gt;❌ Отменена")-5),IF(6&lt;=COUNTIFS(e_date,F$27,e_name,"?*"),INDEX(e_label,MATCH(F$27&amp;"#"&amp;6,e_key,0)),IF(6-COUNTIFS(e_date,F$27,e_name,"?*")&lt;=COUNTIFS(t_date,F$27,t_name,"?*",t_status,"&lt;&gt;❌ Отменена"),INDEX(t_label,MATCH(F$27&amp;"#"&amp;(6-COUNTIFS(e_date,F$27,e_name,"?*")),t_key,0)),""))),"")</f>
        <v/>
      </c>
      <c r="G33" s="36">
        <f>IFERROR(IF(COUNTIFS(e_date,G$27,e_name,"?*")+COUNTIFS(t_date,G$27,t_name,"?*",t_status,"&lt;&gt;❌ Отменена")&gt;6,"… ещё "&amp;(COUNTIFS(e_date,G$27,e_name,"?*")+COUNTIFS(t_date,G$27,t_name,"?*",t_status,"&lt;&gt;❌ Отменена")-5),IF(6&lt;=COUNTIFS(e_date,G$27,e_name,"?*"),INDEX(e_label,MATCH(G$27&amp;"#"&amp;6,e_key,0)),IF(6-COUNTIFS(e_date,G$27,e_name,"?*")&lt;=COUNTIFS(t_date,G$27,t_name,"?*",t_status,"&lt;&gt;❌ Отменена"),INDEX(t_label,MATCH(G$27&amp;"#"&amp;(6-COUNTIFS(e_date,G$27,e_name,"?*")),t_key,0)),""))),"")</f>
        <v/>
      </c>
      <c r="H33" s="36">
        <f>IFERROR(IF(COUNTIFS(e_date,H$27,e_name,"?*")+COUNTIFS(t_date,H$27,t_name,"?*",t_status,"&lt;&gt;❌ Отменена")&gt;6,"… ещё "&amp;(COUNTIFS(e_date,H$27,e_name,"?*")+COUNTIFS(t_date,H$27,t_name,"?*",t_status,"&lt;&gt;❌ Отменена")-5),IF(6&lt;=COUNTIFS(e_date,H$27,e_name,"?*"),INDEX(e_label,MATCH(H$27&amp;"#"&amp;6,e_key,0)),IF(6-COUNTIFS(e_date,H$27,e_name,"?*")&lt;=COUNTIFS(t_date,H$27,t_name,"?*",t_status,"&lt;&gt;❌ Отменена"),INDEX(t_label,MATCH(H$27&amp;"#"&amp;(6-COUNTIFS(e_date,H$27,e_name,"?*")),t_key,0)),""))),"")</f>
        <v/>
      </c>
    </row>
    <row r="34" ht="22" customHeight="1">
      <c r="B34" s="29">
        <f>(DATE(cal_y,cal_m,1)-WEEKDAY(DATE(cal_y,cal_m,1),2)+1)+28</f>
        <v/>
      </c>
      <c r="C34" s="29">
        <f>(DATE(cal_y,cal_m,1)-WEEKDAY(DATE(cal_y,cal_m,1),2)+1)+29</f>
        <v/>
      </c>
      <c r="D34" s="29">
        <f>(DATE(cal_y,cal_m,1)-WEEKDAY(DATE(cal_y,cal_m,1),2)+1)+30</f>
        <v/>
      </c>
      <c r="E34" s="29">
        <f>(DATE(cal_y,cal_m,1)-WEEKDAY(DATE(cal_y,cal_m,1),2)+1)+31</f>
        <v/>
      </c>
      <c r="F34" s="29">
        <f>(DATE(cal_y,cal_m,1)-WEEKDAY(DATE(cal_y,cal_m,1),2)+1)+32</f>
        <v/>
      </c>
      <c r="G34" s="30">
        <f>(DATE(cal_y,cal_m,1)-WEEKDAY(DATE(cal_y,cal_m,1),2)+1)+33</f>
        <v/>
      </c>
      <c r="H34" s="30">
        <f>(DATE(cal_y,cal_m,1)-WEEKDAY(DATE(cal_y,cal_m,1),2)+1)+34</f>
        <v/>
      </c>
    </row>
    <row r="35" ht="15" customHeight="1">
      <c r="B35" s="32">
        <f>IFERROR(IF(1&lt;=COUNTIFS(e_date,B$34,e_name,"?*"),INDEX(e_label,MATCH(B$34&amp;"#"&amp;1,e_key,0)),IF(1-COUNTIFS(e_date,B$34,e_name,"?*")&lt;=COUNTIFS(t_date,B$34,t_name,"?*",t_status,"&lt;&gt;❌ Отменена"),INDEX(t_label,MATCH(B$34&amp;"#"&amp;(1-COUNTIFS(e_date,B$34,e_name,"?*")),t_key,0)),"")),"")</f>
        <v/>
      </c>
      <c r="C35" s="32">
        <f>IFERROR(IF(1&lt;=COUNTIFS(e_date,C$34,e_name,"?*"),INDEX(e_label,MATCH(C$34&amp;"#"&amp;1,e_key,0)),IF(1-COUNTIFS(e_date,C$34,e_name,"?*")&lt;=COUNTIFS(t_date,C$34,t_name,"?*",t_status,"&lt;&gt;❌ Отменена"),INDEX(t_label,MATCH(C$34&amp;"#"&amp;(1-COUNTIFS(e_date,C$34,e_name,"?*")),t_key,0)),"")),"")</f>
        <v/>
      </c>
      <c r="D35" s="32">
        <f>IFERROR(IF(1&lt;=COUNTIFS(e_date,D$34,e_name,"?*"),INDEX(e_label,MATCH(D$34&amp;"#"&amp;1,e_key,0)),IF(1-COUNTIFS(e_date,D$34,e_name,"?*")&lt;=COUNTIFS(t_date,D$34,t_name,"?*",t_status,"&lt;&gt;❌ Отменена"),INDEX(t_label,MATCH(D$34&amp;"#"&amp;(1-COUNTIFS(e_date,D$34,e_name,"?*")),t_key,0)),"")),"")</f>
        <v/>
      </c>
      <c r="E35" s="32">
        <f>IFERROR(IF(1&lt;=COUNTIFS(e_date,E$34,e_name,"?*"),INDEX(e_label,MATCH(E$34&amp;"#"&amp;1,e_key,0)),IF(1-COUNTIFS(e_date,E$34,e_name,"?*")&lt;=COUNTIFS(t_date,E$34,t_name,"?*",t_status,"&lt;&gt;❌ Отменена"),INDEX(t_label,MATCH(E$34&amp;"#"&amp;(1-COUNTIFS(e_date,E$34,e_name,"?*")),t_key,0)),"")),"")</f>
        <v/>
      </c>
      <c r="F35" s="32">
        <f>IFERROR(IF(1&lt;=COUNTIFS(e_date,F$34,e_name,"?*"),INDEX(e_label,MATCH(F$34&amp;"#"&amp;1,e_key,0)),IF(1-COUNTIFS(e_date,F$34,e_name,"?*")&lt;=COUNTIFS(t_date,F$34,t_name,"?*",t_status,"&lt;&gt;❌ Отменена"),INDEX(t_label,MATCH(F$34&amp;"#"&amp;(1-COUNTIFS(e_date,F$34,e_name,"?*")),t_key,0)),"")),"")</f>
        <v/>
      </c>
      <c r="G35" s="32">
        <f>IFERROR(IF(1&lt;=COUNTIFS(e_date,G$34,e_name,"?*"),INDEX(e_label,MATCH(G$34&amp;"#"&amp;1,e_key,0)),IF(1-COUNTIFS(e_date,G$34,e_name,"?*")&lt;=COUNTIFS(t_date,G$34,t_name,"?*",t_status,"&lt;&gt;❌ Отменена"),INDEX(t_label,MATCH(G$34&amp;"#"&amp;(1-COUNTIFS(e_date,G$34,e_name,"?*")),t_key,0)),"")),"")</f>
        <v/>
      </c>
      <c r="H35" s="32">
        <f>IFERROR(IF(1&lt;=COUNTIFS(e_date,H$34,e_name,"?*"),INDEX(e_label,MATCH(H$34&amp;"#"&amp;1,e_key,0)),IF(1-COUNTIFS(e_date,H$34,e_name,"?*")&lt;=COUNTIFS(t_date,H$34,t_name,"?*",t_status,"&lt;&gt;❌ Отменена"),INDEX(t_label,MATCH(H$34&amp;"#"&amp;(1-COUNTIFS(e_date,H$34,e_name,"?*")),t_key,0)),"")),"")</f>
        <v/>
      </c>
    </row>
    <row r="36" ht="15" customHeight="1">
      <c r="B36" s="32">
        <f>IFERROR(IF(2&lt;=COUNTIFS(e_date,B$34,e_name,"?*"),INDEX(e_label,MATCH(B$34&amp;"#"&amp;2,e_key,0)),IF(2-COUNTIFS(e_date,B$34,e_name,"?*")&lt;=COUNTIFS(t_date,B$34,t_name,"?*",t_status,"&lt;&gt;❌ Отменена"),INDEX(t_label,MATCH(B$34&amp;"#"&amp;(2-COUNTIFS(e_date,B$34,e_name,"?*")),t_key,0)),"")),"")</f>
        <v/>
      </c>
      <c r="C36" s="32">
        <f>IFERROR(IF(2&lt;=COUNTIFS(e_date,C$34,e_name,"?*"),INDEX(e_label,MATCH(C$34&amp;"#"&amp;2,e_key,0)),IF(2-COUNTIFS(e_date,C$34,e_name,"?*")&lt;=COUNTIFS(t_date,C$34,t_name,"?*",t_status,"&lt;&gt;❌ Отменена"),INDEX(t_label,MATCH(C$34&amp;"#"&amp;(2-COUNTIFS(e_date,C$34,e_name,"?*")),t_key,0)),"")),"")</f>
        <v/>
      </c>
      <c r="D36" s="32">
        <f>IFERROR(IF(2&lt;=COUNTIFS(e_date,D$34,e_name,"?*"),INDEX(e_label,MATCH(D$34&amp;"#"&amp;2,e_key,0)),IF(2-COUNTIFS(e_date,D$34,e_name,"?*")&lt;=COUNTIFS(t_date,D$34,t_name,"?*",t_status,"&lt;&gt;❌ Отменена"),INDEX(t_label,MATCH(D$34&amp;"#"&amp;(2-COUNTIFS(e_date,D$34,e_name,"?*")),t_key,0)),"")),"")</f>
        <v/>
      </c>
      <c r="E36" s="32">
        <f>IFERROR(IF(2&lt;=COUNTIFS(e_date,E$34,e_name,"?*"),INDEX(e_label,MATCH(E$34&amp;"#"&amp;2,e_key,0)),IF(2-COUNTIFS(e_date,E$34,e_name,"?*")&lt;=COUNTIFS(t_date,E$34,t_name,"?*",t_status,"&lt;&gt;❌ Отменена"),INDEX(t_label,MATCH(E$34&amp;"#"&amp;(2-COUNTIFS(e_date,E$34,e_name,"?*")),t_key,0)),"")),"")</f>
        <v/>
      </c>
      <c r="F36" s="32">
        <f>IFERROR(IF(2&lt;=COUNTIFS(e_date,F$34,e_name,"?*"),INDEX(e_label,MATCH(F$34&amp;"#"&amp;2,e_key,0)),IF(2-COUNTIFS(e_date,F$34,e_name,"?*")&lt;=COUNTIFS(t_date,F$34,t_name,"?*",t_status,"&lt;&gt;❌ Отменена"),INDEX(t_label,MATCH(F$34&amp;"#"&amp;(2-COUNTIFS(e_date,F$34,e_name,"?*")),t_key,0)),"")),"")</f>
        <v/>
      </c>
      <c r="G36" s="32">
        <f>IFERROR(IF(2&lt;=COUNTIFS(e_date,G$34,e_name,"?*"),INDEX(e_label,MATCH(G$34&amp;"#"&amp;2,e_key,0)),IF(2-COUNTIFS(e_date,G$34,e_name,"?*")&lt;=COUNTIFS(t_date,G$34,t_name,"?*",t_status,"&lt;&gt;❌ Отменена"),INDEX(t_label,MATCH(G$34&amp;"#"&amp;(2-COUNTIFS(e_date,G$34,e_name,"?*")),t_key,0)),"")),"")</f>
        <v/>
      </c>
      <c r="H36" s="32">
        <f>IFERROR(IF(2&lt;=COUNTIFS(e_date,H$34,e_name,"?*"),INDEX(e_label,MATCH(H$34&amp;"#"&amp;2,e_key,0)),IF(2-COUNTIFS(e_date,H$34,e_name,"?*")&lt;=COUNTIFS(t_date,H$34,t_name,"?*",t_status,"&lt;&gt;❌ Отменена"),INDEX(t_label,MATCH(H$34&amp;"#"&amp;(2-COUNTIFS(e_date,H$34,e_name,"?*")),t_key,0)),"")),"")</f>
        <v/>
      </c>
    </row>
    <row r="37" ht="15" customHeight="1">
      <c r="B37" s="32">
        <f>IFERROR(IF(3&lt;=COUNTIFS(e_date,B$34,e_name,"?*"),INDEX(e_label,MATCH(B$34&amp;"#"&amp;3,e_key,0)),IF(3-COUNTIFS(e_date,B$34,e_name,"?*")&lt;=COUNTIFS(t_date,B$34,t_name,"?*",t_status,"&lt;&gt;❌ Отменена"),INDEX(t_label,MATCH(B$34&amp;"#"&amp;(3-COUNTIFS(e_date,B$34,e_name,"?*")),t_key,0)),"")),"")</f>
        <v/>
      </c>
      <c r="C37" s="32">
        <f>IFERROR(IF(3&lt;=COUNTIFS(e_date,C$34,e_name,"?*"),INDEX(e_label,MATCH(C$34&amp;"#"&amp;3,e_key,0)),IF(3-COUNTIFS(e_date,C$34,e_name,"?*")&lt;=COUNTIFS(t_date,C$34,t_name,"?*",t_status,"&lt;&gt;❌ Отменена"),INDEX(t_label,MATCH(C$34&amp;"#"&amp;(3-COUNTIFS(e_date,C$34,e_name,"?*")),t_key,0)),"")),"")</f>
        <v/>
      </c>
      <c r="D37" s="32">
        <f>IFERROR(IF(3&lt;=COUNTIFS(e_date,D$34,e_name,"?*"),INDEX(e_label,MATCH(D$34&amp;"#"&amp;3,e_key,0)),IF(3-COUNTIFS(e_date,D$34,e_name,"?*")&lt;=COUNTIFS(t_date,D$34,t_name,"?*",t_status,"&lt;&gt;❌ Отменена"),INDEX(t_label,MATCH(D$34&amp;"#"&amp;(3-COUNTIFS(e_date,D$34,e_name,"?*")),t_key,0)),"")),"")</f>
        <v/>
      </c>
      <c r="E37" s="32">
        <f>IFERROR(IF(3&lt;=COUNTIFS(e_date,E$34,e_name,"?*"),INDEX(e_label,MATCH(E$34&amp;"#"&amp;3,e_key,0)),IF(3-COUNTIFS(e_date,E$34,e_name,"?*")&lt;=COUNTIFS(t_date,E$34,t_name,"?*",t_status,"&lt;&gt;❌ Отменена"),INDEX(t_label,MATCH(E$34&amp;"#"&amp;(3-COUNTIFS(e_date,E$34,e_name,"?*")),t_key,0)),"")),"")</f>
        <v/>
      </c>
      <c r="F37" s="32">
        <f>IFERROR(IF(3&lt;=COUNTIFS(e_date,F$34,e_name,"?*"),INDEX(e_label,MATCH(F$34&amp;"#"&amp;3,e_key,0)),IF(3-COUNTIFS(e_date,F$34,e_name,"?*")&lt;=COUNTIFS(t_date,F$34,t_name,"?*",t_status,"&lt;&gt;❌ Отменена"),INDEX(t_label,MATCH(F$34&amp;"#"&amp;(3-COUNTIFS(e_date,F$34,e_name,"?*")),t_key,0)),"")),"")</f>
        <v/>
      </c>
      <c r="G37" s="32">
        <f>IFERROR(IF(3&lt;=COUNTIFS(e_date,G$34,e_name,"?*"),INDEX(e_label,MATCH(G$34&amp;"#"&amp;3,e_key,0)),IF(3-COUNTIFS(e_date,G$34,e_name,"?*")&lt;=COUNTIFS(t_date,G$34,t_name,"?*",t_status,"&lt;&gt;❌ Отменена"),INDEX(t_label,MATCH(G$34&amp;"#"&amp;(3-COUNTIFS(e_date,G$34,e_name,"?*")),t_key,0)),"")),"")</f>
        <v/>
      </c>
      <c r="H37" s="32">
        <f>IFERROR(IF(3&lt;=COUNTIFS(e_date,H$34,e_name,"?*"),INDEX(e_label,MATCH(H$34&amp;"#"&amp;3,e_key,0)),IF(3-COUNTIFS(e_date,H$34,e_name,"?*")&lt;=COUNTIFS(t_date,H$34,t_name,"?*",t_status,"&lt;&gt;❌ Отменена"),INDEX(t_label,MATCH(H$34&amp;"#"&amp;(3-COUNTIFS(e_date,H$34,e_name,"?*")),t_key,0)),"")),"")</f>
        <v/>
      </c>
    </row>
    <row r="38" ht="15" customHeight="1">
      <c r="B38" s="32">
        <f>IFERROR(IF(4&lt;=COUNTIFS(e_date,B$34,e_name,"?*"),INDEX(e_label,MATCH(B$34&amp;"#"&amp;4,e_key,0)),IF(4-COUNTIFS(e_date,B$34,e_name,"?*")&lt;=COUNTIFS(t_date,B$34,t_name,"?*",t_status,"&lt;&gt;❌ Отменена"),INDEX(t_label,MATCH(B$34&amp;"#"&amp;(4-COUNTIFS(e_date,B$34,e_name,"?*")),t_key,0)),"")),"")</f>
        <v/>
      </c>
      <c r="C38" s="32">
        <f>IFERROR(IF(4&lt;=COUNTIFS(e_date,C$34,e_name,"?*"),INDEX(e_label,MATCH(C$34&amp;"#"&amp;4,e_key,0)),IF(4-COUNTIFS(e_date,C$34,e_name,"?*")&lt;=COUNTIFS(t_date,C$34,t_name,"?*",t_status,"&lt;&gt;❌ Отменена"),INDEX(t_label,MATCH(C$34&amp;"#"&amp;(4-COUNTIFS(e_date,C$34,e_name,"?*")),t_key,0)),"")),"")</f>
        <v/>
      </c>
      <c r="D38" s="32">
        <f>IFERROR(IF(4&lt;=COUNTIFS(e_date,D$34,e_name,"?*"),INDEX(e_label,MATCH(D$34&amp;"#"&amp;4,e_key,0)),IF(4-COUNTIFS(e_date,D$34,e_name,"?*")&lt;=COUNTIFS(t_date,D$34,t_name,"?*",t_status,"&lt;&gt;❌ Отменена"),INDEX(t_label,MATCH(D$34&amp;"#"&amp;(4-COUNTIFS(e_date,D$34,e_name,"?*")),t_key,0)),"")),"")</f>
        <v/>
      </c>
      <c r="E38" s="32">
        <f>IFERROR(IF(4&lt;=COUNTIFS(e_date,E$34,e_name,"?*"),INDEX(e_label,MATCH(E$34&amp;"#"&amp;4,e_key,0)),IF(4-COUNTIFS(e_date,E$34,e_name,"?*")&lt;=COUNTIFS(t_date,E$34,t_name,"?*",t_status,"&lt;&gt;❌ Отменена"),INDEX(t_label,MATCH(E$34&amp;"#"&amp;(4-COUNTIFS(e_date,E$34,e_name,"?*")),t_key,0)),"")),"")</f>
        <v/>
      </c>
      <c r="F38" s="32">
        <f>IFERROR(IF(4&lt;=COUNTIFS(e_date,F$34,e_name,"?*"),INDEX(e_label,MATCH(F$34&amp;"#"&amp;4,e_key,0)),IF(4-COUNTIFS(e_date,F$34,e_name,"?*")&lt;=COUNTIFS(t_date,F$34,t_name,"?*",t_status,"&lt;&gt;❌ Отменена"),INDEX(t_label,MATCH(F$34&amp;"#"&amp;(4-COUNTIFS(e_date,F$34,e_name,"?*")),t_key,0)),"")),"")</f>
        <v/>
      </c>
      <c r="G38" s="32">
        <f>IFERROR(IF(4&lt;=COUNTIFS(e_date,G$34,e_name,"?*"),INDEX(e_label,MATCH(G$34&amp;"#"&amp;4,e_key,0)),IF(4-COUNTIFS(e_date,G$34,e_name,"?*")&lt;=COUNTIFS(t_date,G$34,t_name,"?*",t_status,"&lt;&gt;❌ Отменена"),INDEX(t_label,MATCH(G$34&amp;"#"&amp;(4-COUNTIFS(e_date,G$34,e_name,"?*")),t_key,0)),"")),"")</f>
        <v/>
      </c>
      <c r="H38" s="32">
        <f>IFERROR(IF(4&lt;=COUNTIFS(e_date,H$34,e_name,"?*"),INDEX(e_label,MATCH(H$34&amp;"#"&amp;4,e_key,0)),IF(4-COUNTIFS(e_date,H$34,e_name,"?*")&lt;=COUNTIFS(t_date,H$34,t_name,"?*",t_status,"&lt;&gt;❌ Отменена"),INDEX(t_label,MATCH(H$34&amp;"#"&amp;(4-COUNTIFS(e_date,H$34,e_name,"?*")),t_key,0)),"")),"")</f>
        <v/>
      </c>
    </row>
    <row r="39" ht="15" customHeight="1">
      <c r="B39" s="32">
        <f>IFERROR(IF(5&lt;=COUNTIFS(e_date,B$34,e_name,"?*"),INDEX(e_label,MATCH(B$34&amp;"#"&amp;5,e_key,0)),IF(5-COUNTIFS(e_date,B$34,e_name,"?*")&lt;=COUNTIFS(t_date,B$34,t_name,"?*",t_status,"&lt;&gt;❌ Отменена"),INDEX(t_label,MATCH(B$34&amp;"#"&amp;(5-COUNTIFS(e_date,B$34,e_name,"?*")),t_key,0)),"")),"")</f>
        <v/>
      </c>
      <c r="C39" s="32">
        <f>IFERROR(IF(5&lt;=COUNTIFS(e_date,C$34,e_name,"?*"),INDEX(e_label,MATCH(C$34&amp;"#"&amp;5,e_key,0)),IF(5-COUNTIFS(e_date,C$34,e_name,"?*")&lt;=COUNTIFS(t_date,C$34,t_name,"?*",t_status,"&lt;&gt;❌ Отменена"),INDEX(t_label,MATCH(C$34&amp;"#"&amp;(5-COUNTIFS(e_date,C$34,e_name,"?*")),t_key,0)),"")),"")</f>
        <v/>
      </c>
      <c r="D39" s="32">
        <f>IFERROR(IF(5&lt;=COUNTIFS(e_date,D$34,e_name,"?*"),INDEX(e_label,MATCH(D$34&amp;"#"&amp;5,e_key,0)),IF(5-COUNTIFS(e_date,D$34,e_name,"?*")&lt;=COUNTIFS(t_date,D$34,t_name,"?*",t_status,"&lt;&gt;❌ Отменена"),INDEX(t_label,MATCH(D$34&amp;"#"&amp;(5-COUNTIFS(e_date,D$34,e_name,"?*")),t_key,0)),"")),"")</f>
        <v/>
      </c>
      <c r="E39" s="32">
        <f>IFERROR(IF(5&lt;=COUNTIFS(e_date,E$34,e_name,"?*"),INDEX(e_label,MATCH(E$34&amp;"#"&amp;5,e_key,0)),IF(5-COUNTIFS(e_date,E$34,e_name,"?*")&lt;=COUNTIFS(t_date,E$34,t_name,"?*",t_status,"&lt;&gt;❌ Отменена"),INDEX(t_label,MATCH(E$34&amp;"#"&amp;(5-COUNTIFS(e_date,E$34,e_name,"?*")),t_key,0)),"")),"")</f>
        <v/>
      </c>
      <c r="F39" s="32">
        <f>IFERROR(IF(5&lt;=COUNTIFS(e_date,F$34,e_name,"?*"),INDEX(e_label,MATCH(F$34&amp;"#"&amp;5,e_key,0)),IF(5-COUNTIFS(e_date,F$34,e_name,"?*")&lt;=COUNTIFS(t_date,F$34,t_name,"?*",t_status,"&lt;&gt;❌ Отменена"),INDEX(t_label,MATCH(F$34&amp;"#"&amp;(5-COUNTIFS(e_date,F$34,e_name,"?*")),t_key,0)),"")),"")</f>
        <v/>
      </c>
      <c r="G39" s="32">
        <f>IFERROR(IF(5&lt;=COUNTIFS(e_date,G$34,e_name,"?*"),INDEX(e_label,MATCH(G$34&amp;"#"&amp;5,e_key,0)),IF(5-COUNTIFS(e_date,G$34,e_name,"?*")&lt;=COUNTIFS(t_date,G$34,t_name,"?*",t_status,"&lt;&gt;❌ Отменена"),INDEX(t_label,MATCH(G$34&amp;"#"&amp;(5-COUNTIFS(e_date,G$34,e_name,"?*")),t_key,0)),"")),"")</f>
        <v/>
      </c>
      <c r="H39" s="32">
        <f>IFERROR(IF(5&lt;=COUNTIFS(e_date,H$34,e_name,"?*"),INDEX(e_label,MATCH(H$34&amp;"#"&amp;5,e_key,0)),IF(5-COUNTIFS(e_date,H$34,e_name,"?*")&lt;=COUNTIFS(t_date,H$34,t_name,"?*",t_status,"&lt;&gt;❌ Отменена"),INDEX(t_label,MATCH(H$34&amp;"#"&amp;(5-COUNTIFS(e_date,H$34,e_name,"?*")),t_key,0)),"")),"")</f>
        <v/>
      </c>
    </row>
    <row r="40" ht="15" customHeight="1">
      <c r="B40" s="36">
        <f>IFERROR(IF(COUNTIFS(e_date,B$34,e_name,"?*")+COUNTIFS(t_date,B$34,t_name,"?*",t_status,"&lt;&gt;❌ Отменена")&gt;6,"… ещё "&amp;(COUNTIFS(e_date,B$34,e_name,"?*")+COUNTIFS(t_date,B$34,t_name,"?*",t_status,"&lt;&gt;❌ Отменена")-5),IF(6&lt;=COUNTIFS(e_date,B$34,e_name,"?*"),INDEX(e_label,MATCH(B$34&amp;"#"&amp;6,e_key,0)),IF(6-COUNTIFS(e_date,B$34,e_name,"?*")&lt;=COUNTIFS(t_date,B$34,t_name,"?*",t_status,"&lt;&gt;❌ Отменена"),INDEX(t_label,MATCH(B$34&amp;"#"&amp;(6-COUNTIFS(e_date,B$34,e_name,"?*")),t_key,0)),""))),"")</f>
        <v/>
      </c>
      <c r="C40" s="36">
        <f>IFERROR(IF(COUNTIFS(e_date,C$34,e_name,"?*")+COUNTIFS(t_date,C$34,t_name,"?*",t_status,"&lt;&gt;❌ Отменена")&gt;6,"… ещё "&amp;(COUNTIFS(e_date,C$34,e_name,"?*")+COUNTIFS(t_date,C$34,t_name,"?*",t_status,"&lt;&gt;❌ Отменена")-5),IF(6&lt;=COUNTIFS(e_date,C$34,e_name,"?*"),INDEX(e_label,MATCH(C$34&amp;"#"&amp;6,e_key,0)),IF(6-COUNTIFS(e_date,C$34,e_name,"?*")&lt;=COUNTIFS(t_date,C$34,t_name,"?*",t_status,"&lt;&gt;❌ Отменена"),INDEX(t_label,MATCH(C$34&amp;"#"&amp;(6-COUNTIFS(e_date,C$34,e_name,"?*")),t_key,0)),""))),"")</f>
        <v/>
      </c>
      <c r="D40" s="36">
        <f>IFERROR(IF(COUNTIFS(e_date,D$34,e_name,"?*")+COUNTIFS(t_date,D$34,t_name,"?*",t_status,"&lt;&gt;❌ Отменена")&gt;6,"… ещё "&amp;(COUNTIFS(e_date,D$34,e_name,"?*")+COUNTIFS(t_date,D$34,t_name,"?*",t_status,"&lt;&gt;❌ Отменена")-5),IF(6&lt;=COUNTIFS(e_date,D$34,e_name,"?*"),INDEX(e_label,MATCH(D$34&amp;"#"&amp;6,e_key,0)),IF(6-COUNTIFS(e_date,D$34,e_name,"?*")&lt;=COUNTIFS(t_date,D$34,t_name,"?*",t_status,"&lt;&gt;❌ Отменена"),INDEX(t_label,MATCH(D$34&amp;"#"&amp;(6-COUNTIFS(e_date,D$34,e_name,"?*")),t_key,0)),""))),"")</f>
        <v/>
      </c>
      <c r="E40" s="36">
        <f>IFERROR(IF(COUNTIFS(e_date,E$34,e_name,"?*")+COUNTIFS(t_date,E$34,t_name,"?*",t_status,"&lt;&gt;❌ Отменена")&gt;6,"… ещё "&amp;(COUNTIFS(e_date,E$34,e_name,"?*")+COUNTIFS(t_date,E$34,t_name,"?*",t_status,"&lt;&gt;❌ Отменена")-5),IF(6&lt;=COUNTIFS(e_date,E$34,e_name,"?*"),INDEX(e_label,MATCH(E$34&amp;"#"&amp;6,e_key,0)),IF(6-COUNTIFS(e_date,E$34,e_name,"?*")&lt;=COUNTIFS(t_date,E$34,t_name,"?*",t_status,"&lt;&gt;❌ Отменена"),INDEX(t_label,MATCH(E$34&amp;"#"&amp;(6-COUNTIFS(e_date,E$34,e_name,"?*")),t_key,0)),""))),"")</f>
        <v/>
      </c>
      <c r="F40" s="36">
        <f>IFERROR(IF(COUNTIFS(e_date,F$34,e_name,"?*")+COUNTIFS(t_date,F$34,t_name,"?*",t_status,"&lt;&gt;❌ Отменена")&gt;6,"… ещё "&amp;(COUNTIFS(e_date,F$34,e_name,"?*")+COUNTIFS(t_date,F$34,t_name,"?*",t_status,"&lt;&gt;❌ Отменена")-5),IF(6&lt;=COUNTIFS(e_date,F$34,e_name,"?*"),INDEX(e_label,MATCH(F$34&amp;"#"&amp;6,e_key,0)),IF(6-COUNTIFS(e_date,F$34,e_name,"?*")&lt;=COUNTIFS(t_date,F$34,t_name,"?*",t_status,"&lt;&gt;❌ Отменена"),INDEX(t_label,MATCH(F$34&amp;"#"&amp;(6-COUNTIFS(e_date,F$34,e_name,"?*")),t_key,0)),""))),"")</f>
        <v/>
      </c>
      <c r="G40" s="36">
        <f>IFERROR(IF(COUNTIFS(e_date,G$34,e_name,"?*")+COUNTIFS(t_date,G$34,t_name,"?*",t_status,"&lt;&gt;❌ Отменена")&gt;6,"… ещё "&amp;(COUNTIFS(e_date,G$34,e_name,"?*")+COUNTIFS(t_date,G$34,t_name,"?*",t_status,"&lt;&gt;❌ Отменена")-5),IF(6&lt;=COUNTIFS(e_date,G$34,e_name,"?*"),INDEX(e_label,MATCH(G$34&amp;"#"&amp;6,e_key,0)),IF(6-COUNTIFS(e_date,G$34,e_name,"?*")&lt;=COUNTIFS(t_date,G$34,t_name,"?*",t_status,"&lt;&gt;❌ Отменена"),INDEX(t_label,MATCH(G$34&amp;"#"&amp;(6-COUNTIFS(e_date,G$34,e_name,"?*")),t_key,0)),""))),"")</f>
        <v/>
      </c>
      <c r="H40" s="36">
        <f>IFERROR(IF(COUNTIFS(e_date,H$34,e_name,"?*")+COUNTIFS(t_date,H$34,t_name,"?*",t_status,"&lt;&gt;❌ Отменена")&gt;6,"… ещё "&amp;(COUNTIFS(e_date,H$34,e_name,"?*")+COUNTIFS(t_date,H$34,t_name,"?*",t_status,"&lt;&gt;❌ Отменена")-5),IF(6&lt;=COUNTIFS(e_date,H$34,e_name,"?*"),INDEX(e_label,MATCH(H$34&amp;"#"&amp;6,e_key,0)),IF(6-COUNTIFS(e_date,H$34,e_name,"?*")&lt;=COUNTIFS(t_date,H$34,t_name,"?*",t_status,"&lt;&gt;❌ Отменена"),INDEX(t_label,MATCH(H$34&amp;"#"&amp;(6-COUNTIFS(e_date,H$34,e_name,"?*")),t_key,0)),""))),"")</f>
        <v/>
      </c>
    </row>
    <row r="41" ht="22" customHeight="1">
      <c r="B41" s="29">
        <f>(DATE(cal_y,cal_m,1)-WEEKDAY(DATE(cal_y,cal_m,1),2)+1)+35</f>
        <v/>
      </c>
      <c r="C41" s="29">
        <f>(DATE(cal_y,cal_m,1)-WEEKDAY(DATE(cal_y,cal_m,1),2)+1)+36</f>
        <v/>
      </c>
      <c r="D41" s="29">
        <f>(DATE(cal_y,cal_m,1)-WEEKDAY(DATE(cal_y,cal_m,1),2)+1)+37</f>
        <v/>
      </c>
      <c r="E41" s="29">
        <f>(DATE(cal_y,cal_m,1)-WEEKDAY(DATE(cal_y,cal_m,1),2)+1)+38</f>
        <v/>
      </c>
      <c r="F41" s="29">
        <f>(DATE(cal_y,cal_m,1)-WEEKDAY(DATE(cal_y,cal_m,1),2)+1)+39</f>
        <v/>
      </c>
      <c r="G41" s="30">
        <f>(DATE(cal_y,cal_m,1)-WEEKDAY(DATE(cal_y,cal_m,1),2)+1)+40</f>
        <v/>
      </c>
      <c r="H41" s="30">
        <f>(DATE(cal_y,cal_m,1)-WEEKDAY(DATE(cal_y,cal_m,1),2)+1)+41</f>
        <v/>
      </c>
    </row>
    <row r="42" ht="15" customHeight="1">
      <c r="B42" s="32">
        <f>IFERROR(IF(1&lt;=COUNTIFS(e_date,B$41,e_name,"?*"),INDEX(e_label,MATCH(B$41&amp;"#"&amp;1,e_key,0)),IF(1-COUNTIFS(e_date,B$41,e_name,"?*")&lt;=COUNTIFS(t_date,B$41,t_name,"?*",t_status,"&lt;&gt;❌ Отменена"),INDEX(t_label,MATCH(B$41&amp;"#"&amp;(1-COUNTIFS(e_date,B$41,e_name,"?*")),t_key,0)),"")),"")</f>
        <v/>
      </c>
      <c r="C42" s="32">
        <f>IFERROR(IF(1&lt;=COUNTIFS(e_date,C$41,e_name,"?*"),INDEX(e_label,MATCH(C$41&amp;"#"&amp;1,e_key,0)),IF(1-COUNTIFS(e_date,C$41,e_name,"?*")&lt;=COUNTIFS(t_date,C$41,t_name,"?*",t_status,"&lt;&gt;❌ Отменена"),INDEX(t_label,MATCH(C$41&amp;"#"&amp;(1-COUNTIFS(e_date,C$41,e_name,"?*")),t_key,0)),"")),"")</f>
        <v/>
      </c>
      <c r="D42" s="32">
        <f>IFERROR(IF(1&lt;=COUNTIFS(e_date,D$41,e_name,"?*"),INDEX(e_label,MATCH(D$41&amp;"#"&amp;1,e_key,0)),IF(1-COUNTIFS(e_date,D$41,e_name,"?*")&lt;=COUNTIFS(t_date,D$41,t_name,"?*",t_status,"&lt;&gt;❌ Отменена"),INDEX(t_label,MATCH(D$41&amp;"#"&amp;(1-COUNTIFS(e_date,D$41,e_name,"?*")),t_key,0)),"")),"")</f>
        <v/>
      </c>
      <c r="E42" s="32">
        <f>IFERROR(IF(1&lt;=COUNTIFS(e_date,E$41,e_name,"?*"),INDEX(e_label,MATCH(E$41&amp;"#"&amp;1,e_key,0)),IF(1-COUNTIFS(e_date,E$41,e_name,"?*")&lt;=COUNTIFS(t_date,E$41,t_name,"?*",t_status,"&lt;&gt;❌ Отменена"),INDEX(t_label,MATCH(E$41&amp;"#"&amp;(1-COUNTIFS(e_date,E$41,e_name,"?*")),t_key,0)),"")),"")</f>
        <v/>
      </c>
      <c r="F42" s="32">
        <f>IFERROR(IF(1&lt;=COUNTIFS(e_date,F$41,e_name,"?*"),INDEX(e_label,MATCH(F$41&amp;"#"&amp;1,e_key,0)),IF(1-COUNTIFS(e_date,F$41,e_name,"?*")&lt;=COUNTIFS(t_date,F$41,t_name,"?*",t_status,"&lt;&gt;❌ Отменена"),INDEX(t_label,MATCH(F$41&amp;"#"&amp;(1-COUNTIFS(e_date,F$41,e_name,"?*")),t_key,0)),"")),"")</f>
        <v/>
      </c>
      <c r="G42" s="32">
        <f>IFERROR(IF(1&lt;=COUNTIFS(e_date,G$41,e_name,"?*"),INDEX(e_label,MATCH(G$41&amp;"#"&amp;1,e_key,0)),IF(1-COUNTIFS(e_date,G$41,e_name,"?*")&lt;=COUNTIFS(t_date,G$41,t_name,"?*",t_status,"&lt;&gt;❌ Отменена"),INDEX(t_label,MATCH(G$41&amp;"#"&amp;(1-COUNTIFS(e_date,G$41,e_name,"?*")),t_key,0)),"")),"")</f>
        <v/>
      </c>
      <c r="H42" s="32">
        <f>IFERROR(IF(1&lt;=COUNTIFS(e_date,H$41,e_name,"?*"),INDEX(e_label,MATCH(H$41&amp;"#"&amp;1,e_key,0)),IF(1-COUNTIFS(e_date,H$41,e_name,"?*")&lt;=COUNTIFS(t_date,H$41,t_name,"?*",t_status,"&lt;&gt;❌ Отменена"),INDEX(t_label,MATCH(H$41&amp;"#"&amp;(1-COUNTIFS(e_date,H$41,e_name,"?*")),t_key,0)),"")),"")</f>
        <v/>
      </c>
    </row>
    <row r="43" ht="15" customHeight="1">
      <c r="B43" s="32">
        <f>IFERROR(IF(2&lt;=COUNTIFS(e_date,B$41,e_name,"?*"),INDEX(e_label,MATCH(B$41&amp;"#"&amp;2,e_key,0)),IF(2-COUNTIFS(e_date,B$41,e_name,"?*")&lt;=COUNTIFS(t_date,B$41,t_name,"?*",t_status,"&lt;&gt;❌ Отменена"),INDEX(t_label,MATCH(B$41&amp;"#"&amp;(2-COUNTIFS(e_date,B$41,e_name,"?*")),t_key,0)),"")),"")</f>
        <v/>
      </c>
      <c r="C43" s="32">
        <f>IFERROR(IF(2&lt;=COUNTIFS(e_date,C$41,e_name,"?*"),INDEX(e_label,MATCH(C$41&amp;"#"&amp;2,e_key,0)),IF(2-COUNTIFS(e_date,C$41,e_name,"?*")&lt;=COUNTIFS(t_date,C$41,t_name,"?*",t_status,"&lt;&gt;❌ Отменена"),INDEX(t_label,MATCH(C$41&amp;"#"&amp;(2-COUNTIFS(e_date,C$41,e_name,"?*")),t_key,0)),"")),"")</f>
        <v/>
      </c>
      <c r="D43" s="32">
        <f>IFERROR(IF(2&lt;=COUNTIFS(e_date,D$41,e_name,"?*"),INDEX(e_label,MATCH(D$41&amp;"#"&amp;2,e_key,0)),IF(2-COUNTIFS(e_date,D$41,e_name,"?*")&lt;=COUNTIFS(t_date,D$41,t_name,"?*",t_status,"&lt;&gt;❌ Отменена"),INDEX(t_label,MATCH(D$41&amp;"#"&amp;(2-COUNTIFS(e_date,D$41,e_name,"?*")),t_key,0)),"")),"")</f>
        <v/>
      </c>
      <c r="E43" s="32">
        <f>IFERROR(IF(2&lt;=COUNTIFS(e_date,E$41,e_name,"?*"),INDEX(e_label,MATCH(E$41&amp;"#"&amp;2,e_key,0)),IF(2-COUNTIFS(e_date,E$41,e_name,"?*")&lt;=COUNTIFS(t_date,E$41,t_name,"?*",t_status,"&lt;&gt;❌ Отменена"),INDEX(t_label,MATCH(E$41&amp;"#"&amp;(2-COUNTIFS(e_date,E$41,e_name,"?*")),t_key,0)),"")),"")</f>
        <v/>
      </c>
      <c r="F43" s="32">
        <f>IFERROR(IF(2&lt;=COUNTIFS(e_date,F$41,e_name,"?*"),INDEX(e_label,MATCH(F$41&amp;"#"&amp;2,e_key,0)),IF(2-COUNTIFS(e_date,F$41,e_name,"?*")&lt;=COUNTIFS(t_date,F$41,t_name,"?*",t_status,"&lt;&gt;❌ Отменена"),INDEX(t_label,MATCH(F$41&amp;"#"&amp;(2-COUNTIFS(e_date,F$41,e_name,"?*")),t_key,0)),"")),"")</f>
        <v/>
      </c>
      <c r="G43" s="32">
        <f>IFERROR(IF(2&lt;=COUNTIFS(e_date,G$41,e_name,"?*"),INDEX(e_label,MATCH(G$41&amp;"#"&amp;2,e_key,0)),IF(2-COUNTIFS(e_date,G$41,e_name,"?*")&lt;=COUNTIFS(t_date,G$41,t_name,"?*",t_status,"&lt;&gt;❌ Отменена"),INDEX(t_label,MATCH(G$41&amp;"#"&amp;(2-COUNTIFS(e_date,G$41,e_name,"?*")),t_key,0)),"")),"")</f>
        <v/>
      </c>
      <c r="H43" s="32">
        <f>IFERROR(IF(2&lt;=COUNTIFS(e_date,H$41,e_name,"?*"),INDEX(e_label,MATCH(H$41&amp;"#"&amp;2,e_key,0)),IF(2-COUNTIFS(e_date,H$41,e_name,"?*")&lt;=COUNTIFS(t_date,H$41,t_name,"?*",t_status,"&lt;&gt;❌ Отменена"),INDEX(t_label,MATCH(H$41&amp;"#"&amp;(2-COUNTIFS(e_date,H$41,e_name,"?*")),t_key,0)),"")),"")</f>
        <v/>
      </c>
    </row>
    <row r="44" ht="15" customHeight="1">
      <c r="B44" s="32">
        <f>IFERROR(IF(3&lt;=COUNTIFS(e_date,B$41,e_name,"?*"),INDEX(e_label,MATCH(B$41&amp;"#"&amp;3,e_key,0)),IF(3-COUNTIFS(e_date,B$41,e_name,"?*")&lt;=COUNTIFS(t_date,B$41,t_name,"?*",t_status,"&lt;&gt;❌ Отменена"),INDEX(t_label,MATCH(B$41&amp;"#"&amp;(3-COUNTIFS(e_date,B$41,e_name,"?*")),t_key,0)),"")),"")</f>
        <v/>
      </c>
      <c r="C44" s="32">
        <f>IFERROR(IF(3&lt;=COUNTIFS(e_date,C$41,e_name,"?*"),INDEX(e_label,MATCH(C$41&amp;"#"&amp;3,e_key,0)),IF(3-COUNTIFS(e_date,C$41,e_name,"?*")&lt;=COUNTIFS(t_date,C$41,t_name,"?*",t_status,"&lt;&gt;❌ Отменена"),INDEX(t_label,MATCH(C$41&amp;"#"&amp;(3-COUNTIFS(e_date,C$41,e_name,"?*")),t_key,0)),"")),"")</f>
        <v/>
      </c>
      <c r="D44" s="32">
        <f>IFERROR(IF(3&lt;=COUNTIFS(e_date,D$41,e_name,"?*"),INDEX(e_label,MATCH(D$41&amp;"#"&amp;3,e_key,0)),IF(3-COUNTIFS(e_date,D$41,e_name,"?*")&lt;=COUNTIFS(t_date,D$41,t_name,"?*",t_status,"&lt;&gt;❌ Отменена"),INDEX(t_label,MATCH(D$41&amp;"#"&amp;(3-COUNTIFS(e_date,D$41,e_name,"?*")),t_key,0)),"")),"")</f>
        <v/>
      </c>
      <c r="E44" s="32">
        <f>IFERROR(IF(3&lt;=COUNTIFS(e_date,E$41,e_name,"?*"),INDEX(e_label,MATCH(E$41&amp;"#"&amp;3,e_key,0)),IF(3-COUNTIFS(e_date,E$41,e_name,"?*")&lt;=COUNTIFS(t_date,E$41,t_name,"?*",t_status,"&lt;&gt;❌ Отменена"),INDEX(t_label,MATCH(E$41&amp;"#"&amp;(3-COUNTIFS(e_date,E$41,e_name,"?*")),t_key,0)),"")),"")</f>
        <v/>
      </c>
      <c r="F44" s="32">
        <f>IFERROR(IF(3&lt;=COUNTIFS(e_date,F$41,e_name,"?*"),INDEX(e_label,MATCH(F$41&amp;"#"&amp;3,e_key,0)),IF(3-COUNTIFS(e_date,F$41,e_name,"?*")&lt;=COUNTIFS(t_date,F$41,t_name,"?*",t_status,"&lt;&gt;❌ Отменена"),INDEX(t_label,MATCH(F$41&amp;"#"&amp;(3-COUNTIFS(e_date,F$41,e_name,"?*")),t_key,0)),"")),"")</f>
        <v/>
      </c>
      <c r="G44" s="32">
        <f>IFERROR(IF(3&lt;=COUNTIFS(e_date,G$41,e_name,"?*"),INDEX(e_label,MATCH(G$41&amp;"#"&amp;3,e_key,0)),IF(3-COUNTIFS(e_date,G$41,e_name,"?*")&lt;=COUNTIFS(t_date,G$41,t_name,"?*",t_status,"&lt;&gt;❌ Отменена"),INDEX(t_label,MATCH(G$41&amp;"#"&amp;(3-COUNTIFS(e_date,G$41,e_name,"?*")),t_key,0)),"")),"")</f>
        <v/>
      </c>
      <c r="H44" s="32">
        <f>IFERROR(IF(3&lt;=COUNTIFS(e_date,H$41,e_name,"?*"),INDEX(e_label,MATCH(H$41&amp;"#"&amp;3,e_key,0)),IF(3-COUNTIFS(e_date,H$41,e_name,"?*")&lt;=COUNTIFS(t_date,H$41,t_name,"?*",t_status,"&lt;&gt;❌ Отменена"),INDEX(t_label,MATCH(H$41&amp;"#"&amp;(3-COUNTIFS(e_date,H$41,e_name,"?*")),t_key,0)),"")),"")</f>
        <v/>
      </c>
    </row>
    <row r="45" ht="15" customHeight="1">
      <c r="B45" s="32">
        <f>IFERROR(IF(4&lt;=COUNTIFS(e_date,B$41,e_name,"?*"),INDEX(e_label,MATCH(B$41&amp;"#"&amp;4,e_key,0)),IF(4-COUNTIFS(e_date,B$41,e_name,"?*")&lt;=COUNTIFS(t_date,B$41,t_name,"?*",t_status,"&lt;&gt;❌ Отменена"),INDEX(t_label,MATCH(B$41&amp;"#"&amp;(4-COUNTIFS(e_date,B$41,e_name,"?*")),t_key,0)),"")),"")</f>
        <v/>
      </c>
      <c r="C45" s="32">
        <f>IFERROR(IF(4&lt;=COUNTIFS(e_date,C$41,e_name,"?*"),INDEX(e_label,MATCH(C$41&amp;"#"&amp;4,e_key,0)),IF(4-COUNTIFS(e_date,C$41,e_name,"?*")&lt;=COUNTIFS(t_date,C$41,t_name,"?*",t_status,"&lt;&gt;❌ Отменена"),INDEX(t_label,MATCH(C$41&amp;"#"&amp;(4-COUNTIFS(e_date,C$41,e_name,"?*")),t_key,0)),"")),"")</f>
        <v/>
      </c>
      <c r="D45" s="32">
        <f>IFERROR(IF(4&lt;=COUNTIFS(e_date,D$41,e_name,"?*"),INDEX(e_label,MATCH(D$41&amp;"#"&amp;4,e_key,0)),IF(4-COUNTIFS(e_date,D$41,e_name,"?*")&lt;=COUNTIFS(t_date,D$41,t_name,"?*",t_status,"&lt;&gt;❌ Отменена"),INDEX(t_label,MATCH(D$41&amp;"#"&amp;(4-COUNTIFS(e_date,D$41,e_name,"?*")),t_key,0)),"")),"")</f>
        <v/>
      </c>
      <c r="E45" s="32">
        <f>IFERROR(IF(4&lt;=COUNTIFS(e_date,E$41,e_name,"?*"),INDEX(e_label,MATCH(E$41&amp;"#"&amp;4,e_key,0)),IF(4-COUNTIFS(e_date,E$41,e_name,"?*")&lt;=COUNTIFS(t_date,E$41,t_name,"?*",t_status,"&lt;&gt;❌ Отменена"),INDEX(t_label,MATCH(E$41&amp;"#"&amp;(4-COUNTIFS(e_date,E$41,e_name,"?*")),t_key,0)),"")),"")</f>
        <v/>
      </c>
      <c r="F45" s="32">
        <f>IFERROR(IF(4&lt;=COUNTIFS(e_date,F$41,e_name,"?*"),INDEX(e_label,MATCH(F$41&amp;"#"&amp;4,e_key,0)),IF(4-COUNTIFS(e_date,F$41,e_name,"?*")&lt;=COUNTIFS(t_date,F$41,t_name,"?*",t_status,"&lt;&gt;❌ Отменена"),INDEX(t_label,MATCH(F$41&amp;"#"&amp;(4-COUNTIFS(e_date,F$41,e_name,"?*")),t_key,0)),"")),"")</f>
        <v/>
      </c>
      <c r="G45" s="32">
        <f>IFERROR(IF(4&lt;=COUNTIFS(e_date,G$41,e_name,"?*"),INDEX(e_label,MATCH(G$41&amp;"#"&amp;4,e_key,0)),IF(4-COUNTIFS(e_date,G$41,e_name,"?*")&lt;=COUNTIFS(t_date,G$41,t_name,"?*",t_status,"&lt;&gt;❌ Отменена"),INDEX(t_label,MATCH(G$41&amp;"#"&amp;(4-COUNTIFS(e_date,G$41,e_name,"?*")),t_key,0)),"")),"")</f>
        <v/>
      </c>
      <c r="H45" s="32">
        <f>IFERROR(IF(4&lt;=COUNTIFS(e_date,H$41,e_name,"?*"),INDEX(e_label,MATCH(H$41&amp;"#"&amp;4,e_key,0)),IF(4-COUNTIFS(e_date,H$41,e_name,"?*")&lt;=COUNTIFS(t_date,H$41,t_name,"?*",t_status,"&lt;&gt;❌ Отменена"),INDEX(t_label,MATCH(H$41&amp;"#"&amp;(4-COUNTIFS(e_date,H$41,e_name,"?*")),t_key,0)),"")),"")</f>
        <v/>
      </c>
    </row>
    <row r="46" ht="15" customHeight="1">
      <c r="B46" s="32">
        <f>IFERROR(IF(5&lt;=COUNTIFS(e_date,B$41,e_name,"?*"),INDEX(e_label,MATCH(B$41&amp;"#"&amp;5,e_key,0)),IF(5-COUNTIFS(e_date,B$41,e_name,"?*")&lt;=COUNTIFS(t_date,B$41,t_name,"?*",t_status,"&lt;&gt;❌ Отменена"),INDEX(t_label,MATCH(B$41&amp;"#"&amp;(5-COUNTIFS(e_date,B$41,e_name,"?*")),t_key,0)),"")),"")</f>
        <v/>
      </c>
      <c r="C46" s="32">
        <f>IFERROR(IF(5&lt;=COUNTIFS(e_date,C$41,e_name,"?*"),INDEX(e_label,MATCH(C$41&amp;"#"&amp;5,e_key,0)),IF(5-COUNTIFS(e_date,C$41,e_name,"?*")&lt;=COUNTIFS(t_date,C$41,t_name,"?*",t_status,"&lt;&gt;❌ Отменена"),INDEX(t_label,MATCH(C$41&amp;"#"&amp;(5-COUNTIFS(e_date,C$41,e_name,"?*")),t_key,0)),"")),"")</f>
        <v/>
      </c>
      <c r="D46" s="32">
        <f>IFERROR(IF(5&lt;=COUNTIFS(e_date,D$41,e_name,"?*"),INDEX(e_label,MATCH(D$41&amp;"#"&amp;5,e_key,0)),IF(5-COUNTIFS(e_date,D$41,e_name,"?*")&lt;=COUNTIFS(t_date,D$41,t_name,"?*",t_status,"&lt;&gt;❌ Отменена"),INDEX(t_label,MATCH(D$41&amp;"#"&amp;(5-COUNTIFS(e_date,D$41,e_name,"?*")),t_key,0)),"")),"")</f>
        <v/>
      </c>
      <c r="E46" s="32">
        <f>IFERROR(IF(5&lt;=COUNTIFS(e_date,E$41,e_name,"?*"),INDEX(e_label,MATCH(E$41&amp;"#"&amp;5,e_key,0)),IF(5-COUNTIFS(e_date,E$41,e_name,"?*")&lt;=COUNTIFS(t_date,E$41,t_name,"?*",t_status,"&lt;&gt;❌ Отменена"),INDEX(t_label,MATCH(E$41&amp;"#"&amp;(5-COUNTIFS(e_date,E$41,e_name,"?*")),t_key,0)),"")),"")</f>
        <v/>
      </c>
      <c r="F46" s="32">
        <f>IFERROR(IF(5&lt;=COUNTIFS(e_date,F$41,e_name,"?*"),INDEX(e_label,MATCH(F$41&amp;"#"&amp;5,e_key,0)),IF(5-COUNTIFS(e_date,F$41,e_name,"?*")&lt;=COUNTIFS(t_date,F$41,t_name,"?*",t_status,"&lt;&gt;❌ Отменена"),INDEX(t_label,MATCH(F$41&amp;"#"&amp;(5-COUNTIFS(e_date,F$41,e_name,"?*")),t_key,0)),"")),"")</f>
        <v/>
      </c>
      <c r="G46" s="32">
        <f>IFERROR(IF(5&lt;=COUNTIFS(e_date,G$41,e_name,"?*"),INDEX(e_label,MATCH(G$41&amp;"#"&amp;5,e_key,0)),IF(5-COUNTIFS(e_date,G$41,e_name,"?*")&lt;=COUNTIFS(t_date,G$41,t_name,"?*",t_status,"&lt;&gt;❌ Отменена"),INDEX(t_label,MATCH(G$41&amp;"#"&amp;(5-COUNTIFS(e_date,G$41,e_name,"?*")),t_key,0)),"")),"")</f>
        <v/>
      </c>
      <c r="H46" s="32">
        <f>IFERROR(IF(5&lt;=COUNTIFS(e_date,H$41,e_name,"?*"),INDEX(e_label,MATCH(H$41&amp;"#"&amp;5,e_key,0)),IF(5-COUNTIFS(e_date,H$41,e_name,"?*")&lt;=COUNTIFS(t_date,H$41,t_name,"?*",t_status,"&lt;&gt;❌ Отменена"),INDEX(t_label,MATCH(H$41&amp;"#"&amp;(5-COUNTIFS(e_date,H$41,e_name,"?*")),t_key,0)),"")),"")</f>
        <v/>
      </c>
    </row>
    <row r="47" ht="15" customHeight="1">
      <c r="B47" s="36">
        <f>IFERROR(IF(COUNTIFS(e_date,B$41,e_name,"?*")+COUNTIFS(t_date,B$41,t_name,"?*",t_status,"&lt;&gt;❌ Отменена")&gt;6,"… ещё "&amp;(COUNTIFS(e_date,B$41,e_name,"?*")+COUNTIFS(t_date,B$41,t_name,"?*",t_status,"&lt;&gt;❌ Отменена")-5),IF(6&lt;=COUNTIFS(e_date,B$41,e_name,"?*"),INDEX(e_label,MATCH(B$41&amp;"#"&amp;6,e_key,0)),IF(6-COUNTIFS(e_date,B$41,e_name,"?*")&lt;=COUNTIFS(t_date,B$41,t_name,"?*",t_status,"&lt;&gt;❌ Отменена"),INDEX(t_label,MATCH(B$41&amp;"#"&amp;(6-COUNTIFS(e_date,B$41,e_name,"?*")),t_key,0)),""))),"")</f>
        <v/>
      </c>
      <c r="C47" s="36">
        <f>IFERROR(IF(COUNTIFS(e_date,C$41,e_name,"?*")+COUNTIFS(t_date,C$41,t_name,"?*",t_status,"&lt;&gt;❌ Отменена")&gt;6,"… ещё "&amp;(COUNTIFS(e_date,C$41,e_name,"?*")+COUNTIFS(t_date,C$41,t_name,"?*",t_status,"&lt;&gt;❌ Отменена")-5),IF(6&lt;=COUNTIFS(e_date,C$41,e_name,"?*"),INDEX(e_label,MATCH(C$41&amp;"#"&amp;6,e_key,0)),IF(6-COUNTIFS(e_date,C$41,e_name,"?*")&lt;=COUNTIFS(t_date,C$41,t_name,"?*",t_status,"&lt;&gt;❌ Отменена"),INDEX(t_label,MATCH(C$41&amp;"#"&amp;(6-COUNTIFS(e_date,C$41,e_name,"?*")),t_key,0)),""))),"")</f>
        <v/>
      </c>
      <c r="D47" s="36">
        <f>IFERROR(IF(COUNTIFS(e_date,D$41,e_name,"?*")+COUNTIFS(t_date,D$41,t_name,"?*",t_status,"&lt;&gt;❌ Отменена")&gt;6,"… ещё "&amp;(COUNTIFS(e_date,D$41,e_name,"?*")+COUNTIFS(t_date,D$41,t_name,"?*",t_status,"&lt;&gt;❌ Отменена")-5),IF(6&lt;=COUNTIFS(e_date,D$41,e_name,"?*"),INDEX(e_label,MATCH(D$41&amp;"#"&amp;6,e_key,0)),IF(6-COUNTIFS(e_date,D$41,e_name,"?*")&lt;=COUNTIFS(t_date,D$41,t_name,"?*",t_status,"&lt;&gt;❌ Отменена"),INDEX(t_label,MATCH(D$41&amp;"#"&amp;(6-COUNTIFS(e_date,D$41,e_name,"?*")),t_key,0)),""))),"")</f>
        <v/>
      </c>
      <c r="E47" s="36">
        <f>IFERROR(IF(COUNTIFS(e_date,E$41,e_name,"?*")+COUNTIFS(t_date,E$41,t_name,"?*",t_status,"&lt;&gt;❌ Отменена")&gt;6,"… ещё "&amp;(COUNTIFS(e_date,E$41,e_name,"?*")+COUNTIFS(t_date,E$41,t_name,"?*",t_status,"&lt;&gt;❌ Отменена")-5),IF(6&lt;=COUNTIFS(e_date,E$41,e_name,"?*"),INDEX(e_label,MATCH(E$41&amp;"#"&amp;6,e_key,0)),IF(6-COUNTIFS(e_date,E$41,e_name,"?*")&lt;=COUNTIFS(t_date,E$41,t_name,"?*",t_status,"&lt;&gt;❌ Отменена"),INDEX(t_label,MATCH(E$41&amp;"#"&amp;(6-COUNTIFS(e_date,E$41,e_name,"?*")),t_key,0)),""))),"")</f>
        <v/>
      </c>
      <c r="F47" s="36">
        <f>IFERROR(IF(COUNTIFS(e_date,F$41,e_name,"?*")+COUNTIFS(t_date,F$41,t_name,"?*",t_status,"&lt;&gt;❌ Отменена")&gt;6,"… ещё "&amp;(COUNTIFS(e_date,F$41,e_name,"?*")+COUNTIFS(t_date,F$41,t_name,"?*",t_status,"&lt;&gt;❌ Отменена")-5),IF(6&lt;=COUNTIFS(e_date,F$41,e_name,"?*"),INDEX(e_label,MATCH(F$41&amp;"#"&amp;6,e_key,0)),IF(6-COUNTIFS(e_date,F$41,e_name,"?*")&lt;=COUNTIFS(t_date,F$41,t_name,"?*",t_status,"&lt;&gt;❌ Отменена"),INDEX(t_label,MATCH(F$41&amp;"#"&amp;(6-COUNTIFS(e_date,F$41,e_name,"?*")),t_key,0)),""))),"")</f>
        <v/>
      </c>
      <c r="G47" s="36">
        <f>IFERROR(IF(COUNTIFS(e_date,G$41,e_name,"?*")+COUNTIFS(t_date,G$41,t_name,"?*",t_status,"&lt;&gt;❌ Отменена")&gt;6,"… ещё "&amp;(COUNTIFS(e_date,G$41,e_name,"?*")+COUNTIFS(t_date,G$41,t_name,"?*",t_status,"&lt;&gt;❌ Отменена")-5),IF(6&lt;=COUNTIFS(e_date,G$41,e_name,"?*"),INDEX(e_label,MATCH(G$41&amp;"#"&amp;6,e_key,0)),IF(6-COUNTIFS(e_date,G$41,e_name,"?*")&lt;=COUNTIFS(t_date,G$41,t_name,"?*",t_status,"&lt;&gt;❌ Отменена"),INDEX(t_label,MATCH(G$41&amp;"#"&amp;(6-COUNTIFS(e_date,G$41,e_name,"?*")),t_key,0)),""))),"")</f>
        <v/>
      </c>
      <c r="H47" s="36">
        <f>IFERROR(IF(COUNTIFS(e_date,H$41,e_name,"?*")+COUNTIFS(t_date,H$41,t_name,"?*",t_status,"&lt;&gt;❌ Отменена")&gt;6,"… ещё "&amp;(COUNTIFS(e_date,H$41,e_name,"?*")+COUNTIFS(t_date,H$41,t_name,"?*",t_status,"&lt;&gt;❌ Отменена")-5),IF(6&lt;=COUNTIFS(e_date,H$41,e_name,"?*"),INDEX(e_label,MATCH(H$41&amp;"#"&amp;6,e_key,0)),IF(6-COUNTIFS(e_date,H$41,e_name,"?*")&lt;=COUNTIFS(t_date,H$41,t_name,"?*",t_status,"&lt;&gt;❌ Отменена"),INDEX(t_label,MATCH(H$41&amp;"#"&amp;(6-COUNTIFS(e_date,H$41,e_name,"?*")),t_key,0)),""))),"")</f>
        <v/>
      </c>
    </row>
  </sheetData>
  <mergeCells count="4">
    <mergeCell ref="A2:Q2"/>
    <mergeCell ref="B4:H4"/>
    <mergeCell ref="A1:Q1"/>
    <mergeCell ref="J26:K28"/>
  </mergeCells>
  <conditionalFormatting sqref="B6">
    <cfRule type="expression" priority="1" dxfId="6" stopIfTrue="1">
      <formula>B6=TODAY()</formula>
    </cfRule>
  </conditionalFormatting>
  <conditionalFormatting sqref="B6:B12">
    <cfRule type="expression" priority="2" dxfId="7" stopIfTrue="1">
      <formula>MONTH(B$6)&lt;&gt;cal_m</formula>
    </cfRule>
  </conditionalFormatting>
  <conditionalFormatting sqref="B7:B12">
    <cfRule type="expression" priority="3" dxfId="8">
      <formula>B$6=TODAY()</formula>
    </cfRule>
    <cfRule type="expression" priority="4" dxfId="1">
      <formula>LEFT(B7,1)="✔"</formula>
    </cfRule>
    <cfRule type="expression" priority="5" dxfId="2">
      <formula>LEFT(B7,1)="✖"</formula>
    </cfRule>
    <cfRule type="expression" priority="6" dxfId="3">
      <formula>LEFT(B7,1)="❗"</formula>
    </cfRule>
    <cfRule type="expression" priority="7" dxfId="4">
      <formula>LEFT(B7,1)="⏰"</formula>
    </cfRule>
    <cfRule type="expression" priority="8" dxfId="5">
      <formula>LEFT(B7,1)="…"</formula>
    </cfRule>
  </conditionalFormatting>
  <conditionalFormatting sqref="C6">
    <cfRule type="expression" priority="9" dxfId="6" stopIfTrue="1">
      <formula>C6=TODAY()</formula>
    </cfRule>
  </conditionalFormatting>
  <conditionalFormatting sqref="C6:C12">
    <cfRule type="expression" priority="10" dxfId="7" stopIfTrue="1">
      <formula>MONTH(C$6)&lt;&gt;cal_m</formula>
    </cfRule>
  </conditionalFormatting>
  <conditionalFormatting sqref="C7:C12">
    <cfRule type="expression" priority="11" dxfId="8">
      <formula>C$6=TODAY()</formula>
    </cfRule>
    <cfRule type="expression" priority="12" dxfId="1">
      <formula>LEFT(C7,1)="✔"</formula>
    </cfRule>
    <cfRule type="expression" priority="13" dxfId="2">
      <formula>LEFT(C7,1)="✖"</formula>
    </cfRule>
    <cfRule type="expression" priority="14" dxfId="3">
      <formula>LEFT(C7,1)="❗"</formula>
    </cfRule>
    <cfRule type="expression" priority="15" dxfId="4">
      <formula>LEFT(C7,1)="⏰"</formula>
    </cfRule>
    <cfRule type="expression" priority="16" dxfId="5">
      <formula>LEFT(C7,1)="…"</formula>
    </cfRule>
  </conditionalFormatting>
  <conditionalFormatting sqref="D6">
    <cfRule type="expression" priority="17" dxfId="6" stopIfTrue="1">
      <formula>D6=TODAY()</formula>
    </cfRule>
  </conditionalFormatting>
  <conditionalFormatting sqref="D6:D12">
    <cfRule type="expression" priority="18" dxfId="7" stopIfTrue="1">
      <formula>MONTH(D$6)&lt;&gt;cal_m</formula>
    </cfRule>
  </conditionalFormatting>
  <conditionalFormatting sqref="D7:D12">
    <cfRule type="expression" priority="19" dxfId="8">
      <formula>D$6=TODAY()</formula>
    </cfRule>
    <cfRule type="expression" priority="20" dxfId="1">
      <formula>LEFT(D7,1)="✔"</formula>
    </cfRule>
    <cfRule type="expression" priority="21" dxfId="2">
      <formula>LEFT(D7,1)="✖"</formula>
    </cfRule>
    <cfRule type="expression" priority="22" dxfId="3">
      <formula>LEFT(D7,1)="❗"</formula>
    </cfRule>
    <cfRule type="expression" priority="23" dxfId="4">
      <formula>LEFT(D7,1)="⏰"</formula>
    </cfRule>
    <cfRule type="expression" priority="24" dxfId="5">
      <formula>LEFT(D7,1)="…"</formula>
    </cfRule>
  </conditionalFormatting>
  <conditionalFormatting sqref="E6">
    <cfRule type="expression" priority="25" dxfId="6" stopIfTrue="1">
      <formula>E6=TODAY()</formula>
    </cfRule>
  </conditionalFormatting>
  <conditionalFormatting sqref="E6:E12">
    <cfRule type="expression" priority="26" dxfId="7" stopIfTrue="1">
      <formula>MONTH(E$6)&lt;&gt;cal_m</formula>
    </cfRule>
  </conditionalFormatting>
  <conditionalFormatting sqref="E7:E12">
    <cfRule type="expression" priority="27" dxfId="8">
      <formula>E$6=TODAY()</formula>
    </cfRule>
    <cfRule type="expression" priority="28" dxfId="1">
      <formula>LEFT(E7,1)="✔"</formula>
    </cfRule>
    <cfRule type="expression" priority="29" dxfId="2">
      <formula>LEFT(E7,1)="✖"</formula>
    </cfRule>
    <cfRule type="expression" priority="30" dxfId="3">
      <formula>LEFT(E7,1)="❗"</formula>
    </cfRule>
    <cfRule type="expression" priority="31" dxfId="4">
      <formula>LEFT(E7,1)="⏰"</formula>
    </cfRule>
    <cfRule type="expression" priority="32" dxfId="5">
      <formula>LEFT(E7,1)="…"</formula>
    </cfRule>
  </conditionalFormatting>
  <conditionalFormatting sqref="F6">
    <cfRule type="expression" priority="33" dxfId="6" stopIfTrue="1">
      <formula>F6=TODAY()</formula>
    </cfRule>
  </conditionalFormatting>
  <conditionalFormatting sqref="F6:F12">
    <cfRule type="expression" priority="34" dxfId="7" stopIfTrue="1">
      <formula>MONTH(F$6)&lt;&gt;cal_m</formula>
    </cfRule>
  </conditionalFormatting>
  <conditionalFormatting sqref="F7:F12">
    <cfRule type="expression" priority="35" dxfId="8">
      <formula>F$6=TODAY()</formula>
    </cfRule>
    <cfRule type="expression" priority="36" dxfId="1">
      <formula>LEFT(F7,1)="✔"</formula>
    </cfRule>
    <cfRule type="expression" priority="37" dxfId="2">
      <formula>LEFT(F7,1)="✖"</formula>
    </cfRule>
    <cfRule type="expression" priority="38" dxfId="3">
      <formula>LEFT(F7,1)="❗"</formula>
    </cfRule>
    <cfRule type="expression" priority="39" dxfId="4">
      <formula>LEFT(F7,1)="⏰"</formula>
    </cfRule>
    <cfRule type="expression" priority="40" dxfId="5">
      <formula>LEFT(F7,1)="…"</formula>
    </cfRule>
  </conditionalFormatting>
  <conditionalFormatting sqref="G6">
    <cfRule type="expression" priority="41" dxfId="6" stopIfTrue="1">
      <formula>G6=TODAY()</formula>
    </cfRule>
  </conditionalFormatting>
  <conditionalFormatting sqref="G6:G12">
    <cfRule type="expression" priority="42" dxfId="7" stopIfTrue="1">
      <formula>MONTH(G$6)&lt;&gt;cal_m</formula>
    </cfRule>
  </conditionalFormatting>
  <conditionalFormatting sqref="G7:G12">
    <cfRule type="expression" priority="43" dxfId="8">
      <formula>G$6=TODAY()</formula>
    </cfRule>
    <cfRule type="expression" priority="44" dxfId="1">
      <formula>LEFT(G7,1)="✔"</formula>
    </cfRule>
    <cfRule type="expression" priority="45" dxfId="2">
      <formula>LEFT(G7,1)="✖"</formula>
    </cfRule>
    <cfRule type="expression" priority="46" dxfId="3">
      <formula>LEFT(G7,1)="❗"</formula>
    </cfRule>
    <cfRule type="expression" priority="47" dxfId="4">
      <formula>LEFT(G7,1)="⏰"</formula>
    </cfRule>
    <cfRule type="expression" priority="48" dxfId="5">
      <formula>LEFT(G7,1)="…"</formula>
    </cfRule>
  </conditionalFormatting>
  <conditionalFormatting sqref="H6">
    <cfRule type="expression" priority="49" dxfId="6" stopIfTrue="1">
      <formula>H6=TODAY()</formula>
    </cfRule>
  </conditionalFormatting>
  <conditionalFormatting sqref="H6:H12">
    <cfRule type="expression" priority="50" dxfId="7" stopIfTrue="1">
      <formula>MONTH(H$6)&lt;&gt;cal_m</formula>
    </cfRule>
  </conditionalFormatting>
  <conditionalFormatting sqref="H7:H12">
    <cfRule type="expression" priority="51" dxfId="8">
      <formula>H$6=TODAY()</formula>
    </cfRule>
    <cfRule type="expression" priority="52" dxfId="1">
      <formula>LEFT(H7,1)="✔"</formula>
    </cfRule>
    <cfRule type="expression" priority="53" dxfId="2">
      <formula>LEFT(H7,1)="✖"</formula>
    </cfRule>
    <cfRule type="expression" priority="54" dxfId="3">
      <formula>LEFT(H7,1)="❗"</formula>
    </cfRule>
    <cfRule type="expression" priority="55" dxfId="4">
      <formula>LEFT(H7,1)="⏰"</formula>
    </cfRule>
    <cfRule type="expression" priority="56" dxfId="5">
      <formula>LEFT(H7,1)="…"</formula>
    </cfRule>
  </conditionalFormatting>
  <conditionalFormatting sqref="B13">
    <cfRule type="expression" priority="57" dxfId="6" stopIfTrue="1">
      <formula>B13=TODAY()</formula>
    </cfRule>
  </conditionalFormatting>
  <conditionalFormatting sqref="B13:B19">
    <cfRule type="expression" priority="58" dxfId="7" stopIfTrue="1">
      <formula>MONTH(B$13)&lt;&gt;cal_m</formula>
    </cfRule>
  </conditionalFormatting>
  <conditionalFormatting sqref="B14:B19">
    <cfRule type="expression" priority="59" dxfId="8">
      <formula>B$13=TODAY()</formula>
    </cfRule>
    <cfRule type="expression" priority="60" dxfId="1">
      <formula>LEFT(B14,1)="✔"</formula>
    </cfRule>
    <cfRule type="expression" priority="61" dxfId="2">
      <formula>LEFT(B14,1)="✖"</formula>
    </cfRule>
    <cfRule type="expression" priority="62" dxfId="3">
      <formula>LEFT(B14,1)="❗"</formula>
    </cfRule>
    <cfRule type="expression" priority="63" dxfId="4">
      <formula>LEFT(B14,1)="⏰"</formula>
    </cfRule>
    <cfRule type="expression" priority="64" dxfId="5">
      <formula>LEFT(B14,1)="…"</formula>
    </cfRule>
  </conditionalFormatting>
  <conditionalFormatting sqref="C13">
    <cfRule type="expression" priority="65" dxfId="6" stopIfTrue="1">
      <formula>C13=TODAY()</formula>
    </cfRule>
  </conditionalFormatting>
  <conditionalFormatting sqref="C13:C19">
    <cfRule type="expression" priority="66" dxfId="7" stopIfTrue="1">
      <formula>MONTH(C$13)&lt;&gt;cal_m</formula>
    </cfRule>
  </conditionalFormatting>
  <conditionalFormatting sqref="C14:C19">
    <cfRule type="expression" priority="67" dxfId="8">
      <formula>C$13=TODAY()</formula>
    </cfRule>
    <cfRule type="expression" priority="68" dxfId="1">
      <formula>LEFT(C14,1)="✔"</formula>
    </cfRule>
    <cfRule type="expression" priority="69" dxfId="2">
      <formula>LEFT(C14,1)="✖"</formula>
    </cfRule>
    <cfRule type="expression" priority="70" dxfId="3">
      <formula>LEFT(C14,1)="❗"</formula>
    </cfRule>
    <cfRule type="expression" priority="71" dxfId="4">
      <formula>LEFT(C14,1)="⏰"</formula>
    </cfRule>
    <cfRule type="expression" priority="72" dxfId="5">
      <formula>LEFT(C14,1)="…"</formula>
    </cfRule>
  </conditionalFormatting>
  <conditionalFormatting sqref="D13">
    <cfRule type="expression" priority="73" dxfId="6" stopIfTrue="1">
      <formula>D13=TODAY()</formula>
    </cfRule>
  </conditionalFormatting>
  <conditionalFormatting sqref="D13:D19">
    <cfRule type="expression" priority="74" dxfId="7" stopIfTrue="1">
      <formula>MONTH(D$13)&lt;&gt;cal_m</formula>
    </cfRule>
  </conditionalFormatting>
  <conditionalFormatting sqref="D14:D19">
    <cfRule type="expression" priority="75" dxfId="8">
      <formula>D$13=TODAY()</formula>
    </cfRule>
    <cfRule type="expression" priority="76" dxfId="1">
      <formula>LEFT(D14,1)="✔"</formula>
    </cfRule>
    <cfRule type="expression" priority="77" dxfId="2">
      <formula>LEFT(D14,1)="✖"</formula>
    </cfRule>
    <cfRule type="expression" priority="78" dxfId="3">
      <formula>LEFT(D14,1)="❗"</formula>
    </cfRule>
    <cfRule type="expression" priority="79" dxfId="4">
      <formula>LEFT(D14,1)="⏰"</formula>
    </cfRule>
    <cfRule type="expression" priority="80" dxfId="5">
      <formula>LEFT(D14,1)="…"</formula>
    </cfRule>
  </conditionalFormatting>
  <conditionalFormatting sqref="E13">
    <cfRule type="expression" priority="81" dxfId="6" stopIfTrue="1">
      <formula>E13=TODAY()</formula>
    </cfRule>
  </conditionalFormatting>
  <conditionalFormatting sqref="E13:E19">
    <cfRule type="expression" priority="82" dxfId="7" stopIfTrue="1">
      <formula>MONTH(E$13)&lt;&gt;cal_m</formula>
    </cfRule>
  </conditionalFormatting>
  <conditionalFormatting sqref="E14:E19">
    <cfRule type="expression" priority="83" dxfId="8">
      <formula>E$13=TODAY()</formula>
    </cfRule>
    <cfRule type="expression" priority="84" dxfId="1">
      <formula>LEFT(E14,1)="✔"</formula>
    </cfRule>
    <cfRule type="expression" priority="85" dxfId="2">
      <formula>LEFT(E14,1)="✖"</formula>
    </cfRule>
    <cfRule type="expression" priority="86" dxfId="3">
      <formula>LEFT(E14,1)="❗"</formula>
    </cfRule>
    <cfRule type="expression" priority="87" dxfId="4">
      <formula>LEFT(E14,1)="⏰"</formula>
    </cfRule>
    <cfRule type="expression" priority="88" dxfId="5">
      <formula>LEFT(E14,1)="…"</formula>
    </cfRule>
  </conditionalFormatting>
  <conditionalFormatting sqref="F13">
    <cfRule type="expression" priority="89" dxfId="6" stopIfTrue="1">
      <formula>F13=TODAY()</formula>
    </cfRule>
  </conditionalFormatting>
  <conditionalFormatting sqref="F13:F19">
    <cfRule type="expression" priority="90" dxfId="7" stopIfTrue="1">
      <formula>MONTH(F$13)&lt;&gt;cal_m</formula>
    </cfRule>
  </conditionalFormatting>
  <conditionalFormatting sqref="F14:F19">
    <cfRule type="expression" priority="91" dxfId="8">
      <formula>F$13=TODAY()</formula>
    </cfRule>
    <cfRule type="expression" priority="92" dxfId="1">
      <formula>LEFT(F14,1)="✔"</formula>
    </cfRule>
    <cfRule type="expression" priority="93" dxfId="2">
      <formula>LEFT(F14,1)="✖"</formula>
    </cfRule>
    <cfRule type="expression" priority="94" dxfId="3">
      <formula>LEFT(F14,1)="❗"</formula>
    </cfRule>
    <cfRule type="expression" priority="95" dxfId="4">
      <formula>LEFT(F14,1)="⏰"</formula>
    </cfRule>
    <cfRule type="expression" priority="96" dxfId="5">
      <formula>LEFT(F14,1)="…"</formula>
    </cfRule>
  </conditionalFormatting>
  <conditionalFormatting sqref="G13">
    <cfRule type="expression" priority="97" dxfId="6" stopIfTrue="1">
      <formula>G13=TODAY()</formula>
    </cfRule>
  </conditionalFormatting>
  <conditionalFormatting sqref="G13:G19">
    <cfRule type="expression" priority="98" dxfId="7" stopIfTrue="1">
      <formula>MONTH(G$13)&lt;&gt;cal_m</formula>
    </cfRule>
  </conditionalFormatting>
  <conditionalFormatting sqref="G14:G19">
    <cfRule type="expression" priority="99" dxfId="8">
      <formula>G$13=TODAY()</formula>
    </cfRule>
    <cfRule type="expression" priority="100" dxfId="1">
      <formula>LEFT(G14,1)="✔"</formula>
    </cfRule>
    <cfRule type="expression" priority="101" dxfId="2">
      <formula>LEFT(G14,1)="✖"</formula>
    </cfRule>
    <cfRule type="expression" priority="102" dxfId="3">
      <formula>LEFT(G14,1)="❗"</formula>
    </cfRule>
    <cfRule type="expression" priority="103" dxfId="4">
      <formula>LEFT(G14,1)="⏰"</formula>
    </cfRule>
    <cfRule type="expression" priority="104" dxfId="5">
      <formula>LEFT(G14,1)="…"</formula>
    </cfRule>
  </conditionalFormatting>
  <conditionalFormatting sqref="H13">
    <cfRule type="expression" priority="105" dxfId="6" stopIfTrue="1">
      <formula>H13=TODAY()</formula>
    </cfRule>
  </conditionalFormatting>
  <conditionalFormatting sqref="H13:H19">
    <cfRule type="expression" priority="106" dxfId="7" stopIfTrue="1">
      <formula>MONTH(H$13)&lt;&gt;cal_m</formula>
    </cfRule>
  </conditionalFormatting>
  <conditionalFormatting sqref="H14:H19">
    <cfRule type="expression" priority="107" dxfId="8">
      <formula>H$13=TODAY()</formula>
    </cfRule>
    <cfRule type="expression" priority="108" dxfId="1">
      <formula>LEFT(H14,1)="✔"</formula>
    </cfRule>
    <cfRule type="expression" priority="109" dxfId="2">
      <formula>LEFT(H14,1)="✖"</formula>
    </cfRule>
    <cfRule type="expression" priority="110" dxfId="3">
      <formula>LEFT(H14,1)="❗"</formula>
    </cfRule>
    <cfRule type="expression" priority="111" dxfId="4">
      <formula>LEFT(H14,1)="⏰"</formula>
    </cfRule>
    <cfRule type="expression" priority="112" dxfId="5">
      <formula>LEFT(H14,1)="…"</formula>
    </cfRule>
  </conditionalFormatting>
  <conditionalFormatting sqref="B20">
    <cfRule type="expression" priority="113" dxfId="6" stopIfTrue="1">
      <formula>B20=TODAY()</formula>
    </cfRule>
  </conditionalFormatting>
  <conditionalFormatting sqref="B20:B26">
    <cfRule type="expression" priority="114" dxfId="7" stopIfTrue="1">
      <formula>MONTH(B$20)&lt;&gt;cal_m</formula>
    </cfRule>
  </conditionalFormatting>
  <conditionalFormatting sqref="B21:B26">
    <cfRule type="expression" priority="115" dxfId="8">
      <formula>B$20=TODAY()</formula>
    </cfRule>
    <cfRule type="expression" priority="116" dxfId="1">
      <formula>LEFT(B21,1)="✔"</formula>
    </cfRule>
    <cfRule type="expression" priority="117" dxfId="2">
      <formula>LEFT(B21,1)="✖"</formula>
    </cfRule>
    <cfRule type="expression" priority="118" dxfId="3">
      <formula>LEFT(B21,1)="❗"</formula>
    </cfRule>
    <cfRule type="expression" priority="119" dxfId="4">
      <formula>LEFT(B21,1)="⏰"</formula>
    </cfRule>
    <cfRule type="expression" priority="120" dxfId="5">
      <formula>LEFT(B21,1)="…"</formula>
    </cfRule>
  </conditionalFormatting>
  <conditionalFormatting sqref="C20">
    <cfRule type="expression" priority="121" dxfId="6" stopIfTrue="1">
      <formula>C20=TODAY()</formula>
    </cfRule>
  </conditionalFormatting>
  <conditionalFormatting sqref="C20:C26">
    <cfRule type="expression" priority="122" dxfId="7" stopIfTrue="1">
      <formula>MONTH(C$20)&lt;&gt;cal_m</formula>
    </cfRule>
  </conditionalFormatting>
  <conditionalFormatting sqref="C21:C26">
    <cfRule type="expression" priority="123" dxfId="8">
      <formula>C$20=TODAY()</formula>
    </cfRule>
    <cfRule type="expression" priority="124" dxfId="1">
      <formula>LEFT(C21,1)="✔"</formula>
    </cfRule>
    <cfRule type="expression" priority="125" dxfId="2">
      <formula>LEFT(C21,1)="✖"</formula>
    </cfRule>
    <cfRule type="expression" priority="126" dxfId="3">
      <formula>LEFT(C21,1)="❗"</formula>
    </cfRule>
    <cfRule type="expression" priority="127" dxfId="4">
      <formula>LEFT(C21,1)="⏰"</formula>
    </cfRule>
    <cfRule type="expression" priority="128" dxfId="5">
      <formula>LEFT(C21,1)="…"</formula>
    </cfRule>
  </conditionalFormatting>
  <conditionalFormatting sqref="D20">
    <cfRule type="expression" priority="129" dxfId="6" stopIfTrue="1">
      <formula>D20=TODAY()</formula>
    </cfRule>
  </conditionalFormatting>
  <conditionalFormatting sqref="D20:D26">
    <cfRule type="expression" priority="130" dxfId="7" stopIfTrue="1">
      <formula>MONTH(D$20)&lt;&gt;cal_m</formula>
    </cfRule>
  </conditionalFormatting>
  <conditionalFormatting sqref="D21:D26">
    <cfRule type="expression" priority="131" dxfId="8">
      <formula>D$20=TODAY()</formula>
    </cfRule>
    <cfRule type="expression" priority="132" dxfId="1">
      <formula>LEFT(D21,1)="✔"</formula>
    </cfRule>
    <cfRule type="expression" priority="133" dxfId="2">
      <formula>LEFT(D21,1)="✖"</formula>
    </cfRule>
    <cfRule type="expression" priority="134" dxfId="3">
      <formula>LEFT(D21,1)="❗"</formula>
    </cfRule>
    <cfRule type="expression" priority="135" dxfId="4">
      <formula>LEFT(D21,1)="⏰"</formula>
    </cfRule>
    <cfRule type="expression" priority="136" dxfId="5">
      <formula>LEFT(D21,1)="…"</formula>
    </cfRule>
  </conditionalFormatting>
  <conditionalFormatting sqref="E20">
    <cfRule type="expression" priority="137" dxfId="6" stopIfTrue="1">
      <formula>E20=TODAY()</formula>
    </cfRule>
  </conditionalFormatting>
  <conditionalFormatting sqref="E20:E26">
    <cfRule type="expression" priority="138" dxfId="7" stopIfTrue="1">
      <formula>MONTH(E$20)&lt;&gt;cal_m</formula>
    </cfRule>
  </conditionalFormatting>
  <conditionalFormatting sqref="E21:E26">
    <cfRule type="expression" priority="139" dxfId="8">
      <formula>E$20=TODAY()</formula>
    </cfRule>
    <cfRule type="expression" priority="140" dxfId="1">
      <formula>LEFT(E21,1)="✔"</formula>
    </cfRule>
    <cfRule type="expression" priority="141" dxfId="2">
      <formula>LEFT(E21,1)="✖"</formula>
    </cfRule>
    <cfRule type="expression" priority="142" dxfId="3">
      <formula>LEFT(E21,1)="❗"</formula>
    </cfRule>
    <cfRule type="expression" priority="143" dxfId="4">
      <formula>LEFT(E21,1)="⏰"</formula>
    </cfRule>
    <cfRule type="expression" priority="144" dxfId="5">
      <formula>LEFT(E21,1)="…"</formula>
    </cfRule>
  </conditionalFormatting>
  <conditionalFormatting sqref="F20">
    <cfRule type="expression" priority="145" dxfId="6" stopIfTrue="1">
      <formula>F20=TODAY()</formula>
    </cfRule>
  </conditionalFormatting>
  <conditionalFormatting sqref="F20:F26">
    <cfRule type="expression" priority="146" dxfId="7" stopIfTrue="1">
      <formula>MONTH(F$20)&lt;&gt;cal_m</formula>
    </cfRule>
  </conditionalFormatting>
  <conditionalFormatting sqref="F21:F26">
    <cfRule type="expression" priority="147" dxfId="8">
      <formula>F$20=TODAY()</formula>
    </cfRule>
    <cfRule type="expression" priority="148" dxfId="1">
      <formula>LEFT(F21,1)="✔"</formula>
    </cfRule>
    <cfRule type="expression" priority="149" dxfId="2">
      <formula>LEFT(F21,1)="✖"</formula>
    </cfRule>
    <cfRule type="expression" priority="150" dxfId="3">
      <formula>LEFT(F21,1)="❗"</formula>
    </cfRule>
    <cfRule type="expression" priority="151" dxfId="4">
      <formula>LEFT(F21,1)="⏰"</formula>
    </cfRule>
    <cfRule type="expression" priority="152" dxfId="5">
      <formula>LEFT(F21,1)="…"</formula>
    </cfRule>
  </conditionalFormatting>
  <conditionalFormatting sqref="G20">
    <cfRule type="expression" priority="153" dxfId="6" stopIfTrue="1">
      <formula>G20=TODAY()</formula>
    </cfRule>
  </conditionalFormatting>
  <conditionalFormatting sqref="G20:G26">
    <cfRule type="expression" priority="154" dxfId="7" stopIfTrue="1">
      <formula>MONTH(G$20)&lt;&gt;cal_m</formula>
    </cfRule>
  </conditionalFormatting>
  <conditionalFormatting sqref="G21:G26">
    <cfRule type="expression" priority="155" dxfId="8">
      <formula>G$20=TODAY()</formula>
    </cfRule>
    <cfRule type="expression" priority="156" dxfId="1">
      <formula>LEFT(G21,1)="✔"</formula>
    </cfRule>
    <cfRule type="expression" priority="157" dxfId="2">
      <formula>LEFT(G21,1)="✖"</formula>
    </cfRule>
    <cfRule type="expression" priority="158" dxfId="3">
      <formula>LEFT(G21,1)="❗"</formula>
    </cfRule>
    <cfRule type="expression" priority="159" dxfId="4">
      <formula>LEFT(G21,1)="⏰"</formula>
    </cfRule>
    <cfRule type="expression" priority="160" dxfId="5">
      <formula>LEFT(G21,1)="…"</formula>
    </cfRule>
  </conditionalFormatting>
  <conditionalFormatting sqref="H20">
    <cfRule type="expression" priority="161" dxfId="6" stopIfTrue="1">
      <formula>H20=TODAY()</formula>
    </cfRule>
  </conditionalFormatting>
  <conditionalFormatting sqref="H20:H26">
    <cfRule type="expression" priority="162" dxfId="7" stopIfTrue="1">
      <formula>MONTH(H$20)&lt;&gt;cal_m</formula>
    </cfRule>
  </conditionalFormatting>
  <conditionalFormatting sqref="H21:H26">
    <cfRule type="expression" priority="163" dxfId="8">
      <formula>H$20=TODAY()</formula>
    </cfRule>
    <cfRule type="expression" priority="164" dxfId="1">
      <formula>LEFT(H21,1)="✔"</formula>
    </cfRule>
    <cfRule type="expression" priority="165" dxfId="2">
      <formula>LEFT(H21,1)="✖"</formula>
    </cfRule>
    <cfRule type="expression" priority="166" dxfId="3">
      <formula>LEFT(H21,1)="❗"</formula>
    </cfRule>
    <cfRule type="expression" priority="167" dxfId="4">
      <formula>LEFT(H21,1)="⏰"</formula>
    </cfRule>
    <cfRule type="expression" priority="168" dxfId="5">
      <formula>LEFT(H21,1)="…"</formula>
    </cfRule>
  </conditionalFormatting>
  <conditionalFormatting sqref="B27">
    <cfRule type="expression" priority="169" dxfId="6" stopIfTrue="1">
      <formula>B27=TODAY()</formula>
    </cfRule>
  </conditionalFormatting>
  <conditionalFormatting sqref="B27:B33">
    <cfRule type="expression" priority="170" dxfId="7" stopIfTrue="1">
      <formula>MONTH(B$27)&lt;&gt;cal_m</formula>
    </cfRule>
  </conditionalFormatting>
  <conditionalFormatting sqref="B28:B33">
    <cfRule type="expression" priority="171" dxfId="8">
      <formula>B$27=TODAY()</formula>
    </cfRule>
    <cfRule type="expression" priority="172" dxfId="1">
      <formula>LEFT(B28,1)="✔"</formula>
    </cfRule>
    <cfRule type="expression" priority="173" dxfId="2">
      <formula>LEFT(B28,1)="✖"</formula>
    </cfRule>
    <cfRule type="expression" priority="174" dxfId="3">
      <formula>LEFT(B28,1)="❗"</formula>
    </cfRule>
    <cfRule type="expression" priority="175" dxfId="4">
      <formula>LEFT(B28,1)="⏰"</formula>
    </cfRule>
    <cfRule type="expression" priority="176" dxfId="5">
      <formula>LEFT(B28,1)="…"</formula>
    </cfRule>
  </conditionalFormatting>
  <conditionalFormatting sqref="C27">
    <cfRule type="expression" priority="177" dxfId="6" stopIfTrue="1">
      <formula>C27=TODAY()</formula>
    </cfRule>
  </conditionalFormatting>
  <conditionalFormatting sqref="C27:C33">
    <cfRule type="expression" priority="178" dxfId="7" stopIfTrue="1">
      <formula>MONTH(C$27)&lt;&gt;cal_m</formula>
    </cfRule>
  </conditionalFormatting>
  <conditionalFormatting sqref="C28:C33">
    <cfRule type="expression" priority="179" dxfId="8">
      <formula>C$27=TODAY()</formula>
    </cfRule>
    <cfRule type="expression" priority="180" dxfId="1">
      <formula>LEFT(C28,1)="✔"</formula>
    </cfRule>
    <cfRule type="expression" priority="181" dxfId="2">
      <formula>LEFT(C28,1)="✖"</formula>
    </cfRule>
    <cfRule type="expression" priority="182" dxfId="3">
      <formula>LEFT(C28,1)="❗"</formula>
    </cfRule>
    <cfRule type="expression" priority="183" dxfId="4">
      <formula>LEFT(C28,1)="⏰"</formula>
    </cfRule>
    <cfRule type="expression" priority="184" dxfId="5">
      <formula>LEFT(C28,1)="…"</formula>
    </cfRule>
  </conditionalFormatting>
  <conditionalFormatting sqref="D27">
    <cfRule type="expression" priority="185" dxfId="6" stopIfTrue="1">
      <formula>D27=TODAY()</formula>
    </cfRule>
  </conditionalFormatting>
  <conditionalFormatting sqref="D27:D33">
    <cfRule type="expression" priority="186" dxfId="7" stopIfTrue="1">
      <formula>MONTH(D$27)&lt;&gt;cal_m</formula>
    </cfRule>
  </conditionalFormatting>
  <conditionalFormatting sqref="D28:D33">
    <cfRule type="expression" priority="187" dxfId="8">
      <formula>D$27=TODAY()</formula>
    </cfRule>
    <cfRule type="expression" priority="188" dxfId="1">
      <formula>LEFT(D28,1)="✔"</formula>
    </cfRule>
    <cfRule type="expression" priority="189" dxfId="2">
      <formula>LEFT(D28,1)="✖"</formula>
    </cfRule>
    <cfRule type="expression" priority="190" dxfId="3">
      <formula>LEFT(D28,1)="❗"</formula>
    </cfRule>
    <cfRule type="expression" priority="191" dxfId="4">
      <formula>LEFT(D28,1)="⏰"</formula>
    </cfRule>
    <cfRule type="expression" priority="192" dxfId="5">
      <formula>LEFT(D28,1)="…"</formula>
    </cfRule>
  </conditionalFormatting>
  <conditionalFormatting sqref="E27">
    <cfRule type="expression" priority="193" dxfId="6" stopIfTrue="1">
      <formula>E27=TODAY()</formula>
    </cfRule>
  </conditionalFormatting>
  <conditionalFormatting sqref="E27:E33">
    <cfRule type="expression" priority="194" dxfId="7" stopIfTrue="1">
      <formula>MONTH(E$27)&lt;&gt;cal_m</formula>
    </cfRule>
  </conditionalFormatting>
  <conditionalFormatting sqref="E28:E33">
    <cfRule type="expression" priority="195" dxfId="8">
      <formula>E$27=TODAY()</formula>
    </cfRule>
    <cfRule type="expression" priority="196" dxfId="1">
      <formula>LEFT(E28,1)="✔"</formula>
    </cfRule>
    <cfRule type="expression" priority="197" dxfId="2">
      <formula>LEFT(E28,1)="✖"</formula>
    </cfRule>
    <cfRule type="expression" priority="198" dxfId="3">
      <formula>LEFT(E28,1)="❗"</formula>
    </cfRule>
    <cfRule type="expression" priority="199" dxfId="4">
      <formula>LEFT(E28,1)="⏰"</formula>
    </cfRule>
    <cfRule type="expression" priority="200" dxfId="5">
      <formula>LEFT(E28,1)="…"</formula>
    </cfRule>
  </conditionalFormatting>
  <conditionalFormatting sqref="F27">
    <cfRule type="expression" priority="201" dxfId="6" stopIfTrue="1">
      <formula>F27=TODAY()</formula>
    </cfRule>
  </conditionalFormatting>
  <conditionalFormatting sqref="F27:F33">
    <cfRule type="expression" priority="202" dxfId="7" stopIfTrue="1">
      <formula>MONTH(F$27)&lt;&gt;cal_m</formula>
    </cfRule>
  </conditionalFormatting>
  <conditionalFormatting sqref="F28:F33">
    <cfRule type="expression" priority="203" dxfId="8">
      <formula>F$27=TODAY()</formula>
    </cfRule>
    <cfRule type="expression" priority="204" dxfId="1">
      <formula>LEFT(F28,1)="✔"</formula>
    </cfRule>
    <cfRule type="expression" priority="205" dxfId="2">
      <formula>LEFT(F28,1)="✖"</formula>
    </cfRule>
    <cfRule type="expression" priority="206" dxfId="3">
      <formula>LEFT(F28,1)="❗"</formula>
    </cfRule>
    <cfRule type="expression" priority="207" dxfId="4">
      <formula>LEFT(F28,1)="⏰"</formula>
    </cfRule>
    <cfRule type="expression" priority="208" dxfId="5">
      <formula>LEFT(F28,1)="…"</formula>
    </cfRule>
  </conditionalFormatting>
  <conditionalFormatting sqref="G27">
    <cfRule type="expression" priority="209" dxfId="6" stopIfTrue="1">
      <formula>G27=TODAY()</formula>
    </cfRule>
  </conditionalFormatting>
  <conditionalFormatting sqref="G27:G33">
    <cfRule type="expression" priority="210" dxfId="7" stopIfTrue="1">
      <formula>MONTH(G$27)&lt;&gt;cal_m</formula>
    </cfRule>
  </conditionalFormatting>
  <conditionalFormatting sqref="G28:G33">
    <cfRule type="expression" priority="211" dxfId="8">
      <formula>G$27=TODAY()</formula>
    </cfRule>
    <cfRule type="expression" priority="212" dxfId="1">
      <formula>LEFT(G28,1)="✔"</formula>
    </cfRule>
    <cfRule type="expression" priority="213" dxfId="2">
      <formula>LEFT(G28,1)="✖"</formula>
    </cfRule>
    <cfRule type="expression" priority="214" dxfId="3">
      <formula>LEFT(G28,1)="❗"</formula>
    </cfRule>
    <cfRule type="expression" priority="215" dxfId="4">
      <formula>LEFT(G28,1)="⏰"</formula>
    </cfRule>
    <cfRule type="expression" priority="216" dxfId="5">
      <formula>LEFT(G28,1)="…"</formula>
    </cfRule>
  </conditionalFormatting>
  <conditionalFormatting sqref="H27">
    <cfRule type="expression" priority="217" dxfId="6" stopIfTrue="1">
      <formula>H27=TODAY()</formula>
    </cfRule>
  </conditionalFormatting>
  <conditionalFormatting sqref="H27:H33">
    <cfRule type="expression" priority="218" dxfId="7" stopIfTrue="1">
      <formula>MONTH(H$27)&lt;&gt;cal_m</formula>
    </cfRule>
  </conditionalFormatting>
  <conditionalFormatting sqref="H28:H33">
    <cfRule type="expression" priority="219" dxfId="8">
      <formula>H$27=TODAY()</formula>
    </cfRule>
    <cfRule type="expression" priority="220" dxfId="1">
      <formula>LEFT(H28,1)="✔"</formula>
    </cfRule>
    <cfRule type="expression" priority="221" dxfId="2">
      <formula>LEFT(H28,1)="✖"</formula>
    </cfRule>
    <cfRule type="expression" priority="222" dxfId="3">
      <formula>LEFT(H28,1)="❗"</formula>
    </cfRule>
    <cfRule type="expression" priority="223" dxfId="4">
      <formula>LEFT(H28,1)="⏰"</formula>
    </cfRule>
    <cfRule type="expression" priority="224" dxfId="5">
      <formula>LEFT(H28,1)="…"</formula>
    </cfRule>
  </conditionalFormatting>
  <conditionalFormatting sqref="B34">
    <cfRule type="expression" priority="225" dxfId="6" stopIfTrue="1">
      <formula>B34=TODAY()</formula>
    </cfRule>
  </conditionalFormatting>
  <conditionalFormatting sqref="B34:B40">
    <cfRule type="expression" priority="226" dxfId="7" stopIfTrue="1">
      <formula>MONTH(B$34)&lt;&gt;cal_m</formula>
    </cfRule>
  </conditionalFormatting>
  <conditionalFormatting sqref="B35:B40">
    <cfRule type="expression" priority="227" dxfId="8">
      <formula>B$34=TODAY()</formula>
    </cfRule>
    <cfRule type="expression" priority="228" dxfId="1">
      <formula>LEFT(B35,1)="✔"</formula>
    </cfRule>
    <cfRule type="expression" priority="229" dxfId="2">
      <formula>LEFT(B35,1)="✖"</formula>
    </cfRule>
    <cfRule type="expression" priority="230" dxfId="3">
      <formula>LEFT(B35,1)="❗"</formula>
    </cfRule>
    <cfRule type="expression" priority="231" dxfId="4">
      <formula>LEFT(B35,1)="⏰"</formula>
    </cfRule>
    <cfRule type="expression" priority="232" dxfId="5">
      <formula>LEFT(B35,1)="…"</formula>
    </cfRule>
  </conditionalFormatting>
  <conditionalFormatting sqref="C34">
    <cfRule type="expression" priority="233" dxfId="6" stopIfTrue="1">
      <formula>C34=TODAY()</formula>
    </cfRule>
  </conditionalFormatting>
  <conditionalFormatting sqref="C34:C40">
    <cfRule type="expression" priority="234" dxfId="7" stopIfTrue="1">
      <formula>MONTH(C$34)&lt;&gt;cal_m</formula>
    </cfRule>
  </conditionalFormatting>
  <conditionalFormatting sqref="C35:C40">
    <cfRule type="expression" priority="235" dxfId="8">
      <formula>C$34=TODAY()</formula>
    </cfRule>
    <cfRule type="expression" priority="236" dxfId="1">
      <formula>LEFT(C35,1)="✔"</formula>
    </cfRule>
    <cfRule type="expression" priority="237" dxfId="2">
      <formula>LEFT(C35,1)="✖"</formula>
    </cfRule>
    <cfRule type="expression" priority="238" dxfId="3">
      <formula>LEFT(C35,1)="❗"</formula>
    </cfRule>
    <cfRule type="expression" priority="239" dxfId="4">
      <formula>LEFT(C35,1)="⏰"</formula>
    </cfRule>
    <cfRule type="expression" priority="240" dxfId="5">
      <formula>LEFT(C35,1)="…"</formula>
    </cfRule>
  </conditionalFormatting>
  <conditionalFormatting sqref="D34">
    <cfRule type="expression" priority="241" dxfId="6" stopIfTrue="1">
      <formula>D34=TODAY()</formula>
    </cfRule>
  </conditionalFormatting>
  <conditionalFormatting sqref="D34:D40">
    <cfRule type="expression" priority="242" dxfId="7" stopIfTrue="1">
      <formula>MONTH(D$34)&lt;&gt;cal_m</formula>
    </cfRule>
  </conditionalFormatting>
  <conditionalFormatting sqref="D35:D40">
    <cfRule type="expression" priority="243" dxfId="8">
      <formula>D$34=TODAY()</formula>
    </cfRule>
    <cfRule type="expression" priority="244" dxfId="1">
      <formula>LEFT(D35,1)="✔"</formula>
    </cfRule>
    <cfRule type="expression" priority="245" dxfId="2">
      <formula>LEFT(D35,1)="✖"</formula>
    </cfRule>
    <cfRule type="expression" priority="246" dxfId="3">
      <formula>LEFT(D35,1)="❗"</formula>
    </cfRule>
    <cfRule type="expression" priority="247" dxfId="4">
      <formula>LEFT(D35,1)="⏰"</formula>
    </cfRule>
    <cfRule type="expression" priority="248" dxfId="5">
      <formula>LEFT(D35,1)="…"</formula>
    </cfRule>
  </conditionalFormatting>
  <conditionalFormatting sqref="E34">
    <cfRule type="expression" priority="249" dxfId="6" stopIfTrue="1">
      <formula>E34=TODAY()</formula>
    </cfRule>
  </conditionalFormatting>
  <conditionalFormatting sqref="E34:E40">
    <cfRule type="expression" priority="250" dxfId="7" stopIfTrue="1">
      <formula>MONTH(E$34)&lt;&gt;cal_m</formula>
    </cfRule>
  </conditionalFormatting>
  <conditionalFormatting sqref="E35:E40">
    <cfRule type="expression" priority="251" dxfId="8">
      <formula>E$34=TODAY()</formula>
    </cfRule>
    <cfRule type="expression" priority="252" dxfId="1">
      <formula>LEFT(E35,1)="✔"</formula>
    </cfRule>
    <cfRule type="expression" priority="253" dxfId="2">
      <formula>LEFT(E35,1)="✖"</formula>
    </cfRule>
    <cfRule type="expression" priority="254" dxfId="3">
      <formula>LEFT(E35,1)="❗"</formula>
    </cfRule>
    <cfRule type="expression" priority="255" dxfId="4">
      <formula>LEFT(E35,1)="⏰"</formula>
    </cfRule>
    <cfRule type="expression" priority="256" dxfId="5">
      <formula>LEFT(E35,1)="…"</formula>
    </cfRule>
  </conditionalFormatting>
  <conditionalFormatting sqref="F34">
    <cfRule type="expression" priority="257" dxfId="6" stopIfTrue="1">
      <formula>F34=TODAY()</formula>
    </cfRule>
  </conditionalFormatting>
  <conditionalFormatting sqref="F34:F40">
    <cfRule type="expression" priority="258" dxfId="7" stopIfTrue="1">
      <formula>MONTH(F$34)&lt;&gt;cal_m</formula>
    </cfRule>
  </conditionalFormatting>
  <conditionalFormatting sqref="F35:F40">
    <cfRule type="expression" priority="259" dxfId="8">
      <formula>F$34=TODAY()</formula>
    </cfRule>
    <cfRule type="expression" priority="260" dxfId="1">
      <formula>LEFT(F35,1)="✔"</formula>
    </cfRule>
    <cfRule type="expression" priority="261" dxfId="2">
      <formula>LEFT(F35,1)="✖"</formula>
    </cfRule>
    <cfRule type="expression" priority="262" dxfId="3">
      <formula>LEFT(F35,1)="❗"</formula>
    </cfRule>
    <cfRule type="expression" priority="263" dxfId="4">
      <formula>LEFT(F35,1)="⏰"</formula>
    </cfRule>
    <cfRule type="expression" priority="264" dxfId="5">
      <formula>LEFT(F35,1)="…"</formula>
    </cfRule>
  </conditionalFormatting>
  <conditionalFormatting sqref="G34">
    <cfRule type="expression" priority="265" dxfId="6" stopIfTrue="1">
      <formula>G34=TODAY()</formula>
    </cfRule>
  </conditionalFormatting>
  <conditionalFormatting sqref="G34:G40">
    <cfRule type="expression" priority="266" dxfId="7" stopIfTrue="1">
      <formula>MONTH(G$34)&lt;&gt;cal_m</formula>
    </cfRule>
  </conditionalFormatting>
  <conditionalFormatting sqref="G35:G40">
    <cfRule type="expression" priority="267" dxfId="8">
      <formula>G$34=TODAY()</formula>
    </cfRule>
    <cfRule type="expression" priority="268" dxfId="1">
      <formula>LEFT(G35,1)="✔"</formula>
    </cfRule>
    <cfRule type="expression" priority="269" dxfId="2">
      <formula>LEFT(G35,1)="✖"</formula>
    </cfRule>
    <cfRule type="expression" priority="270" dxfId="3">
      <formula>LEFT(G35,1)="❗"</formula>
    </cfRule>
    <cfRule type="expression" priority="271" dxfId="4">
      <formula>LEFT(G35,1)="⏰"</formula>
    </cfRule>
    <cfRule type="expression" priority="272" dxfId="5">
      <formula>LEFT(G35,1)="…"</formula>
    </cfRule>
  </conditionalFormatting>
  <conditionalFormatting sqref="H34">
    <cfRule type="expression" priority="273" dxfId="6" stopIfTrue="1">
      <formula>H34=TODAY()</formula>
    </cfRule>
  </conditionalFormatting>
  <conditionalFormatting sqref="H34:H40">
    <cfRule type="expression" priority="274" dxfId="7" stopIfTrue="1">
      <formula>MONTH(H$34)&lt;&gt;cal_m</formula>
    </cfRule>
  </conditionalFormatting>
  <conditionalFormatting sqref="H35:H40">
    <cfRule type="expression" priority="275" dxfId="8">
      <formula>H$34=TODAY()</formula>
    </cfRule>
    <cfRule type="expression" priority="276" dxfId="1">
      <formula>LEFT(H35,1)="✔"</formula>
    </cfRule>
    <cfRule type="expression" priority="277" dxfId="2">
      <formula>LEFT(H35,1)="✖"</formula>
    </cfRule>
    <cfRule type="expression" priority="278" dxfId="3">
      <formula>LEFT(H35,1)="❗"</formula>
    </cfRule>
    <cfRule type="expression" priority="279" dxfId="4">
      <formula>LEFT(H35,1)="⏰"</formula>
    </cfRule>
    <cfRule type="expression" priority="280" dxfId="5">
      <formula>LEFT(H35,1)="…"</formula>
    </cfRule>
  </conditionalFormatting>
  <conditionalFormatting sqref="B41">
    <cfRule type="expression" priority="281" dxfId="6" stopIfTrue="1">
      <formula>B41=TODAY()</formula>
    </cfRule>
  </conditionalFormatting>
  <conditionalFormatting sqref="B41:B47">
    <cfRule type="expression" priority="282" dxfId="7" stopIfTrue="1">
      <formula>MONTH(B$41)&lt;&gt;cal_m</formula>
    </cfRule>
  </conditionalFormatting>
  <conditionalFormatting sqref="B42:B47">
    <cfRule type="expression" priority="283" dxfId="8">
      <formula>B$41=TODAY()</formula>
    </cfRule>
    <cfRule type="expression" priority="284" dxfId="1">
      <formula>LEFT(B42,1)="✔"</formula>
    </cfRule>
    <cfRule type="expression" priority="285" dxfId="2">
      <formula>LEFT(B42,1)="✖"</formula>
    </cfRule>
    <cfRule type="expression" priority="286" dxfId="3">
      <formula>LEFT(B42,1)="❗"</formula>
    </cfRule>
    <cfRule type="expression" priority="287" dxfId="4">
      <formula>LEFT(B42,1)="⏰"</formula>
    </cfRule>
    <cfRule type="expression" priority="288" dxfId="5">
      <formula>LEFT(B42,1)="…"</formula>
    </cfRule>
  </conditionalFormatting>
  <conditionalFormatting sqref="C41">
    <cfRule type="expression" priority="289" dxfId="6" stopIfTrue="1">
      <formula>C41=TODAY()</formula>
    </cfRule>
  </conditionalFormatting>
  <conditionalFormatting sqref="C41:C47">
    <cfRule type="expression" priority="290" dxfId="7" stopIfTrue="1">
      <formula>MONTH(C$41)&lt;&gt;cal_m</formula>
    </cfRule>
  </conditionalFormatting>
  <conditionalFormatting sqref="C42:C47">
    <cfRule type="expression" priority="291" dxfId="8">
      <formula>C$41=TODAY()</formula>
    </cfRule>
    <cfRule type="expression" priority="292" dxfId="1">
      <formula>LEFT(C42,1)="✔"</formula>
    </cfRule>
    <cfRule type="expression" priority="293" dxfId="2">
      <formula>LEFT(C42,1)="✖"</formula>
    </cfRule>
    <cfRule type="expression" priority="294" dxfId="3">
      <formula>LEFT(C42,1)="❗"</formula>
    </cfRule>
    <cfRule type="expression" priority="295" dxfId="4">
      <formula>LEFT(C42,1)="⏰"</formula>
    </cfRule>
    <cfRule type="expression" priority="296" dxfId="5">
      <formula>LEFT(C42,1)="…"</formula>
    </cfRule>
  </conditionalFormatting>
  <conditionalFormatting sqref="D41">
    <cfRule type="expression" priority="297" dxfId="6" stopIfTrue="1">
      <formula>D41=TODAY()</formula>
    </cfRule>
  </conditionalFormatting>
  <conditionalFormatting sqref="D41:D47">
    <cfRule type="expression" priority="298" dxfId="7" stopIfTrue="1">
      <formula>MONTH(D$41)&lt;&gt;cal_m</formula>
    </cfRule>
  </conditionalFormatting>
  <conditionalFormatting sqref="D42:D47">
    <cfRule type="expression" priority="299" dxfId="8">
      <formula>D$41=TODAY()</formula>
    </cfRule>
    <cfRule type="expression" priority="300" dxfId="1">
      <formula>LEFT(D42,1)="✔"</formula>
    </cfRule>
    <cfRule type="expression" priority="301" dxfId="2">
      <formula>LEFT(D42,1)="✖"</formula>
    </cfRule>
    <cfRule type="expression" priority="302" dxfId="3">
      <formula>LEFT(D42,1)="❗"</formula>
    </cfRule>
    <cfRule type="expression" priority="303" dxfId="4">
      <formula>LEFT(D42,1)="⏰"</formula>
    </cfRule>
    <cfRule type="expression" priority="304" dxfId="5">
      <formula>LEFT(D42,1)="…"</formula>
    </cfRule>
  </conditionalFormatting>
  <conditionalFormatting sqref="E41">
    <cfRule type="expression" priority="305" dxfId="6" stopIfTrue="1">
      <formula>E41=TODAY()</formula>
    </cfRule>
  </conditionalFormatting>
  <conditionalFormatting sqref="E41:E47">
    <cfRule type="expression" priority="306" dxfId="7" stopIfTrue="1">
      <formula>MONTH(E$41)&lt;&gt;cal_m</formula>
    </cfRule>
  </conditionalFormatting>
  <conditionalFormatting sqref="E42:E47">
    <cfRule type="expression" priority="307" dxfId="8">
      <formula>E$41=TODAY()</formula>
    </cfRule>
    <cfRule type="expression" priority="308" dxfId="1">
      <formula>LEFT(E42,1)="✔"</formula>
    </cfRule>
    <cfRule type="expression" priority="309" dxfId="2">
      <formula>LEFT(E42,1)="✖"</formula>
    </cfRule>
    <cfRule type="expression" priority="310" dxfId="3">
      <formula>LEFT(E42,1)="❗"</formula>
    </cfRule>
    <cfRule type="expression" priority="311" dxfId="4">
      <formula>LEFT(E42,1)="⏰"</formula>
    </cfRule>
    <cfRule type="expression" priority="312" dxfId="5">
      <formula>LEFT(E42,1)="…"</formula>
    </cfRule>
  </conditionalFormatting>
  <conditionalFormatting sqref="F41">
    <cfRule type="expression" priority="313" dxfId="6" stopIfTrue="1">
      <formula>F41=TODAY()</formula>
    </cfRule>
  </conditionalFormatting>
  <conditionalFormatting sqref="F41:F47">
    <cfRule type="expression" priority="314" dxfId="7" stopIfTrue="1">
      <formula>MONTH(F$41)&lt;&gt;cal_m</formula>
    </cfRule>
  </conditionalFormatting>
  <conditionalFormatting sqref="F42:F47">
    <cfRule type="expression" priority="315" dxfId="8">
      <formula>F$41=TODAY()</formula>
    </cfRule>
    <cfRule type="expression" priority="316" dxfId="1">
      <formula>LEFT(F42,1)="✔"</formula>
    </cfRule>
    <cfRule type="expression" priority="317" dxfId="2">
      <formula>LEFT(F42,1)="✖"</formula>
    </cfRule>
    <cfRule type="expression" priority="318" dxfId="3">
      <formula>LEFT(F42,1)="❗"</formula>
    </cfRule>
    <cfRule type="expression" priority="319" dxfId="4">
      <formula>LEFT(F42,1)="⏰"</formula>
    </cfRule>
    <cfRule type="expression" priority="320" dxfId="5">
      <formula>LEFT(F42,1)="…"</formula>
    </cfRule>
  </conditionalFormatting>
  <conditionalFormatting sqref="G41">
    <cfRule type="expression" priority="321" dxfId="6" stopIfTrue="1">
      <formula>G41=TODAY()</formula>
    </cfRule>
  </conditionalFormatting>
  <conditionalFormatting sqref="G41:G47">
    <cfRule type="expression" priority="322" dxfId="7" stopIfTrue="1">
      <formula>MONTH(G$41)&lt;&gt;cal_m</formula>
    </cfRule>
  </conditionalFormatting>
  <conditionalFormatting sqref="G42:G47">
    <cfRule type="expression" priority="323" dxfId="8">
      <formula>G$41=TODAY()</formula>
    </cfRule>
    <cfRule type="expression" priority="324" dxfId="1">
      <formula>LEFT(G42,1)="✔"</formula>
    </cfRule>
    <cfRule type="expression" priority="325" dxfId="2">
      <formula>LEFT(G42,1)="✖"</formula>
    </cfRule>
    <cfRule type="expression" priority="326" dxfId="3">
      <formula>LEFT(G42,1)="❗"</formula>
    </cfRule>
    <cfRule type="expression" priority="327" dxfId="4">
      <formula>LEFT(G42,1)="⏰"</formula>
    </cfRule>
    <cfRule type="expression" priority="328" dxfId="5">
      <formula>LEFT(G42,1)="…"</formula>
    </cfRule>
  </conditionalFormatting>
  <conditionalFormatting sqref="H41">
    <cfRule type="expression" priority="329" dxfId="6" stopIfTrue="1">
      <formula>H41=TODAY()</formula>
    </cfRule>
  </conditionalFormatting>
  <conditionalFormatting sqref="H41:H47">
    <cfRule type="expression" priority="330" dxfId="7" stopIfTrue="1">
      <formula>MONTH(H$41)&lt;&gt;cal_m</formula>
    </cfRule>
  </conditionalFormatting>
  <conditionalFormatting sqref="H42:H47">
    <cfRule type="expression" priority="331" dxfId="8">
      <formula>H$41=TODAY()</formula>
    </cfRule>
    <cfRule type="expression" priority="332" dxfId="1">
      <formula>LEFT(H42,1)="✔"</formula>
    </cfRule>
    <cfRule type="expression" priority="333" dxfId="2">
      <formula>LEFT(H42,1)="✖"</formula>
    </cfRule>
    <cfRule type="expression" priority="334" dxfId="3">
      <formula>LEFT(H42,1)="❗"</formula>
    </cfRule>
    <cfRule type="expression" priority="335" dxfId="4">
      <formula>LEFT(H42,1)="⏰"</formula>
    </cfRule>
    <cfRule type="expression" priority="336" dxfId="5">
      <formula>LEFT(H42,1)="…"</formula>
    </cfRule>
  </conditionalFormatting>
  <conditionalFormatting sqref="K9">
    <cfRule type="dataBar" priority="337">
      <dataBar>
        <cfvo type="num" val="0"/>
        <cfvo type="num" val="1"/>
        <color rgb="002E9E5B"/>
      </dataBar>
    </cfRule>
  </conditionalFormatting>
  <conditionalFormatting sqref="K10">
    <cfRule type="cellIs" priority="338" operator="greaterThan" dxfId="3">
      <formula>0</formula>
    </cfRule>
  </conditionalFormatting>
  <dataValidations count="2">
    <dataValidation sqref="C3" showDropDown="0" showInputMessage="1" showErrorMessage="1" allowBlank="1" errorTitle="Значение не из справочника" error="Выберите значение из списка (его можно дополнить в листе «📚 Справочник»)" prompt="Год (пусто = текущий)" type="list">
      <formula1>'📚 Справочник'!$K$5:$K$9</formula1>
    </dataValidation>
    <dataValidation sqref="E3" showDropDown="0" showInputMessage="1" showErrorMessage="1" allowBlank="1" errorTitle="Значение не из справочника" error="Выберите значение из списка (его можно дополнить в листе «📚 Справочник»)" prompt="Месяц (пусто = текущий)" type="list">
      <formula1>'📚 Справочник'!$L$5:$L$16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62839"/>
    <outlinePr summaryBelow="1" summaryRight="1"/>
    <pageSetUpPr/>
  </sheetPr>
  <dimension ref="A1:M10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16" customWidth="1" min="4" max="4"/>
    <col width="13" customWidth="1" min="5" max="5"/>
    <col width="12" customWidth="1" min="6" max="6"/>
    <col width="15" customWidth="1" min="7" max="7"/>
    <col width="12" customWidth="1" min="8" max="8"/>
    <col width="28" customWidth="1" min="9" max="9"/>
    <col width="16" customWidth="1" min="10" max="10"/>
    <col hidden="1" width="8" customWidth="1" min="11" max="11"/>
    <col hidden="1" width="8" customWidth="1" min="12" max="12"/>
    <col hidden="1" width="8" customWidth="1" min="13" max="13"/>
  </cols>
  <sheetData>
    <row r="1" ht="36" customHeight="1">
      <c r="A1" s="46" t="inlineStr">
        <is>
          <t>✅ Задачи — список дел и отметка выполнения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</row>
    <row r="2" ht="30" customHeight="1">
      <c r="A2" s="3" t="inlineStr">
        <is>
          <t>Одна строка = одна задача. Заполните название, группу, категорию, приоритет и срок. Выполнили — поставьте статус «✅ Выполнена» (строка зачеркнётся) и по желанию дату выполнения. Задачи со сроком сами появляются в календаре.</t>
        </is>
      </c>
    </row>
    <row r="4" ht="34" customHeight="1">
      <c r="A4" s="48" t="inlineStr">
        <is>
          <t>№</t>
        </is>
      </c>
      <c r="B4" s="48" t="inlineStr">
        <is>
          <t>✏️ Задача</t>
        </is>
      </c>
      <c r="C4" s="48" t="inlineStr">
        <is>
          <t>🗂 Группа</t>
        </is>
      </c>
      <c r="D4" s="48" t="inlineStr">
        <is>
          <t>🏷 Категория</t>
        </is>
      </c>
      <c r="E4" s="48" t="inlineStr">
        <is>
          <t>🎯 Приоритет</t>
        </is>
      </c>
      <c r="F4" s="48" t="inlineStr">
        <is>
          <t>📅 Срок</t>
        </is>
      </c>
      <c r="G4" s="48" t="inlineStr">
        <is>
          <t>🚦 Статус</t>
        </is>
      </c>
      <c r="H4" s="48" t="inlineStr">
        <is>
          <t>🏁 Выполнена
(дата)</t>
        </is>
      </c>
      <c r="I4" s="48" t="inlineStr">
        <is>
          <t>💬 Заметки</t>
        </is>
      </c>
      <c r="J4" s="48" t="inlineStr">
        <is>
          <t>⏰ Сроки</t>
        </is>
      </c>
      <c r="K4" s="48" t="inlineStr">
        <is>
          <t>служ. подпись</t>
        </is>
      </c>
      <c r="L4" s="48" t="inlineStr">
        <is>
          <t>служ. ключ</t>
        </is>
      </c>
      <c r="M4" s="48" t="inlineStr">
        <is>
          <t>служ. просрочка</t>
        </is>
      </c>
    </row>
    <row r="5">
      <c r="A5" s="49">
        <f>IF(B5="","",COUNTA($B$5:B5))</f>
        <v/>
      </c>
      <c r="B5" s="50" t="inlineStr">
        <is>
          <t>Сдать квартальный отчёт</t>
        </is>
      </c>
      <c r="C5" s="51" t="inlineStr">
        <is>
          <t>💼 Работа</t>
        </is>
      </c>
      <c r="D5" s="51" t="inlineStr">
        <is>
          <t>📝 Документы</t>
        </is>
      </c>
      <c r="E5" s="52" t="inlineStr">
        <is>
          <t>🔥 Высокий</t>
        </is>
      </c>
      <c r="F5" s="53" t="n">
        <v>46296</v>
      </c>
      <c r="G5" s="51" t="inlineStr">
        <is>
          <t>🔄 В работе</t>
        </is>
      </c>
      <c r="H5" s="53" t="n"/>
      <c r="I5" s="51" t="n"/>
      <c r="J5" s="54">
        <f>IF(OR(B5="",F5="",NOT(AND(G5&lt;&gt;"✅ Выполнена",G5&lt;&gt;"❌ Отменена"))),"",IF(F5&lt;TODAY(),"❗ просрочено "&amp;(TODAY()-F5)&amp;" дн.",IF(F5=TODAY(),"🔥 сегодня",IF(F5-TODAY()&lt;=3,"⏳ через "&amp;(F5-TODAY())&amp;" дн.",""))))</f>
        <v/>
      </c>
      <c r="K5" s="54">
        <f>IF(B5="","",IF(G5="✅ Выполнена","✔ ",IF(G5="❌ Отменена","✖ ",IF(AND(F5&lt;&gt;"",F5&lt;TODAY()),"❗ ","☐ ")))&amp;B5&amp;IF(E5="🔥 Высокий"," 🔥",""))</f>
        <v/>
      </c>
      <c r="L5" s="54">
        <f>IF(OR(B5="",F5="",G5="❌ Отменена"),"",F5&amp;"#"&amp;COUNTIFS($F$5:F5,F5,$B$5:B5,"?*",$G$5:G5,"&lt;&gt;❌ Отменена"))</f>
        <v/>
      </c>
      <c r="M5" s="54">
        <f>IF(AND(B5&lt;&gt;"",F5&lt;&gt;"",F5&lt;TODAY(),AND(G5&lt;&gt;"✅ Выполнена",G5&lt;&gt;"❌ Отменена")),MAX($M$4:M4)+1,"")</f>
        <v/>
      </c>
    </row>
    <row r="6">
      <c r="A6" s="49">
        <f>IF(B6="","",COUNTA($B$5:B6))</f>
        <v/>
      </c>
      <c r="B6" s="50" t="inlineStr">
        <is>
          <t>Позвонить маме</t>
        </is>
      </c>
      <c r="C6" s="51" t="inlineStr">
        <is>
          <t>👪 Семья и друзья</t>
        </is>
      </c>
      <c r="D6" s="51" t="inlineStr">
        <is>
          <t>📞 Звонок</t>
        </is>
      </c>
      <c r="E6" s="52" t="inlineStr">
        <is>
          <t>⭐ Средний</t>
        </is>
      </c>
      <c r="F6" s="53" t="n">
        <v>46299</v>
      </c>
      <c r="G6" s="51" t="inlineStr">
        <is>
          <t>✅ Выполнена</t>
        </is>
      </c>
      <c r="H6" s="53" t="n">
        <v>46299</v>
      </c>
      <c r="I6" s="51" t="n"/>
      <c r="J6" s="54">
        <f>IF(OR(B6="",F6="",NOT(AND(G6&lt;&gt;"✅ Выполнена",G6&lt;&gt;"❌ Отменена"))),"",IF(F6&lt;TODAY(),"❗ просрочено "&amp;(TODAY()-F6)&amp;" дн.",IF(F6=TODAY(),"🔥 сегодня",IF(F6-TODAY()&lt;=3,"⏳ через "&amp;(F6-TODAY())&amp;" дн.",""))))</f>
        <v/>
      </c>
      <c r="K6" s="54">
        <f>IF(B6="","",IF(G6="✅ Выполнена","✔ ",IF(G6="❌ Отменена","✖ ",IF(AND(F6&lt;&gt;"",F6&lt;TODAY()),"❗ ","☐ ")))&amp;B6&amp;IF(E6="🔥 Высокий"," 🔥",""))</f>
        <v/>
      </c>
      <c r="L6" s="54">
        <f>IF(OR(B6="",F6="",G6="❌ Отменена"),"",F6&amp;"#"&amp;COUNTIFS($F$5:F6,F6,$B$5:B6,"?*",$G$5:G6,"&lt;&gt;❌ Отменена"))</f>
        <v/>
      </c>
      <c r="M6" s="54">
        <f>IF(AND(B6&lt;&gt;"",F6&lt;&gt;"",F6&lt;TODAY(),AND(G6&lt;&gt;"✅ Выполнена",G6&lt;&gt;"❌ Отменена")),MAX($M$4:M5)+1,"")</f>
        <v/>
      </c>
    </row>
    <row r="7">
      <c r="A7" s="49">
        <f>IF(B7="","",COUNTA($B$5:B7))</f>
        <v/>
      </c>
      <c r="B7" s="50" t="inlineStr">
        <is>
          <t>Оплатить коммуналку</t>
        </is>
      </c>
      <c r="C7" s="51" t="inlineStr">
        <is>
          <t>💰 Финансы</t>
        </is>
      </c>
      <c r="D7" s="51" t="inlineStr">
        <is>
          <t>📌 Задача</t>
        </is>
      </c>
      <c r="E7" s="52" t="inlineStr">
        <is>
          <t>🔥 Высокий</t>
        </is>
      </c>
      <c r="F7" s="53" t="n">
        <v>46300</v>
      </c>
      <c r="G7" s="51" t="inlineStr">
        <is>
          <t>⏳ Не начата</t>
        </is>
      </c>
      <c r="H7" s="53" t="n"/>
      <c r="I7" s="51" t="n"/>
      <c r="J7" s="54">
        <f>IF(OR(B7="",F7="",NOT(AND(G7&lt;&gt;"✅ Выполнена",G7&lt;&gt;"❌ Отменена"))),"",IF(F7&lt;TODAY(),"❗ просрочено "&amp;(TODAY()-F7)&amp;" дн.",IF(F7=TODAY(),"🔥 сегодня",IF(F7-TODAY()&lt;=3,"⏳ через "&amp;(F7-TODAY())&amp;" дн.",""))))</f>
        <v/>
      </c>
      <c r="K7" s="54">
        <f>IF(B7="","",IF(G7="✅ Выполнена","✔ ",IF(G7="❌ Отменена","✖ ",IF(AND(F7&lt;&gt;"",F7&lt;TODAY()),"❗ ","☐ ")))&amp;B7&amp;IF(E7="🔥 Высокий"," 🔥",""))</f>
        <v/>
      </c>
      <c r="L7" s="54">
        <f>IF(OR(B7="",F7="",G7="❌ Отменена"),"",F7&amp;"#"&amp;COUNTIFS($F$5:F7,F7,$B$5:B7,"?*",$G$5:G7,"&lt;&gt;❌ Отменена"))</f>
        <v/>
      </c>
      <c r="M7" s="54">
        <f>IF(AND(B7&lt;&gt;"",F7&lt;&gt;"",F7&lt;TODAY(),AND(G7&lt;&gt;"✅ Выполнена",G7&lt;&gt;"❌ Отменена")),MAX($M$4:M6)+1,"")</f>
        <v/>
      </c>
    </row>
    <row r="8">
      <c r="A8" s="49">
        <f>IF(B8="","",COUNTA($B$5:B8))</f>
        <v/>
      </c>
      <c r="B8" s="50" t="inlineStr">
        <is>
          <t>Купить подарок другу</t>
        </is>
      </c>
      <c r="C8" s="51" t="inlineStr">
        <is>
          <t>👪 Семья и друзья</t>
        </is>
      </c>
      <c r="D8" s="51" t="inlineStr">
        <is>
          <t>🛒 Покупка</t>
        </is>
      </c>
      <c r="E8" s="52" t="inlineStr">
        <is>
          <t>⭐ Средний</t>
        </is>
      </c>
      <c r="F8" s="53" t="n">
        <v>46302</v>
      </c>
      <c r="G8" s="51" t="inlineStr">
        <is>
          <t>⏳ Не начата</t>
        </is>
      </c>
      <c r="H8" s="53" t="n"/>
      <c r="I8" s="51" t="n"/>
      <c r="J8" s="54">
        <f>IF(OR(B8="",F8="",NOT(AND(G8&lt;&gt;"✅ Выполнена",G8&lt;&gt;"❌ Отменена"))),"",IF(F8&lt;TODAY(),"❗ просрочено "&amp;(TODAY()-F8)&amp;" дн.",IF(F8=TODAY(),"🔥 сегодня",IF(F8-TODAY()&lt;=3,"⏳ через "&amp;(F8-TODAY())&amp;" дн.",""))))</f>
        <v/>
      </c>
      <c r="K8" s="54">
        <f>IF(B8="","",IF(G8="✅ Выполнена","✔ ",IF(G8="❌ Отменена","✖ ",IF(AND(F8&lt;&gt;"",F8&lt;TODAY()),"❗ ","☐ ")))&amp;B8&amp;IF(E8="🔥 Высокий"," 🔥",""))</f>
        <v/>
      </c>
      <c r="L8" s="54">
        <f>IF(OR(B8="",F8="",G8="❌ Отменена"),"",F8&amp;"#"&amp;COUNTIFS($F$5:F8,F8,$B$5:B8,"?*",$G$5:G8,"&lt;&gt;❌ Отменена"))</f>
        <v/>
      </c>
      <c r="M8" s="54">
        <f>IF(AND(B8&lt;&gt;"",F8&lt;&gt;"",F8&lt;TODAY(),AND(G8&lt;&gt;"✅ Выполнена",G8&lt;&gt;"❌ Отменена")),MAX($M$4:M7)+1,"")</f>
        <v/>
      </c>
    </row>
    <row r="9">
      <c r="A9" s="49">
        <f>IF(B9="","",COUNTA($B$5:B9))</f>
        <v/>
      </c>
      <c r="B9" s="50" t="inlineStr">
        <is>
          <t>Записаться к стоматологу</t>
        </is>
      </c>
      <c r="C9" s="51" t="inlineStr">
        <is>
          <t>💪 Спорт и здоровье</t>
        </is>
      </c>
      <c r="D9" s="51" t="inlineStr">
        <is>
          <t>📞 Звонок</t>
        </is>
      </c>
      <c r="E9" s="52" t="inlineStr">
        <is>
          <t>⭐ Средний</t>
        </is>
      </c>
      <c r="F9" s="53" t="n">
        <v>46301</v>
      </c>
      <c r="G9" s="51" t="inlineStr">
        <is>
          <t>⏳ Не начата</t>
        </is>
      </c>
      <c r="H9" s="53" t="n"/>
      <c r="I9" s="51" t="n"/>
      <c r="J9" s="54">
        <f>IF(OR(B9="",F9="",NOT(AND(G9&lt;&gt;"✅ Выполнена",G9&lt;&gt;"❌ Отменена"))),"",IF(F9&lt;TODAY(),"❗ просрочено "&amp;(TODAY()-F9)&amp;" дн.",IF(F9=TODAY(),"🔥 сегодня",IF(F9-TODAY()&lt;=3,"⏳ через "&amp;(F9-TODAY())&amp;" дн.",""))))</f>
        <v/>
      </c>
      <c r="K9" s="54">
        <f>IF(B9="","",IF(G9="✅ Выполнена","✔ ",IF(G9="❌ Отменена","✖ ",IF(AND(F9&lt;&gt;"",F9&lt;TODAY()),"❗ ","☐ ")))&amp;B9&amp;IF(E9="🔥 Высокий"," 🔥",""))</f>
        <v/>
      </c>
      <c r="L9" s="54">
        <f>IF(OR(B9="",F9="",G9="❌ Отменена"),"",F9&amp;"#"&amp;COUNTIFS($F$5:F9,F9,$B$5:B9,"?*",$G$5:G9,"&lt;&gt;❌ Отменена"))</f>
        <v/>
      </c>
      <c r="M9" s="54">
        <f>IF(AND(B9&lt;&gt;"",F9&lt;&gt;"",F9&lt;TODAY(),AND(G9&lt;&gt;"✅ Выполнена",G9&lt;&gt;"❌ Отменена")),MAX($M$4:M8)+1,"")</f>
        <v/>
      </c>
    </row>
    <row r="10">
      <c r="A10" s="49">
        <f>IF(B10="","",COUNTA($B$5:B10))</f>
        <v/>
      </c>
      <c r="B10" s="50" t="inlineStr">
        <is>
          <t>Закончить модуль курса Python</t>
        </is>
      </c>
      <c r="C10" s="51" t="inlineStr">
        <is>
          <t>📚 Учёба</t>
        </is>
      </c>
      <c r="D10" s="51" t="inlineStr">
        <is>
          <t>📌 Задача</t>
        </is>
      </c>
      <c r="E10" s="52" t="inlineStr">
        <is>
          <t>⭐ Средний</t>
        </is>
      </c>
      <c r="F10" s="53" t="n">
        <v>46305</v>
      </c>
      <c r="G10" s="51" t="inlineStr">
        <is>
          <t>🔄 В работе</t>
        </is>
      </c>
      <c r="H10" s="53" t="n"/>
      <c r="I10" s="51" t="n"/>
      <c r="J10" s="54">
        <f>IF(OR(B10="",F10="",NOT(AND(G10&lt;&gt;"✅ Выполнена",G10&lt;&gt;"❌ Отменена"))),"",IF(F10&lt;TODAY(),"❗ просрочено "&amp;(TODAY()-F10)&amp;" дн.",IF(F10=TODAY(),"🔥 сегодня",IF(F10-TODAY()&lt;=3,"⏳ через "&amp;(F10-TODAY())&amp;" дн.",""))))</f>
        <v/>
      </c>
      <c r="K10" s="54">
        <f>IF(B10="","",IF(G10="✅ Выполнена","✔ ",IF(G10="❌ Отменена","✖ ",IF(AND(F10&lt;&gt;"",F10&lt;TODAY()),"❗ ","☐ ")))&amp;B10&amp;IF(E10="🔥 Высокий"," 🔥",""))</f>
        <v/>
      </c>
      <c r="L10" s="54">
        <f>IF(OR(B10="",F10="",G10="❌ Отменена"),"",F10&amp;"#"&amp;COUNTIFS($F$5:F10,F10,$B$5:B10,"?*",$G$5:G10,"&lt;&gt;❌ Отменена"))</f>
        <v/>
      </c>
      <c r="M10" s="54">
        <f>IF(AND(B10&lt;&gt;"",F10&lt;&gt;"",F10&lt;TODAY(),AND(G10&lt;&gt;"✅ Выполнена",G10&lt;&gt;"❌ Отменена")),MAX($M$4:M9)+1,"")</f>
        <v/>
      </c>
    </row>
    <row r="11">
      <c r="A11" s="49">
        <f>IF(B11="","",COUNTA($B$5:B11))</f>
        <v/>
      </c>
      <c r="B11" s="50" t="inlineStr">
        <is>
          <t>Генеральная уборка</t>
        </is>
      </c>
      <c r="C11" s="51" t="inlineStr">
        <is>
          <t>🏠 Дом и быт</t>
        </is>
      </c>
      <c r="D11" s="51" t="inlineStr">
        <is>
          <t>📌 Задача</t>
        </is>
      </c>
      <c r="E11" s="52" t="inlineStr">
        <is>
          <t>💤 Низкий</t>
        </is>
      </c>
      <c r="F11" s="53" t="n">
        <v>46306</v>
      </c>
      <c r="G11" s="51" t="inlineStr">
        <is>
          <t>⏳ Не начата</t>
        </is>
      </c>
      <c r="H11" s="53" t="n"/>
      <c r="I11" s="51" t="n"/>
      <c r="J11" s="54">
        <f>IF(OR(B11="",F11="",NOT(AND(G11&lt;&gt;"✅ Выполнена",G11&lt;&gt;"❌ Отменена"))),"",IF(F11&lt;TODAY(),"❗ просрочено "&amp;(TODAY()-F11)&amp;" дн.",IF(F11=TODAY(),"🔥 сегодня",IF(F11-TODAY()&lt;=3,"⏳ через "&amp;(F11-TODAY())&amp;" дн.",""))))</f>
        <v/>
      </c>
      <c r="K11" s="54">
        <f>IF(B11="","",IF(G11="✅ Выполнена","✔ ",IF(G11="❌ Отменена","✖ ",IF(AND(F11&lt;&gt;"",F11&lt;TODAY()),"❗ ","☐ ")))&amp;B11&amp;IF(E11="🔥 Высокий"," 🔥",""))</f>
        <v/>
      </c>
      <c r="L11" s="54">
        <f>IF(OR(B11="",F11="",G11="❌ Отменена"),"",F11&amp;"#"&amp;COUNTIFS($F$5:F11,F11,$B$5:B11,"?*",$G$5:G11,"&lt;&gt;❌ Отменена"))</f>
        <v/>
      </c>
      <c r="M11" s="54">
        <f>IF(AND(B11&lt;&gt;"",F11&lt;&gt;"",F11&lt;TODAY(),AND(G11&lt;&gt;"✅ Выполнена",G11&lt;&gt;"❌ Отменена")),MAX($M$4:M10)+1,"")</f>
        <v/>
      </c>
    </row>
    <row r="12">
      <c r="A12" s="49">
        <f>IF(B12="","",COUNTA($B$5:B12))</f>
        <v/>
      </c>
      <c r="B12" s="50" t="inlineStr">
        <is>
          <t>Подготовить презентацию проекта</t>
        </is>
      </c>
      <c r="C12" s="51" t="inlineStr">
        <is>
          <t>🚀 Проекты</t>
        </is>
      </c>
      <c r="D12" s="51" t="inlineStr">
        <is>
          <t>📝 Документы</t>
        </is>
      </c>
      <c r="E12" s="52" t="inlineStr">
        <is>
          <t>🔥 Высокий</t>
        </is>
      </c>
      <c r="F12" s="53" t="n">
        <v>46309</v>
      </c>
      <c r="G12" s="51" t="inlineStr">
        <is>
          <t>⏳ Не начата</t>
        </is>
      </c>
      <c r="H12" s="53" t="n"/>
      <c r="I12" s="51" t="n"/>
      <c r="J12" s="54">
        <f>IF(OR(B12="",F12="",NOT(AND(G12&lt;&gt;"✅ Выполнена",G12&lt;&gt;"❌ Отменена"))),"",IF(F12&lt;TODAY(),"❗ просрочено "&amp;(TODAY()-F12)&amp;" дн.",IF(F12=TODAY(),"🔥 сегодня",IF(F12-TODAY()&lt;=3,"⏳ через "&amp;(F12-TODAY())&amp;" дн.",""))))</f>
        <v/>
      </c>
      <c r="K12" s="54">
        <f>IF(B12="","",IF(G12="✅ Выполнена","✔ ",IF(G12="❌ Отменена","✖ ",IF(AND(F12&lt;&gt;"",F12&lt;TODAY()),"❗ ","☐ ")))&amp;B12&amp;IF(E12="🔥 Высокий"," 🔥",""))</f>
        <v/>
      </c>
      <c r="L12" s="54">
        <f>IF(OR(B12="",F12="",G12="❌ Отменена"),"",F12&amp;"#"&amp;COUNTIFS($F$5:F12,F12,$B$5:B12,"?*",$G$5:G12,"&lt;&gt;❌ Отменена"))</f>
        <v/>
      </c>
      <c r="M12" s="54">
        <f>IF(AND(B12&lt;&gt;"",F12&lt;&gt;"",F12&lt;TODAY(),AND(G12&lt;&gt;"✅ Выполнена",G12&lt;&gt;"❌ Отменена")),MAX($M$4:M11)+1,"")</f>
        <v/>
      </c>
    </row>
    <row r="13">
      <c r="A13" s="49">
        <f>IF(B13="","",COUNTA($B$5:B13))</f>
        <v/>
      </c>
      <c r="B13" s="50" t="inlineStr">
        <is>
          <t>Продлить страховку авто</t>
        </is>
      </c>
      <c r="C13" s="51" t="inlineStr">
        <is>
          <t>💰 Финансы</t>
        </is>
      </c>
      <c r="D13" s="51" t="inlineStr">
        <is>
          <t>📝 Документы</t>
        </is>
      </c>
      <c r="E13" s="52" t="inlineStr">
        <is>
          <t>🔥 Высокий</t>
        </is>
      </c>
      <c r="F13" s="53" t="n">
        <v>46315</v>
      </c>
      <c r="G13" s="51" t="inlineStr">
        <is>
          <t>⏳ Не начата</t>
        </is>
      </c>
      <c r="H13" s="53" t="n"/>
      <c r="I13" s="51" t="n"/>
      <c r="J13" s="54">
        <f>IF(OR(B13="",F13="",NOT(AND(G13&lt;&gt;"✅ Выполнена",G13&lt;&gt;"❌ Отменена"))),"",IF(F13&lt;TODAY(),"❗ просрочено "&amp;(TODAY()-F13)&amp;" дн.",IF(F13=TODAY(),"🔥 сегодня",IF(F13-TODAY()&lt;=3,"⏳ через "&amp;(F13-TODAY())&amp;" дн.",""))))</f>
        <v/>
      </c>
      <c r="K13" s="54">
        <f>IF(B13="","",IF(G13="✅ Выполнена","✔ ",IF(G13="❌ Отменена","✖ ",IF(AND(F13&lt;&gt;"",F13&lt;TODAY()),"❗ ","☐ ")))&amp;B13&amp;IF(E13="🔥 Высокий"," 🔥",""))</f>
        <v/>
      </c>
      <c r="L13" s="54">
        <f>IF(OR(B13="",F13="",G13="❌ Отменена"),"",F13&amp;"#"&amp;COUNTIFS($F$5:F13,F13,$B$5:B13,"?*",$G$5:G13,"&lt;&gt;❌ Отменена"))</f>
        <v/>
      </c>
      <c r="M13" s="54">
        <f>IF(AND(B13&lt;&gt;"",F13&lt;&gt;"",F13&lt;TODAY(),AND(G13&lt;&gt;"✅ Выполнена",G13&lt;&gt;"❌ Отменена")),MAX($M$4:M12)+1,"")</f>
        <v/>
      </c>
    </row>
    <row r="14">
      <c r="A14" s="49">
        <f>IF(B14="","",COUNTA($B$5:B14))</f>
        <v/>
      </c>
      <c r="B14" s="50" t="inlineStr">
        <is>
          <t>Купить билеты в театр</t>
        </is>
      </c>
      <c r="C14" s="51" t="inlineStr">
        <is>
          <t>🧘 Отдых</t>
        </is>
      </c>
      <c r="D14" s="51" t="inlineStr">
        <is>
          <t>🎉 Мероприятие</t>
        </is>
      </c>
      <c r="E14" s="52" t="inlineStr">
        <is>
          <t>💤 Низкий</t>
        </is>
      </c>
      <c r="F14" s="53" t="n">
        <v>46319</v>
      </c>
      <c r="G14" s="51" t="inlineStr">
        <is>
          <t>⏳ Не начата</t>
        </is>
      </c>
      <c r="H14" s="53" t="n"/>
      <c r="I14" s="51" t="n"/>
      <c r="J14" s="54">
        <f>IF(OR(B14="",F14="",NOT(AND(G14&lt;&gt;"✅ Выполнена",G14&lt;&gt;"❌ Отменена"))),"",IF(F14&lt;TODAY(),"❗ просрочено "&amp;(TODAY()-F14)&amp;" дн.",IF(F14=TODAY(),"🔥 сегодня",IF(F14-TODAY()&lt;=3,"⏳ через "&amp;(F14-TODAY())&amp;" дн.",""))))</f>
        <v/>
      </c>
      <c r="K14" s="54">
        <f>IF(B14="","",IF(G14="✅ Выполнена","✔ ",IF(G14="❌ Отменена","✖ ",IF(AND(F14&lt;&gt;"",F14&lt;TODAY()),"❗ ","☐ ")))&amp;B14&amp;IF(E14="🔥 Высокий"," 🔥",""))</f>
        <v/>
      </c>
      <c r="L14" s="54">
        <f>IF(OR(B14="",F14="",G14="❌ Отменена"),"",F14&amp;"#"&amp;COUNTIFS($F$5:F14,F14,$B$5:B14,"?*",$G$5:G14,"&lt;&gt;❌ Отменена"))</f>
        <v/>
      </c>
      <c r="M14" s="54">
        <f>IF(AND(B14&lt;&gt;"",F14&lt;&gt;"",F14&lt;TODAY(),AND(G14&lt;&gt;"✅ Выполнена",G14&lt;&gt;"❌ Отменена")),MAX($M$4:M13)+1,"")</f>
        <v/>
      </c>
    </row>
    <row r="15">
      <c r="A15" s="49">
        <f>IF(B15="","",COUNTA($B$5:B15))</f>
        <v/>
      </c>
      <c r="B15" s="50" t="inlineStr">
        <is>
          <t>Разобрать гардероб</t>
        </is>
      </c>
      <c r="C15" s="51" t="inlineStr">
        <is>
          <t>🏠 Дом и быт</t>
        </is>
      </c>
      <c r="D15" s="51" t="inlineStr">
        <is>
          <t>📌 Задача</t>
        </is>
      </c>
      <c r="E15" s="52" t="inlineStr">
        <is>
          <t>💤 Низкий</t>
        </is>
      </c>
      <c r="F15" s="53" t="n">
        <v>46293</v>
      </c>
      <c r="G15" s="51" t="inlineStr">
        <is>
          <t>✅ Выполнена</t>
        </is>
      </c>
      <c r="H15" s="53" t="n">
        <v>46292</v>
      </c>
      <c r="I15" s="51" t="n"/>
      <c r="J15" s="54">
        <f>IF(OR(B15="",F15="",NOT(AND(G15&lt;&gt;"✅ Выполнена",G15&lt;&gt;"❌ Отменена"))),"",IF(F15&lt;TODAY(),"❗ просрочено "&amp;(TODAY()-F15)&amp;" дн.",IF(F15=TODAY(),"🔥 сегодня",IF(F15-TODAY()&lt;=3,"⏳ через "&amp;(F15-TODAY())&amp;" дн.",""))))</f>
        <v/>
      </c>
      <c r="K15" s="54">
        <f>IF(B15="","",IF(G15="✅ Выполнена","✔ ",IF(G15="❌ Отменена","✖ ",IF(AND(F15&lt;&gt;"",F15&lt;TODAY()),"❗ ","☐ ")))&amp;B15&amp;IF(E15="🔥 Высокий"," 🔥",""))</f>
        <v/>
      </c>
      <c r="L15" s="54">
        <f>IF(OR(B15="",F15="",G15="❌ Отменена"),"",F15&amp;"#"&amp;COUNTIFS($F$5:F15,F15,$B$5:B15,"?*",$G$5:G15,"&lt;&gt;❌ Отменена"))</f>
        <v/>
      </c>
      <c r="M15" s="54">
        <f>IF(AND(B15&lt;&gt;"",F15&lt;&gt;"",F15&lt;TODAY(),AND(G15&lt;&gt;"✅ Выполнена",G15&lt;&gt;"❌ Отменена")),MAX($M$4:M14)+1,"")</f>
        <v/>
      </c>
    </row>
    <row r="16">
      <c r="A16" s="49">
        <f>IF(B16="","",COUNTA($B$5:B16))</f>
        <v/>
      </c>
      <c r="B16" s="50" t="inlineStr">
        <is>
          <t>Идеи для блога</t>
        </is>
      </c>
      <c r="C16" s="51" t="inlineStr">
        <is>
          <t>🎨 Хобби</t>
        </is>
      </c>
      <c r="D16" s="51" t="inlineStr">
        <is>
          <t>💡 Идея</t>
        </is>
      </c>
      <c r="E16" s="52" t="inlineStr">
        <is>
          <t>💤 Низкий</t>
        </is>
      </c>
      <c r="F16" s="53" t="n"/>
      <c r="G16" s="51" t="inlineStr">
        <is>
          <t>⏳ Не начата</t>
        </is>
      </c>
      <c r="H16" s="53" t="n"/>
      <c r="I16" s="51" t="n"/>
      <c r="J16" s="54">
        <f>IF(OR(B16="",F16="",NOT(AND(G16&lt;&gt;"✅ Выполнена",G16&lt;&gt;"❌ Отменена"))),"",IF(F16&lt;TODAY(),"❗ просрочено "&amp;(TODAY()-F16)&amp;" дн.",IF(F16=TODAY(),"🔥 сегодня",IF(F16-TODAY()&lt;=3,"⏳ через "&amp;(F16-TODAY())&amp;" дн.",""))))</f>
        <v/>
      </c>
      <c r="K16" s="54">
        <f>IF(B16="","",IF(G16="✅ Выполнена","✔ ",IF(G16="❌ Отменена","✖ ",IF(AND(F16&lt;&gt;"",F16&lt;TODAY()),"❗ ","☐ ")))&amp;B16&amp;IF(E16="🔥 Высокий"," 🔥",""))</f>
        <v/>
      </c>
      <c r="L16" s="54">
        <f>IF(OR(B16="",F16="",G16="❌ Отменена"),"",F16&amp;"#"&amp;COUNTIFS($F$5:F16,F16,$B$5:B16,"?*",$G$5:G16,"&lt;&gt;❌ Отменена"))</f>
        <v/>
      </c>
      <c r="M16" s="54">
        <f>IF(AND(B16&lt;&gt;"",F16&lt;&gt;"",F16&lt;TODAY(),AND(G16&lt;&gt;"✅ Выполнена",G16&lt;&gt;"❌ Отменена")),MAX($M$4:M15)+1,"")</f>
        <v/>
      </c>
    </row>
    <row r="17">
      <c r="A17" s="49">
        <f>IF(B17="","",COUNTA($B$5:B17))</f>
        <v/>
      </c>
      <c r="B17" s="50" t="n"/>
      <c r="C17" s="51" t="n"/>
      <c r="D17" s="51" t="n"/>
      <c r="E17" s="52" t="n"/>
      <c r="F17" s="53" t="n"/>
      <c r="G17" s="51" t="n"/>
      <c r="H17" s="53" t="n"/>
      <c r="I17" s="51" t="n"/>
      <c r="J17" s="54">
        <f>IF(OR(B17="",F17="",NOT(AND(G17&lt;&gt;"✅ Выполнена",G17&lt;&gt;"❌ Отменена"))),"",IF(F17&lt;TODAY(),"❗ просрочено "&amp;(TODAY()-F17)&amp;" дн.",IF(F17=TODAY(),"🔥 сегодня",IF(F17-TODAY()&lt;=3,"⏳ через "&amp;(F17-TODAY())&amp;" дн.",""))))</f>
        <v/>
      </c>
      <c r="K17" s="54">
        <f>IF(B17="","",IF(G17="✅ Выполнена","✔ ",IF(G17="❌ Отменена","✖ ",IF(AND(F17&lt;&gt;"",F17&lt;TODAY()),"❗ ","☐ ")))&amp;B17&amp;IF(E17="🔥 Высокий"," 🔥",""))</f>
        <v/>
      </c>
      <c r="L17" s="54">
        <f>IF(OR(B17="",F17="",G17="❌ Отменена"),"",F17&amp;"#"&amp;COUNTIFS($F$5:F17,F17,$B$5:B17,"?*",$G$5:G17,"&lt;&gt;❌ Отменена"))</f>
        <v/>
      </c>
      <c r="M17" s="54">
        <f>IF(AND(B17&lt;&gt;"",F17&lt;&gt;"",F17&lt;TODAY(),AND(G17&lt;&gt;"✅ Выполнена",G17&lt;&gt;"❌ Отменена")),MAX($M$4:M16)+1,"")</f>
        <v/>
      </c>
    </row>
    <row r="18">
      <c r="A18" s="49">
        <f>IF(B18="","",COUNTA($B$5:B18))</f>
        <v/>
      </c>
      <c r="B18" s="50" t="n"/>
      <c r="C18" s="51" t="n"/>
      <c r="D18" s="51" t="n"/>
      <c r="E18" s="52" t="n"/>
      <c r="F18" s="53" t="n"/>
      <c r="G18" s="51" t="n"/>
      <c r="H18" s="53" t="n"/>
      <c r="I18" s="51" t="n"/>
      <c r="J18" s="54">
        <f>IF(OR(B18="",F18="",NOT(AND(G18&lt;&gt;"✅ Выполнена",G18&lt;&gt;"❌ Отменена"))),"",IF(F18&lt;TODAY(),"❗ просрочено "&amp;(TODAY()-F18)&amp;" дн.",IF(F18=TODAY(),"🔥 сегодня",IF(F18-TODAY()&lt;=3,"⏳ через "&amp;(F18-TODAY())&amp;" дн.",""))))</f>
        <v/>
      </c>
      <c r="K18" s="54">
        <f>IF(B18="","",IF(G18="✅ Выполнена","✔ ",IF(G18="❌ Отменена","✖ ",IF(AND(F18&lt;&gt;"",F18&lt;TODAY()),"❗ ","☐ ")))&amp;B18&amp;IF(E18="🔥 Высокий"," 🔥",""))</f>
        <v/>
      </c>
      <c r="L18" s="54">
        <f>IF(OR(B18="",F18="",G18="❌ Отменена"),"",F18&amp;"#"&amp;COUNTIFS($F$5:F18,F18,$B$5:B18,"?*",$G$5:G18,"&lt;&gt;❌ Отменена"))</f>
        <v/>
      </c>
      <c r="M18" s="54">
        <f>IF(AND(B18&lt;&gt;"",F18&lt;&gt;"",F18&lt;TODAY(),AND(G18&lt;&gt;"✅ Выполнена",G18&lt;&gt;"❌ Отменена")),MAX($M$4:M17)+1,"")</f>
        <v/>
      </c>
    </row>
    <row r="19">
      <c r="A19" s="49">
        <f>IF(B19="","",COUNTA($B$5:B19))</f>
        <v/>
      </c>
      <c r="B19" s="50" t="n"/>
      <c r="C19" s="51" t="n"/>
      <c r="D19" s="51" t="n"/>
      <c r="E19" s="52" t="n"/>
      <c r="F19" s="53" t="n"/>
      <c r="G19" s="51" t="n"/>
      <c r="H19" s="53" t="n"/>
      <c r="I19" s="51" t="n"/>
      <c r="J19" s="54">
        <f>IF(OR(B19="",F19="",NOT(AND(G19&lt;&gt;"✅ Выполнена",G19&lt;&gt;"❌ Отменена"))),"",IF(F19&lt;TODAY(),"❗ просрочено "&amp;(TODAY()-F19)&amp;" дн.",IF(F19=TODAY(),"🔥 сегодня",IF(F19-TODAY()&lt;=3,"⏳ через "&amp;(F19-TODAY())&amp;" дн.",""))))</f>
        <v/>
      </c>
      <c r="K19" s="54">
        <f>IF(B19="","",IF(G19="✅ Выполнена","✔ ",IF(G19="❌ Отменена","✖ ",IF(AND(F19&lt;&gt;"",F19&lt;TODAY()),"❗ ","☐ ")))&amp;B19&amp;IF(E19="🔥 Высокий"," 🔥",""))</f>
        <v/>
      </c>
      <c r="L19" s="54">
        <f>IF(OR(B19="",F19="",G19="❌ Отменена"),"",F19&amp;"#"&amp;COUNTIFS($F$5:F19,F19,$B$5:B19,"?*",$G$5:G19,"&lt;&gt;❌ Отменена"))</f>
        <v/>
      </c>
      <c r="M19" s="54">
        <f>IF(AND(B19&lt;&gt;"",F19&lt;&gt;"",F19&lt;TODAY(),AND(G19&lt;&gt;"✅ Выполнена",G19&lt;&gt;"❌ Отменена")),MAX($M$4:M18)+1,"")</f>
        <v/>
      </c>
    </row>
    <row r="20">
      <c r="A20" s="49">
        <f>IF(B20="","",COUNTA($B$5:B20))</f>
        <v/>
      </c>
      <c r="B20" s="50" t="n"/>
      <c r="C20" s="51" t="n"/>
      <c r="D20" s="51" t="n"/>
      <c r="E20" s="52" t="n"/>
      <c r="F20" s="53" t="n"/>
      <c r="G20" s="51" t="n"/>
      <c r="H20" s="53" t="n"/>
      <c r="I20" s="51" t="n"/>
      <c r="J20" s="54">
        <f>IF(OR(B20="",F20="",NOT(AND(G20&lt;&gt;"✅ Выполнена",G20&lt;&gt;"❌ Отменена"))),"",IF(F20&lt;TODAY(),"❗ просрочено "&amp;(TODAY()-F20)&amp;" дн.",IF(F20=TODAY(),"🔥 сегодня",IF(F20-TODAY()&lt;=3,"⏳ через "&amp;(F20-TODAY())&amp;" дн.",""))))</f>
        <v/>
      </c>
      <c r="K20" s="54">
        <f>IF(B20="","",IF(G20="✅ Выполнена","✔ ",IF(G20="❌ Отменена","✖ ",IF(AND(F20&lt;&gt;"",F20&lt;TODAY()),"❗ ","☐ ")))&amp;B20&amp;IF(E20="🔥 Высокий"," 🔥",""))</f>
        <v/>
      </c>
      <c r="L20" s="54">
        <f>IF(OR(B20="",F20="",G20="❌ Отменена"),"",F20&amp;"#"&amp;COUNTIFS($F$5:F20,F20,$B$5:B20,"?*",$G$5:G20,"&lt;&gt;❌ Отменена"))</f>
        <v/>
      </c>
      <c r="M20" s="54">
        <f>IF(AND(B20&lt;&gt;"",F20&lt;&gt;"",F20&lt;TODAY(),AND(G20&lt;&gt;"✅ Выполнена",G20&lt;&gt;"❌ Отменена")),MAX($M$4:M19)+1,"")</f>
        <v/>
      </c>
    </row>
    <row r="21">
      <c r="A21" s="49">
        <f>IF(B21="","",COUNTA($B$5:B21))</f>
        <v/>
      </c>
      <c r="B21" s="50" t="n"/>
      <c r="C21" s="51" t="n"/>
      <c r="D21" s="51" t="n"/>
      <c r="E21" s="52" t="n"/>
      <c r="F21" s="53" t="n"/>
      <c r="G21" s="51" t="n"/>
      <c r="H21" s="53" t="n"/>
      <c r="I21" s="51" t="n"/>
      <c r="J21" s="54">
        <f>IF(OR(B21="",F21="",NOT(AND(G21&lt;&gt;"✅ Выполнена",G21&lt;&gt;"❌ Отменена"))),"",IF(F21&lt;TODAY(),"❗ просрочено "&amp;(TODAY()-F21)&amp;" дн.",IF(F21=TODAY(),"🔥 сегодня",IF(F21-TODAY()&lt;=3,"⏳ через "&amp;(F21-TODAY())&amp;" дн.",""))))</f>
        <v/>
      </c>
      <c r="K21" s="54">
        <f>IF(B21="","",IF(G21="✅ Выполнена","✔ ",IF(G21="❌ Отменена","✖ ",IF(AND(F21&lt;&gt;"",F21&lt;TODAY()),"❗ ","☐ ")))&amp;B21&amp;IF(E21="🔥 Высокий"," 🔥",""))</f>
        <v/>
      </c>
      <c r="L21" s="54">
        <f>IF(OR(B21="",F21="",G21="❌ Отменена"),"",F21&amp;"#"&amp;COUNTIFS($F$5:F21,F21,$B$5:B21,"?*",$G$5:G21,"&lt;&gt;❌ Отменена"))</f>
        <v/>
      </c>
      <c r="M21" s="54">
        <f>IF(AND(B21&lt;&gt;"",F21&lt;&gt;"",F21&lt;TODAY(),AND(G21&lt;&gt;"✅ Выполнена",G21&lt;&gt;"❌ Отменена")),MAX($M$4:M20)+1,"")</f>
        <v/>
      </c>
    </row>
    <row r="22">
      <c r="A22" s="49">
        <f>IF(B22="","",COUNTA($B$5:B22))</f>
        <v/>
      </c>
      <c r="B22" s="50" t="n"/>
      <c r="C22" s="51" t="n"/>
      <c r="D22" s="51" t="n"/>
      <c r="E22" s="52" t="n"/>
      <c r="F22" s="53" t="n"/>
      <c r="G22" s="51" t="n"/>
      <c r="H22" s="53" t="n"/>
      <c r="I22" s="51" t="n"/>
      <c r="J22" s="54">
        <f>IF(OR(B22="",F22="",NOT(AND(G22&lt;&gt;"✅ Выполнена",G22&lt;&gt;"❌ Отменена"))),"",IF(F22&lt;TODAY(),"❗ просрочено "&amp;(TODAY()-F22)&amp;" дн.",IF(F22=TODAY(),"🔥 сегодня",IF(F22-TODAY()&lt;=3,"⏳ через "&amp;(F22-TODAY())&amp;" дн.",""))))</f>
        <v/>
      </c>
      <c r="K22" s="54">
        <f>IF(B22="","",IF(G22="✅ Выполнена","✔ ",IF(G22="❌ Отменена","✖ ",IF(AND(F22&lt;&gt;"",F22&lt;TODAY()),"❗ ","☐ ")))&amp;B22&amp;IF(E22="🔥 Высокий"," 🔥",""))</f>
        <v/>
      </c>
      <c r="L22" s="54">
        <f>IF(OR(B22="",F22="",G22="❌ Отменена"),"",F22&amp;"#"&amp;COUNTIFS($F$5:F22,F22,$B$5:B22,"?*",$G$5:G22,"&lt;&gt;❌ Отменена"))</f>
        <v/>
      </c>
      <c r="M22" s="54">
        <f>IF(AND(B22&lt;&gt;"",F22&lt;&gt;"",F22&lt;TODAY(),AND(G22&lt;&gt;"✅ Выполнена",G22&lt;&gt;"❌ Отменена")),MAX($M$4:M21)+1,"")</f>
        <v/>
      </c>
    </row>
    <row r="23">
      <c r="A23" s="49">
        <f>IF(B23="","",COUNTA($B$5:B23))</f>
        <v/>
      </c>
      <c r="B23" s="50" t="n"/>
      <c r="C23" s="51" t="n"/>
      <c r="D23" s="51" t="n"/>
      <c r="E23" s="52" t="n"/>
      <c r="F23" s="53" t="n"/>
      <c r="G23" s="51" t="n"/>
      <c r="H23" s="53" t="n"/>
      <c r="I23" s="51" t="n"/>
      <c r="J23" s="54">
        <f>IF(OR(B23="",F23="",NOT(AND(G23&lt;&gt;"✅ Выполнена",G23&lt;&gt;"❌ Отменена"))),"",IF(F23&lt;TODAY(),"❗ просрочено "&amp;(TODAY()-F23)&amp;" дн.",IF(F23=TODAY(),"🔥 сегодня",IF(F23-TODAY()&lt;=3,"⏳ через "&amp;(F23-TODAY())&amp;" дн.",""))))</f>
        <v/>
      </c>
      <c r="K23" s="54">
        <f>IF(B23="","",IF(G23="✅ Выполнена","✔ ",IF(G23="❌ Отменена","✖ ",IF(AND(F23&lt;&gt;"",F23&lt;TODAY()),"❗ ","☐ ")))&amp;B23&amp;IF(E23="🔥 Высокий"," 🔥",""))</f>
        <v/>
      </c>
      <c r="L23" s="54">
        <f>IF(OR(B23="",F23="",G23="❌ Отменена"),"",F23&amp;"#"&amp;COUNTIFS($F$5:F23,F23,$B$5:B23,"?*",$G$5:G23,"&lt;&gt;❌ Отменена"))</f>
        <v/>
      </c>
      <c r="M23" s="54">
        <f>IF(AND(B23&lt;&gt;"",F23&lt;&gt;"",F23&lt;TODAY(),AND(G23&lt;&gt;"✅ Выполнена",G23&lt;&gt;"❌ Отменена")),MAX($M$4:M22)+1,"")</f>
        <v/>
      </c>
    </row>
    <row r="24">
      <c r="A24" s="49">
        <f>IF(B24="","",COUNTA($B$5:B24))</f>
        <v/>
      </c>
      <c r="B24" s="50" t="n"/>
      <c r="C24" s="51" t="n"/>
      <c r="D24" s="51" t="n"/>
      <c r="E24" s="52" t="n"/>
      <c r="F24" s="53" t="n"/>
      <c r="G24" s="51" t="n"/>
      <c r="H24" s="53" t="n"/>
      <c r="I24" s="51" t="n"/>
      <c r="J24" s="54">
        <f>IF(OR(B24="",F24="",NOT(AND(G24&lt;&gt;"✅ Выполнена",G24&lt;&gt;"❌ Отменена"))),"",IF(F24&lt;TODAY(),"❗ просрочено "&amp;(TODAY()-F24)&amp;" дн.",IF(F24=TODAY(),"🔥 сегодня",IF(F24-TODAY()&lt;=3,"⏳ через "&amp;(F24-TODAY())&amp;" дн.",""))))</f>
        <v/>
      </c>
      <c r="K24" s="54">
        <f>IF(B24="","",IF(G24="✅ Выполнена","✔ ",IF(G24="❌ Отменена","✖ ",IF(AND(F24&lt;&gt;"",F24&lt;TODAY()),"❗ ","☐ ")))&amp;B24&amp;IF(E24="🔥 Высокий"," 🔥",""))</f>
        <v/>
      </c>
      <c r="L24" s="54">
        <f>IF(OR(B24="",F24="",G24="❌ Отменена"),"",F24&amp;"#"&amp;COUNTIFS($F$5:F24,F24,$B$5:B24,"?*",$G$5:G24,"&lt;&gt;❌ Отменена"))</f>
        <v/>
      </c>
      <c r="M24" s="54">
        <f>IF(AND(B24&lt;&gt;"",F24&lt;&gt;"",F24&lt;TODAY(),AND(G24&lt;&gt;"✅ Выполнена",G24&lt;&gt;"❌ Отменена")),MAX($M$4:M23)+1,"")</f>
        <v/>
      </c>
    </row>
    <row r="25">
      <c r="A25" s="49">
        <f>IF(B25="","",COUNTA($B$5:B25))</f>
        <v/>
      </c>
      <c r="B25" s="50" t="n"/>
      <c r="C25" s="51" t="n"/>
      <c r="D25" s="51" t="n"/>
      <c r="E25" s="52" t="n"/>
      <c r="F25" s="53" t="n"/>
      <c r="G25" s="51" t="n"/>
      <c r="H25" s="53" t="n"/>
      <c r="I25" s="51" t="n"/>
      <c r="J25" s="54">
        <f>IF(OR(B25="",F25="",NOT(AND(G25&lt;&gt;"✅ Выполнена",G25&lt;&gt;"❌ Отменена"))),"",IF(F25&lt;TODAY(),"❗ просрочено "&amp;(TODAY()-F25)&amp;" дн.",IF(F25=TODAY(),"🔥 сегодня",IF(F25-TODAY()&lt;=3,"⏳ через "&amp;(F25-TODAY())&amp;" дн.",""))))</f>
        <v/>
      </c>
      <c r="K25" s="54">
        <f>IF(B25="","",IF(G25="✅ Выполнена","✔ ",IF(G25="❌ Отменена","✖ ",IF(AND(F25&lt;&gt;"",F25&lt;TODAY()),"❗ ","☐ ")))&amp;B25&amp;IF(E25="🔥 Высокий"," 🔥",""))</f>
        <v/>
      </c>
      <c r="L25" s="54">
        <f>IF(OR(B25="",F25="",G25="❌ Отменена"),"",F25&amp;"#"&amp;COUNTIFS($F$5:F25,F25,$B$5:B25,"?*",$G$5:G25,"&lt;&gt;❌ Отменена"))</f>
        <v/>
      </c>
      <c r="M25" s="54">
        <f>IF(AND(B25&lt;&gt;"",F25&lt;&gt;"",F25&lt;TODAY(),AND(G25&lt;&gt;"✅ Выполнена",G25&lt;&gt;"❌ Отменена")),MAX($M$4:M24)+1,"")</f>
        <v/>
      </c>
    </row>
    <row r="26">
      <c r="A26" s="49">
        <f>IF(B26="","",COUNTA($B$5:B26))</f>
        <v/>
      </c>
      <c r="B26" s="50" t="n"/>
      <c r="C26" s="51" t="n"/>
      <c r="D26" s="51" t="n"/>
      <c r="E26" s="52" t="n"/>
      <c r="F26" s="53" t="n"/>
      <c r="G26" s="51" t="n"/>
      <c r="H26" s="53" t="n"/>
      <c r="I26" s="51" t="n"/>
      <c r="J26" s="54">
        <f>IF(OR(B26="",F26="",NOT(AND(G26&lt;&gt;"✅ Выполнена",G26&lt;&gt;"❌ Отменена"))),"",IF(F26&lt;TODAY(),"❗ просрочено "&amp;(TODAY()-F26)&amp;" дн.",IF(F26=TODAY(),"🔥 сегодня",IF(F26-TODAY()&lt;=3,"⏳ через "&amp;(F26-TODAY())&amp;" дн.",""))))</f>
        <v/>
      </c>
      <c r="K26" s="54">
        <f>IF(B26="","",IF(G26="✅ Выполнена","✔ ",IF(G26="❌ Отменена","✖ ",IF(AND(F26&lt;&gt;"",F26&lt;TODAY()),"❗ ","☐ ")))&amp;B26&amp;IF(E26="🔥 Высокий"," 🔥",""))</f>
        <v/>
      </c>
      <c r="L26" s="54">
        <f>IF(OR(B26="",F26="",G26="❌ Отменена"),"",F26&amp;"#"&amp;COUNTIFS($F$5:F26,F26,$B$5:B26,"?*",$G$5:G26,"&lt;&gt;❌ Отменена"))</f>
        <v/>
      </c>
      <c r="M26" s="54">
        <f>IF(AND(B26&lt;&gt;"",F26&lt;&gt;"",F26&lt;TODAY(),AND(G26&lt;&gt;"✅ Выполнена",G26&lt;&gt;"❌ Отменена")),MAX($M$4:M25)+1,"")</f>
        <v/>
      </c>
    </row>
    <row r="27">
      <c r="A27" s="49">
        <f>IF(B27="","",COUNTA($B$5:B27))</f>
        <v/>
      </c>
      <c r="B27" s="50" t="n"/>
      <c r="C27" s="51" t="n"/>
      <c r="D27" s="51" t="n"/>
      <c r="E27" s="52" t="n"/>
      <c r="F27" s="53" t="n"/>
      <c r="G27" s="51" t="n"/>
      <c r="H27" s="53" t="n"/>
      <c r="I27" s="51" t="n"/>
      <c r="J27" s="54">
        <f>IF(OR(B27="",F27="",NOT(AND(G27&lt;&gt;"✅ Выполнена",G27&lt;&gt;"❌ Отменена"))),"",IF(F27&lt;TODAY(),"❗ просрочено "&amp;(TODAY()-F27)&amp;" дн.",IF(F27=TODAY(),"🔥 сегодня",IF(F27-TODAY()&lt;=3,"⏳ через "&amp;(F27-TODAY())&amp;" дн.",""))))</f>
        <v/>
      </c>
      <c r="K27" s="54">
        <f>IF(B27="","",IF(G27="✅ Выполнена","✔ ",IF(G27="❌ Отменена","✖ ",IF(AND(F27&lt;&gt;"",F27&lt;TODAY()),"❗ ","☐ ")))&amp;B27&amp;IF(E27="🔥 Высокий"," 🔥",""))</f>
        <v/>
      </c>
      <c r="L27" s="54">
        <f>IF(OR(B27="",F27="",G27="❌ Отменена"),"",F27&amp;"#"&amp;COUNTIFS($F$5:F27,F27,$B$5:B27,"?*",$G$5:G27,"&lt;&gt;❌ Отменена"))</f>
        <v/>
      </c>
      <c r="M27" s="54">
        <f>IF(AND(B27&lt;&gt;"",F27&lt;&gt;"",F27&lt;TODAY(),AND(G27&lt;&gt;"✅ Выполнена",G27&lt;&gt;"❌ Отменена")),MAX($M$4:M26)+1,"")</f>
        <v/>
      </c>
    </row>
    <row r="28">
      <c r="A28" s="49">
        <f>IF(B28="","",COUNTA($B$5:B28))</f>
        <v/>
      </c>
      <c r="B28" s="50" t="n"/>
      <c r="C28" s="51" t="n"/>
      <c r="D28" s="51" t="n"/>
      <c r="E28" s="52" t="n"/>
      <c r="F28" s="53" t="n"/>
      <c r="G28" s="51" t="n"/>
      <c r="H28" s="53" t="n"/>
      <c r="I28" s="51" t="n"/>
      <c r="J28" s="54">
        <f>IF(OR(B28="",F28="",NOT(AND(G28&lt;&gt;"✅ Выполнена",G28&lt;&gt;"❌ Отменена"))),"",IF(F28&lt;TODAY(),"❗ просрочено "&amp;(TODAY()-F28)&amp;" дн.",IF(F28=TODAY(),"🔥 сегодня",IF(F28-TODAY()&lt;=3,"⏳ через "&amp;(F28-TODAY())&amp;" дн.",""))))</f>
        <v/>
      </c>
      <c r="K28" s="54">
        <f>IF(B28="","",IF(G28="✅ Выполнена","✔ ",IF(G28="❌ Отменена","✖ ",IF(AND(F28&lt;&gt;"",F28&lt;TODAY()),"❗ ","☐ ")))&amp;B28&amp;IF(E28="🔥 Высокий"," 🔥",""))</f>
        <v/>
      </c>
      <c r="L28" s="54">
        <f>IF(OR(B28="",F28="",G28="❌ Отменена"),"",F28&amp;"#"&amp;COUNTIFS($F$5:F28,F28,$B$5:B28,"?*",$G$5:G28,"&lt;&gt;❌ Отменена"))</f>
        <v/>
      </c>
      <c r="M28" s="54">
        <f>IF(AND(B28&lt;&gt;"",F28&lt;&gt;"",F28&lt;TODAY(),AND(G28&lt;&gt;"✅ Выполнена",G28&lt;&gt;"❌ Отменена")),MAX($M$4:M27)+1,"")</f>
        <v/>
      </c>
    </row>
    <row r="29">
      <c r="A29" s="49">
        <f>IF(B29="","",COUNTA($B$5:B29))</f>
        <v/>
      </c>
      <c r="B29" s="50" t="n"/>
      <c r="C29" s="51" t="n"/>
      <c r="D29" s="51" t="n"/>
      <c r="E29" s="52" t="n"/>
      <c r="F29" s="53" t="n"/>
      <c r="G29" s="51" t="n"/>
      <c r="H29" s="53" t="n"/>
      <c r="I29" s="51" t="n"/>
      <c r="J29" s="54">
        <f>IF(OR(B29="",F29="",NOT(AND(G29&lt;&gt;"✅ Выполнена",G29&lt;&gt;"❌ Отменена"))),"",IF(F29&lt;TODAY(),"❗ просрочено "&amp;(TODAY()-F29)&amp;" дн.",IF(F29=TODAY(),"🔥 сегодня",IF(F29-TODAY()&lt;=3,"⏳ через "&amp;(F29-TODAY())&amp;" дн.",""))))</f>
        <v/>
      </c>
      <c r="K29" s="54">
        <f>IF(B29="","",IF(G29="✅ Выполнена","✔ ",IF(G29="❌ Отменена","✖ ",IF(AND(F29&lt;&gt;"",F29&lt;TODAY()),"❗ ","☐ ")))&amp;B29&amp;IF(E29="🔥 Высокий"," 🔥",""))</f>
        <v/>
      </c>
      <c r="L29" s="54">
        <f>IF(OR(B29="",F29="",G29="❌ Отменена"),"",F29&amp;"#"&amp;COUNTIFS($F$5:F29,F29,$B$5:B29,"?*",$G$5:G29,"&lt;&gt;❌ Отменена"))</f>
        <v/>
      </c>
      <c r="M29" s="54">
        <f>IF(AND(B29&lt;&gt;"",F29&lt;&gt;"",F29&lt;TODAY(),AND(G29&lt;&gt;"✅ Выполнена",G29&lt;&gt;"❌ Отменена")),MAX($M$4:M28)+1,"")</f>
        <v/>
      </c>
    </row>
    <row r="30">
      <c r="A30" s="49">
        <f>IF(B30="","",COUNTA($B$5:B30))</f>
        <v/>
      </c>
      <c r="B30" s="50" t="n"/>
      <c r="C30" s="51" t="n"/>
      <c r="D30" s="51" t="n"/>
      <c r="E30" s="52" t="n"/>
      <c r="F30" s="53" t="n"/>
      <c r="G30" s="51" t="n"/>
      <c r="H30" s="53" t="n"/>
      <c r="I30" s="51" t="n"/>
      <c r="J30" s="54">
        <f>IF(OR(B30="",F30="",NOT(AND(G30&lt;&gt;"✅ Выполнена",G30&lt;&gt;"❌ Отменена"))),"",IF(F30&lt;TODAY(),"❗ просрочено "&amp;(TODAY()-F30)&amp;" дн.",IF(F30=TODAY(),"🔥 сегодня",IF(F30-TODAY()&lt;=3,"⏳ через "&amp;(F30-TODAY())&amp;" дн.",""))))</f>
        <v/>
      </c>
      <c r="K30" s="54">
        <f>IF(B30="","",IF(G30="✅ Выполнена","✔ ",IF(G30="❌ Отменена","✖ ",IF(AND(F30&lt;&gt;"",F30&lt;TODAY()),"❗ ","☐ ")))&amp;B30&amp;IF(E30="🔥 Высокий"," 🔥",""))</f>
        <v/>
      </c>
      <c r="L30" s="54">
        <f>IF(OR(B30="",F30="",G30="❌ Отменена"),"",F30&amp;"#"&amp;COUNTIFS($F$5:F30,F30,$B$5:B30,"?*",$G$5:G30,"&lt;&gt;❌ Отменена"))</f>
        <v/>
      </c>
      <c r="M30" s="54">
        <f>IF(AND(B30&lt;&gt;"",F30&lt;&gt;"",F30&lt;TODAY(),AND(G30&lt;&gt;"✅ Выполнена",G30&lt;&gt;"❌ Отменена")),MAX($M$4:M29)+1,"")</f>
        <v/>
      </c>
    </row>
    <row r="31">
      <c r="A31" s="49">
        <f>IF(B31="","",COUNTA($B$5:B31))</f>
        <v/>
      </c>
      <c r="B31" s="50" t="n"/>
      <c r="C31" s="51" t="n"/>
      <c r="D31" s="51" t="n"/>
      <c r="E31" s="52" t="n"/>
      <c r="F31" s="53" t="n"/>
      <c r="G31" s="51" t="n"/>
      <c r="H31" s="53" t="n"/>
      <c r="I31" s="51" t="n"/>
      <c r="J31" s="54">
        <f>IF(OR(B31="",F31="",NOT(AND(G31&lt;&gt;"✅ Выполнена",G31&lt;&gt;"❌ Отменена"))),"",IF(F31&lt;TODAY(),"❗ просрочено "&amp;(TODAY()-F31)&amp;" дн.",IF(F31=TODAY(),"🔥 сегодня",IF(F31-TODAY()&lt;=3,"⏳ через "&amp;(F31-TODAY())&amp;" дн.",""))))</f>
        <v/>
      </c>
      <c r="K31" s="54">
        <f>IF(B31="","",IF(G31="✅ Выполнена","✔ ",IF(G31="❌ Отменена","✖ ",IF(AND(F31&lt;&gt;"",F31&lt;TODAY()),"❗ ","☐ ")))&amp;B31&amp;IF(E31="🔥 Высокий"," 🔥",""))</f>
        <v/>
      </c>
      <c r="L31" s="54">
        <f>IF(OR(B31="",F31="",G31="❌ Отменена"),"",F31&amp;"#"&amp;COUNTIFS($F$5:F31,F31,$B$5:B31,"?*",$G$5:G31,"&lt;&gt;❌ Отменена"))</f>
        <v/>
      </c>
      <c r="M31" s="54">
        <f>IF(AND(B31&lt;&gt;"",F31&lt;&gt;"",F31&lt;TODAY(),AND(G31&lt;&gt;"✅ Выполнена",G31&lt;&gt;"❌ Отменена")),MAX($M$4:M30)+1,"")</f>
        <v/>
      </c>
    </row>
    <row r="32">
      <c r="A32" s="49">
        <f>IF(B32="","",COUNTA($B$5:B32))</f>
        <v/>
      </c>
      <c r="B32" s="50" t="n"/>
      <c r="C32" s="51" t="n"/>
      <c r="D32" s="51" t="n"/>
      <c r="E32" s="52" t="n"/>
      <c r="F32" s="53" t="n"/>
      <c r="G32" s="51" t="n"/>
      <c r="H32" s="53" t="n"/>
      <c r="I32" s="51" t="n"/>
      <c r="J32" s="54">
        <f>IF(OR(B32="",F32="",NOT(AND(G32&lt;&gt;"✅ Выполнена",G32&lt;&gt;"❌ Отменена"))),"",IF(F32&lt;TODAY(),"❗ просрочено "&amp;(TODAY()-F32)&amp;" дн.",IF(F32=TODAY(),"🔥 сегодня",IF(F32-TODAY()&lt;=3,"⏳ через "&amp;(F32-TODAY())&amp;" дн.",""))))</f>
        <v/>
      </c>
      <c r="K32" s="54">
        <f>IF(B32="","",IF(G32="✅ Выполнена","✔ ",IF(G32="❌ Отменена","✖ ",IF(AND(F32&lt;&gt;"",F32&lt;TODAY()),"❗ ","☐ ")))&amp;B32&amp;IF(E32="🔥 Высокий"," 🔥",""))</f>
        <v/>
      </c>
      <c r="L32" s="54">
        <f>IF(OR(B32="",F32="",G32="❌ Отменена"),"",F32&amp;"#"&amp;COUNTIFS($F$5:F32,F32,$B$5:B32,"?*",$G$5:G32,"&lt;&gt;❌ Отменена"))</f>
        <v/>
      </c>
      <c r="M32" s="54">
        <f>IF(AND(B32&lt;&gt;"",F32&lt;&gt;"",F32&lt;TODAY(),AND(G32&lt;&gt;"✅ Выполнена",G32&lt;&gt;"❌ Отменена")),MAX($M$4:M31)+1,"")</f>
        <v/>
      </c>
    </row>
    <row r="33">
      <c r="A33" s="49">
        <f>IF(B33="","",COUNTA($B$5:B33))</f>
        <v/>
      </c>
      <c r="B33" s="50" t="n"/>
      <c r="C33" s="51" t="n"/>
      <c r="D33" s="51" t="n"/>
      <c r="E33" s="52" t="n"/>
      <c r="F33" s="53" t="n"/>
      <c r="G33" s="51" t="n"/>
      <c r="H33" s="53" t="n"/>
      <c r="I33" s="51" t="n"/>
      <c r="J33" s="54">
        <f>IF(OR(B33="",F33="",NOT(AND(G33&lt;&gt;"✅ Выполнена",G33&lt;&gt;"❌ Отменена"))),"",IF(F33&lt;TODAY(),"❗ просрочено "&amp;(TODAY()-F33)&amp;" дн.",IF(F33=TODAY(),"🔥 сегодня",IF(F33-TODAY()&lt;=3,"⏳ через "&amp;(F33-TODAY())&amp;" дн.",""))))</f>
        <v/>
      </c>
      <c r="K33" s="54">
        <f>IF(B33="","",IF(G33="✅ Выполнена","✔ ",IF(G33="❌ Отменена","✖ ",IF(AND(F33&lt;&gt;"",F33&lt;TODAY()),"❗ ","☐ ")))&amp;B33&amp;IF(E33="🔥 Высокий"," 🔥",""))</f>
        <v/>
      </c>
      <c r="L33" s="54">
        <f>IF(OR(B33="",F33="",G33="❌ Отменена"),"",F33&amp;"#"&amp;COUNTIFS($F$5:F33,F33,$B$5:B33,"?*",$G$5:G33,"&lt;&gt;❌ Отменена"))</f>
        <v/>
      </c>
      <c r="M33" s="54">
        <f>IF(AND(B33&lt;&gt;"",F33&lt;&gt;"",F33&lt;TODAY(),AND(G33&lt;&gt;"✅ Выполнена",G33&lt;&gt;"❌ Отменена")),MAX($M$4:M32)+1,"")</f>
        <v/>
      </c>
    </row>
    <row r="34">
      <c r="A34" s="49">
        <f>IF(B34="","",COUNTA($B$5:B34))</f>
        <v/>
      </c>
      <c r="B34" s="50" t="n"/>
      <c r="C34" s="51" t="n"/>
      <c r="D34" s="51" t="n"/>
      <c r="E34" s="52" t="n"/>
      <c r="F34" s="53" t="n"/>
      <c r="G34" s="51" t="n"/>
      <c r="H34" s="53" t="n"/>
      <c r="I34" s="51" t="n"/>
      <c r="J34" s="54">
        <f>IF(OR(B34="",F34="",NOT(AND(G34&lt;&gt;"✅ Выполнена",G34&lt;&gt;"❌ Отменена"))),"",IF(F34&lt;TODAY(),"❗ просрочено "&amp;(TODAY()-F34)&amp;" дн.",IF(F34=TODAY(),"🔥 сегодня",IF(F34-TODAY()&lt;=3,"⏳ через "&amp;(F34-TODAY())&amp;" дн.",""))))</f>
        <v/>
      </c>
      <c r="K34" s="54">
        <f>IF(B34="","",IF(G34="✅ Выполнена","✔ ",IF(G34="❌ Отменена","✖ ",IF(AND(F34&lt;&gt;"",F34&lt;TODAY()),"❗ ","☐ ")))&amp;B34&amp;IF(E34="🔥 Высокий"," 🔥",""))</f>
        <v/>
      </c>
      <c r="L34" s="54">
        <f>IF(OR(B34="",F34="",G34="❌ Отменена"),"",F34&amp;"#"&amp;COUNTIFS($F$5:F34,F34,$B$5:B34,"?*",$G$5:G34,"&lt;&gt;❌ Отменена"))</f>
        <v/>
      </c>
      <c r="M34" s="54">
        <f>IF(AND(B34&lt;&gt;"",F34&lt;&gt;"",F34&lt;TODAY(),AND(G34&lt;&gt;"✅ Выполнена",G34&lt;&gt;"❌ Отменена")),MAX($M$4:M33)+1,"")</f>
        <v/>
      </c>
    </row>
    <row r="35">
      <c r="A35" s="49">
        <f>IF(B35="","",COUNTA($B$5:B35))</f>
        <v/>
      </c>
      <c r="B35" s="50" t="n"/>
      <c r="C35" s="51" t="n"/>
      <c r="D35" s="51" t="n"/>
      <c r="E35" s="52" t="n"/>
      <c r="F35" s="53" t="n"/>
      <c r="G35" s="51" t="n"/>
      <c r="H35" s="53" t="n"/>
      <c r="I35" s="51" t="n"/>
      <c r="J35" s="54">
        <f>IF(OR(B35="",F35="",NOT(AND(G35&lt;&gt;"✅ Выполнена",G35&lt;&gt;"❌ Отменена"))),"",IF(F35&lt;TODAY(),"❗ просрочено "&amp;(TODAY()-F35)&amp;" дн.",IF(F35=TODAY(),"🔥 сегодня",IF(F35-TODAY()&lt;=3,"⏳ через "&amp;(F35-TODAY())&amp;" дн.",""))))</f>
        <v/>
      </c>
      <c r="K35" s="54">
        <f>IF(B35="","",IF(G35="✅ Выполнена","✔ ",IF(G35="❌ Отменена","✖ ",IF(AND(F35&lt;&gt;"",F35&lt;TODAY()),"❗ ","☐ ")))&amp;B35&amp;IF(E35="🔥 Высокий"," 🔥",""))</f>
        <v/>
      </c>
      <c r="L35" s="54">
        <f>IF(OR(B35="",F35="",G35="❌ Отменена"),"",F35&amp;"#"&amp;COUNTIFS($F$5:F35,F35,$B$5:B35,"?*",$G$5:G35,"&lt;&gt;❌ Отменена"))</f>
        <v/>
      </c>
      <c r="M35" s="54">
        <f>IF(AND(B35&lt;&gt;"",F35&lt;&gt;"",F35&lt;TODAY(),AND(G35&lt;&gt;"✅ Выполнена",G35&lt;&gt;"❌ Отменена")),MAX($M$4:M34)+1,"")</f>
        <v/>
      </c>
    </row>
    <row r="36">
      <c r="A36" s="49">
        <f>IF(B36="","",COUNTA($B$5:B36))</f>
        <v/>
      </c>
      <c r="B36" s="50" t="n"/>
      <c r="C36" s="51" t="n"/>
      <c r="D36" s="51" t="n"/>
      <c r="E36" s="52" t="n"/>
      <c r="F36" s="53" t="n"/>
      <c r="G36" s="51" t="n"/>
      <c r="H36" s="53" t="n"/>
      <c r="I36" s="51" t="n"/>
      <c r="J36" s="54">
        <f>IF(OR(B36="",F36="",NOT(AND(G36&lt;&gt;"✅ Выполнена",G36&lt;&gt;"❌ Отменена"))),"",IF(F36&lt;TODAY(),"❗ просрочено "&amp;(TODAY()-F36)&amp;" дн.",IF(F36=TODAY(),"🔥 сегодня",IF(F36-TODAY()&lt;=3,"⏳ через "&amp;(F36-TODAY())&amp;" дн.",""))))</f>
        <v/>
      </c>
      <c r="K36" s="54">
        <f>IF(B36="","",IF(G36="✅ Выполнена","✔ ",IF(G36="❌ Отменена","✖ ",IF(AND(F36&lt;&gt;"",F36&lt;TODAY()),"❗ ","☐ ")))&amp;B36&amp;IF(E36="🔥 Высокий"," 🔥",""))</f>
        <v/>
      </c>
      <c r="L36" s="54">
        <f>IF(OR(B36="",F36="",G36="❌ Отменена"),"",F36&amp;"#"&amp;COUNTIFS($F$5:F36,F36,$B$5:B36,"?*",$G$5:G36,"&lt;&gt;❌ Отменена"))</f>
        <v/>
      </c>
      <c r="M36" s="54">
        <f>IF(AND(B36&lt;&gt;"",F36&lt;&gt;"",F36&lt;TODAY(),AND(G36&lt;&gt;"✅ Выполнена",G36&lt;&gt;"❌ Отменена")),MAX($M$4:M35)+1,"")</f>
        <v/>
      </c>
    </row>
    <row r="37">
      <c r="A37" s="49">
        <f>IF(B37="","",COUNTA($B$5:B37))</f>
        <v/>
      </c>
      <c r="B37" s="50" t="n"/>
      <c r="C37" s="51" t="n"/>
      <c r="D37" s="51" t="n"/>
      <c r="E37" s="52" t="n"/>
      <c r="F37" s="53" t="n"/>
      <c r="G37" s="51" t="n"/>
      <c r="H37" s="53" t="n"/>
      <c r="I37" s="51" t="n"/>
      <c r="J37" s="54">
        <f>IF(OR(B37="",F37="",NOT(AND(G37&lt;&gt;"✅ Выполнена",G37&lt;&gt;"❌ Отменена"))),"",IF(F37&lt;TODAY(),"❗ просрочено "&amp;(TODAY()-F37)&amp;" дн.",IF(F37=TODAY(),"🔥 сегодня",IF(F37-TODAY()&lt;=3,"⏳ через "&amp;(F37-TODAY())&amp;" дн.",""))))</f>
        <v/>
      </c>
      <c r="K37" s="54">
        <f>IF(B37="","",IF(G37="✅ Выполнена","✔ ",IF(G37="❌ Отменена","✖ ",IF(AND(F37&lt;&gt;"",F37&lt;TODAY()),"❗ ","☐ ")))&amp;B37&amp;IF(E37="🔥 Высокий"," 🔥",""))</f>
        <v/>
      </c>
      <c r="L37" s="54">
        <f>IF(OR(B37="",F37="",G37="❌ Отменена"),"",F37&amp;"#"&amp;COUNTIFS($F$5:F37,F37,$B$5:B37,"?*",$G$5:G37,"&lt;&gt;❌ Отменена"))</f>
        <v/>
      </c>
      <c r="M37" s="54">
        <f>IF(AND(B37&lt;&gt;"",F37&lt;&gt;"",F37&lt;TODAY(),AND(G37&lt;&gt;"✅ Выполнена",G37&lt;&gt;"❌ Отменена")),MAX($M$4:M36)+1,"")</f>
        <v/>
      </c>
    </row>
    <row r="38">
      <c r="A38" s="49">
        <f>IF(B38="","",COUNTA($B$5:B38))</f>
        <v/>
      </c>
      <c r="B38" s="50" t="n"/>
      <c r="C38" s="51" t="n"/>
      <c r="D38" s="51" t="n"/>
      <c r="E38" s="52" t="n"/>
      <c r="F38" s="53" t="n"/>
      <c r="G38" s="51" t="n"/>
      <c r="H38" s="53" t="n"/>
      <c r="I38" s="51" t="n"/>
      <c r="J38" s="54">
        <f>IF(OR(B38="",F38="",NOT(AND(G38&lt;&gt;"✅ Выполнена",G38&lt;&gt;"❌ Отменена"))),"",IF(F38&lt;TODAY(),"❗ просрочено "&amp;(TODAY()-F38)&amp;" дн.",IF(F38=TODAY(),"🔥 сегодня",IF(F38-TODAY()&lt;=3,"⏳ через "&amp;(F38-TODAY())&amp;" дн.",""))))</f>
        <v/>
      </c>
      <c r="K38" s="54">
        <f>IF(B38="","",IF(G38="✅ Выполнена","✔ ",IF(G38="❌ Отменена","✖ ",IF(AND(F38&lt;&gt;"",F38&lt;TODAY()),"❗ ","☐ ")))&amp;B38&amp;IF(E38="🔥 Высокий"," 🔥",""))</f>
        <v/>
      </c>
      <c r="L38" s="54">
        <f>IF(OR(B38="",F38="",G38="❌ Отменена"),"",F38&amp;"#"&amp;COUNTIFS($F$5:F38,F38,$B$5:B38,"?*",$G$5:G38,"&lt;&gt;❌ Отменена"))</f>
        <v/>
      </c>
      <c r="M38" s="54">
        <f>IF(AND(B38&lt;&gt;"",F38&lt;&gt;"",F38&lt;TODAY(),AND(G38&lt;&gt;"✅ Выполнена",G38&lt;&gt;"❌ Отменена")),MAX($M$4:M37)+1,"")</f>
        <v/>
      </c>
    </row>
    <row r="39">
      <c r="A39" s="49">
        <f>IF(B39="","",COUNTA($B$5:B39))</f>
        <v/>
      </c>
      <c r="B39" s="50" t="n"/>
      <c r="C39" s="51" t="n"/>
      <c r="D39" s="51" t="n"/>
      <c r="E39" s="52" t="n"/>
      <c r="F39" s="53" t="n"/>
      <c r="G39" s="51" t="n"/>
      <c r="H39" s="53" t="n"/>
      <c r="I39" s="51" t="n"/>
      <c r="J39" s="54">
        <f>IF(OR(B39="",F39="",NOT(AND(G39&lt;&gt;"✅ Выполнена",G39&lt;&gt;"❌ Отменена"))),"",IF(F39&lt;TODAY(),"❗ просрочено "&amp;(TODAY()-F39)&amp;" дн.",IF(F39=TODAY(),"🔥 сегодня",IF(F39-TODAY()&lt;=3,"⏳ через "&amp;(F39-TODAY())&amp;" дн.",""))))</f>
        <v/>
      </c>
      <c r="K39" s="54">
        <f>IF(B39="","",IF(G39="✅ Выполнена","✔ ",IF(G39="❌ Отменена","✖ ",IF(AND(F39&lt;&gt;"",F39&lt;TODAY()),"❗ ","☐ ")))&amp;B39&amp;IF(E39="🔥 Высокий"," 🔥",""))</f>
        <v/>
      </c>
      <c r="L39" s="54">
        <f>IF(OR(B39="",F39="",G39="❌ Отменена"),"",F39&amp;"#"&amp;COUNTIFS($F$5:F39,F39,$B$5:B39,"?*",$G$5:G39,"&lt;&gt;❌ Отменена"))</f>
        <v/>
      </c>
      <c r="M39" s="54">
        <f>IF(AND(B39&lt;&gt;"",F39&lt;&gt;"",F39&lt;TODAY(),AND(G39&lt;&gt;"✅ Выполнена",G39&lt;&gt;"❌ Отменена")),MAX($M$4:M38)+1,"")</f>
        <v/>
      </c>
    </row>
    <row r="40">
      <c r="A40" s="49">
        <f>IF(B40="","",COUNTA($B$5:B40))</f>
        <v/>
      </c>
      <c r="B40" s="50" t="n"/>
      <c r="C40" s="51" t="n"/>
      <c r="D40" s="51" t="n"/>
      <c r="E40" s="52" t="n"/>
      <c r="F40" s="53" t="n"/>
      <c r="G40" s="51" t="n"/>
      <c r="H40" s="53" t="n"/>
      <c r="I40" s="51" t="n"/>
      <c r="J40" s="54">
        <f>IF(OR(B40="",F40="",NOT(AND(G40&lt;&gt;"✅ Выполнена",G40&lt;&gt;"❌ Отменена"))),"",IF(F40&lt;TODAY(),"❗ просрочено "&amp;(TODAY()-F40)&amp;" дн.",IF(F40=TODAY(),"🔥 сегодня",IF(F40-TODAY()&lt;=3,"⏳ через "&amp;(F40-TODAY())&amp;" дн.",""))))</f>
        <v/>
      </c>
      <c r="K40" s="54">
        <f>IF(B40="","",IF(G40="✅ Выполнена","✔ ",IF(G40="❌ Отменена","✖ ",IF(AND(F40&lt;&gt;"",F40&lt;TODAY()),"❗ ","☐ ")))&amp;B40&amp;IF(E40="🔥 Высокий"," 🔥",""))</f>
        <v/>
      </c>
      <c r="L40" s="54">
        <f>IF(OR(B40="",F40="",G40="❌ Отменена"),"",F40&amp;"#"&amp;COUNTIFS($F$5:F40,F40,$B$5:B40,"?*",$G$5:G40,"&lt;&gt;❌ Отменена"))</f>
        <v/>
      </c>
      <c r="M40" s="54">
        <f>IF(AND(B40&lt;&gt;"",F40&lt;&gt;"",F40&lt;TODAY(),AND(G40&lt;&gt;"✅ Выполнена",G40&lt;&gt;"❌ Отменена")),MAX($M$4:M39)+1,"")</f>
        <v/>
      </c>
    </row>
    <row r="41">
      <c r="A41" s="49">
        <f>IF(B41="","",COUNTA($B$5:B41))</f>
        <v/>
      </c>
      <c r="B41" s="50" t="n"/>
      <c r="C41" s="51" t="n"/>
      <c r="D41" s="51" t="n"/>
      <c r="E41" s="52" t="n"/>
      <c r="F41" s="53" t="n"/>
      <c r="G41" s="51" t="n"/>
      <c r="H41" s="53" t="n"/>
      <c r="I41" s="51" t="n"/>
      <c r="J41" s="54">
        <f>IF(OR(B41="",F41="",NOT(AND(G41&lt;&gt;"✅ Выполнена",G41&lt;&gt;"❌ Отменена"))),"",IF(F41&lt;TODAY(),"❗ просрочено "&amp;(TODAY()-F41)&amp;" дн.",IF(F41=TODAY(),"🔥 сегодня",IF(F41-TODAY()&lt;=3,"⏳ через "&amp;(F41-TODAY())&amp;" дн.",""))))</f>
        <v/>
      </c>
      <c r="K41" s="54">
        <f>IF(B41="","",IF(G41="✅ Выполнена","✔ ",IF(G41="❌ Отменена","✖ ",IF(AND(F41&lt;&gt;"",F41&lt;TODAY()),"❗ ","☐ ")))&amp;B41&amp;IF(E41="🔥 Высокий"," 🔥",""))</f>
        <v/>
      </c>
      <c r="L41" s="54">
        <f>IF(OR(B41="",F41="",G41="❌ Отменена"),"",F41&amp;"#"&amp;COUNTIFS($F$5:F41,F41,$B$5:B41,"?*",$G$5:G41,"&lt;&gt;❌ Отменена"))</f>
        <v/>
      </c>
      <c r="M41" s="54">
        <f>IF(AND(B41&lt;&gt;"",F41&lt;&gt;"",F41&lt;TODAY(),AND(G41&lt;&gt;"✅ Выполнена",G41&lt;&gt;"❌ Отменена")),MAX($M$4:M40)+1,"")</f>
        <v/>
      </c>
    </row>
    <row r="42">
      <c r="A42" s="49">
        <f>IF(B42="","",COUNTA($B$5:B42))</f>
        <v/>
      </c>
      <c r="B42" s="50" t="n"/>
      <c r="C42" s="51" t="n"/>
      <c r="D42" s="51" t="n"/>
      <c r="E42" s="52" t="n"/>
      <c r="F42" s="53" t="n"/>
      <c r="G42" s="51" t="n"/>
      <c r="H42" s="53" t="n"/>
      <c r="I42" s="51" t="n"/>
      <c r="J42" s="54">
        <f>IF(OR(B42="",F42="",NOT(AND(G42&lt;&gt;"✅ Выполнена",G42&lt;&gt;"❌ Отменена"))),"",IF(F42&lt;TODAY(),"❗ просрочено "&amp;(TODAY()-F42)&amp;" дн.",IF(F42=TODAY(),"🔥 сегодня",IF(F42-TODAY()&lt;=3,"⏳ через "&amp;(F42-TODAY())&amp;" дн.",""))))</f>
        <v/>
      </c>
      <c r="K42" s="54">
        <f>IF(B42="","",IF(G42="✅ Выполнена","✔ ",IF(G42="❌ Отменена","✖ ",IF(AND(F42&lt;&gt;"",F42&lt;TODAY()),"❗ ","☐ ")))&amp;B42&amp;IF(E42="🔥 Высокий"," 🔥",""))</f>
        <v/>
      </c>
      <c r="L42" s="54">
        <f>IF(OR(B42="",F42="",G42="❌ Отменена"),"",F42&amp;"#"&amp;COUNTIFS($F$5:F42,F42,$B$5:B42,"?*",$G$5:G42,"&lt;&gt;❌ Отменена"))</f>
        <v/>
      </c>
      <c r="M42" s="54">
        <f>IF(AND(B42&lt;&gt;"",F42&lt;&gt;"",F42&lt;TODAY(),AND(G42&lt;&gt;"✅ Выполнена",G42&lt;&gt;"❌ Отменена")),MAX($M$4:M41)+1,"")</f>
        <v/>
      </c>
    </row>
    <row r="43">
      <c r="A43" s="49">
        <f>IF(B43="","",COUNTA($B$5:B43))</f>
        <v/>
      </c>
      <c r="B43" s="50" t="n"/>
      <c r="C43" s="51" t="n"/>
      <c r="D43" s="51" t="n"/>
      <c r="E43" s="52" t="n"/>
      <c r="F43" s="53" t="n"/>
      <c r="G43" s="51" t="n"/>
      <c r="H43" s="53" t="n"/>
      <c r="I43" s="51" t="n"/>
      <c r="J43" s="54">
        <f>IF(OR(B43="",F43="",NOT(AND(G43&lt;&gt;"✅ Выполнена",G43&lt;&gt;"❌ Отменена"))),"",IF(F43&lt;TODAY(),"❗ просрочено "&amp;(TODAY()-F43)&amp;" дн.",IF(F43=TODAY(),"🔥 сегодня",IF(F43-TODAY()&lt;=3,"⏳ через "&amp;(F43-TODAY())&amp;" дн.",""))))</f>
        <v/>
      </c>
      <c r="K43" s="54">
        <f>IF(B43="","",IF(G43="✅ Выполнена","✔ ",IF(G43="❌ Отменена","✖ ",IF(AND(F43&lt;&gt;"",F43&lt;TODAY()),"❗ ","☐ ")))&amp;B43&amp;IF(E43="🔥 Высокий"," 🔥",""))</f>
        <v/>
      </c>
      <c r="L43" s="54">
        <f>IF(OR(B43="",F43="",G43="❌ Отменена"),"",F43&amp;"#"&amp;COUNTIFS($F$5:F43,F43,$B$5:B43,"?*",$G$5:G43,"&lt;&gt;❌ Отменена"))</f>
        <v/>
      </c>
      <c r="M43" s="54">
        <f>IF(AND(B43&lt;&gt;"",F43&lt;&gt;"",F43&lt;TODAY(),AND(G43&lt;&gt;"✅ Выполнена",G43&lt;&gt;"❌ Отменена")),MAX($M$4:M42)+1,"")</f>
        <v/>
      </c>
    </row>
    <row r="44">
      <c r="A44" s="49">
        <f>IF(B44="","",COUNTA($B$5:B44))</f>
        <v/>
      </c>
      <c r="B44" s="50" t="n"/>
      <c r="C44" s="51" t="n"/>
      <c r="D44" s="51" t="n"/>
      <c r="E44" s="52" t="n"/>
      <c r="F44" s="53" t="n"/>
      <c r="G44" s="51" t="n"/>
      <c r="H44" s="53" t="n"/>
      <c r="I44" s="51" t="n"/>
      <c r="J44" s="54">
        <f>IF(OR(B44="",F44="",NOT(AND(G44&lt;&gt;"✅ Выполнена",G44&lt;&gt;"❌ Отменена"))),"",IF(F44&lt;TODAY(),"❗ просрочено "&amp;(TODAY()-F44)&amp;" дн.",IF(F44=TODAY(),"🔥 сегодня",IF(F44-TODAY()&lt;=3,"⏳ через "&amp;(F44-TODAY())&amp;" дн.",""))))</f>
        <v/>
      </c>
      <c r="K44" s="54">
        <f>IF(B44="","",IF(G44="✅ Выполнена","✔ ",IF(G44="❌ Отменена","✖ ",IF(AND(F44&lt;&gt;"",F44&lt;TODAY()),"❗ ","☐ ")))&amp;B44&amp;IF(E44="🔥 Высокий"," 🔥",""))</f>
        <v/>
      </c>
      <c r="L44" s="54">
        <f>IF(OR(B44="",F44="",G44="❌ Отменена"),"",F44&amp;"#"&amp;COUNTIFS($F$5:F44,F44,$B$5:B44,"?*",$G$5:G44,"&lt;&gt;❌ Отменена"))</f>
        <v/>
      </c>
      <c r="M44" s="54">
        <f>IF(AND(B44&lt;&gt;"",F44&lt;&gt;"",F44&lt;TODAY(),AND(G44&lt;&gt;"✅ Выполнена",G44&lt;&gt;"❌ Отменена")),MAX($M$4:M43)+1,"")</f>
        <v/>
      </c>
    </row>
    <row r="45">
      <c r="A45" s="49">
        <f>IF(B45="","",COUNTA($B$5:B45))</f>
        <v/>
      </c>
      <c r="B45" s="50" t="n"/>
      <c r="C45" s="51" t="n"/>
      <c r="D45" s="51" t="n"/>
      <c r="E45" s="52" t="n"/>
      <c r="F45" s="53" t="n"/>
      <c r="G45" s="51" t="n"/>
      <c r="H45" s="53" t="n"/>
      <c r="I45" s="51" t="n"/>
      <c r="J45" s="54">
        <f>IF(OR(B45="",F45="",NOT(AND(G45&lt;&gt;"✅ Выполнена",G45&lt;&gt;"❌ Отменена"))),"",IF(F45&lt;TODAY(),"❗ просрочено "&amp;(TODAY()-F45)&amp;" дн.",IF(F45=TODAY(),"🔥 сегодня",IF(F45-TODAY()&lt;=3,"⏳ через "&amp;(F45-TODAY())&amp;" дн.",""))))</f>
        <v/>
      </c>
      <c r="K45" s="54">
        <f>IF(B45="","",IF(G45="✅ Выполнена","✔ ",IF(G45="❌ Отменена","✖ ",IF(AND(F45&lt;&gt;"",F45&lt;TODAY()),"❗ ","☐ ")))&amp;B45&amp;IF(E45="🔥 Высокий"," 🔥",""))</f>
        <v/>
      </c>
      <c r="L45" s="54">
        <f>IF(OR(B45="",F45="",G45="❌ Отменена"),"",F45&amp;"#"&amp;COUNTIFS($F$5:F45,F45,$B$5:B45,"?*",$G$5:G45,"&lt;&gt;❌ Отменена"))</f>
        <v/>
      </c>
      <c r="M45" s="54">
        <f>IF(AND(B45&lt;&gt;"",F45&lt;&gt;"",F45&lt;TODAY(),AND(G45&lt;&gt;"✅ Выполнена",G45&lt;&gt;"❌ Отменена")),MAX($M$4:M44)+1,"")</f>
        <v/>
      </c>
    </row>
    <row r="46">
      <c r="A46" s="49">
        <f>IF(B46="","",COUNTA($B$5:B46))</f>
        <v/>
      </c>
      <c r="B46" s="50" t="n"/>
      <c r="C46" s="51" t="n"/>
      <c r="D46" s="51" t="n"/>
      <c r="E46" s="52" t="n"/>
      <c r="F46" s="53" t="n"/>
      <c r="G46" s="51" t="n"/>
      <c r="H46" s="53" t="n"/>
      <c r="I46" s="51" t="n"/>
      <c r="J46" s="54">
        <f>IF(OR(B46="",F46="",NOT(AND(G46&lt;&gt;"✅ Выполнена",G46&lt;&gt;"❌ Отменена"))),"",IF(F46&lt;TODAY(),"❗ просрочено "&amp;(TODAY()-F46)&amp;" дн.",IF(F46=TODAY(),"🔥 сегодня",IF(F46-TODAY()&lt;=3,"⏳ через "&amp;(F46-TODAY())&amp;" дн.",""))))</f>
        <v/>
      </c>
      <c r="K46" s="54">
        <f>IF(B46="","",IF(G46="✅ Выполнена","✔ ",IF(G46="❌ Отменена","✖ ",IF(AND(F46&lt;&gt;"",F46&lt;TODAY()),"❗ ","☐ ")))&amp;B46&amp;IF(E46="🔥 Высокий"," 🔥",""))</f>
        <v/>
      </c>
      <c r="L46" s="54">
        <f>IF(OR(B46="",F46="",G46="❌ Отменена"),"",F46&amp;"#"&amp;COUNTIFS($F$5:F46,F46,$B$5:B46,"?*",$G$5:G46,"&lt;&gt;❌ Отменена"))</f>
        <v/>
      </c>
      <c r="M46" s="54">
        <f>IF(AND(B46&lt;&gt;"",F46&lt;&gt;"",F46&lt;TODAY(),AND(G46&lt;&gt;"✅ Выполнена",G46&lt;&gt;"❌ Отменена")),MAX($M$4:M45)+1,"")</f>
        <v/>
      </c>
    </row>
    <row r="47">
      <c r="A47" s="49">
        <f>IF(B47="","",COUNTA($B$5:B47))</f>
        <v/>
      </c>
      <c r="B47" s="50" t="n"/>
      <c r="C47" s="51" t="n"/>
      <c r="D47" s="51" t="n"/>
      <c r="E47" s="52" t="n"/>
      <c r="F47" s="53" t="n"/>
      <c r="G47" s="51" t="n"/>
      <c r="H47" s="53" t="n"/>
      <c r="I47" s="51" t="n"/>
      <c r="J47" s="54">
        <f>IF(OR(B47="",F47="",NOT(AND(G47&lt;&gt;"✅ Выполнена",G47&lt;&gt;"❌ Отменена"))),"",IF(F47&lt;TODAY(),"❗ просрочено "&amp;(TODAY()-F47)&amp;" дн.",IF(F47=TODAY(),"🔥 сегодня",IF(F47-TODAY()&lt;=3,"⏳ через "&amp;(F47-TODAY())&amp;" дн.",""))))</f>
        <v/>
      </c>
      <c r="K47" s="54">
        <f>IF(B47="","",IF(G47="✅ Выполнена","✔ ",IF(G47="❌ Отменена","✖ ",IF(AND(F47&lt;&gt;"",F47&lt;TODAY()),"❗ ","☐ ")))&amp;B47&amp;IF(E47="🔥 Высокий"," 🔥",""))</f>
        <v/>
      </c>
      <c r="L47" s="54">
        <f>IF(OR(B47="",F47="",G47="❌ Отменена"),"",F47&amp;"#"&amp;COUNTIFS($F$5:F47,F47,$B$5:B47,"?*",$G$5:G47,"&lt;&gt;❌ Отменена"))</f>
        <v/>
      </c>
      <c r="M47" s="54">
        <f>IF(AND(B47&lt;&gt;"",F47&lt;&gt;"",F47&lt;TODAY(),AND(G47&lt;&gt;"✅ Выполнена",G47&lt;&gt;"❌ Отменена")),MAX($M$4:M46)+1,"")</f>
        <v/>
      </c>
    </row>
    <row r="48">
      <c r="A48" s="49">
        <f>IF(B48="","",COUNTA($B$5:B48))</f>
        <v/>
      </c>
      <c r="B48" s="50" t="n"/>
      <c r="C48" s="51" t="n"/>
      <c r="D48" s="51" t="n"/>
      <c r="E48" s="52" t="n"/>
      <c r="F48" s="53" t="n"/>
      <c r="G48" s="51" t="n"/>
      <c r="H48" s="53" t="n"/>
      <c r="I48" s="51" t="n"/>
      <c r="J48" s="54">
        <f>IF(OR(B48="",F48="",NOT(AND(G48&lt;&gt;"✅ Выполнена",G48&lt;&gt;"❌ Отменена"))),"",IF(F48&lt;TODAY(),"❗ просрочено "&amp;(TODAY()-F48)&amp;" дн.",IF(F48=TODAY(),"🔥 сегодня",IF(F48-TODAY()&lt;=3,"⏳ через "&amp;(F48-TODAY())&amp;" дн.",""))))</f>
        <v/>
      </c>
      <c r="K48" s="54">
        <f>IF(B48="","",IF(G48="✅ Выполнена","✔ ",IF(G48="❌ Отменена","✖ ",IF(AND(F48&lt;&gt;"",F48&lt;TODAY()),"❗ ","☐ ")))&amp;B48&amp;IF(E48="🔥 Высокий"," 🔥",""))</f>
        <v/>
      </c>
      <c r="L48" s="54">
        <f>IF(OR(B48="",F48="",G48="❌ Отменена"),"",F48&amp;"#"&amp;COUNTIFS($F$5:F48,F48,$B$5:B48,"?*",$G$5:G48,"&lt;&gt;❌ Отменена"))</f>
        <v/>
      </c>
      <c r="M48" s="54">
        <f>IF(AND(B48&lt;&gt;"",F48&lt;&gt;"",F48&lt;TODAY(),AND(G48&lt;&gt;"✅ Выполнена",G48&lt;&gt;"❌ Отменена")),MAX($M$4:M47)+1,"")</f>
        <v/>
      </c>
    </row>
    <row r="49">
      <c r="A49" s="49">
        <f>IF(B49="","",COUNTA($B$5:B49))</f>
        <v/>
      </c>
      <c r="B49" s="50" t="n"/>
      <c r="C49" s="51" t="n"/>
      <c r="D49" s="51" t="n"/>
      <c r="E49" s="52" t="n"/>
      <c r="F49" s="53" t="n"/>
      <c r="G49" s="51" t="n"/>
      <c r="H49" s="53" t="n"/>
      <c r="I49" s="51" t="n"/>
      <c r="J49" s="54">
        <f>IF(OR(B49="",F49="",NOT(AND(G49&lt;&gt;"✅ Выполнена",G49&lt;&gt;"❌ Отменена"))),"",IF(F49&lt;TODAY(),"❗ просрочено "&amp;(TODAY()-F49)&amp;" дн.",IF(F49=TODAY(),"🔥 сегодня",IF(F49-TODAY()&lt;=3,"⏳ через "&amp;(F49-TODAY())&amp;" дн.",""))))</f>
        <v/>
      </c>
      <c r="K49" s="54">
        <f>IF(B49="","",IF(G49="✅ Выполнена","✔ ",IF(G49="❌ Отменена","✖ ",IF(AND(F49&lt;&gt;"",F49&lt;TODAY()),"❗ ","☐ ")))&amp;B49&amp;IF(E49="🔥 Высокий"," 🔥",""))</f>
        <v/>
      </c>
      <c r="L49" s="54">
        <f>IF(OR(B49="",F49="",G49="❌ Отменена"),"",F49&amp;"#"&amp;COUNTIFS($F$5:F49,F49,$B$5:B49,"?*",$G$5:G49,"&lt;&gt;❌ Отменена"))</f>
        <v/>
      </c>
      <c r="M49" s="54">
        <f>IF(AND(B49&lt;&gt;"",F49&lt;&gt;"",F49&lt;TODAY(),AND(G49&lt;&gt;"✅ Выполнена",G49&lt;&gt;"❌ Отменена")),MAX($M$4:M48)+1,"")</f>
        <v/>
      </c>
    </row>
    <row r="50">
      <c r="A50" s="49">
        <f>IF(B50="","",COUNTA($B$5:B50))</f>
        <v/>
      </c>
      <c r="B50" s="50" t="n"/>
      <c r="C50" s="51" t="n"/>
      <c r="D50" s="51" t="n"/>
      <c r="E50" s="52" t="n"/>
      <c r="F50" s="53" t="n"/>
      <c r="G50" s="51" t="n"/>
      <c r="H50" s="53" t="n"/>
      <c r="I50" s="51" t="n"/>
      <c r="J50" s="54">
        <f>IF(OR(B50="",F50="",NOT(AND(G50&lt;&gt;"✅ Выполнена",G50&lt;&gt;"❌ Отменена"))),"",IF(F50&lt;TODAY(),"❗ просрочено "&amp;(TODAY()-F50)&amp;" дн.",IF(F50=TODAY(),"🔥 сегодня",IF(F50-TODAY()&lt;=3,"⏳ через "&amp;(F50-TODAY())&amp;" дн.",""))))</f>
        <v/>
      </c>
      <c r="K50" s="54">
        <f>IF(B50="","",IF(G50="✅ Выполнена","✔ ",IF(G50="❌ Отменена","✖ ",IF(AND(F50&lt;&gt;"",F50&lt;TODAY()),"❗ ","☐ ")))&amp;B50&amp;IF(E50="🔥 Высокий"," 🔥",""))</f>
        <v/>
      </c>
      <c r="L50" s="54">
        <f>IF(OR(B50="",F50="",G50="❌ Отменена"),"",F50&amp;"#"&amp;COUNTIFS($F$5:F50,F50,$B$5:B50,"?*",$G$5:G50,"&lt;&gt;❌ Отменена"))</f>
        <v/>
      </c>
      <c r="M50" s="54">
        <f>IF(AND(B50&lt;&gt;"",F50&lt;&gt;"",F50&lt;TODAY(),AND(G50&lt;&gt;"✅ Выполнена",G50&lt;&gt;"❌ Отменена")),MAX($M$4:M49)+1,"")</f>
        <v/>
      </c>
    </row>
    <row r="51">
      <c r="A51" s="49">
        <f>IF(B51="","",COUNTA($B$5:B51))</f>
        <v/>
      </c>
      <c r="B51" s="50" t="n"/>
      <c r="C51" s="51" t="n"/>
      <c r="D51" s="51" t="n"/>
      <c r="E51" s="52" t="n"/>
      <c r="F51" s="53" t="n"/>
      <c r="G51" s="51" t="n"/>
      <c r="H51" s="53" t="n"/>
      <c r="I51" s="51" t="n"/>
      <c r="J51" s="54">
        <f>IF(OR(B51="",F51="",NOT(AND(G51&lt;&gt;"✅ Выполнена",G51&lt;&gt;"❌ Отменена"))),"",IF(F51&lt;TODAY(),"❗ просрочено "&amp;(TODAY()-F51)&amp;" дн.",IF(F51=TODAY(),"🔥 сегодня",IF(F51-TODAY()&lt;=3,"⏳ через "&amp;(F51-TODAY())&amp;" дн.",""))))</f>
        <v/>
      </c>
      <c r="K51" s="54">
        <f>IF(B51="","",IF(G51="✅ Выполнена","✔ ",IF(G51="❌ Отменена","✖ ",IF(AND(F51&lt;&gt;"",F51&lt;TODAY()),"❗ ","☐ ")))&amp;B51&amp;IF(E51="🔥 Высокий"," 🔥",""))</f>
        <v/>
      </c>
      <c r="L51" s="54">
        <f>IF(OR(B51="",F51="",G51="❌ Отменена"),"",F51&amp;"#"&amp;COUNTIFS($F$5:F51,F51,$B$5:B51,"?*",$G$5:G51,"&lt;&gt;❌ Отменена"))</f>
        <v/>
      </c>
      <c r="M51" s="54">
        <f>IF(AND(B51&lt;&gt;"",F51&lt;&gt;"",F51&lt;TODAY(),AND(G51&lt;&gt;"✅ Выполнена",G51&lt;&gt;"❌ Отменена")),MAX($M$4:M50)+1,"")</f>
        <v/>
      </c>
    </row>
    <row r="52">
      <c r="A52" s="49">
        <f>IF(B52="","",COUNTA($B$5:B52))</f>
        <v/>
      </c>
      <c r="B52" s="50" t="n"/>
      <c r="C52" s="51" t="n"/>
      <c r="D52" s="51" t="n"/>
      <c r="E52" s="52" t="n"/>
      <c r="F52" s="53" t="n"/>
      <c r="G52" s="51" t="n"/>
      <c r="H52" s="53" t="n"/>
      <c r="I52" s="51" t="n"/>
      <c r="J52" s="54">
        <f>IF(OR(B52="",F52="",NOT(AND(G52&lt;&gt;"✅ Выполнена",G52&lt;&gt;"❌ Отменена"))),"",IF(F52&lt;TODAY(),"❗ просрочено "&amp;(TODAY()-F52)&amp;" дн.",IF(F52=TODAY(),"🔥 сегодня",IF(F52-TODAY()&lt;=3,"⏳ через "&amp;(F52-TODAY())&amp;" дн.",""))))</f>
        <v/>
      </c>
      <c r="K52" s="54">
        <f>IF(B52="","",IF(G52="✅ Выполнена","✔ ",IF(G52="❌ Отменена","✖ ",IF(AND(F52&lt;&gt;"",F52&lt;TODAY()),"❗ ","☐ ")))&amp;B52&amp;IF(E52="🔥 Высокий"," 🔥",""))</f>
        <v/>
      </c>
      <c r="L52" s="54">
        <f>IF(OR(B52="",F52="",G52="❌ Отменена"),"",F52&amp;"#"&amp;COUNTIFS($F$5:F52,F52,$B$5:B52,"?*",$G$5:G52,"&lt;&gt;❌ Отменена"))</f>
        <v/>
      </c>
      <c r="M52" s="54">
        <f>IF(AND(B52&lt;&gt;"",F52&lt;&gt;"",F52&lt;TODAY(),AND(G52&lt;&gt;"✅ Выполнена",G52&lt;&gt;"❌ Отменена")),MAX($M$4:M51)+1,"")</f>
        <v/>
      </c>
    </row>
    <row r="53">
      <c r="A53" s="49">
        <f>IF(B53="","",COUNTA($B$5:B53))</f>
        <v/>
      </c>
      <c r="B53" s="50" t="n"/>
      <c r="C53" s="51" t="n"/>
      <c r="D53" s="51" t="n"/>
      <c r="E53" s="52" t="n"/>
      <c r="F53" s="53" t="n"/>
      <c r="G53" s="51" t="n"/>
      <c r="H53" s="53" t="n"/>
      <c r="I53" s="51" t="n"/>
      <c r="J53" s="54">
        <f>IF(OR(B53="",F53="",NOT(AND(G53&lt;&gt;"✅ Выполнена",G53&lt;&gt;"❌ Отменена"))),"",IF(F53&lt;TODAY(),"❗ просрочено "&amp;(TODAY()-F53)&amp;" дн.",IF(F53=TODAY(),"🔥 сегодня",IF(F53-TODAY()&lt;=3,"⏳ через "&amp;(F53-TODAY())&amp;" дн.",""))))</f>
        <v/>
      </c>
      <c r="K53" s="54">
        <f>IF(B53="","",IF(G53="✅ Выполнена","✔ ",IF(G53="❌ Отменена","✖ ",IF(AND(F53&lt;&gt;"",F53&lt;TODAY()),"❗ ","☐ ")))&amp;B53&amp;IF(E53="🔥 Высокий"," 🔥",""))</f>
        <v/>
      </c>
      <c r="L53" s="54">
        <f>IF(OR(B53="",F53="",G53="❌ Отменена"),"",F53&amp;"#"&amp;COUNTIFS($F$5:F53,F53,$B$5:B53,"?*",$G$5:G53,"&lt;&gt;❌ Отменена"))</f>
        <v/>
      </c>
      <c r="M53" s="54">
        <f>IF(AND(B53&lt;&gt;"",F53&lt;&gt;"",F53&lt;TODAY(),AND(G53&lt;&gt;"✅ Выполнена",G53&lt;&gt;"❌ Отменена")),MAX($M$4:M52)+1,"")</f>
        <v/>
      </c>
    </row>
    <row r="54">
      <c r="A54" s="49">
        <f>IF(B54="","",COUNTA($B$5:B54))</f>
        <v/>
      </c>
      <c r="B54" s="50" t="n"/>
      <c r="C54" s="51" t="n"/>
      <c r="D54" s="51" t="n"/>
      <c r="E54" s="52" t="n"/>
      <c r="F54" s="53" t="n"/>
      <c r="G54" s="51" t="n"/>
      <c r="H54" s="53" t="n"/>
      <c r="I54" s="51" t="n"/>
      <c r="J54" s="54">
        <f>IF(OR(B54="",F54="",NOT(AND(G54&lt;&gt;"✅ Выполнена",G54&lt;&gt;"❌ Отменена"))),"",IF(F54&lt;TODAY(),"❗ просрочено "&amp;(TODAY()-F54)&amp;" дн.",IF(F54=TODAY(),"🔥 сегодня",IF(F54-TODAY()&lt;=3,"⏳ через "&amp;(F54-TODAY())&amp;" дн.",""))))</f>
        <v/>
      </c>
      <c r="K54" s="54">
        <f>IF(B54="","",IF(G54="✅ Выполнена","✔ ",IF(G54="❌ Отменена","✖ ",IF(AND(F54&lt;&gt;"",F54&lt;TODAY()),"❗ ","☐ ")))&amp;B54&amp;IF(E54="🔥 Высокий"," 🔥",""))</f>
        <v/>
      </c>
      <c r="L54" s="54">
        <f>IF(OR(B54="",F54="",G54="❌ Отменена"),"",F54&amp;"#"&amp;COUNTIFS($F$5:F54,F54,$B$5:B54,"?*",$G$5:G54,"&lt;&gt;❌ Отменена"))</f>
        <v/>
      </c>
      <c r="M54" s="54">
        <f>IF(AND(B54&lt;&gt;"",F54&lt;&gt;"",F54&lt;TODAY(),AND(G54&lt;&gt;"✅ Выполнена",G54&lt;&gt;"❌ Отменена")),MAX($M$4:M53)+1,"")</f>
        <v/>
      </c>
    </row>
    <row r="55">
      <c r="A55" s="49">
        <f>IF(B55="","",COUNTA($B$5:B55))</f>
        <v/>
      </c>
      <c r="B55" s="50" t="n"/>
      <c r="C55" s="51" t="n"/>
      <c r="D55" s="51" t="n"/>
      <c r="E55" s="52" t="n"/>
      <c r="F55" s="53" t="n"/>
      <c r="G55" s="51" t="n"/>
      <c r="H55" s="53" t="n"/>
      <c r="I55" s="51" t="n"/>
      <c r="J55" s="54">
        <f>IF(OR(B55="",F55="",NOT(AND(G55&lt;&gt;"✅ Выполнена",G55&lt;&gt;"❌ Отменена"))),"",IF(F55&lt;TODAY(),"❗ просрочено "&amp;(TODAY()-F55)&amp;" дн.",IF(F55=TODAY(),"🔥 сегодня",IF(F55-TODAY()&lt;=3,"⏳ через "&amp;(F55-TODAY())&amp;" дн.",""))))</f>
        <v/>
      </c>
      <c r="K55" s="54">
        <f>IF(B55="","",IF(G55="✅ Выполнена","✔ ",IF(G55="❌ Отменена","✖ ",IF(AND(F55&lt;&gt;"",F55&lt;TODAY()),"❗ ","☐ ")))&amp;B55&amp;IF(E55="🔥 Высокий"," 🔥",""))</f>
        <v/>
      </c>
      <c r="L55" s="54">
        <f>IF(OR(B55="",F55="",G55="❌ Отменена"),"",F55&amp;"#"&amp;COUNTIFS($F$5:F55,F55,$B$5:B55,"?*",$G$5:G55,"&lt;&gt;❌ Отменена"))</f>
        <v/>
      </c>
      <c r="M55" s="54">
        <f>IF(AND(B55&lt;&gt;"",F55&lt;&gt;"",F55&lt;TODAY(),AND(G55&lt;&gt;"✅ Выполнена",G55&lt;&gt;"❌ Отменена")),MAX($M$4:M54)+1,"")</f>
        <v/>
      </c>
    </row>
    <row r="56">
      <c r="A56" s="49">
        <f>IF(B56="","",COUNTA($B$5:B56))</f>
        <v/>
      </c>
      <c r="B56" s="50" t="n"/>
      <c r="C56" s="51" t="n"/>
      <c r="D56" s="51" t="n"/>
      <c r="E56" s="52" t="n"/>
      <c r="F56" s="53" t="n"/>
      <c r="G56" s="51" t="n"/>
      <c r="H56" s="53" t="n"/>
      <c r="I56" s="51" t="n"/>
      <c r="J56" s="54">
        <f>IF(OR(B56="",F56="",NOT(AND(G56&lt;&gt;"✅ Выполнена",G56&lt;&gt;"❌ Отменена"))),"",IF(F56&lt;TODAY(),"❗ просрочено "&amp;(TODAY()-F56)&amp;" дн.",IF(F56=TODAY(),"🔥 сегодня",IF(F56-TODAY()&lt;=3,"⏳ через "&amp;(F56-TODAY())&amp;" дн.",""))))</f>
        <v/>
      </c>
      <c r="K56" s="54">
        <f>IF(B56="","",IF(G56="✅ Выполнена","✔ ",IF(G56="❌ Отменена","✖ ",IF(AND(F56&lt;&gt;"",F56&lt;TODAY()),"❗ ","☐ ")))&amp;B56&amp;IF(E56="🔥 Высокий"," 🔥",""))</f>
        <v/>
      </c>
      <c r="L56" s="54">
        <f>IF(OR(B56="",F56="",G56="❌ Отменена"),"",F56&amp;"#"&amp;COUNTIFS($F$5:F56,F56,$B$5:B56,"?*",$G$5:G56,"&lt;&gt;❌ Отменена"))</f>
        <v/>
      </c>
      <c r="M56" s="54">
        <f>IF(AND(B56&lt;&gt;"",F56&lt;&gt;"",F56&lt;TODAY(),AND(G56&lt;&gt;"✅ Выполнена",G56&lt;&gt;"❌ Отменена")),MAX($M$4:M55)+1,"")</f>
        <v/>
      </c>
    </row>
    <row r="57">
      <c r="A57" s="49">
        <f>IF(B57="","",COUNTA($B$5:B57))</f>
        <v/>
      </c>
      <c r="B57" s="50" t="n"/>
      <c r="C57" s="51" t="n"/>
      <c r="D57" s="51" t="n"/>
      <c r="E57" s="52" t="n"/>
      <c r="F57" s="53" t="n"/>
      <c r="G57" s="51" t="n"/>
      <c r="H57" s="53" t="n"/>
      <c r="I57" s="51" t="n"/>
      <c r="J57" s="54">
        <f>IF(OR(B57="",F57="",NOT(AND(G57&lt;&gt;"✅ Выполнена",G57&lt;&gt;"❌ Отменена"))),"",IF(F57&lt;TODAY(),"❗ просрочено "&amp;(TODAY()-F57)&amp;" дн.",IF(F57=TODAY(),"🔥 сегодня",IF(F57-TODAY()&lt;=3,"⏳ через "&amp;(F57-TODAY())&amp;" дн.",""))))</f>
        <v/>
      </c>
      <c r="K57" s="54">
        <f>IF(B57="","",IF(G57="✅ Выполнена","✔ ",IF(G57="❌ Отменена","✖ ",IF(AND(F57&lt;&gt;"",F57&lt;TODAY()),"❗ ","☐ ")))&amp;B57&amp;IF(E57="🔥 Высокий"," 🔥",""))</f>
        <v/>
      </c>
      <c r="L57" s="54">
        <f>IF(OR(B57="",F57="",G57="❌ Отменена"),"",F57&amp;"#"&amp;COUNTIFS($F$5:F57,F57,$B$5:B57,"?*",$G$5:G57,"&lt;&gt;❌ Отменена"))</f>
        <v/>
      </c>
      <c r="M57" s="54">
        <f>IF(AND(B57&lt;&gt;"",F57&lt;&gt;"",F57&lt;TODAY(),AND(G57&lt;&gt;"✅ Выполнена",G57&lt;&gt;"❌ Отменена")),MAX($M$4:M56)+1,"")</f>
        <v/>
      </c>
    </row>
    <row r="58">
      <c r="A58" s="49">
        <f>IF(B58="","",COUNTA($B$5:B58))</f>
        <v/>
      </c>
      <c r="B58" s="50" t="n"/>
      <c r="C58" s="51" t="n"/>
      <c r="D58" s="51" t="n"/>
      <c r="E58" s="52" t="n"/>
      <c r="F58" s="53" t="n"/>
      <c r="G58" s="51" t="n"/>
      <c r="H58" s="53" t="n"/>
      <c r="I58" s="51" t="n"/>
      <c r="J58" s="54">
        <f>IF(OR(B58="",F58="",NOT(AND(G58&lt;&gt;"✅ Выполнена",G58&lt;&gt;"❌ Отменена"))),"",IF(F58&lt;TODAY(),"❗ просрочено "&amp;(TODAY()-F58)&amp;" дн.",IF(F58=TODAY(),"🔥 сегодня",IF(F58-TODAY()&lt;=3,"⏳ через "&amp;(F58-TODAY())&amp;" дн.",""))))</f>
        <v/>
      </c>
      <c r="K58" s="54">
        <f>IF(B58="","",IF(G58="✅ Выполнена","✔ ",IF(G58="❌ Отменена","✖ ",IF(AND(F58&lt;&gt;"",F58&lt;TODAY()),"❗ ","☐ ")))&amp;B58&amp;IF(E58="🔥 Высокий"," 🔥",""))</f>
        <v/>
      </c>
      <c r="L58" s="54">
        <f>IF(OR(B58="",F58="",G58="❌ Отменена"),"",F58&amp;"#"&amp;COUNTIFS($F$5:F58,F58,$B$5:B58,"?*",$G$5:G58,"&lt;&gt;❌ Отменена"))</f>
        <v/>
      </c>
      <c r="M58" s="54">
        <f>IF(AND(B58&lt;&gt;"",F58&lt;&gt;"",F58&lt;TODAY(),AND(G58&lt;&gt;"✅ Выполнена",G58&lt;&gt;"❌ Отменена")),MAX($M$4:M57)+1,"")</f>
        <v/>
      </c>
    </row>
    <row r="59">
      <c r="A59" s="49">
        <f>IF(B59="","",COUNTA($B$5:B59))</f>
        <v/>
      </c>
      <c r="B59" s="50" t="n"/>
      <c r="C59" s="51" t="n"/>
      <c r="D59" s="51" t="n"/>
      <c r="E59" s="52" t="n"/>
      <c r="F59" s="53" t="n"/>
      <c r="G59" s="51" t="n"/>
      <c r="H59" s="53" t="n"/>
      <c r="I59" s="51" t="n"/>
      <c r="J59" s="54">
        <f>IF(OR(B59="",F59="",NOT(AND(G59&lt;&gt;"✅ Выполнена",G59&lt;&gt;"❌ Отменена"))),"",IF(F59&lt;TODAY(),"❗ просрочено "&amp;(TODAY()-F59)&amp;" дн.",IF(F59=TODAY(),"🔥 сегодня",IF(F59-TODAY()&lt;=3,"⏳ через "&amp;(F59-TODAY())&amp;" дн.",""))))</f>
        <v/>
      </c>
      <c r="K59" s="54">
        <f>IF(B59="","",IF(G59="✅ Выполнена","✔ ",IF(G59="❌ Отменена","✖ ",IF(AND(F59&lt;&gt;"",F59&lt;TODAY()),"❗ ","☐ ")))&amp;B59&amp;IF(E59="🔥 Высокий"," 🔥",""))</f>
        <v/>
      </c>
      <c r="L59" s="54">
        <f>IF(OR(B59="",F59="",G59="❌ Отменена"),"",F59&amp;"#"&amp;COUNTIFS($F$5:F59,F59,$B$5:B59,"?*",$G$5:G59,"&lt;&gt;❌ Отменена"))</f>
        <v/>
      </c>
      <c r="M59" s="54">
        <f>IF(AND(B59&lt;&gt;"",F59&lt;&gt;"",F59&lt;TODAY(),AND(G59&lt;&gt;"✅ Выполнена",G59&lt;&gt;"❌ Отменена")),MAX($M$4:M58)+1,"")</f>
        <v/>
      </c>
    </row>
    <row r="60">
      <c r="A60" s="49">
        <f>IF(B60="","",COUNTA($B$5:B60))</f>
        <v/>
      </c>
      <c r="B60" s="50" t="n"/>
      <c r="C60" s="51" t="n"/>
      <c r="D60" s="51" t="n"/>
      <c r="E60" s="52" t="n"/>
      <c r="F60" s="53" t="n"/>
      <c r="G60" s="51" t="n"/>
      <c r="H60" s="53" t="n"/>
      <c r="I60" s="51" t="n"/>
      <c r="J60" s="54">
        <f>IF(OR(B60="",F60="",NOT(AND(G60&lt;&gt;"✅ Выполнена",G60&lt;&gt;"❌ Отменена"))),"",IF(F60&lt;TODAY(),"❗ просрочено "&amp;(TODAY()-F60)&amp;" дн.",IF(F60=TODAY(),"🔥 сегодня",IF(F60-TODAY()&lt;=3,"⏳ через "&amp;(F60-TODAY())&amp;" дн.",""))))</f>
        <v/>
      </c>
      <c r="K60" s="54">
        <f>IF(B60="","",IF(G60="✅ Выполнена","✔ ",IF(G60="❌ Отменена","✖ ",IF(AND(F60&lt;&gt;"",F60&lt;TODAY()),"❗ ","☐ ")))&amp;B60&amp;IF(E60="🔥 Высокий"," 🔥",""))</f>
        <v/>
      </c>
      <c r="L60" s="54">
        <f>IF(OR(B60="",F60="",G60="❌ Отменена"),"",F60&amp;"#"&amp;COUNTIFS($F$5:F60,F60,$B$5:B60,"?*",$G$5:G60,"&lt;&gt;❌ Отменена"))</f>
        <v/>
      </c>
      <c r="M60" s="54">
        <f>IF(AND(B60&lt;&gt;"",F60&lt;&gt;"",F60&lt;TODAY(),AND(G60&lt;&gt;"✅ Выполнена",G60&lt;&gt;"❌ Отменена")),MAX($M$4:M59)+1,"")</f>
        <v/>
      </c>
    </row>
    <row r="61">
      <c r="A61" s="49">
        <f>IF(B61="","",COUNTA($B$5:B61))</f>
        <v/>
      </c>
      <c r="B61" s="50" t="n"/>
      <c r="C61" s="51" t="n"/>
      <c r="D61" s="51" t="n"/>
      <c r="E61" s="52" t="n"/>
      <c r="F61" s="53" t="n"/>
      <c r="G61" s="51" t="n"/>
      <c r="H61" s="53" t="n"/>
      <c r="I61" s="51" t="n"/>
      <c r="J61" s="54">
        <f>IF(OR(B61="",F61="",NOT(AND(G61&lt;&gt;"✅ Выполнена",G61&lt;&gt;"❌ Отменена"))),"",IF(F61&lt;TODAY(),"❗ просрочено "&amp;(TODAY()-F61)&amp;" дн.",IF(F61=TODAY(),"🔥 сегодня",IF(F61-TODAY()&lt;=3,"⏳ через "&amp;(F61-TODAY())&amp;" дн.",""))))</f>
        <v/>
      </c>
      <c r="K61" s="54">
        <f>IF(B61="","",IF(G61="✅ Выполнена","✔ ",IF(G61="❌ Отменена","✖ ",IF(AND(F61&lt;&gt;"",F61&lt;TODAY()),"❗ ","☐ ")))&amp;B61&amp;IF(E61="🔥 Высокий"," 🔥",""))</f>
        <v/>
      </c>
      <c r="L61" s="54">
        <f>IF(OR(B61="",F61="",G61="❌ Отменена"),"",F61&amp;"#"&amp;COUNTIFS($F$5:F61,F61,$B$5:B61,"?*",$G$5:G61,"&lt;&gt;❌ Отменена"))</f>
        <v/>
      </c>
      <c r="M61" s="54">
        <f>IF(AND(B61&lt;&gt;"",F61&lt;&gt;"",F61&lt;TODAY(),AND(G61&lt;&gt;"✅ Выполнена",G61&lt;&gt;"❌ Отменена")),MAX($M$4:M60)+1,"")</f>
        <v/>
      </c>
    </row>
    <row r="62">
      <c r="A62" s="49">
        <f>IF(B62="","",COUNTA($B$5:B62))</f>
        <v/>
      </c>
      <c r="B62" s="50" t="n"/>
      <c r="C62" s="51" t="n"/>
      <c r="D62" s="51" t="n"/>
      <c r="E62" s="52" t="n"/>
      <c r="F62" s="53" t="n"/>
      <c r="G62" s="51" t="n"/>
      <c r="H62" s="53" t="n"/>
      <c r="I62" s="51" t="n"/>
      <c r="J62" s="54">
        <f>IF(OR(B62="",F62="",NOT(AND(G62&lt;&gt;"✅ Выполнена",G62&lt;&gt;"❌ Отменена"))),"",IF(F62&lt;TODAY(),"❗ просрочено "&amp;(TODAY()-F62)&amp;" дн.",IF(F62=TODAY(),"🔥 сегодня",IF(F62-TODAY()&lt;=3,"⏳ через "&amp;(F62-TODAY())&amp;" дн.",""))))</f>
        <v/>
      </c>
      <c r="K62" s="54">
        <f>IF(B62="","",IF(G62="✅ Выполнена","✔ ",IF(G62="❌ Отменена","✖ ",IF(AND(F62&lt;&gt;"",F62&lt;TODAY()),"❗ ","☐ ")))&amp;B62&amp;IF(E62="🔥 Высокий"," 🔥",""))</f>
        <v/>
      </c>
      <c r="L62" s="54">
        <f>IF(OR(B62="",F62="",G62="❌ Отменена"),"",F62&amp;"#"&amp;COUNTIFS($F$5:F62,F62,$B$5:B62,"?*",$G$5:G62,"&lt;&gt;❌ Отменена"))</f>
        <v/>
      </c>
      <c r="M62" s="54">
        <f>IF(AND(B62&lt;&gt;"",F62&lt;&gt;"",F62&lt;TODAY(),AND(G62&lt;&gt;"✅ Выполнена",G62&lt;&gt;"❌ Отменена")),MAX($M$4:M61)+1,"")</f>
        <v/>
      </c>
    </row>
    <row r="63">
      <c r="A63" s="49">
        <f>IF(B63="","",COUNTA($B$5:B63))</f>
        <v/>
      </c>
      <c r="B63" s="50" t="n"/>
      <c r="C63" s="51" t="n"/>
      <c r="D63" s="51" t="n"/>
      <c r="E63" s="52" t="n"/>
      <c r="F63" s="53" t="n"/>
      <c r="G63" s="51" t="n"/>
      <c r="H63" s="53" t="n"/>
      <c r="I63" s="51" t="n"/>
      <c r="J63" s="54">
        <f>IF(OR(B63="",F63="",NOT(AND(G63&lt;&gt;"✅ Выполнена",G63&lt;&gt;"❌ Отменена"))),"",IF(F63&lt;TODAY(),"❗ просрочено "&amp;(TODAY()-F63)&amp;" дн.",IF(F63=TODAY(),"🔥 сегодня",IF(F63-TODAY()&lt;=3,"⏳ через "&amp;(F63-TODAY())&amp;" дн.",""))))</f>
        <v/>
      </c>
      <c r="K63" s="54">
        <f>IF(B63="","",IF(G63="✅ Выполнена","✔ ",IF(G63="❌ Отменена","✖ ",IF(AND(F63&lt;&gt;"",F63&lt;TODAY()),"❗ ","☐ ")))&amp;B63&amp;IF(E63="🔥 Высокий"," 🔥",""))</f>
        <v/>
      </c>
      <c r="L63" s="54">
        <f>IF(OR(B63="",F63="",G63="❌ Отменена"),"",F63&amp;"#"&amp;COUNTIFS($F$5:F63,F63,$B$5:B63,"?*",$G$5:G63,"&lt;&gt;❌ Отменена"))</f>
        <v/>
      </c>
      <c r="M63" s="54">
        <f>IF(AND(B63&lt;&gt;"",F63&lt;&gt;"",F63&lt;TODAY(),AND(G63&lt;&gt;"✅ Выполнена",G63&lt;&gt;"❌ Отменена")),MAX($M$4:M62)+1,"")</f>
        <v/>
      </c>
    </row>
    <row r="64">
      <c r="A64" s="49">
        <f>IF(B64="","",COUNTA($B$5:B64))</f>
        <v/>
      </c>
      <c r="B64" s="50" t="n"/>
      <c r="C64" s="51" t="n"/>
      <c r="D64" s="51" t="n"/>
      <c r="E64" s="52" t="n"/>
      <c r="F64" s="53" t="n"/>
      <c r="G64" s="51" t="n"/>
      <c r="H64" s="53" t="n"/>
      <c r="I64" s="51" t="n"/>
      <c r="J64" s="54">
        <f>IF(OR(B64="",F64="",NOT(AND(G64&lt;&gt;"✅ Выполнена",G64&lt;&gt;"❌ Отменена"))),"",IF(F64&lt;TODAY(),"❗ просрочено "&amp;(TODAY()-F64)&amp;" дн.",IF(F64=TODAY(),"🔥 сегодня",IF(F64-TODAY()&lt;=3,"⏳ через "&amp;(F64-TODAY())&amp;" дн.",""))))</f>
        <v/>
      </c>
      <c r="K64" s="54">
        <f>IF(B64="","",IF(G64="✅ Выполнена","✔ ",IF(G64="❌ Отменена","✖ ",IF(AND(F64&lt;&gt;"",F64&lt;TODAY()),"❗ ","☐ ")))&amp;B64&amp;IF(E64="🔥 Высокий"," 🔥",""))</f>
        <v/>
      </c>
      <c r="L64" s="54">
        <f>IF(OR(B64="",F64="",G64="❌ Отменена"),"",F64&amp;"#"&amp;COUNTIFS($F$5:F64,F64,$B$5:B64,"?*",$G$5:G64,"&lt;&gt;❌ Отменена"))</f>
        <v/>
      </c>
      <c r="M64" s="54">
        <f>IF(AND(B64&lt;&gt;"",F64&lt;&gt;"",F64&lt;TODAY(),AND(G64&lt;&gt;"✅ Выполнена",G64&lt;&gt;"❌ Отменена")),MAX($M$4:M63)+1,"")</f>
        <v/>
      </c>
    </row>
    <row r="65">
      <c r="A65" s="49">
        <f>IF(B65="","",COUNTA($B$5:B65))</f>
        <v/>
      </c>
      <c r="B65" s="50" t="n"/>
      <c r="C65" s="51" t="n"/>
      <c r="D65" s="51" t="n"/>
      <c r="E65" s="52" t="n"/>
      <c r="F65" s="53" t="n"/>
      <c r="G65" s="51" t="n"/>
      <c r="H65" s="53" t="n"/>
      <c r="I65" s="51" t="n"/>
      <c r="J65" s="54">
        <f>IF(OR(B65="",F65="",NOT(AND(G65&lt;&gt;"✅ Выполнена",G65&lt;&gt;"❌ Отменена"))),"",IF(F65&lt;TODAY(),"❗ просрочено "&amp;(TODAY()-F65)&amp;" дн.",IF(F65=TODAY(),"🔥 сегодня",IF(F65-TODAY()&lt;=3,"⏳ через "&amp;(F65-TODAY())&amp;" дн.",""))))</f>
        <v/>
      </c>
      <c r="K65" s="54">
        <f>IF(B65="","",IF(G65="✅ Выполнена","✔ ",IF(G65="❌ Отменена","✖ ",IF(AND(F65&lt;&gt;"",F65&lt;TODAY()),"❗ ","☐ ")))&amp;B65&amp;IF(E65="🔥 Высокий"," 🔥",""))</f>
        <v/>
      </c>
      <c r="L65" s="54">
        <f>IF(OR(B65="",F65="",G65="❌ Отменена"),"",F65&amp;"#"&amp;COUNTIFS($F$5:F65,F65,$B$5:B65,"?*",$G$5:G65,"&lt;&gt;❌ Отменена"))</f>
        <v/>
      </c>
      <c r="M65" s="54">
        <f>IF(AND(B65&lt;&gt;"",F65&lt;&gt;"",F65&lt;TODAY(),AND(G65&lt;&gt;"✅ Выполнена",G65&lt;&gt;"❌ Отменена")),MAX($M$4:M64)+1,"")</f>
        <v/>
      </c>
    </row>
    <row r="66">
      <c r="A66" s="49">
        <f>IF(B66="","",COUNTA($B$5:B66))</f>
        <v/>
      </c>
      <c r="B66" s="50" t="n"/>
      <c r="C66" s="51" t="n"/>
      <c r="D66" s="51" t="n"/>
      <c r="E66" s="52" t="n"/>
      <c r="F66" s="53" t="n"/>
      <c r="G66" s="51" t="n"/>
      <c r="H66" s="53" t="n"/>
      <c r="I66" s="51" t="n"/>
      <c r="J66" s="54">
        <f>IF(OR(B66="",F66="",NOT(AND(G66&lt;&gt;"✅ Выполнена",G66&lt;&gt;"❌ Отменена"))),"",IF(F66&lt;TODAY(),"❗ просрочено "&amp;(TODAY()-F66)&amp;" дн.",IF(F66=TODAY(),"🔥 сегодня",IF(F66-TODAY()&lt;=3,"⏳ через "&amp;(F66-TODAY())&amp;" дн.",""))))</f>
        <v/>
      </c>
      <c r="K66" s="54">
        <f>IF(B66="","",IF(G66="✅ Выполнена","✔ ",IF(G66="❌ Отменена","✖ ",IF(AND(F66&lt;&gt;"",F66&lt;TODAY()),"❗ ","☐ ")))&amp;B66&amp;IF(E66="🔥 Высокий"," 🔥",""))</f>
        <v/>
      </c>
      <c r="L66" s="54">
        <f>IF(OR(B66="",F66="",G66="❌ Отменена"),"",F66&amp;"#"&amp;COUNTIFS($F$5:F66,F66,$B$5:B66,"?*",$G$5:G66,"&lt;&gt;❌ Отменена"))</f>
        <v/>
      </c>
      <c r="M66" s="54">
        <f>IF(AND(B66&lt;&gt;"",F66&lt;&gt;"",F66&lt;TODAY(),AND(G66&lt;&gt;"✅ Выполнена",G66&lt;&gt;"❌ Отменена")),MAX($M$4:M65)+1,"")</f>
        <v/>
      </c>
    </row>
    <row r="67">
      <c r="A67" s="49">
        <f>IF(B67="","",COUNTA($B$5:B67))</f>
        <v/>
      </c>
      <c r="B67" s="50" t="n"/>
      <c r="C67" s="51" t="n"/>
      <c r="D67" s="51" t="n"/>
      <c r="E67" s="52" t="n"/>
      <c r="F67" s="53" t="n"/>
      <c r="G67" s="51" t="n"/>
      <c r="H67" s="53" t="n"/>
      <c r="I67" s="51" t="n"/>
      <c r="J67" s="54">
        <f>IF(OR(B67="",F67="",NOT(AND(G67&lt;&gt;"✅ Выполнена",G67&lt;&gt;"❌ Отменена"))),"",IF(F67&lt;TODAY(),"❗ просрочено "&amp;(TODAY()-F67)&amp;" дн.",IF(F67=TODAY(),"🔥 сегодня",IF(F67-TODAY()&lt;=3,"⏳ через "&amp;(F67-TODAY())&amp;" дн.",""))))</f>
        <v/>
      </c>
      <c r="K67" s="54">
        <f>IF(B67="","",IF(G67="✅ Выполнена","✔ ",IF(G67="❌ Отменена","✖ ",IF(AND(F67&lt;&gt;"",F67&lt;TODAY()),"❗ ","☐ ")))&amp;B67&amp;IF(E67="🔥 Высокий"," 🔥",""))</f>
        <v/>
      </c>
      <c r="L67" s="54">
        <f>IF(OR(B67="",F67="",G67="❌ Отменена"),"",F67&amp;"#"&amp;COUNTIFS($F$5:F67,F67,$B$5:B67,"?*",$G$5:G67,"&lt;&gt;❌ Отменена"))</f>
        <v/>
      </c>
      <c r="M67" s="54">
        <f>IF(AND(B67&lt;&gt;"",F67&lt;&gt;"",F67&lt;TODAY(),AND(G67&lt;&gt;"✅ Выполнена",G67&lt;&gt;"❌ Отменена")),MAX($M$4:M66)+1,"")</f>
        <v/>
      </c>
    </row>
    <row r="68">
      <c r="A68" s="49">
        <f>IF(B68="","",COUNTA($B$5:B68))</f>
        <v/>
      </c>
      <c r="B68" s="50" t="n"/>
      <c r="C68" s="51" t="n"/>
      <c r="D68" s="51" t="n"/>
      <c r="E68" s="52" t="n"/>
      <c r="F68" s="53" t="n"/>
      <c r="G68" s="51" t="n"/>
      <c r="H68" s="53" t="n"/>
      <c r="I68" s="51" t="n"/>
      <c r="J68" s="54">
        <f>IF(OR(B68="",F68="",NOT(AND(G68&lt;&gt;"✅ Выполнена",G68&lt;&gt;"❌ Отменена"))),"",IF(F68&lt;TODAY(),"❗ просрочено "&amp;(TODAY()-F68)&amp;" дн.",IF(F68=TODAY(),"🔥 сегодня",IF(F68-TODAY()&lt;=3,"⏳ через "&amp;(F68-TODAY())&amp;" дн.",""))))</f>
        <v/>
      </c>
      <c r="K68" s="54">
        <f>IF(B68="","",IF(G68="✅ Выполнена","✔ ",IF(G68="❌ Отменена","✖ ",IF(AND(F68&lt;&gt;"",F68&lt;TODAY()),"❗ ","☐ ")))&amp;B68&amp;IF(E68="🔥 Высокий"," 🔥",""))</f>
        <v/>
      </c>
      <c r="L68" s="54">
        <f>IF(OR(B68="",F68="",G68="❌ Отменена"),"",F68&amp;"#"&amp;COUNTIFS($F$5:F68,F68,$B$5:B68,"?*",$G$5:G68,"&lt;&gt;❌ Отменена"))</f>
        <v/>
      </c>
      <c r="M68" s="54">
        <f>IF(AND(B68&lt;&gt;"",F68&lt;&gt;"",F68&lt;TODAY(),AND(G68&lt;&gt;"✅ Выполнена",G68&lt;&gt;"❌ Отменена")),MAX($M$4:M67)+1,"")</f>
        <v/>
      </c>
    </row>
    <row r="69">
      <c r="A69" s="49">
        <f>IF(B69="","",COUNTA($B$5:B69))</f>
        <v/>
      </c>
      <c r="B69" s="50" t="n"/>
      <c r="C69" s="51" t="n"/>
      <c r="D69" s="51" t="n"/>
      <c r="E69" s="52" t="n"/>
      <c r="F69" s="53" t="n"/>
      <c r="G69" s="51" t="n"/>
      <c r="H69" s="53" t="n"/>
      <c r="I69" s="51" t="n"/>
      <c r="J69" s="54">
        <f>IF(OR(B69="",F69="",NOT(AND(G69&lt;&gt;"✅ Выполнена",G69&lt;&gt;"❌ Отменена"))),"",IF(F69&lt;TODAY(),"❗ просрочено "&amp;(TODAY()-F69)&amp;" дн.",IF(F69=TODAY(),"🔥 сегодня",IF(F69-TODAY()&lt;=3,"⏳ через "&amp;(F69-TODAY())&amp;" дн.",""))))</f>
        <v/>
      </c>
      <c r="K69" s="54">
        <f>IF(B69="","",IF(G69="✅ Выполнена","✔ ",IF(G69="❌ Отменена","✖ ",IF(AND(F69&lt;&gt;"",F69&lt;TODAY()),"❗ ","☐ ")))&amp;B69&amp;IF(E69="🔥 Высокий"," 🔥",""))</f>
        <v/>
      </c>
      <c r="L69" s="54">
        <f>IF(OR(B69="",F69="",G69="❌ Отменена"),"",F69&amp;"#"&amp;COUNTIFS($F$5:F69,F69,$B$5:B69,"?*",$G$5:G69,"&lt;&gt;❌ Отменена"))</f>
        <v/>
      </c>
      <c r="M69" s="54">
        <f>IF(AND(B69&lt;&gt;"",F69&lt;&gt;"",F69&lt;TODAY(),AND(G69&lt;&gt;"✅ Выполнена",G69&lt;&gt;"❌ Отменена")),MAX($M$4:M68)+1,"")</f>
        <v/>
      </c>
    </row>
    <row r="70">
      <c r="A70" s="49">
        <f>IF(B70="","",COUNTA($B$5:B70))</f>
        <v/>
      </c>
      <c r="B70" s="50" t="n"/>
      <c r="C70" s="51" t="n"/>
      <c r="D70" s="51" t="n"/>
      <c r="E70" s="52" t="n"/>
      <c r="F70" s="53" t="n"/>
      <c r="G70" s="51" t="n"/>
      <c r="H70" s="53" t="n"/>
      <c r="I70" s="51" t="n"/>
      <c r="J70" s="54">
        <f>IF(OR(B70="",F70="",NOT(AND(G70&lt;&gt;"✅ Выполнена",G70&lt;&gt;"❌ Отменена"))),"",IF(F70&lt;TODAY(),"❗ просрочено "&amp;(TODAY()-F70)&amp;" дн.",IF(F70=TODAY(),"🔥 сегодня",IF(F70-TODAY()&lt;=3,"⏳ через "&amp;(F70-TODAY())&amp;" дн.",""))))</f>
        <v/>
      </c>
      <c r="K70" s="54">
        <f>IF(B70="","",IF(G70="✅ Выполнена","✔ ",IF(G70="❌ Отменена","✖ ",IF(AND(F70&lt;&gt;"",F70&lt;TODAY()),"❗ ","☐ ")))&amp;B70&amp;IF(E70="🔥 Высокий"," 🔥",""))</f>
        <v/>
      </c>
      <c r="L70" s="54">
        <f>IF(OR(B70="",F70="",G70="❌ Отменена"),"",F70&amp;"#"&amp;COUNTIFS($F$5:F70,F70,$B$5:B70,"?*",$G$5:G70,"&lt;&gt;❌ Отменена"))</f>
        <v/>
      </c>
      <c r="M70" s="54">
        <f>IF(AND(B70&lt;&gt;"",F70&lt;&gt;"",F70&lt;TODAY(),AND(G70&lt;&gt;"✅ Выполнена",G70&lt;&gt;"❌ Отменена")),MAX($M$4:M69)+1,"")</f>
        <v/>
      </c>
    </row>
    <row r="71">
      <c r="A71" s="49">
        <f>IF(B71="","",COUNTA($B$5:B71))</f>
        <v/>
      </c>
      <c r="B71" s="50" t="n"/>
      <c r="C71" s="51" t="n"/>
      <c r="D71" s="51" t="n"/>
      <c r="E71" s="52" t="n"/>
      <c r="F71" s="53" t="n"/>
      <c r="G71" s="51" t="n"/>
      <c r="H71" s="53" t="n"/>
      <c r="I71" s="51" t="n"/>
      <c r="J71" s="54">
        <f>IF(OR(B71="",F71="",NOT(AND(G71&lt;&gt;"✅ Выполнена",G71&lt;&gt;"❌ Отменена"))),"",IF(F71&lt;TODAY(),"❗ просрочено "&amp;(TODAY()-F71)&amp;" дн.",IF(F71=TODAY(),"🔥 сегодня",IF(F71-TODAY()&lt;=3,"⏳ через "&amp;(F71-TODAY())&amp;" дн.",""))))</f>
        <v/>
      </c>
      <c r="K71" s="54">
        <f>IF(B71="","",IF(G71="✅ Выполнена","✔ ",IF(G71="❌ Отменена","✖ ",IF(AND(F71&lt;&gt;"",F71&lt;TODAY()),"❗ ","☐ ")))&amp;B71&amp;IF(E71="🔥 Высокий"," 🔥",""))</f>
        <v/>
      </c>
      <c r="L71" s="54">
        <f>IF(OR(B71="",F71="",G71="❌ Отменена"),"",F71&amp;"#"&amp;COUNTIFS($F$5:F71,F71,$B$5:B71,"?*",$G$5:G71,"&lt;&gt;❌ Отменена"))</f>
        <v/>
      </c>
      <c r="M71" s="54">
        <f>IF(AND(B71&lt;&gt;"",F71&lt;&gt;"",F71&lt;TODAY(),AND(G71&lt;&gt;"✅ Выполнена",G71&lt;&gt;"❌ Отменена")),MAX($M$4:M70)+1,"")</f>
        <v/>
      </c>
    </row>
    <row r="72">
      <c r="A72" s="49">
        <f>IF(B72="","",COUNTA($B$5:B72))</f>
        <v/>
      </c>
      <c r="B72" s="50" t="n"/>
      <c r="C72" s="51" t="n"/>
      <c r="D72" s="51" t="n"/>
      <c r="E72" s="52" t="n"/>
      <c r="F72" s="53" t="n"/>
      <c r="G72" s="51" t="n"/>
      <c r="H72" s="53" t="n"/>
      <c r="I72" s="51" t="n"/>
      <c r="J72" s="54">
        <f>IF(OR(B72="",F72="",NOT(AND(G72&lt;&gt;"✅ Выполнена",G72&lt;&gt;"❌ Отменена"))),"",IF(F72&lt;TODAY(),"❗ просрочено "&amp;(TODAY()-F72)&amp;" дн.",IF(F72=TODAY(),"🔥 сегодня",IF(F72-TODAY()&lt;=3,"⏳ через "&amp;(F72-TODAY())&amp;" дн.",""))))</f>
        <v/>
      </c>
      <c r="K72" s="54">
        <f>IF(B72="","",IF(G72="✅ Выполнена","✔ ",IF(G72="❌ Отменена","✖ ",IF(AND(F72&lt;&gt;"",F72&lt;TODAY()),"❗ ","☐ ")))&amp;B72&amp;IF(E72="🔥 Высокий"," 🔥",""))</f>
        <v/>
      </c>
      <c r="L72" s="54">
        <f>IF(OR(B72="",F72="",G72="❌ Отменена"),"",F72&amp;"#"&amp;COUNTIFS($F$5:F72,F72,$B$5:B72,"?*",$G$5:G72,"&lt;&gt;❌ Отменена"))</f>
        <v/>
      </c>
      <c r="M72" s="54">
        <f>IF(AND(B72&lt;&gt;"",F72&lt;&gt;"",F72&lt;TODAY(),AND(G72&lt;&gt;"✅ Выполнена",G72&lt;&gt;"❌ Отменена")),MAX($M$4:M71)+1,"")</f>
        <v/>
      </c>
    </row>
    <row r="73">
      <c r="A73" s="49">
        <f>IF(B73="","",COUNTA($B$5:B73))</f>
        <v/>
      </c>
      <c r="B73" s="50" t="n"/>
      <c r="C73" s="51" t="n"/>
      <c r="D73" s="51" t="n"/>
      <c r="E73" s="52" t="n"/>
      <c r="F73" s="53" t="n"/>
      <c r="G73" s="51" t="n"/>
      <c r="H73" s="53" t="n"/>
      <c r="I73" s="51" t="n"/>
      <c r="J73" s="54">
        <f>IF(OR(B73="",F73="",NOT(AND(G73&lt;&gt;"✅ Выполнена",G73&lt;&gt;"❌ Отменена"))),"",IF(F73&lt;TODAY(),"❗ просрочено "&amp;(TODAY()-F73)&amp;" дн.",IF(F73=TODAY(),"🔥 сегодня",IF(F73-TODAY()&lt;=3,"⏳ через "&amp;(F73-TODAY())&amp;" дн.",""))))</f>
        <v/>
      </c>
      <c r="K73" s="54">
        <f>IF(B73="","",IF(G73="✅ Выполнена","✔ ",IF(G73="❌ Отменена","✖ ",IF(AND(F73&lt;&gt;"",F73&lt;TODAY()),"❗ ","☐ ")))&amp;B73&amp;IF(E73="🔥 Высокий"," 🔥",""))</f>
        <v/>
      </c>
      <c r="L73" s="54">
        <f>IF(OR(B73="",F73="",G73="❌ Отменена"),"",F73&amp;"#"&amp;COUNTIFS($F$5:F73,F73,$B$5:B73,"?*",$G$5:G73,"&lt;&gt;❌ Отменена"))</f>
        <v/>
      </c>
      <c r="M73" s="54">
        <f>IF(AND(B73&lt;&gt;"",F73&lt;&gt;"",F73&lt;TODAY(),AND(G73&lt;&gt;"✅ Выполнена",G73&lt;&gt;"❌ Отменена")),MAX($M$4:M72)+1,"")</f>
        <v/>
      </c>
    </row>
    <row r="74">
      <c r="A74" s="49">
        <f>IF(B74="","",COUNTA($B$5:B74))</f>
        <v/>
      </c>
      <c r="B74" s="50" t="n"/>
      <c r="C74" s="51" t="n"/>
      <c r="D74" s="51" t="n"/>
      <c r="E74" s="52" t="n"/>
      <c r="F74" s="53" t="n"/>
      <c r="G74" s="51" t="n"/>
      <c r="H74" s="53" t="n"/>
      <c r="I74" s="51" t="n"/>
      <c r="J74" s="54">
        <f>IF(OR(B74="",F74="",NOT(AND(G74&lt;&gt;"✅ Выполнена",G74&lt;&gt;"❌ Отменена"))),"",IF(F74&lt;TODAY(),"❗ просрочено "&amp;(TODAY()-F74)&amp;" дн.",IF(F74=TODAY(),"🔥 сегодня",IF(F74-TODAY()&lt;=3,"⏳ через "&amp;(F74-TODAY())&amp;" дн.",""))))</f>
        <v/>
      </c>
      <c r="K74" s="54">
        <f>IF(B74="","",IF(G74="✅ Выполнена","✔ ",IF(G74="❌ Отменена","✖ ",IF(AND(F74&lt;&gt;"",F74&lt;TODAY()),"❗ ","☐ ")))&amp;B74&amp;IF(E74="🔥 Высокий"," 🔥",""))</f>
        <v/>
      </c>
      <c r="L74" s="54">
        <f>IF(OR(B74="",F74="",G74="❌ Отменена"),"",F74&amp;"#"&amp;COUNTIFS($F$5:F74,F74,$B$5:B74,"?*",$G$5:G74,"&lt;&gt;❌ Отменена"))</f>
        <v/>
      </c>
      <c r="M74" s="54">
        <f>IF(AND(B74&lt;&gt;"",F74&lt;&gt;"",F74&lt;TODAY(),AND(G74&lt;&gt;"✅ Выполнена",G74&lt;&gt;"❌ Отменена")),MAX($M$4:M73)+1,"")</f>
        <v/>
      </c>
    </row>
    <row r="75">
      <c r="A75" s="49">
        <f>IF(B75="","",COUNTA($B$5:B75))</f>
        <v/>
      </c>
      <c r="B75" s="50" t="n"/>
      <c r="C75" s="51" t="n"/>
      <c r="D75" s="51" t="n"/>
      <c r="E75" s="52" t="n"/>
      <c r="F75" s="53" t="n"/>
      <c r="G75" s="51" t="n"/>
      <c r="H75" s="53" t="n"/>
      <c r="I75" s="51" t="n"/>
      <c r="J75" s="54">
        <f>IF(OR(B75="",F75="",NOT(AND(G75&lt;&gt;"✅ Выполнена",G75&lt;&gt;"❌ Отменена"))),"",IF(F75&lt;TODAY(),"❗ просрочено "&amp;(TODAY()-F75)&amp;" дн.",IF(F75=TODAY(),"🔥 сегодня",IF(F75-TODAY()&lt;=3,"⏳ через "&amp;(F75-TODAY())&amp;" дн.",""))))</f>
        <v/>
      </c>
      <c r="K75" s="54">
        <f>IF(B75="","",IF(G75="✅ Выполнена","✔ ",IF(G75="❌ Отменена","✖ ",IF(AND(F75&lt;&gt;"",F75&lt;TODAY()),"❗ ","☐ ")))&amp;B75&amp;IF(E75="🔥 Высокий"," 🔥",""))</f>
        <v/>
      </c>
      <c r="L75" s="54">
        <f>IF(OR(B75="",F75="",G75="❌ Отменена"),"",F75&amp;"#"&amp;COUNTIFS($F$5:F75,F75,$B$5:B75,"?*",$G$5:G75,"&lt;&gt;❌ Отменена"))</f>
        <v/>
      </c>
      <c r="M75" s="54">
        <f>IF(AND(B75&lt;&gt;"",F75&lt;&gt;"",F75&lt;TODAY(),AND(G75&lt;&gt;"✅ Выполнена",G75&lt;&gt;"❌ Отменена")),MAX($M$4:M74)+1,"")</f>
        <v/>
      </c>
    </row>
    <row r="76">
      <c r="A76" s="49">
        <f>IF(B76="","",COUNTA($B$5:B76))</f>
        <v/>
      </c>
      <c r="B76" s="50" t="n"/>
      <c r="C76" s="51" t="n"/>
      <c r="D76" s="51" t="n"/>
      <c r="E76" s="52" t="n"/>
      <c r="F76" s="53" t="n"/>
      <c r="G76" s="51" t="n"/>
      <c r="H76" s="53" t="n"/>
      <c r="I76" s="51" t="n"/>
      <c r="J76" s="54">
        <f>IF(OR(B76="",F76="",NOT(AND(G76&lt;&gt;"✅ Выполнена",G76&lt;&gt;"❌ Отменена"))),"",IF(F76&lt;TODAY(),"❗ просрочено "&amp;(TODAY()-F76)&amp;" дн.",IF(F76=TODAY(),"🔥 сегодня",IF(F76-TODAY()&lt;=3,"⏳ через "&amp;(F76-TODAY())&amp;" дн.",""))))</f>
        <v/>
      </c>
      <c r="K76" s="54">
        <f>IF(B76="","",IF(G76="✅ Выполнена","✔ ",IF(G76="❌ Отменена","✖ ",IF(AND(F76&lt;&gt;"",F76&lt;TODAY()),"❗ ","☐ ")))&amp;B76&amp;IF(E76="🔥 Высокий"," 🔥",""))</f>
        <v/>
      </c>
      <c r="L76" s="54">
        <f>IF(OR(B76="",F76="",G76="❌ Отменена"),"",F76&amp;"#"&amp;COUNTIFS($F$5:F76,F76,$B$5:B76,"?*",$G$5:G76,"&lt;&gt;❌ Отменена"))</f>
        <v/>
      </c>
      <c r="M76" s="54">
        <f>IF(AND(B76&lt;&gt;"",F76&lt;&gt;"",F76&lt;TODAY(),AND(G76&lt;&gt;"✅ Выполнена",G76&lt;&gt;"❌ Отменена")),MAX($M$4:M75)+1,"")</f>
        <v/>
      </c>
    </row>
    <row r="77">
      <c r="A77" s="49">
        <f>IF(B77="","",COUNTA($B$5:B77))</f>
        <v/>
      </c>
      <c r="B77" s="50" t="n"/>
      <c r="C77" s="51" t="n"/>
      <c r="D77" s="51" t="n"/>
      <c r="E77" s="52" t="n"/>
      <c r="F77" s="53" t="n"/>
      <c r="G77" s="51" t="n"/>
      <c r="H77" s="53" t="n"/>
      <c r="I77" s="51" t="n"/>
      <c r="J77" s="54">
        <f>IF(OR(B77="",F77="",NOT(AND(G77&lt;&gt;"✅ Выполнена",G77&lt;&gt;"❌ Отменена"))),"",IF(F77&lt;TODAY(),"❗ просрочено "&amp;(TODAY()-F77)&amp;" дн.",IF(F77=TODAY(),"🔥 сегодня",IF(F77-TODAY()&lt;=3,"⏳ через "&amp;(F77-TODAY())&amp;" дн.",""))))</f>
        <v/>
      </c>
      <c r="K77" s="54">
        <f>IF(B77="","",IF(G77="✅ Выполнена","✔ ",IF(G77="❌ Отменена","✖ ",IF(AND(F77&lt;&gt;"",F77&lt;TODAY()),"❗ ","☐ ")))&amp;B77&amp;IF(E77="🔥 Высокий"," 🔥",""))</f>
        <v/>
      </c>
      <c r="L77" s="54">
        <f>IF(OR(B77="",F77="",G77="❌ Отменена"),"",F77&amp;"#"&amp;COUNTIFS($F$5:F77,F77,$B$5:B77,"?*",$G$5:G77,"&lt;&gt;❌ Отменена"))</f>
        <v/>
      </c>
      <c r="M77" s="54">
        <f>IF(AND(B77&lt;&gt;"",F77&lt;&gt;"",F77&lt;TODAY(),AND(G77&lt;&gt;"✅ Выполнена",G77&lt;&gt;"❌ Отменена")),MAX($M$4:M76)+1,"")</f>
        <v/>
      </c>
    </row>
    <row r="78">
      <c r="A78" s="49">
        <f>IF(B78="","",COUNTA($B$5:B78))</f>
        <v/>
      </c>
      <c r="B78" s="50" t="n"/>
      <c r="C78" s="51" t="n"/>
      <c r="D78" s="51" t="n"/>
      <c r="E78" s="52" t="n"/>
      <c r="F78" s="53" t="n"/>
      <c r="G78" s="51" t="n"/>
      <c r="H78" s="53" t="n"/>
      <c r="I78" s="51" t="n"/>
      <c r="J78" s="54">
        <f>IF(OR(B78="",F78="",NOT(AND(G78&lt;&gt;"✅ Выполнена",G78&lt;&gt;"❌ Отменена"))),"",IF(F78&lt;TODAY(),"❗ просрочено "&amp;(TODAY()-F78)&amp;" дн.",IF(F78=TODAY(),"🔥 сегодня",IF(F78-TODAY()&lt;=3,"⏳ через "&amp;(F78-TODAY())&amp;" дн.",""))))</f>
        <v/>
      </c>
      <c r="K78" s="54">
        <f>IF(B78="","",IF(G78="✅ Выполнена","✔ ",IF(G78="❌ Отменена","✖ ",IF(AND(F78&lt;&gt;"",F78&lt;TODAY()),"❗ ","☐ ")))&amp;B78&amp;IF(E78="🔥 Высокий"," 🔥",""))</f>
        <v/>
      </c>
      <c r="L78" s="54">
        <f>IF(OR(B78="",F78="",G78="❌ Отменена"),"",F78&amp;"#"&amp;COUNTIFS($F$5:F78,F78,$B$5:B78,"?*",$G$5:G78,"&lt;&gt;❌ Отменена"))</f>
        <v/>
      </c>
      <c r="M78" s="54">
        <f>IF(AND(B78&lt;&gt;"",F78&lt;&gt;"",F78&lt;TODAY(),AND(G78&lt;&gt;"✅ Выполнена",G78&lt;&gt;"❌ Отменена")),MAX($M$4:M77)+1,"")</f>
        <v/>
      </c>
    </row>
    <row r="79">
      <c r="A79" s="49">
        <f>IF(B79="","",COUNTA($B$5:B79))</f>
        <v/>
      </c>
      <c r="B79" s="50" t="n"/>
      <c r="C79" s="51" t="n"/>
      <c r="D79" s="51" t="n"/>
      <c r="E79" s="52" t="n"/>
      <c r="F79" s="53" t="n"/>
      <c r="G79" s="51" t="n"/>
      <c r="H79" s="53" t="n"/>
      <c r="I79" s="51" t="n"/>
      <c r="J79" s="54">
        <f>IF(OR(B79="",F79="",NOT(AND(G79&lt;&gt;"✅ Выполнена",G79&lt;&gt;"❌ Отменена"))),"",IF(F79&lt;TODAY(),"❗ просрочено "&amp;(TODAY()-F79)&amp;" дн.",IF(F79=TODAY(),"🔥 сегодня",IF(F79-TODAY()&lt;=3,"⏳ через "&amp;(F79-TODAY())&amp;" дн.",""))))</f>
        <v/>
      </c>
      <c r="K79" s="54">
        <f>IF(B79="","",IF(G79="✅ Выполнена","✔ ",IF(G79="❌ Отменена","✖ ",IF(AND(F79&lt;&gt;"",F79&lt;TODAY()),"❗ ","☐ ")))&amp;B79&amp;IF(E79="🔥 Высокий"," 🔥",""))</f>
        <v/>
      </c>
      <c r="L79" s="54">
        <f>IF(OR(B79="",F79="",G79="❌ Отменена"),"",F79&amp;"#"&amp;COUNTIFS($F$5:F79,F79,$B$5:B79,"?*",$G$5:G79,"&lt;&gt;❌ Отменена"))</f>
        <v/>
      </c>
      <c r="M79" s="54">
        <f>IF(AND(B79&lt;&gt;"",F79&lt;&gt;"",F79&lt;TODAY(),AND(G79&lt;&gt;"✅ Выполнена",G79&lt;&gt;"❌ Отменена")),MAX($M$4:M78)+1,"")</f>
        <v/>
      </c>
    </row>
    <row r="80">
      <c r="A80" s="49">
        <f>IF(B80="","",COUNTA($B$5:B80))</f>
        <v/>
      </c>
      <c r="B80" s="50" t="n"/>
      <c r="C80" s="51" t="n"/>
      <c r="D80" s="51" t="n"/>
      <c r="E80" s="52" t="n"/>
      <c r="F80" s="53" t="n"/>
      <c r="G80" s="51" t="n"/>
      <c r="H80" s="53" t="n"/>
      <c r="I80" s="51" t="n"/>
      <c r="J80" s="54">
        <f>IF(OR(B80="",F80="",NOT(AND(G80&lt;&gt;"✅ Выполнена",G80&lt;&gt;"❌ Отменена"))),"",IF(F80&lt;TODAY(),"❗ просрочено "&amp;(TODAY()-F80)&amp;" дн.",IF(F80=TODAY(),"🔥 сегодня",IF(F80-TODAY()&lt;=3,"⏳ через "&amp;(F80-TODAY())&amp;" дн.",""))))</f>
        <v/>
      </c>
      <c r="K80" s="54">
        <f>IF(B80="","",IF(G80="✅ Выполнена","✔ ",IF(G80="❌ Отменена","✖ ",IF(AND(F80&lt;&gt;"",F80&lt;TODAY()),"❗ ","☐ ")))&amp;B80&amp;IF(E80="🔥 Высокий"," 🔥",""))</f>
        <v/>
      </c>
      <c r="L80" s="54">
        <f>IF(OR(B80="",F80="",G80="❌ Отменена"),"",F80&amp;"#"&amp;COUNTIFS($F$5:F80,F80,$B$5:B80,"?*",$G$5:G80,"&lt;&gt;❌ Отменена"))</f>
        <v/>
      </c>
      <c r="M80" s="54">
        <f>IF(AND(B80&lt;&gt;"",F80&lt;&gt;"",F80&lt;TODAY(),AND(G80&lt;&gt;"✅ Выполнена",G80&lt;&gt;"❌ Отменена")),MAX($M$4:M79)+1,"")</f>
        <v/>
      </c>
    </row>
    <row r="81">
      <c r="A81" s="49">
        <f>IF(B81="","",COUNTA($B$5:B81))</f>
        <v/>
      </c>
      <c r="B81" s="50" t="n"/>
      <c r="C81" s="51" t="n"/>
      <c r="D81" s="51" t="n"/>
      <c r="E81" s="52" t="n"/>
      <c r="F81" s="53" t="n"/>
      <c r="G81" s="51" t="n"/>
      <c r="H81" s="53" t="n"/>
      <c r="I81" s="51" t="n"/>
      <c r="J81" s="54">
        <f>IF(OR(B81="",F81="",NOT(AND(G81&lt;&gt;"✅ Выполнена",G81&lt;&gt;"❌ Отменена"))),"",IF(F81&lt;TODAY(),"❗ просрочено "&amp;(TODAY()-F81)&amp;" дн.",IF(F81=TODAY(),"🔥 сегодня",IF(F81-TODAY()&lt;=3,"⏳ через "&amp;(F81-TODAY())&amp;" дн.",""))))</f>
        <v/>
      </c>
      <c r="K81" s="54">
        <f>IF(B81="","",IF(G81="✅ Выполнена","✔ ",IF(G81="❌ Отменена","✖ ",IF(AND(F81&lt;&gt;"",F81&lt;TODAY()),"❗ ","☐ ")))&amp;B81&amp;IF(E81="🔥 Высокий"," 🔥",""))</f>
        <v/>
      </c>
      <c r="L81" s="54">
        <f>IF(OR(B81="",F81="",G81="❌ Отменена"),"",F81&amp;"#"&amp;COUNTIFS($F$5:F81,F81,$B$5:B81,"?*",$G$5:G81,"&lt;&gt;❌ Отменена"))</f>
        <v/>
      </c>
      <c r="M81" s="54">
        <f>IF(AND(B81&lt;&gt;"",F81&lt;&gt;"",F81&lt;TODAY(),AND(G81&lt;&gt;"✅ Выполнена",G81&lt;&gt;"❌ Отменена")),MAX($M$4:M80)+1,"")</f>
        <v/>
      </c>
    </row>
    <row r="82">
      <c r="A82" s="49">
        <f>IF(B82="","",COUNTA($B$5:B82))</f>
        <v/>
      </c>
      <c r="B82" s="50" t="n"/>
      <c r="C82" s="51" t="n"/>
      <c r="D82" s="51" t="n"/>
      <c r="E82" s="52" t="n"/>
      <c r="F82" s="53" t="n"/>
      <c r="G82" s="51" t="n"/>
      <c r="H82" s="53" t="n"/>
      <c r="I82" s="51" t="n"/>
      <c r="J82" s="54">
        <f>IF(OR(B82="",F82="",NOT(AND(G82&lt;&gt;"✅ Выполнена",G82&lt;&gt;"❌ Отменена"))),"",IF(F82&lt;TODAY(),"❗ просрочено "&amp;(TODAY()-F82)&amp;" дн.",IF(F82=TODAY(),"🔥 сегодня",IF(F82-TODAY()&lt;=3,"⏳ через "&amp;(F82-TODAY())&amp;" дн.",""))))</f>
        <v/>
      </c>
      <c r="K82" s="54">
        <f>IF(B82="","",IF(G82="✅ Выполнена","✔ ",IF(G82="❌ Отменена","✖ ",IF(AND(F82&lt;&gt;"",F82&lt;TODAY()),"❗ ","☐ ")))&amp;B82&amp;IF(E82="🔥 Высокий"," 🔥",""))</f>
        <v/>
      </c>
      <c r="L82" s="54">
        <f>IF(OR(B82="",F82="",G82="❌ Отменена"),"",F82&amp;"#"&amp;COUNTIFS($F$5:F82,F82,$B$5:B82,"?*",$G$5:G82,"&lt;&gt;❌ Отменена"))</f>
        <v/>
      </c>
      <c r="M82" s="54">
        <f>IF(AND(B82&lt;&gt;"",F82&lt;&gt;"",F82&lt;TODAY(),AND(G82&lt;&gt;"✅ Выполнена",G82&lt;&gt;"❌ Отменена")),MAX($M$4:M81)+1,"")</f>
        <v/>
      </c>
    </row>
    <row r="83">
      <c r="A83" s="49">
        <f>IF(B83="","",COUNTA($B$5:B83))</f>
        <v/>
      </c>
      <c r="B83" s="50" t="n"/>
      <c r="C83" s="51" t="n"/>
      <c r="D83" s="51" t="n"/>
      <c r="E83" s="52" t="n"/>
      <c r="F83" s="53" t="n"/>
      <c r="G83" s="51" t="n"/>
      <c r="H83" s="53" t="n"/>
      <c r="I83" s="51" t="n"/>
      <c r="J83" s="54">
        <f>IF(OR(B83="",F83="",NOT(AND(G83&lt;&gt;"✅ Выполнена",G83&lt;&gt;"❌ Отменена"))),"",IF(F83&lt;TODAY(),"❗ просрочено "&amp;(TODAY()-F83)&amp;" дн.",IF(F83=TODAY(),"🔥 сегодня",IF(F83-TODAY()&lt;=3,"⏳ через "&amp;(F83-TODAY())&amp;" дн.",""))))</f>
        <v/>
      </c>
      <c r="K83" s="54">
        <f>IF(B83="","",IF(G83="✅ Выполнена","✔ ",IF(G83="❌ Отменена","✖ ",IF(AND(F83&lt;&gt;"",F83&lt;TODAY()),"❗ ","☐ ")))&amp;B83&amp;IF(E83="🔥 Высокий"," 🔥",""))</f>
        <v/>
      </c>
      <c r="L83" s="54">
        <f>IF(OR(B83="",F83="",G83="❌ Отменена"),"",F83&amp;"#"&amp;COUNTIFS($F$5:F83,F83,$B$5:B83,"?*",$G$5:G83,"&lt;&gt;❌ Отменена"))</f>
        <v/>
      </c>
      <c r="M83" s="54">
        <f>IF(AND(B83&lt;&gt;"",F83&lt;&gt;"",F83&lt;TODAY(),AND(G83&lt;&gt;"✅ Выполнена",G83&lt;&gt;"❌ Отменена")),MAX($M$4:M82)+1,"")</f>
        <v/>
      </c>
    </row>
    <row r="84">
      <c r="A84" s="49">
        <f>IF(B84="","",COUNTA($B$5:B84))</f>
        <v/>
      </c>
      <c r="B84" s="50" t="n"/>
      <c r="C84" s="51" t="n"/>
      <c r="D84" s="51" t="n"/>
      <c r="E84" s="52" t="n"/>
      <c r="F84" s="53" t="n"/>
      <c r="G84" s="51" t="n"/>
      <c r="H84" s="53" t="n"/>
      <c r="I84" s="51" t="n"/>
      <c r="J84" s="54">
        <f>IF(OR(B84="",F84="",NOT(AND(G84&lt;&gt;"✅ Выполнена",G84&lt;&gt;"❌ Отменена"))),"",IF(F84&lt;TODAY(),"❗ просрочено "&amp;(TODAY()-F84)&amp;" дн.",IF(F84=TODAY(),"🔥 сегодня",IF(F84-TODAY()&lt;=3,"⏳ через "&amp;(F84-TODAY())&amp;" дн.",""))))</f>
        <v/>
      </c>
      <c r="K84" s="54">
        <f>IF(B84="","",IF(G84="✅ Выполнена","✔ ",IF(G84="❌ Отменена","✖ ",IF(AND(F84&lt;&gt;"",F84&lt;TODAY()),"❗ ","☐ ")))&amp;B84&amp;IF(E84="🔥 Высокий"," 🔥",""))</f>
        <v/>
      </c>
      <c r="L84" s="54">
        <f>IF(OR(B84="",F84="",G84="❌ Отменена"),"",F84&amp;"#"&amp;COUNTIFS($F$5:F84,F84,$B$5:B84,"?*",$G$5:G84,"&lt;&gt;❌ Отменена"))</f>
        <v/>
      </c>
      <c r="M84" s="54">
        <f>IF(AND(B84&lt;&gt;"",F84&lt;&gt;"",F84&lt;TODAY(),AND(G84&lt;&gt;"✅ Выполнена",G84&lt;&gt;"❌ Отменена")),MAX($M$4:M83)+1,"")</f>
        <v/>
      </c>
    </row>
    <row r="85">
      <c r="A85" s="49">
        <f>IF(B85="","",COUNTA($B$5:B85))</f>
        <v/>
      </c>
      <c r="B85" s="50" t="n"/>
      <c r="C85" s="51" t="n"/>
      <c r="D85" s="51" t="n"/>
      <c r="E85" s="52" t="n"/>
      <c r="F85" s="53" t="n"/>
      <c r="G85" s="51" t="n"/>
      <c r="H85" s="53" t="n"/>
      <c r="I85" s="51" t="n"/>
      <c r="J85" s="54">
        <f>IF(OR(B85="",F85="",NOT(AND(G85&lt;&gt;"✅ Выполнена",G85&lt;&gt;"❌ Отменена"))),"",IF(F85&lt;TODAY(),"❗ просрочено "&amp;(TODAY()-F85)&amp;" дн.",IF(F85=TODAY(),"🔥 сегодня",IF(F85-TODAY()&lt;=3,"⏳ через "&amp;(F85-TODAY())&amp;" дн.",""))))</f>
        <v/>
      </c>
      <c r="K85" s="54">
        <f>IF(B85="","",IF(G85="✅ Выполнена","✔ ",IF(G85="❌ Отменена","✖ ",IF(AND(F85&lt;&gt;"",F85&lt;TODAY()),"❗ ","☐ ")))&amp;B85&amp;IF(E85="🔥 Высокий"," 🔥",""))</f>
        <v/>
      </c>
      <c r="L85" s="54">
        <f>IF(OR(B85="",F85="",G85="❌ Отменена"),"",F85&amp;"#"&amp;COUNTIFS($F$5:F85,F85,$B$5:B85,"?*",$G$5:G85,"&lt;&gt;❌ Отменена"))</f>
        <v/>
      </c>
      <c r="M85" s="54">
        <f>IF(AND(B85&lt;&gt;"",F85&lt;&gt;"",F85&lt;TODAY(),AND(G85&lt;&gt;"✅ Выполнена",G85&lt;&gt;"❌ Отменена")),MAX($M$4:M84)+1,"")</f>
        <v/>
      </c>
    </row>
    <row r="86">
      <c r="A86" s="49">
        <f>IF(B86="","",COUNTA($B$5:B86))</f>
        <v/>
      </c>
      <c r="B86" s="50" t="n"/>
      <c r="C86" s="51" t="n"/>
      <c r="D86" s="51" t="n"/>
      <c r="E86" s="52" t="n"/>
      <c r="F86" s="53" t="n"/>
      <c r="G86" s="51" t="n"/>
      <c r="H86" s="53" t="n"/>
      <c r="I86" s="51" t="n"/>
      <c r="J86" s="54">
        <f>IF(OR(B86="",F86="",NOT(AND(G86&lt;&gt;"✅ Выполнена",G86&lt;&gt;"❌ Отменена"))),"",IF(F86&lt;TODAY(),"❗ просрочено "&amp;(TODAY()-F86)&amp;" дн.",IF(F86=TODAY(),"🔥 сегодня",IF(F86-TODAY()&lt;=3,"⏳ через "&amp;(F86-TODAY())&amp;" дн.",""))))</f>
        <v/>
      </c>
      <c r="K86" s="54">
        <f>IF(B86="","",IF(G86="✅ Выполнена","✔ ",IF(G86="❌ Отменена","✖ ",IF(AND(F86&lt;&gt;"",F86&lt;TODAY()),"❗ ","☐ ")))&amp;B86&amp;IF(E86="🔥 Высокий"," 🔥",""))</f>
        <v/>
      </c>
      <c r="L86" s="54">
        <f>IF(OR(B86="",F86="",G86="❌ Отменена"),"",F86&amp;"#"&amp;COUNTIFS($F$5:F86,F86,$B$5:B86,"?*",$G$5:G86,"&lt;&gt;❌ Отменена"))</f>
        <v/>
      </c>
      <c r="M86" s="54">
        <f>IF(AND(B86&lt;&gt;"",F86&lt;&gt;"",F86&lt;TODAY(),AND(G86&lt;&gt;"✅ Выполнена",G86&lt;&gt;"❌ Отменена")),MAX($M$4:M85)+1,"")</f>
        <v/>
      </c>
    </row>
    <row r="87">
      <c r="A87" s="49">
        <f>IF(B87="","",COUNTA($B$5:B87))</f>
        <v/>
      </c>
      <c r="B87" s="50" t="n"/>
      <c r="C87" s="51" t="n"/>
      <c r="D87" s="51" t="n"/>
      <c r="E87" s="52" t="n"/>
      <c r="F87" s="53" t="n"/>
      <c r="G87" s="51" t="n"/>
      <c r="H87" s="53" t="n"/>
      <c r="I87" s="51" t="n"/>
      <c r="J87" s="54">
        <f>IF(OR(B87="",F87="",NOT(AND(G87&lt;&gt;"✅ Выполнена",G87&lt;&gt;"❌ Отменена"))),"",IF(F87&lt;TODAY(),"❗ просрочено "&amp;(TODAY()-F87)&amp;" дн.",IF(F87=TODAY(),"🔥 сегодня",IF(F87-TODAY()&lt;=3,"⏳ через "&amp;(F87-TODAY())&amp;" дн.",""))))</f>
        <v/>
      </c>
      <c r="K87" s="54">
        <f>IF(B87="","",IF(G87="✅ Выполнена","✔ ",IF(G87="❌ Отменена","✖ ",IF(AND(F87&lt;&gt;"",F87&lt;TODAY()),"❗ ","☐ ")))&amp;B87&amp;IF(E87="🔥 Высокий"," 🔥",""))</f>
        <v/>
      </c>
      <c r="L87" s="54">
        <f>IF(OR(B87="",F87="",G87="❌ Отменена"),"",F87&amp;"#"&amp;COUNTIFS($F$5:F87,F87,$B$5:B87,"?*",$G$5:G87,"&lt;&gt;❌ Отменена"))</f>
        <v/>
      </c>
      <c r="M87" s="54">
        <f>IF(AND(B87&lt;&gt;"",F87&lt;&gt;"",F87&lt;TODAY(),AND(G87&lt;&gt;"✅ Выполнена",G87&lt;&gt;"❌ Отменена")),MAX($M$4:M86)+1,"")</f>
        <v/>
      </c>
    </row>
    <row r="88">
      <c r="A88" s="49">
        <f>IF(B88="","",COUNTA($B$5:B88))</f>
        <v/>
      </c>
      <c r="B88" s="50" t="n"/>
      <c r="C88" s="51" t="n"/>
      <c r="D88" s="51" t="n"/>
      <c r="E88" s="52" t="n"/>
      <c r="F88" s="53" t="n"/>
      <c r="G88" s="51" t="n"/>
      <c r="H88" s="53" t="n"/>
      <c r="I88" s="51" t="n"/>
      <c r="J88" s="54">
        <f>IF(OR(B88="",F88="",NOT(AND(G88&lt;&gt;"✅ Выполнена",G88&lt;&gt;"❌ Отменена"))),"",IF(F88&lt;TODAY(),"❗ просрочено "&amp;(TODAY()-F88)&amp;" дн.",IF(F88=TODAY(),"🔥 сегодня",IF(F88-TODAY()&lt;=3,"⏳ через "&amp;(F88-TODAY())&amp;" дн.",""))))</f>
        <v/>
      </c>
      <c r="K88" s="54">
        <f>IF(B88="","",IF(G88="✅ Выполнена","✔ ",IF(G88="❌ Отменена","✖ ",IF(AND(F88&lt;&gt;"",F88&lt;TODAY()),"❗ ","☐ ")))&amp;B88&amp;IF(E88="🔥 Высокий"," 🔥",""))</f>
        <v/>
      </c>
      <c r="L88" s="54">
        <f>IF(OR(B88="",F88="",G88="❌ Отменена"),"",F88&amp;"#"&amp;COUNTIFS($F$5:F88,F88,$B$5:B88,"?*",$G$5:G88,"&lt;&gt;❌ Отменена"))</f>
        <v/>
      </c>
      <c r="M88" s="54">
        <f>IF(AND(B88&lt;&gt;"",F88&lt;&gt;"",F88&lt;TODAY(),AND(G88&lt;&gt;"✅ Выполнена",G88&lt;&gt;"❌ Отменена")),MAX($M$4:M87)+1,"")</f>
        <v/>
      </c>
    </row>
    <row r="89">
      <c r="A89" s="49">
        <f>IF(B89="","",COUNTA($B$5:B89))</f>
        <v/>
      </c>
      <c r="B89" s="50" t="n"/>
      <c r="C89" s="51" t="n"/>
      <c r="D89" s="51" t="n"/>
      <c r="E89" s="52" t="n"/>
      <c r="F89" s="53" t="n"/>
      <c r="G89" s="51" t="n"/>
      <c r="H89" s="53" t="n"/>
      <c r="I89" s="51" t="n"/>
      <c r="J89" s="54">
        <f>IF(OR(B89="",F89="",NOT(AND(G89&lt;&gt;"✅ Выполнена",G89&lt;&gt;"❌ Отменена"))),"",IF(F89&lt;TODAY(),"❗ просрочено "&amp;(TODAY()-F89)&amp;" дн.",IF(F89=TODAY(),"🔥 сегодня",IF(F89-TODAY()&lt;=3,"⏳ через "&amp;(F89-TODAY())&amp;" дн.",""))))</f>
        <v/>
      </c>
      <c r="K89" s="54">
        <f>IF(B89="","",IF(G89="✅ Выполнена","✔ ",IF(G89="❌ Отменена","✖ ",IF(AND(F89&lt;&gt;"",F89&lt;TODAY()),"❗ ","☐ ")))&amp;B89&amp;IF(E89="🔥 Высокий"," 🔥",""))</f>
        <v/>
      </c>
      <c r="L89" s="54">
        <f>IF(OR(B89="",F89="",G89="❌ Отменена"),"",F89&amp;"#"&amp;COUNTIFS($F$5:F89,F89,$B$5:B89,"?*",$G$5:G89,"&lt;&gt;❌ Отменена"))</f>
        <v/>
      </c>
      <c r="M89" s="54">
        <f>IF(AND(B89&lt;&gt;"",F89&lt;&gt;"",F89&lt;TODAY(),AND(G89&lt;&gt;"✅ Выполнена",G89&lt;&gt;"❌ Отменена")),MAX($M$4:M88)+1,"")</f>
        <v/>
      </c>
    </row>
    <row r="90">
      <c r="A90" s="49">
        <f>IF(B90="","",COUNTA($B$5:B90))</f>
        <v/>
      </c>
      <c r="B90" s="50" t="n"/>
      <c r="C90" s="51" t="n"/>
      <c r="D90" s="51" t="n"/>
      <c r="E90" s="52" t="n"/>
      <c r="F90" s="53" t="n"/>
      <c r="G90" s="51" t="n"/>
      <c r="H90" s="53" t="n"/>
      <c r="I90" s="51" t="n"/>
      <c r="J90" s="54">
        <f>IF(OR(B90="",F90="",NOT(AND(G90&lt;&gt;"✅ Выполнена",G90&lt;&gt;"❌ Отменена"))),"",IF(F90&lt;TODAY(),"❗ просрочено "&amp;(TODAY()-F90)&amp;" дн.",IF(F90=TODAY(),"🔥 сегодня",IF(F90-TODAY()&lt;=3,"⏳ через "&amp;(F90-TODAY())&amp;" дн.",""))))</f>
        <v/>
      </c>
      <c r="K90" s="54">
        <f>IF(B90="","",IF(G90="✅ Выполнена","✔ ",IF(G90="❌ Отменена","✖ ",IF(AND(F90&lt;&gt;"",F90&lt;TODAY()),"❗ ","☐ ")))&amp;B90&amp;IF(E90="🔥 Высокий"," 🔥",""))</f>
        <v/>
      </c>
      <c r="L90" s="54">
        <f>IF(OR(B90="",F90="",G90="❌ Отменена"),"",F90&amp;"#"&amp;COUNTIFS($F$5:F90,F90,$B$5:B90,"?*",$G$5:G90,"&lt;&gt;❌ Отменена"))</f>
        <v/>
      </c>
      <c r="M90" s="54">
        <f>IF(AND(B90&lt;&gt;"",F90&lt;&gt;"",F90&lt;TODAY(),AND(G90&lt;&gt;"✅ Выполнена",G90&lt;&gt;"❌ Отменена")),MAX($M$4:M89)+1,"")</f>
        <v/>
      </c>
    </row>
    <row r="91">
      <c r="A91" s="49">
        <f>IF(B91="","",COUNTA($B$5:B91))</f>
        <v/>
      </c>
      <c r="B91" s="50" t="n"/>
      <c r="C91" s="51" t="n"/>
      <c r="D91" s="51" t="n"/>
      <c r="E91" s="52" t="n"/>
      <c r="F91" s="53" t="n"/>
      <c r="G91" s="51" t="n"/>
      <c r="H91" s="53" t="n"/>
      <c r="I91" s="51" t="n"/>
      <c r="J91" s="54">
        <f>IF(OR(B91="",F91="",NOT(AND(G91&lt;&gt;"✅ Выполнена",G91&lt;&gt;"❌ Отменена"))),"",IF(F91&lt;TODAY(),"❗ просрочено "&amp;(TODAY()-F91)&amp;" дн.",IF(F91=TODAY(),"🔥 сегодня",IF(F91-TODAY()&lt;=3,"⏳ через "&amp;(F91-TODAY())&amp;" дн.",""))))</f>
        <v/>
      </c>
      <c r="K91" s="54">
        <f>IF(B91="","",IF(G91="✅ Выполнена","✔ ",IF(G91="❌ Отменена","✖ ",IF(AND(F91&lt;&gt;"",F91&lt;TODAY()),"❗ ","☐ ")))&amp;B91&amp;IF(E91="🔥 Высокий"," 🔥",""))</f>
        <v/>
      </c>
      <c r="L91" s="54">
        <f>IF(OR(B91="",F91="",G91="❌ Отменена"),"",F91&amp;"#"&amp;COUNTIFS($F$5:F91,F91,$B$5:B91,"?*",$G$5:G91,"&lt;&gt;❌ Отменена"))</f>
        <v/>
      </c>
      <c r="M91" s="54">
        <f>IF(AND(B91&lt;&gt;"",F91&lt;&gt;"",F91&lt;TODAY(),AND(G91&lt;&gt;"✅ Выполнена",G91&lt;&gt;"❌ Отменена")),MAX($M$4:M90)+1,"")</f>
        <v/>
      </c>
    </row>
    <row r="92">
      <c r="A92" s="49">
        <f>IF(B92="","",COUNTA($B$5:B92))</f>
        <v/>
      </c>
      <c r="B92" s="50" t="n"/>
      <c r="C92" s="51" t="n"/>
      <c r="D92" s="51" t="n"/>
      <c r="E92" s="52" t="n"/>
      <c r="F92" s="53" t="n"/>
      <c r="G92" s="51" t="n"/>
      <c r="H92" s="53" t="n"/>
      <c r="I92" s="51" t="n"/>
      <c r="J92" s="54">
        <f>IF(OR(B92="",F92="",NOT(AND(G92&lt;&gt;"✅ Выполнена",G92&lt;&gt;"❌ Отменена"))),"",IF(F92&lt;TODAY(),"❗ просрочено "&amp;(TODAY()-F92)&amp;" дн.",IF(F92=TODAY(),"🔥 сегодня",IF(F92-TODAY()&lt;=3,"⏳ через "&amp;(F92-TODAY())&amp;" дн.",""))))</f>
        <v/>
      </c>
      <c r="K92" s="54">
        <f>IF(B92="","",IF(G92="✅ Выполнена","✔ ",IF(G92="❌ Отменена","✖ ",IF(AND(F92&lt;&gt;"",F92&lt;TODAY()),"❗ ","☐ ")))&amp;B92&amp;IF(E92="🔥 Высокий"," 🔥",""))</f>
        <v/>
      </c>
      <c r="L92" s="54">
        <f>IF(OR(B92="",F92="",G92="❌ Отменена"),"",F92&amp;"#"&amp;COUNTIFS($F$5:F92,F92,$B$5:B92,"?*",$G$5:G92,"&lt;&gt;❌ Отменена"))</f>
        <v/>
      </c>
      <c r="M92" s="54">
        <f>IF(AND(B92&lt;&gt;"",F92&lt;&gt;"",F92&lt;TODAY(),AND(G92&lt;&gt;"✅ Выполнена",G92&lt;&gt;"❌ Отменена")),MAX($M$4:M91)+1,"")</f>
        <v/>
      </c>
    </row>
    <row r="93">
      <c r="A93" s="49">
        <f>IF(B93="","",COUNTA($B$5:B93))</f>
        <v/>
      </c>
      <c r="B93" s="50" t="n"/>
      <c r="C93" s="51" t="n"/>
      <c r="D93" s="51" t="n"/>
      <c r="E93" s="52" t="n"/>
      <c r="F93" s="53" t="n"/>
      <c r="G93" s="51" t="n"/>
      <c r="H93" s="53" t="n"/>
      <c r="I93" s="51" t="n"/>
      <c r="J93" s="54">
        <f>IF(OR(B93="",F93="",NOT(AND(G93&lt;&gt;"✅ Выполнена",G93&lt;&gt;"❌ Отменена"))),"",IF(F93&lt;TODAY(),"❗ просрочено "&amp;(TODAY()-F93)&amp;" дн.",IF(F93=TODAY(),"🔥 сегодня",IF(F93-TODAY()&lt;=3,"⏳ через "&amp;(F93-TODAY())&amp;" дн.",""))))</f>
        <v/>
      </c>
      <c r="K93" s="54">
        <f>IF(B93="","",IF(G93="✅ Выполнена","✔ ",IF(G93="❌ Отменена","✖ ",IF(AND(F93&lt;&gt;"",F93&lt;TODAY()),"❗ ","☐ ")))&amp;B93&amp;IF(E93="🔥 Высокий"," 🔥",""))</f>
        <v/>
      </c>
      <c r="L93" s="54">
        <f>IF(OR(B93="",F93="",G93="❌ Отменена"),"",F93&amp;"#"&amp;COUNTIFS($F$5:F93,F93,$B$5:B93,"?*",$G$5:G93,"&lt;&gt;❌ Отменена"))</f>
        <v/>
      </c>
      <c r="M93" s="54">
        <f>IF(AND(B93&lt;&gt;"",F93&lt;&gt;"",F93&lt;TODAY(),AND(G93&lt;&gt;"✅ Выполнена",G93&lt;&gt;"❌ Отменена")),MAX($M$4:M92)+1,"")</f>
        <v/>
      </c>
    </row>
    <row r="94">
      <c r="A94" s="49">
        <f>IF(B94="","",COUNTA($B$5:B94))</f>
        <v/>
      </c>
      <c r="B94" s="50" t="n"/>
      <c r="C94" s="51" t="n"/>
      <c r="D94" s="51" t="n"/>
      <c r="E94" s="52" t="n"/>
      <c r="F94" s="53" t="n"/>
      <c r="G94" s="51" t="n"/>
      <c r="H94" s="53" t="n"/>
      <c r="I94" s="51" t="n"/>
      <c r="J94" s="54">
        <f>IF(OR(B94="",F94="",NOT(AND(G94&lt;&gt;"✅ Выполнена",G94&lt;&gt;"❌ Отменена"))),"",IF(F94&lt;TODAY(),"❗ просрочено "&amp;(TODAY()-F94)&amp;" дн.",IF(F94=TODAY(),"🔥 сегодня",IF(F94-TODAY()&lt;=3,"⏳ через "&amp;(F94-TODAY())&amp;" дн.",""))))</f>
        <v/>
      </c>
      <c r="K94" s="54">
        <f>IF(B94="","",IF(G94="✅ Выполнена","✔ ",IF(G94="❌ Отменена","✖ ",IF(AND(F94&lt;&gt;"",F94&lt;TODAY()),"❗ ","☐ ")))&amp;B94&amp;IF(E94="🔥 Высокий"," 🔥",""))</f>
        <v/>
      </c>
      <c r="L94" s="54">
        <f>IF(OR(B94="",F94="",G94="❌ Отменена"),"",F94&amp;"#"&amp;COUNTIFS($F$5:F94,F94,$B$5:B94,"?*",$G$5:G94,"&lt;&gt;❌ Отменена"))</f>
        <v/>
      </c>
      <c r="M94" s="54">
        <f>IF(AND(B94&lt;&gt;"",F94&lt;&gt;"",F94&lt;TODAY(),AND(G94&lt;&gt;"✅ Выполнена",G94&lt;&gt;"❌ Отменена")),MAX($M$4:M93)+1,"")</f>
        <v/>
      </c>
    </row>
    <row r="95">
      <c r="A95" s="49">
        <f>IF(B95="","",COUNTA($B$5:B95))</f>
        <v/>
      </c>
      <c r="B95" s="50" t="n"/>
      <c r="C95" s="51" t="n"/>
      <c r="D95" s="51" t="n"/>
      <c r="E95" s="52" t="n"/>
      <c r="F95" s="53" t="n"/>
      <c r="G95" s="51" t="n"/>
      <c r="H95" s="53" t="n"/>
      <c r="I95" s="51" t="n"/>
      <c r="J95" s="54">
        <f>IF(OR(B95="",F95="",NOT(AND(G95&lt;&gt;"✅ Выполнена",G95&lt;&gt;"❌ Отменена"))),"",IF(F95&lt;TODAY(),"❗ просрочено "&amp;(TODAY()-F95)&amp;" дн.",IF(F95=TODAY(),"🔥 сегодня",IF(F95-TODAY()&lt;=3,"⏳ через "&amp;(F95-TODAY())&amp;" дн.",""))))</f>
        <v/>
      </c>
      <c r="K95" s="54">
        <f>IF(B95="","",IF(G95="✅ Выполнена","✔ ",IF(G95="❌ Отменена","✖ ",IF(AND(F95&lt;&gt;"",F95&lt;TODAY()),"❗ ","☐ ")))&amp;B95&amp;IF(E95="🔥 Высокий"," 🔥",""))</f>
        <v/>
      </c>
      <c r="L95" s="54">
        <f>IF(OR(B95="",F95="",G95="❌ Отменена"),"",F95&amp;"#"&amp;COUNTIFS($F$5:F95,F95,$B$5:B95,"?*",$G$5:G95,"&lt;&gt;❌ Отменена"))</f>
        <v/>
      </c>
      <c r="M95" s="54">
        <f>IF(AND(B95&lt;&gt;"",F95&lt;&gt;"",F95&lt;TODAY(),AND(G95&lt;&gt;"✅ Выполнена",G95&lt;&gt;"❌ Отменена")),MAX($M$4:M94)+1,"")</f>
        <v/>
      </c>
    </row>
    <row r="96">
      <c r="A96" s="49">
        <f>IF(B96="","",COUNTA($B$5:B96))</f>
        <v/>
      </c>
      <c r="B96" s="50" t="n"/>
      <c r="C96" s="51" t="n"/>
      <c r="D96" s="51" t="n"/>
      <c r="E96" s="52" t="n"/>
      <c r="F96" s="53" t="n"/>
      <c r="G96" s="51" t="n"/>
      <c r="H96" s="53" t="n"/>
      <c r="I96" s="51" t="n"/>
      <c r="J96" s="54">
        <f>IF(OR(B96="",F96="",NOT(AND(G96&lt;&gt;"✅ Выполнена",G96&lt;&gt;"❌ Отменена"))),"",IF(F96&lt;TODAY(),"❗ просрочено "&amp;(TODAY()-F96)&amp;" дн.",IF(F96=TODAY(),"🔥 сегодня",IF(F96-TODAY()&lt;=3,"⏳ через "&amp;(F96-TODAY())&amp;" дн.",""))))</f>
        <v/>
      </c>
      <c r="K96" s="54">
        <f>IF(B96="","",IF(G96="✅ Выполнена","✔ ",IF(G96="❌ Отменена","✖ ",IF(AND(F96&lt;&gt;"",F96&lt;TODAY()),"❗ ","☐ ")))&amp;B96&amp;IF(E96="🔥 Высокий"," 🔥",""))</f>
        <v/>
      </c>
      <c r="L96" s="54">
        <f>IF(OR(B96="",F96="",G96="❌ Отменена"),"",F96&amp;"#"&amp;COUNTIFS($F$5:F96,F96,$B$5:B96,"?*",$G$5:G96,"&lt;&gt;❌ Отменена"))</f>
        <v/>
      </c>
      <c r="M96" s="54">
        <f>IF(AND(B96&lt;&gt;"",F96&lt;&gt;"",F96&lt;TODAY(),AND(G96&lt;&gt;"✅ Выполнена",G96&lt;&gt;"❌ Отменена")),MAX($M$4:M95)+1,"")</f>
        <v/>
      </c>
    </row>
    <row r="97">
      <c r="A97" s="49">
        <f>IF(B97="","",COUNTA($B$5:B97))</f>
        <v/>
      </c>
      <c r="B97" s="50" t="n"/>
      <c r="C97" s="51" t="n"/>
      <c r="D97" s="51" t="n"/>
      <c r="E97" s="52" t="n"/>
      <c r="F97" s="53" t="n"/>
      <c r="G97" s="51" t="n"/>
      <c r="H97" s="53" t="n"/>
      <c r="I97" s="51" t="n"/>
      <c r="J97" s="54">
        <f>IF(OR(B97="",F97="",NOT(AND(G97&lt;&gt;"✅ Выполнена",G97&lt;&gt;"❌ Отменена"))),"",IF(F97&lt;TODAY(),"❗ просрочено "&amp;(TODAY()-F97)&amp;" дн.",IF(F97=TODAY(),"🔥 сегодня",IF(F97-TODAY()&lt;=3,"⏳ через "&amp;(F97-TODAY())&amp;" дн.",""))))</f>
        <v/>
      </c>
      <c r="K97" s="54">
        <f>IF(B97="","",IF(G97="✅ Выполнена","✔ ",IF(G97="❌ Отменена","✖ ",IF(AND(F97&lt;&gt;"",F97&lt;TODAY()),"❗ ","☐ ")))&amp;B97&amp;IF(E97="🔥 Высокий"," 🔥",""))</f>
        <v/>
      </c>
      <c r="L97" s="54">
        <f>IF(OR(B97="",F97="",G97="❌ Отменена"),"",F97&amp;"#"&amp;COUNTIFS($F$5:F97,F97,$B$5:B97,"?*",$G$5:G97,"&lt;&gt;❌ Отменена"))</f>
        <v/>
      </c>
      <c r="M97" s="54">
        <f>IF(AND(B97&lt;&gt;"",F97&lt;&gt;"",F97&lt;TODAY(),AND(G97&lt;&gt;"✅ Выполнена",G97&lt;&gt;"❌ Отменена")),MAX($M$4:M96)+1,"")</f>
        <v/>
      </c>
    </row>
    <row r="98">
      <c r="A98" s="49">
        <f>IF(B98="","",COUNTA($B$5:B98))</f>
        <v/>
      </c>
      <c r="B98" s="50" t="n"/>
      <c r="C98" s="51" t="n"/>
      <c r="D98" s="51" t="n"/>
      <c r="E98" s="52" t="n"/>
      <c r="F98" s="53" t="n"/>
      <c r="G98" s="51" t="n"/>
      <c r="H98" s="53" t="n"/>
      <c r="I98" s="51" t="n"/>
      <c r="J98" s="54">
        <f>IF(OR(B98="",F98="",NOT(AND(G98&lt;&gt;"✅ Выполнена",G98&lt;&gt;"❌ Отменена"))),"",IF(F98&lt;TODAY(),"❗ просрочено "&amp;(TODAY()-F98)&amp;" дн.",IF(F98=TODAY(),"🔥 сегодня",IF(F98-TODAY()&lt;=3,"⏳ через "&amp;(F98-TODAY())&amp;" дн.",""))))</f>
        <v/>
      </c>
      <c r="K98" s="54">
        <f>IF(B98="","",IF(G98="✅ Выполнена","✔ ",IF(G98="❌ Отменена","✖ ",IF(AND(F98&lt;&gt;"",F98&lt;TODAY()),"❗ ","☐ ")))&amp;B98&amp;IF(E98="🔥 Высокий"," 🔥",""))</f>
        <v/>
      </c>
      <c r="L98" s="54">
        <f>IF(OR(B98="",F98="",G98="❌ Отменена"),"",F98&amp;"#"&amp;COUNTIFS($F$5:F98,F98,$B$5:B98,"?*",$G$5:G98,"&lt;&gt;❌ Отменена"))</f>
        <v/>
      </c>
      <c r="M98" s="54">
        <f>IF(AND(B98&lt;&gt;"",F98&lt;&gt;"",F98&lt;TODAY(),AND(G98&lt;&gt;"✅ Выполнена",G98&lt;&gt;"❌ Отменена")),MAX($M$4:M97)+1,"")</f>
        <v/>
      </c>
    </row>
    <row r="99">
      <c r="A99" s="49">
        <f>IF(B99="","",COUNTA($B$5:B99))</f>
        <v/>
      </c>
      <c r="B99" s="50" t="n"/>
      <c r="C99" s="51" t="n"/>
      <c r="D99" s="51" t="n"/>
      <c r="E99" s="52" t="n"/>
      <c r="F99" s="53" t="n"/>
      <c r="G99" s="51" t="n"/>
      <c r="H99" s="53" t="n"/>
      <c r="I99" s="51" t="n"/>
      <c r="J99" s="54">
        <f>IF(OR(B99="",F99="",NOT(AND(G99&lt;&gt;"✅ Выполнена",G99&lt;&gt;"❌ Отменена"))),"",IF(F99&lt;TODAY(),"❗ просрочено "&amp;(TODAY()-F99)&amp;" дн.",IF(F99=TODAY(),"🔥 сегодня",IF(F99-TODAY()&lt;=3,"⏳ через "&amp;(F99-TODAY())&amp;" дн.",""))))</f>
        <v/>
      </c>
      <c r="K99" s="54">
        <f>IF(B99="","",IF(G99="✅ Выполнена","✔ ",IF(G99="❌ Отменена","✖ ",IF(AND(F99&lt;&gt;"",F99&lt;TODAY()),"❗ ","☐ ")))&amp;B99&amp;IF(E99="🔥 Высокий"," 🔥",""))</f>
        <v/>
      </c>
      <c r="L99" s="54">
        <f>IF(OR(B99="",F99="",G99="❌ Отменена"),"",F99&amp;"#"&amp;COUNTIFS($F$5:F99,F99,$B$5:B99,"?*",$G$5:G99,"&lt;&gt;❌ Отменена"))</f>
        <v/>
      </c>
      <c r="M99" s="54">
        <f>IF(AND(B99&lt;&gt;"",F99&lt;&gt;"",F99&lt;TODAY(),AND(G99&lt;&gt;"✅ Выполнена",G99&lt;&gt;"❌ Отменена")),MAX($M$4:M98)+1,"")</f>
        <v/>
      </c>
    </row>
    <row r="100">
      <c r="A100" s="49">
        <f>IF(B100="","",COUNTA($B$5:B100))</f>
        <v/>
      </c>
      <c r="B100" s="50" t="n"/>
      <c r="C100" s="51" t="n"/>
      <c r="D100" s="51" t="n"/>
      <c r="E100" s="52" t="n"/>
      <c r="F100" s="53" t="n"/>
      <c r="G100" s="51" t="n"/>
      <c r="H100" s="53" t="n"/>
      <c r="I100" s="51" t="n"/>
      <c r="J100" s="54">
        <f>IF(OR(B100="",F100="",NOT(AND(G100&lt;&gt;"✅ Выполнена",G100&lt;&gt;"❌ Отменена"))),"",IF(F100&lt;TODAY(),"❗ просрочено "&amp;(TODAY()-F100)&amp;" дн.",IF(F100=TODAY(),"🔥 сегодня",IF(F100-TODAY()&lt;=3,"⏳ через "&amp;(F100-TODAY())&amp;" дн.",""))))</f>
        <v/>
      </c>
      <c r="K100" s="54">
        <f>IF(B100="","",IF(G100="✅ Выполнена","✔ ",IF(G100="❌ Отменена","✖ ",IF(AND(F100&lt;&gt;"",F100&lt;TODAY()),"❗ ","☐ ")))&amp;B100&amp;IF(E100="🔥 Высокий"," 🔥",""))</f>
        <v/>
      </c>
      <c r="L100" s="54">
        <f>IF(OR(B100="",F100="",G100="❌ Отменена"),"",F100&amp;"#"&amp;COUNTIFS($F$5:F100,F100,$B$5:B100,"?*",$G$5:G100,"&lt;&gt;❌ Отменена"))</f>
        <v/>
      </c>
      <c r="M100" s="54">
        <f>IF(AND(B100&lt;&gt;"",F100&lt;&gt;"",F100&lt;TODAY(),AND(G100&lt;&gt;"✅ Выполнена",G100&lt;&gt;"❌ Отменена")),MAX($M$4:M99)+1,"")</f>
        <v/>
      </c>
    </row>
    <row r="101">
      <c r="A101" s="49">
        <f>IF(B101="","",COUNTA($B$5:B101))</f>
        <v/>
      </c>
      <c r="B101" s="50" t="n"/>
      <c r="C101" s="51" t="n"/>
      <c r="D101" s="51" t="n"/>
      <c r="E101" s="52" t="n"/>
      <c r="F101" s="53" t="n"/>
      <c r="G101" s="51" t="n"/>
      <c r="H101" s="53" t="n"/>
      <c r="I101" s="51" t="n"/>
      <c r="J101" s="54">
        <f>IF(OR(B101="",F101="",NOT(AND(G101&lt;&gt;"✅ Выполнена",G101&lt;&gt;"❌ Отменена"))),"",IF(F101&lt;TODAY(),"❗ просрочено "&amp;(TODAY()-F101)&amp;" дн.",IF(F101=TODAY(),"🔥 сегодня",IF(F101-TODAY()&lt;=3,"⏳ через "&amp;(F101-TODAY())&amp;" дн.",""))))</f>
        <v/>
      </c>
      <c r="K101" s="54">
        <f>IF(B101="","",IF(G101="✅ Выполнена","✔ ",IF(G101="❌ Отменена","✖ ",IF(AND(F101&lt;&gt;"",F101&lt;TODAY()),"❗ ","☐ ")))&amp;B101&amp;IF(E101="🔥 Высокий"," 🔥",""))</f>
        <v/>
      </c>
      <c r="L101" s="54">
        <f>IF(OR(B101="",F101="",G101="❌ Отменена"),"",F101&amp;"#"&amp;COUNTIFS($F$5:F101,F101,$B$5:B101,"?*",$G$5:G101,"&lt;&gt;❌ Отменена"))</f>
        <v/>
      </c>
      <c r="M101" s="54">
        <f>IF(AND(B101&lt;&gt;"",F101&lt;&gt;"",F101&lt;TODAY(),AND(G101&lt;&gt;"✅ Выполнена",G101&lt;&gt;"❌ Отменена")),MAX($M$4:M100)+1,"")</f>
        <v/>
      </c>
    </row>
    <row r="102">
      <c r="A102" s="49">
        <f>IF(B102="","",COUNTA($B$5:B102))</f>
        <v/>
      </c>
      <c r="B102" s="50" t="n"/>
      <c r="C102" s="51" t="n"/>
      <c r="D102" s="51" t="n"/>
      <c r="E102" s="52" t="n"/>
      <c r="F102" s="53" t="n"/>
      <c r="G102" s="51" t="n"/>
      <c r="H102" s="53" t="n"/>
      <c r="I102" s="51" t="n"/>
      <c r="J102" s="54">
        <f>IF(OR(B102="",F102="",NOT(AND(G102&lt;&gt;"✅ Выполнена",G102&lt;&gt;"❌ Отменена"))),"",IF(F102&lt;TODAY(),"❗ просрочено "&amp;(TODAY()-F102)&amp;" дн.",IF(F102=TODAY(),"🔥 сегодня",IF(F102-TODAY()&lt;=3,"⏳ через "&amp;(F102-TODAY())&amp;" дн.",""))))</f>
        <v/>
      </c>
      <c r="K102" s="54">
        <f>IF(B102="","",IF(G102="✅ Выполнена","✔ ",IF(G102="❌ Отменена","✖ ",IF(AND(F102&lt;&gt;"",F102&lt;TODAY()),"❗ ","☐ ")))&amp;B102&amp;IF(E102="🔥 Высокий"," 🔥",""))</f>
        <v/>
      </c>
      <c r="L102" s="54">
        <f>IF(OR(B102="",F102="",G102="❌ Отменена"),"",F102&amp;"#"&amp;COUNTIFS($F$5:F102,F102,$B$5:B102,"?*",$G$5:G102,"&lt;&gt;❌ Отменена"))</f>
        <v/>
      </c>
      <c r="M102" s="54">
        <f>IF(AND(B102&lt;&gt;"",F102&lt;&gt;"",F102&lt;TODAY(),AND(G102&lt;&gt;"✅ Выполнена",G102&lt;&gt;"❌ Отменена")),MAX($M$4:M101)+1,"")</f>
        <v/>
      </c>
    </row>
    <row r="103">
      <c r="A103" s="49">
        <f>IF(B103="","",COUNTA($B$5:B103))</f>
        <v/>
      </c>
      <c r="B103" s="50" t="n"/>
      <c r="C103" s="51" t="n"/>
      <c r="D103" s="51" t="n"/>
      <c r="E103" s="52" t="n"/>
      <c r="F103" s="53" t="n"/>
      <c r="G103" s="51" t="n"/>
      <c r="H103" s="53" t="n"/>
      <c r="I103" s="51" t="n"/>
      <c r="J103" s="54">
        <f>IF(OR(B103="",F103="",NOT(AND(G103&lt;&gt;"✅ Выполнена",G103&lt;&gt;"❌ Отменена"))),"",IF(F103&lt;TODAY(),"❗ просрочено "&amp;(TODAY()-F103)&amp;" дн.",IF(F103=TODAY(),"🔥 сегодня",IF(F103-TODAY()&lt;=3,"⏳ через "&amp;(F103-TODAY())&amp;" дн.",""))))</f>
        <v/>
      </c>
      <c r="K103" s="54">
        <f>IF(B103="","",IF(G103="✅ Выполнена","✔ ",IF(G103="❌ Отменена","✖ ",IF(AND(F103&lt;&gt;"",F103&lt;TODAY()),"❗ ","☐ ")))&amp;B103&amp;IF(E103="🔥 Высокий"," 🔥",""))</f>
        <v/>
      </c>
      <c r="L103" s="54">
        <f>IF(OR(B103="",F103="",G103="❌ Отменена"),"",F103&amp;"#"&amp;COUNTIFS($F$5:F103,F103,$B$5:B103,"?*",$G$5:G103,"&lt;&gt;❌ Отменена"))</f>
        <v/>
      </c>
      <c r="M103" s="54">
        <f>IF(AND(B103&lt;&gt;"",F103&lt;&gt;"",F103&lt;TODAY(),AND(G103&lt;&gt;"✅ Выполнена",G103&lt;&gt;"❌ Отменена")),MAX($M$4:M102)+1,"")</f>
        <v/>
      </c>
    </row>
    <row r="104">
      <c r="A104" s="49">
        <f>IF(B104="","",COUNTA($B$5:B104))</f>
        <v/>
      </c>
      <c r="B104" s="50" t="n"/>
      <c r="C104" s="51" t="n"/>
      <c r="D104" s="51" t="n"/>
      <c r="E104" s="52" t="n"/>
      <c r="F104" s="53" t="n"/>
      <c r="G104" s="51" t="n"/>
      <c r="H104" s="53" t="n"/>
      <c r="I104" s="51" t="n"/>
      <c r="J104" s="54">
        <f>IF(OR(B104="",F104="",NOT(AND(G104&lt;&gt;"✅ Выполнена",G104&lt;&gt;"❌ Отменена"))),"",IF(F104&lt;TODAY(),"❗ просрочено "&amp;(TODAY()-F104)&amp;" дн.",IF(F104=TODAY(),"🔥 сегодня",IF(F104-TODAY()&lt;=3,"⏳ через "&amp;(F104-TODAY())&amp;" дн.",""))))</f>
        <v/>
      </c>
      <c r="K104" s="54">
        <f>IF(B104="","",IF(G104="✅ Выполнена","✔ ",IF(G104="❌ Отменена","✖ ",IF(AND(F104&lt;&gt;"",F104&lt;TODAY()),"❗ ","☐ ")))&amp;B104&amp;IF(E104="🔥 Высокий"," 🔥",""))</f>
        <v/>
      </c>
      <c r="L104" s="54">
        <f>IF(OR(B104="",F104="",G104="❌ Отменена"),"",F104&amp;"#"&amp;COUNTIFS($F$5:F104,F104,$B$5:B104,"?*",$G$5:G104,"&lt;&gt;❌ Отменена"))</f>
        <v/>
      </c>
      <c r="M104" s="54">
        <f>IF(AND(B104&lt;&gt;"",F104&lt;&gt;"",F104&lt;TODAY(),AND(G104&lt;&gt;"✅ Выполнена",G104&lt;&gt;"❌ Отменена")),MAX($M$4:M103)+1,"")</f>
        <v/>
      </c>
    </row>
    <row r="105">
      <c r="A105" s="49">
        <f>IF(B105="","",COUNTA($B$5:B105))</f>
        <v/>
      </c>
      <c r="B105" s="50" t="n"/>
      <c r="C105" s="51" t="n"/>
      <c r="D105" s="51" t="n"/>
      <c r="E105" s="52" t="n"/>
      <c r="F105" s="53" t="n"/>
      <c r="G105" s="51" t="n"/>
      <c r="H105" s="53" t="n"/>
      <c r="I105" s="51" t="n"/>
      <c r="J105" s="54">
        <f>IF(OR(B105="",F105="",NOT(AND(G105&lt;&gt;"✅ Выполнена",G105&lt;&gt;"❌ Отменена"))),"",IF(F105&lt;TODAY(),"❗ просрочено "&amp;(TODAY()-F105)&amp;" дн.",IF(F105=TODAY(),"🔥 сегодня",IF(F105-TODAY()&lt;=3,"⏳ через "&amp;(F105-TODAY())&amp;" дн.",""))))</f>
        <v/>
      </c>
      <c r="K105" s="54">
        <f>IF(B105="","",IF(G105="✅ Выполнена","✔ ",IF(G105="❌ Отменена","✖ ",IF(AND(F105&lt;&gt;"",F105&lt;TODAY()),"❗ ","☐ ")))&amp;B105&amp;IF(E105="🔥 Высокий"," 🔥",""))</f>
        <v/>
      </c>
      <c r="L105" s="54">
        <f>IF(OR(B105="",F105="",G105="❌ Отменена"),"",F105&amp;"#"&amp;COUNTIFS($F$5:F105,F105,$B$5:B105,"?*",$G$5:G105,"&lt;&gt;❌ Отменена"))</f>
        <v/>
      </c>
      <c r="M105" s="54">
        <f>IF(AND(B105&lt;&gt;"",F105&lt;&gt;"",F105&lt;TODAY(),AND(G105&lt;&gt;"✅ Выполнена",G105&lt;&gt;"❌ Отменена")),MAX($M$4:M104)+1,"")</f>
        <v/>
      </c>
    </row>
    <row r="106">
      <c r="A106" s="49">
        <f>IF(B106="","",COUNTA($B$5:B106))</f>
        <v/>
      </c>
      <c r="B106" s="50" t="n"/>
      <c r="C106" s="51" t="n"/>
      <c r="D106" s="51" t="n"/>
      <c r="E106" s="52" t="n"/>
      <c r="F106" s="53" t="n"/>
      <c r="G106" s="51" t="n"/>
      <c r="H106" s="53" t="n"/>
      <c r="I106" s="51" t="n"/>
      <c r="J106" s="54">
        <f>IF(OR(B106="",F106="",NOT(AND(G106&lt;&gt;"✅ Выполнена",G106&lt;&gt;"❌ Отменена"))),"",IF(F106&lt;TODAY(),"❗ просрочено "&amp;(TODAY()-F106)&amp;" дн.",IF(F106=TODAY(),"🔥 сегодня",IF(F106-TODAY()&lt;=3,"⏳ через "&amp;(F106-TODAY())&amp;" дн.",""))))</f>
        <v/>
      </c>
      <c r="K106" s="54">
        <f>IF(B106="","",IF(G106="✅ Выполнена","✔ ",IF(G106="❌ Отменена","✖ ",IF(AND(F106&lt;&gt;"",F106&lt;TODAY()),"❗ ","☐ ")))&amp;B106&amp;IF(E106="🔥 Высокий"," 🔥",""))</f>
        <v/>
      </c>
      <c r="L106" s="54">
        <f>IF(OR(B106="",F106="",G106="❌ Отменена"),"",F106&amp;"#"&amp;COUNTIFS($F$5:F106,F106,$B$5:B106,"?*",$G$5:G106,"&lt;&gt;❌ Отменена"))</f>
        <v/>
      </c>
      <c r="M106" s="54">
        <f>IF(AND(B106&lt;&gt;"",F106&lt;&gt;"",F106&lt;TODAY(),AND(G106&lt;&gt;"✅ Выполнена",G106&lt;&gt;"❌ Отменена")),MAX($M$4:M105)+1,"")</f>
        <v/>
      </c>
    </row>
    <row r="107">
      <c r="A107" s="49">
        <f>IF(B107="","",COUNTA($B$5:B107))</f>
        <v/>
      </c>
      <c r="B107" s="50" t="n"/>
      <c r="C107" s="51" t="n"/>
      <c r="D107" s="51" t="n"/>
      <c r="E107" s="52" t="n"/>
      <c r="F107" s="53" t="n"/>
      <c r="G107" s="51" t="n"/>
      <c r="H107" s="53" t="n"/>
      <c r="I107" s="51" t="n"/>
      <c r="J107" s="54">
        <f>IF(OR(B107="",F107="",NOT(AND(G107&lt;&gt;"✅ Выполнена",G107&lt;&gt;"❌ Отменена"))),"",IF(F107&lt;TODAY(),"❗ просрочено "&amp;(TODAY()-F107)&amp;" дн.",IF(F107=TODAY(),"🔥 сегодня",IF(F107-TODAY()&lt;=3,"⏳ через "&amp;(F107-TODAY())&amp;" дн.",""))))</f>
        <v/>
      </c>
      <c r="K107" s="54">
        <f>IF(B107="","",IF(G107="✅ Выполнена","✔ ",IF(G107="❌ Отменена","✖ ",IF(AND(F107&lt;&gt;"",F107&lt;TODAY()),"❗ ","☐ ")))&amp;B107&amp;IF(E107="🔥 Высокий"," 🔥",""))</f>
        <v/>
      </c>
      <c r="L107" s="54">
        <f>IF(OR(B107="",F107="",G107="❌ Отменена"),"",F107&amp;"#"&amp;COUNTIFS($F$5:F107,F107,$B$5:B107,"?*",$G$5:G107,"&lt;&gt;❌ Отменена"))</f>
        <v/>
      </c>
      <c r="M107" s="54">
        <f>IF(AND(B107&lt;&gt;"",F107&lt;&gt;"",F107&lt;TODAY(),AND(G107&lt;&gt;"✅ Выполнена",G107&lt;&gt;"❌ Отменена")),MAX($M$4:M106)+1,"")</f>
        <v/>
      </c>
    </row>
    <row r="108">
      <c r="A108" s="49">
        <f>IF(B108="","",COUNTA($B$5:B108))</f>
        <v/>
      </c>
      <c r="B108" s="50" t="n"/>
      <c r="C108" s="51" t="n"/>
      <c r="D108" s="51" t="n"/>
      <c r="E108" s="52" t="n"/>
      <c r="F108" s="53" t="n"/>
      <c r="G108" s="51" t="n"/>
      <c r="H108" s="53" t="n"/>
      <c r="I108" s="51" t="n"/>
      <c r="J108" s="54">
        <f>IF(OR(B108="",F108="",NOT(AND(G108&lt;&gt;"✅ Выполнена",G108&lt;&gt;"❌ Отменена"))),"",IF(F108&lt;TODAY(),"❗ просрочено "&amp;(TODAY()-F108)&amp;" дн.",IF(F108=TODAY(),"🔥 сегодня",IF(F108-TODAY()&lt;=3,"⏳ через "&amp;(F108-TODAY())&amp;" дн.",""))))</f>
        <v/>
      </c>
      <c r="K108" s="54">
        <f>IF(B108="","",IF(G108="✅ Выполнена","✔ ",IF(G108="❌ Отменена","✖ ",IF(AND(F108&lt;&gt;"",F108&lt;TODAY()),"❗ ","☐ ")))&amp;B108&amp;IF(E108="🔥 Высокий"," 🔥",""))</f>
        <v/>
      </c>
      <c r="L108" s="54">
        <f>IF(OR(B108="",F108="",G108="❌ Отменена"),"",F108&amp;"#"&amp;COUNTIFS($F$5:F108,F108,$B$5:B108,"?*",$G$5:G108,"&lt;&gt;❌ Отменена"))</f>
        <v/>
      </c>
      <c r="M108" s="54">
        <f>IF(AND(B108&lt;&gt;"",F108&lt;&gt;"",F108&lt;TODAY(),AND(G108&lt;&gt;"✅ Выполнена",G108&lt;&gt;"❌ Отменена")),MAX($M$4:M107)+1,"")</f>
        <v/>
      </c>
    </row>
    <row r="109">
      <c r="A109" s="49">
        <f>IF(B109="","",COUNTA($B$5:B109))</f>
        <v/>
      </c>
      <c r="B109" s="50" t="n"/>
      <c r="C109" s="51" t="n"/>
      <c r="D109" s="51" t="n"/>
      <c r="E109" s="52" t="n"/>
      <c r="F109" s="53" t="n"/>
      <c r="G109" s="51" t="n"/>
      <c r="H109" s="53" t="n"/>
      <c r="I109" s="51" t="n"/>
      <c r="J109" s="54">
        <f>IF(OR(B109="",F109="",NOT(AND(G109&lt;&gt;"✅ Выполнена",G109&lt;&gt;"❌ Отменена"))),"",IF(F109&lt;TODAY(),"❗ просрочено "&amp;(TODAY()-F109)&amp;" дн.",IF(F109=TODAY(),"🔥 сегодня",IF(F109-TODAY()&lt;=3,"⏳ через "&amp;(F109-TODAY())&amp;" дн.",""))))</f>
        <v/>
      </c>
      <c r="K109" s="54">
        <f>IF(B109="","",IF(G109="✅ Выполнена","✔ ",IF(G109="❌ Отменена","✖ ",IF(AND(F109&lt;&gt;"",F109&lt;TODAY()),"❗ ","☐ ")))&amp;B109&amp;IF(E109="🔥 Высокий"," 🔥",""))</f>
        <v/>
      </c>
      <c r="L109" s="54">
        <f>IF(OR(B109="",F109="",G109="❌ Отменена"),"",F109&amp;"#"&amp;COUNTIFS($F$5:F109,F109,$B$5:B109,"?*",$G$5:G109,"&lt;&gt;❌ Отменена"))</f>
        <v/>
      </c>
      <c r="M109" s="54">
        <f>IF(AND(B109&lt;&gt;"",F109&lt;&gt;"",F109&lt;TODAY(),AND(G109&lt;&gt;"✅ Выполнена",G109&lt;&gt;"❌ Отменена")),MAX($M$4:M108)+1,"")</f>
        <v/>
      </c>
    </row>
    <row r="110">
      <c r="A110" s="49">
        <f>IF(B110="","",COUNTA($B$5:B110))</f>
        <v/>
      </c>
      <c r="B110" s="50" t="n"/>
      <c r="C110" s="51" t="n"/>
      <c r="D110" s="51" t="n"/>
      <c r="E110" s="52" t="n"/>
      <c r="F110" s="53" t="n"/>
      <c r="G110" s="51" t="n"/>
      <c r="H110" s="53" t="n"/>
      <c r="I110" s="51" t="n"/>
      <c r="J110" s="54">
        <f>IF(OR(B110="",F110="",NOT(AND(G110&lt;&gt;"✅ Выполнена",G110&lt;&gt;"❌ Отменена"))),"",IF(F110&lt;TODAY(),"❗ просрочено "&amp;(TODAY()-F110)&amp;" дн.",IF(F110=TODAY(),"🔥 сегодня",IF(F110-TODAY()&lt;=3,"⏳ через "&amp;(F110-TODAY())&amp;" дн.",""))))</f>
        <v/>
      </c>
      <c r="K110" s="54">
        <f>IF(B110="","",IF(G110="✅ Выполнена","✔ ",IF(G110="❌ Отменена","✖ ",IF(AND(F110&lt;&gt;"",F110&lt;TODAY()),"❗ ","☐ ")))&amp;B110&amp;IF(E110="🔥 Высокий"," 🔥",""))</f>
        <v/>
      </c>
      <c r="L110" s="54">
        <f>IF(OR(B110="",F110="",G110="❌ Отменена"),"",F110&amp;"#"&amp;COUNTIFS($F$5:F110,F110,$B$5:B110,"?*",$G$5:G110,"&lt;&gt;❌ Отменена"))</f>
        <v/>
      </c>
      <c r="M110" s="54">
        <f>IF(AND(B110&lt;&gt;"",F110&lt;&gt;"",F110&lt;TODAY(),AND(G110&lt;&gt;"✅ Выполнена",G110&lt;&gt;"❌ Отменена")),MAX($M$4:M109)+1,"")</f>
        <v/>
      </c>
    </row>
    <row r="111">
      <c r="A111" s="49">
        <f>IF(B111="","",COUNTA($B$5:B111))</f>
        <v/>
      </c>
      <c r="B111" s="50" t="n"/>
      <c r="C111" s="51" t="n"/>
      <c r="D111" s="51" t="n"/>
      <c r="E111" s="52" t="n"/>
      <c r="F111" s="53" t="n"/>
      <c r="G111" s="51" t="n"/>
      <c r="H111" s="53" t="n"/>
      <c r="I111" s="51" t="n"/>
      <c r="J111" s="54">
        <f>IF(OR(B111="",F111="",NOT(AND(G111&lt;&gt;"✅ Выполнена",G111&lt;&gt;"❌ Отменена"))),"",IF(F111&lt;TODAY(),"❗ просрочено "&amp;(TODAY()-F111)&amp;" дн.",IF(F111=TODAY(),"🔥 сегодня",IF(F111-TODAY()&lt;=3,"⏳ через "&amp;(F111-TODAY())&amp;" дн.",""))))</f>
        <v/>
      </c>
      <c r="K111" s="54">
        <f>IF(B111="","",IF(G111="✅ Выполнена","✔ ",IF(G111="❌ Отменена","✖ ",IF(AND(F111&lt;&gt;"",F111&lt;TODAY()),"❗ ","☐ ")))&amp;B111&amp;IF(E111="🔥 Высокий"," 🔥",""))</f>
        <v/>
      </c>
      <c r="L111" s="54">
        <f>IF(OR(B111="",F111="",G111="❌ Отменена"),"",F111&amp;"#"&amp;COUNTIFS($F$5:F111,F111,$B$5:B111,"?*",$G$5:G111,"&lt;&gt;❌ Отменена"))</f>
        <v/>
      </c>
      <c r="M111" s="54">
        <f>IF(AND(B111&lt;&gt;"",F111&lt;&gt;"",F111&lt;TODAY(),AND(G111&lt;&gt;"✅ Выполнена",G111&lt;&gt;"❌ Отменена")),MAX($M$4:M110)+1,"")</f>
        <v/>
      </c>
    </row>
    <row r="112">
      <c r="A112" s="49">
        <f>IF(B112="","",COUNTA($B$5:B112))</f>
        <v/>
      </c>
      <c r="B112" s="50" t="n"/>
      <c r="C112" s="51" t="n"/>
      <c r="D112" s="51" t="n"/>
      <c r="E112" s="52" t="n"/>
      <c r="F112" s="53" t="n"/>
      <c r="G112" s="51" t="n"/>
      <c r="H112" s="53" t="n"/>
      <c r="I112" s="51" t="n"/>
      <c r="J112" s="54">
        <f>IF(OR(B112="",F112="",NOT(AND(G112&lt;&gt;"✅ Выполнена",G112&lt;&gt;"❌ Отменена"))),"",IF(F112&lt;TODAY(),"❗ просрочено "&amp;(TODAY()-F112)&amp;" дн.",IF(F112=TODAY(),"🔥 сегодня",IF(F112-TODAY()&lt;=3,"⏳ через "&amp;(F112-TODAY())&amp;" дн.",""))))</f>
        <v/>
      </c>
      <c r="K112" s="54">
        <f>IF(B112="","",IF(G112="✅ Выполнена","✔ ",IF(G112="❌ Отменена","✖ ",IF(AND(F112&lt;&gt;"",F112&lt;TODAY()),"❗ ","☐ ")))&amp;B112&amp;IF(E112="🔥 Высокий"," 🔥",""))</f>
        <v/>
      </c>
      <c r="L112" s="54">
        <f>IF(OR(B112="",F112="",G112="❌ Отменена"),"",F112&amp;"#"&amp;COUNTIFS($F$5:F112,F112,$B$5:B112,"?*",$G$5:G112,"&lt;&gt;❌ Отменена"))</f>
        <v/>
      </c>
      <c r="M112" s="54">
        <f>IF(AND(B112&lt;&gt;"",F112&lt;&gt;"",F112&lt;TODAY(),AND(G112&lt;&gt;"✅ Выполнена",G112&lt;&gt;"❌ Отменена")),MAX($M$4:M111)+1,"")</f>
        <v/>
      </c>
    </row>
    <row r="113">
      <c r="A113" s="49">
        <f>IF(B113="","",COUNTA($B$5:B113))</f>
        <v/>
      </c>
      <c r="B113" s="50" t="n"/>
      <c r="C113" s="51" t="n"/>
      <c r="D113" s="51" t="n"/>
      <c r="E113" s="52" t="n"/>
      <c r="F113" s="53" t="n"/>
      <c r="G113" s="51" t="n"/>
      <c r="H113" s="53" t="n"/>
      <c r="I113" s="51" t="n"/>
      <c r="J113" s="54">
        <f>IF(OR(B113="",F113="",NOT(AND(G113&lt;&gt;"✅ Выполнена",G113&lt;&gt;"❌ Отменена"))),"",IF(F113&lt;TODAY(),"❗ просрочено "&amp;(TODAY()-F113)&amp;" дн.",IF(F113=TODAY(),"🔥 сегодня",IF(F113-TODAY()&lt;=3,"⏳ через "&amp;(F113-TODAY())&amp;" дн.",""))))</f>
        <v/>
      </c>
      <c r="K113" s="54">
        <f>IF(B113="","",IF(G113="✅ Выполнена","✔ ",IF(G113="❌ Отменена","✖ ",IF(AND(F113&lt;&gt;"",F113&lt;TODAY()),"❗ ","☐ ")))&amp;B113&amp;IF(E113="🔥 Высокий"," 🔥",""))</f>
        <v/>
      </c>
      <c r="L113" s="54">
        <f>IF(OR(B113="",F113="",G113="❌ Отменена"),"",F113&amp;"#"&amp;COUNTIFS($F$5:F113,F113,$B$5:B113,"?*",$G$5:G113,"&lt;&gt;❌ Отменена"))</f>
        <v/>
      </c>
      <c r="M113" s="54">
        <f>IF(AND(B113&lt;&gt;"",F113&lt;&gt;"",F113&lt;TODAY(),AND(G113&lt;&gt;"✅ Выполнена",G113&lt;&gt;"❌ Отменена")),MAX($M$4:M112)+1,"")</f>
        <v/>
      </c>
    </row>
    <row r="114">
      <c r="A114" s="49">
        <f>IF(B114="","",COUNTA($B$5:B114))</f>
        <v/>
      </c>
      <c r="B114" s="50" t="n"/>
      <c r="C114" s="51" t="n"/>
      <c r="D114" s="51" t="n"/>
      <c r="E114" s="52" t="n"/>
      <c r="F114" s="53" t="n"/>
      <c r="G114" s="51" t="n"/>
      <c r="H114" s="53" t="n"/>
      <c r="I114" s="51" t="n"/>
      <c r="J114" s="54">
        <f>IF(OR(B114="",F114="",NOT(AND(G114&lt;&gt;"✅ Выполнена",G114&lt;&gt;"❌ Отменена"))),"",IF(F114&lt;TODAY(),"❗ просрочено "&amp;(TODAY()-F114)&amp;" дн.",IF(F114=TODAY(),"🔥 сегодня",IF(F114-TODAY()&lt;=3,"⏳ через "&amp;(F114-TODAY())&amp;" дн.",""))))</f>
        <v/>
      </c>
      <c r="K114" s="54">
        <f>IF(B114="","",IF(G114="✅ Выполнена","✔ ",IF(G114="❌ Отменена","✖ ",IF(AND(F114&lt;&gt;"",F114&lt;TODAY()),"❗ ","☐ ")))&amp;B114&amp;IF(E114="🔥 Высокий"," 🔥",""))</f>
        <v/>
      </c>
      <c r="L114" s="54">
        <f>IF(OR(B114="",F114="",G114="❌ Отменена"),"",F114&amp;"#"&amp;COUNTIFS($F$5:F114,F114,$B$5:B114,"?*",$G$5:G114,"&lt;&gt;❌ Отменена"))</f>
        <v/>
      </c>
      <c r="M114" s="54">
        <f>IF(AND(B114&lt;&gt;"",F114&lt;&gt;"",F114&lt;TODAY(),AND(G114&lt;&gt;"✅ Выполнена",G114&lt;&gt;"❌ Отменена")),MAX($M$4:M113)+1,"")</f>
        <v/>
      </c>
    </row>
    <row r="115">
      <c r="A115" s="49">
        <f>IF(B115="","",COUNTA($B$5:B115))</f>
        <v/>
      </c>
      <c r="B115" s="50" t="n"/>
      <c r="C115" s="51" t="n"/>
      <c r="D115" s="51" t="n"/>
      <c r="E115" s="52" t="n"/>
      <c r="F115" s="53" t="n"/>
      <c r="G115" s="51" t="n"/>
      <c r="H115" s="53" t="n"/>
      <c r="I115" s="51" t="n"/>
      <c r="J115" s="54">
        <f>IF(OR(B115="",F115="",NOT(AND(G115&lt;&gt;"✅ Выполнена",G115&lt;&gt;"❌ Отменена"))),"",IF(F115&lt;TODAY(),"❗ просрочено "&amp;(TODAY()-F115)&amp;" дн.",IF(F115=TODAY(),"🔥 сегодня",IF(F115-TODAY()&lt;=3,"⏳ через "&amp;(F115-TODAY())&amp;" дн.",""))))</f>
        <v/>
      </c>
      <c r="K115" s="54">
        <f>IF(B115="","",IF(G115="✅ Выполнена","✔ ",IF(G115="❌ Отменена","✖ ",IF(AND(F115&lt;&gt;"",F115&lt;TODAY()),"❗ ","☐ ")))&amp;B115&amp;IF(E115="🔥 Высокий"," 🔥",""))</f>
        <v/>
      </c>
      <c r="L115" s="54">
        <f>IF(OR(B115="",F115="",G115="❌ Отменена"),"",F115&amp;"#"&amp;COUNTIFS($F$5:F115,F115,$B$5:B115,"?*",$G$5:G115,"&lt;&gt;❌ Отменена"))</f>
        <v/>
      </c>
      <c r="M115" s="54">
        <f>IF(AND(B115&lt;&gt;"",F115&lt;&gt;"",F115&lt;TODAY(),AND(G115&lt;&gt;"✅ Выполнена",G115&lt;&gt;"❌ Отменена")),MAX($M$4:M114)+1,"")</f>
        <v/>
      </c>
    </row>
    <row r="116">
      <c r="A116" s="49">
        <f>IF(B116="","",COUNTA($B$5:B116))</f>
        <v/>
      </c>
      <c r="B116" s="50" t="n"/>
      <c r="C116" s="51" t="n"/>
      <c r="D116" s="51" t="n"/>
      <c r="E116" s="52" t="n"/>
      <c r="F116" s="53" t="n"/>
      <c r="G116" s="51" t="n"/>
      <c r="H116" s="53" t="n"/>
      <c r="I116" s="51" t="n"/>
      <c r="J116" s="54">
        <f>IF(OR(B116="",F116="",NOT(AND(G116&lt;&gt;"✅ Выполнена",G116&lt;&gt;"❌ Отменена"))),"",IF(F116&lt;TODAY(),"❗ просрочено "&amp;(TODAY()-F116)&amp;" дн.",IF(F116=TODAY(),"🔥 сегодня",IF(F116-TODAY()&lt;=3,"⏳ через "&amp;(F116-TODAY())&amp;" дн.",""))))</f>
        <v/>
      </c>
      <c r="K116" s="54">
        <f>IF(B116="","",IF(G116="✅ Выполнена","✔ ",IF(G116="❌ Отменена","✖ ",IF(AND(F116&lt;&gt;"",F116&lt;TODAY()),"❗ ","☐ ")))&amp;B116&amp;IF(E116="🔥 Высокий"," 🔥",""))</f>
        <v/>
      </c>
      <c r="L116" s="54">
        <f>IF(OR(B116="",F116="",G116="❌ Отменена"),"",F116&amp;"#"&amp;COUNTIFS($F$5:F116,F116,$B$5:B116,"?*",$G$5:G116,"&lt;&gt;❌ Отменена"))</f>
        <v/>
      </c>
      <c r="M116" s="54">
        <f>IF(AND(B116&lt;&gt;"",F116&lt;&gt;"",F116&lt;TODAY(),AND(G116&lt;&gt;"✅ Выполнена",G116&lt;&gt;"❌ Отменена")),MAX($M$4:M115)+1,"")</f>
        <v/>
      </c>
    </row>
    <row r="117">
      <c r="A117" s="49">
        <f>IF(B117="","",COUNTA($B$5:B117))</f>
        <v/>
      </c>
      <c r="B117" s="50" t="n"/>
      <c r="C117" s="51" t="n"/>
      <c r="D117" s="51" t="n"/>
      <c r="E117" s="52" t="n"/>
      <c r="F117" s="53" t="n"/>
      <c r="G117" s="51" t="n"/>
      <c r="H117" s="53" t="n"/>
      <c r="I117" s="51" t="n"/>
      <c r="J117" s="54">
        <f>IF(OR(B117="",F117="",NOT(AND(G117&lt;&gt;"✅ Выполнена",G117&lt;&gt;"❌ Отменена"))),"",IF(F117&lt;TODAY(),"❗ просрочено "&amp;(TODAY()-F117)&amp;" дн.",IF(F117=TODAY(),"🔥 сегодня",IF(F117-TODAY()&lt;=3,"⏳ через "&amp;(F117-TODAY())&amp;" дн.",""))))</f>
        <v/>
      </c>
      <c r="K117" s="54">
        <f>IF(B117="","",IF(G117="✅ Выполнена","✔ ",IF(G117="❌ Отменена","✖ ",IF(AND(F117&lt;&gt;"",F117&lt;TODAY()),"❗ ","☐ ")))&amp;B117&amp;IF(E117="🔥 Высокий"," 🔥",""))</f>
        <v/>
      </c>
      <c r="L117" s="54">
        <f>IF(OR(B117="",F117="",G117="❌ Отменена"),"",F117&amp;"#"&amp;COUNTIFS($F$5:F117,F117,$B$5:B117,"?*",$G$5:G117,"&lt;&gt;❌ Отменена"))</f>
        <v/>
      </c>
      <c r="M117" s="54">
        <f>IF(AND(B117&lt;&gt;"",F117&lt;&gt;"",F117&lt;TODAY(),AND(G117&lt;&gt;"✅ Выполнена",G117&lt;&gt;"❌ Отменена")),MAX($M$4:M116)+1,"")</f>
        <v/>
      </c>
    </row>
    <row r="118">
      <c r="A118" s="49">
        <f>IF(B118="","",COUNTA($B$5:B118))</f>
        <v/>
      </c>
      <c r="B118" s="50" t="n"/>
      <c r="C118" s="51" t="n"/>
      <c r="D118" s="51" t="n"/>
      <c r="E118" s="52" t="n"/>
      <c r="F118" s="53" t="n"/>
      <c r="G118" s="51" t="n"/>
      <c r="H118" s="53" t="n"/>
      <c r="I118" s="51" t="n"/>
      <c r="J118" s="54">
        <f>IF(OR(B118="",F118="",NOT(AND(G118&lt;&gt;"✅ Выполнена",G118&lt;&gt;"❌ Отменена"))),"",IF(F118&lt;TODAY(),"❗ просрочено "&amp;(TODAY()-F118)&amp;" дн.",IF(F118=TODAY(),"🔥 сегодня",IF(F118-TODAY()&lt;=3,"⏳ через "&amp;(F118-TODAY())&amp;" дн.",""))))</f>
        <v/>
      </c>
      <c r="K118" s="54">
        <f>IF(B118="","",IF(G118="✅ Выполнена","✔ ",IF(G118="❌ Отменена","✖ ",IF(AND(F118&lt;&gt;"",F118&lt;TODAY()),"❗ ","☐ ")))&amp;B118&amp;IF(E118="🔥 Высокий"," 🔥",""))</f>
        <v/>
      </c>
      <c r="L118" s="54">
        <f>IF(OR(B118="",F118="",G118="❌ Отменена"),"",F118&amp;"#"&amp;COUNTIFS($F$5:F118,F118,$B$5:B118,"?*",$G$5:G118,"&lt;&gt;❌ Отменена"))</f>
        <v/>
      </c>
      <c r="M118" s="54">
        <f>IF(AND(B118&lt;&gt;"",F118&lt;&gt;"",F118&lt;TODAY(),AND(G118&lt;&gt;"✅ Выполнена",G118&lt;&gt;"❌ Отменена")),MAX($M$4:M117)+1,"")</f>
        <v/>
      </c>
    </row>
    <row r="119">
      <c r="A119" s="49">
        <f>IF(B119="","",COUNTA($B$5:B119))</f>
        <v/>
      </c>
      <c r="B119" s="50" t="n"/>
      <c r="C119" s="51" t="n"/>
      <c r="D119" s="51" t="n"/>
      <c r="E119" s="52" t="n"/>
      <c r="F119" s="53" t="n"/>
      <c r="G119" s="51" t="n"/>
      <c r="H119" s="53" t="n"/>
      <c r="I119" s="51" t="n"/>
      <c r="J119" s="54">
        <f>IF(OR(B119="",F119="",NOT(AND(G119&lt;&gt;"✅ Выполнена",G119&lt;&gt;"❌ Отменена"))),"",IF(F119&lt;TODAY(),"❗ просрочено "&amp;(TODAY()-F119)&amp;" дн.",IF(F119=TODAY(),"🔥 сегодня",IF(F119-TODAY()&lt;=3,"⏳ через "&amp;(F119-TODAY())&amp;" дн.",""))))</f>
        <v/>
      </c>
      <c r="K119" s="54">
        <f>IF(B119="","",IF(G119="✅ Выполнена","✔ ",IF(G119="❌ Отменена","✖ ",IF(AND(F119&lt;&gt;"",F119&lt;TODAY()),"❗ ","☐ ")))&amp;B119&amp;IF(E119="🔥 Высокий"," 🔥",""))</f>
        <v/>
      </c>
      <c r="L119" s="54">
        <f>IF(OR(B119="",F119="",G119="❌ Отменена"),"",F119&amp;"#"&amp;COUNTIFS($F$5:F119,F119,$B$5:B119,"?*",$G$5:G119,"&lt;&gt;❌ Отменена"))</f>
        <v/>
      </c>
      <c r="M119" s="54">
        <f>IF(AND(B119&lt;&gt;"",F119&lt;&gt;"",F119&lt;TODAY(),AND(G119&lt;&gt;"✅ Выполнена",G119&lt;&gt;"❌ Отменена")),MAX($M$4:M118)+1,"")</f>
        <v/>
      </c>
    </row>
    <row r="120">
      <c r="A120" s="49">
        <f>IF(B120="","",COUNTA($B$5:B120))</f>
        <v/>
      </c>
      <c r="B120" s="50" t="n"/>
      <c r="C120" s="51" t="n"/>
      <c r="D120" s="51" t="n"/>
      <c r="E120" s="52" t="n"/>
      <c r="F120" s="53" t="n"/>
      <c r="G120" s="51" t="n"/>
      <c r="H120" s="53" t="n"/>
      <c r="I120" s="51" t="n"/>
      <c r="J120" s="54">
        <f>IF(OR(B120="",F120="",NOT(AND(G120&lt;&gt;"✅ Выполнена",G120&lt;&gt;"❌ Отменена"))),"",IF(F120&lt;TODAY(),"❗ просрочено "&amp;(TODAY()-F120)&amp;" дн.",IF(F120=TODAY(),"🔥 сегодня",IF(F120-TODAY()&lt;=3,"⏳ через "&amp;(F120-TODAY())&amp;" дн.",""))))</f>
        <v/>
      </c>
      <c r="K120" s="54">
        <f>IF(B120="","",IF(G120="✅ Выполнена","✔ ",IF(G120="❌ Отменена","✖ ",IF(AND(F120&lt;&gt;"",F120&lt;TODAY()),"❗ ","☐ ")))&amp;B120&amp;IF(E120="🔥 Высокий"," 🔥",""))</f>
        <v/>
      </c>
      <c r="L120" s="54">
        <f>IF(OR(B120="",F120="",G120="❌ Отменена"),"",F120&amp;"#"&amp;COUNTIFS($F$5:F120,F120,$B$5:B120,"?*",$G$5:G120,"&lt;&gt;❌ Отменена"))</f>
        <v/>
      </c>
      <c r="M120" s="54">
        <f>IF(AND(B120&lt;&gt;"",F120&lt;&gt;"",F120&lt;TODAY(),AND(G120&lt;&gt;"✅ Выполнена",G120&lt;&gt;"❌ Отменена")),MAX($M$4:M119)+1,"")</f>
        <v/>
      </c>
    </row>
    <row r="121">
      <c r="A121" s="49">
        <f>IF(B121="","",COUNTA($B$5:B121))</f>
        <v/>
      </c>
      <c r="B121" s="50" t="n"/>
      <c r="C121" s="51" t="n"/>
      <c r="D121" s="51" t="n"/>
      <c r="E121" s="52" t="n"/>
      <c r="F121" s="53" t="n"/>
      <c r="G121" s="51" t="n"/>
      <c r="H121" s="53" t="n"/>
      <c r="I121" s="51" t="n"/>
      <c r="J121" s="54">
        <f>IF(OR(B121="",F121="",NOT(AND(G121&lt;&gt;"✅ Выполнена",G121&lt;&gt;"❌ Отменена"))),"",IF(F121&lt;TODAY(),"❗ просрочено "&amp;(TODAY()-F121)&amp;" дн.",IF(F121=TODAY(),"🔥 сегодня",IF(F121-TODAY()&lt;=3,"⏳ через "&amp;(F121-TODAY())&amp;" дн.",""))))</f>
        <v/>
      </c>
      <c r="K121" s="54">
        <f>IF(B121="","",IF(G121="✅ Выполнена","✔ ",IF(G121="❌ Отменена","✖ ",IF(AND(F121&lt;&gt;"",F121&lt;TODAY()),"❗ ","☐ ")))&amp;B121&amp;IF(E121="🔥 Высокий"," 🔥",""))</f>
        <v/>
      </c>
      <c r="L121" s="54">
        <f>IF(OR(B121="",F121="",G121="❌ Отменена"),"",F121&amp;"#"&amp;COUNTIFS($F$5:F121,F121,$B$5:B121,"?*",$G$5:G121,"&lt;&gt;❌ Отменена"))</f>
        <v/>
      </c>
      <c r="M121" s="54">
        <f>IF(AND(B121&lt;&gt;"",F121&lt;&gt;"",F121&lt;TODAY(),AND(G121&lt;&gt;"✅ Выполнена",G121&lt;&gt;"❌ Отменена")),MAX($M$4:M120)+1,"")</f>
        <v/>
      </c>
    </row>
    <row r="122">
      <c r="A122" s="49">
        <f>IF(B122="","",COUNTA($B$5:B122))</f>
        <v/>
      </c>
      <c r="B122" s="50" t="n"/>
      <c r="C122" s="51" t="n"/>
      <c r="D122" s="51" t="n"/>
      <c r="E122" s="52" t="n"/>
      <c r="F122" s="53" t="n"/>
      <c r="G122" s="51" t="n"/>
      <c r="H122" s="53" t="n"/>
      <c r="I122" s="51" t="n"/>
      <c r="J122" s="54">
        <f>IF(OR(B122="",F122="",NOT(AND(G122&lt;&gt;"✅ Выполнена",G122&lt;&gt;"❌ Отменена"))),"",IF(F122&lt;TODAY(),"❗ просрочено "&amp;(TODAY()-F122)&amp;" дн.",IF(F122=TODAY(),"🔥 сегодня",IF(F122-TODAY()&lt;=3,"⏳ через "&amp;(F122-TODAY())&amp;" дн.",""))))</f>
        <v/>
      </c>
      <c r="K122" s="54">
        <f>IF(B122="","",IF(G122="✅ Выполнена","✔ ",IF(G122="❌ Отменена","✖ ",IF(AND(F122&lt;&gt;"",F122&lt;TODAY()),"❗ ","☐ ")))&amp;B122&amp;IF(E122="🔥 Высокий"," 🔥",""))</f>
        <v/>
      </c>
      <c r="L122" s="54">
        <f>IF(OR(B122="",F122="",G122="❌ Отменена"),"",F122&amp;"#"&amp;COUNTIFS($F$5:F122,F122,$B$5:B122,"?*",$G$5:G122,"&lt;&gt;❌ Отменена"))</f>
        <v/>
      </c>
      <c r="M122" s="54">
        <f>IF(AND(B122&lt;&gt;"",F122&lt;&gt;"",F122&lt;TODAY(),AND(G122&lt;&gt;"✅ Выполнена",G122&lt;&gt;"❌ Отменена")),MAX($M$4:M121)+1,"")</f>
        <v/>
      </c>
    </row>
    <row r="123">
      <c r="A123" s="49">
        <f>IF(B123="","",COUNTA($B$5:B123))</f>
        <v/>
      </c>
      <c r="B123" s="50" t="n"/>
      <c r="C123" s="51" t="n"/>
      <c r="D123" s="51" t="n"/>
      <c r="E123" s="52" t="n"/>
      <c r="F123" s="53" t="n"/>
      <c r="G123" s="51" t="n"/>
      <c r="H123" s="53" t="n"/>
      <c r="I123" s="51" t="n"/>
      <c r="J123" s="54">
        <f>IF(OR(B123="",F123="",NOT(AND(G123&lt;&gt;"✅ Выполнена",G123&lt;&gt;"❌ Отменена"))),"",IF(F123&lt;TODAY(),"❗ просрочено "&amp;(TODAY()-F123)&amp;" дн.",IF(F123=TODAY(),"🔥 сегодня",IF(F123-TODAY()&lt;=3,"⏳ через "&amp;(F123-TODAY())&amp;" дн.",""))))</f>
        <v/>
      </c>
      <c r="K123" s="54">
        <f>IF(B123="","",IF(G123="✅ Выполнена","✔ ",IF(G123="❌ Отменена","✖ ",IF(AND(F123&lt;&gt;"",F123&lt;TODAY()),"❗ ","☐ ")))&amp;B123&amp;IF(E123="🔥 Высокий"," 🔥",""))</f>
        <v/>
      </c>
      <c r="L123" s="54">
        <f>IF(OR(B123="",F123="",G123="❌ Отменена"),"",F123&amp;"#"&amp;COUNTIFS($F$5:F123,F123,$B$5:B123,"?*",$G$5:G123,"&lt;&gt;❌ Отменена"))</f>
        <v/>
      </c>
      <c r="M123" s="54">
        <f>IF(AND(B123&lt;&gt;"",F123&lt;&gt;"",F123&lt;TODAY(),AND(G123&lt;&gt;"✅ Выполнена",G123&lt;&gt;"❌ Отменена")),MAX($M$4:M122)+1,"")</f>
        <v/>
      </c>
    </row>
    <row r="124">
      <c r="A124" s="49">
        <f>IF(B124="","",COUNTA($B$5:B124))</f>
        <v/>
      </c>
      <c r="B124" s="50" t="n"/>
      <c r="C124" s="51" t="n"/>
      <c r="D124" s="51" t="n"/>
      <c r="E124" s="52" t="n"/>
      <c r="F124" s="53" t="n"/>
      <c r="G124" s="51" t="n"/>
      <c r="H124" s="53" t="n"/>
      <c r="I124" s="51" t="n"/>
      <c r="J124" s="54">
        <f>IF(OR(B124="",F124="",NOT(AND(G124&lt;&gt;"✅ Выполнена",G124&lt;&gt;"❌ Отменена"))),"",IF(F124&lt;TODAY(),"❗ просрочено "&amp;(TODAY()-F124)&amp;" дн.",IF(F124=TODAY(),"🔥 сегодня",IF(F124-TODAY()&lt;=3,"⏳ через "&amp;(F124-TODAY())&amp;" дн.",""))))</f>
        <v/>
      </c>
      <c r="K124" s="54">
        <f>IF(B124="","",IF(G124="✅ Выполнена","✔ ",IF(G124="❌ Отменена","✖ ",IF(AND(F124&lt;&gt;"",F124&lt;TODAY()),"❗ ","☐ ")))&amp;B124&amp;IF(E124="🔥 Высокий"," 🔥",""))</f>
        <v/>
      </c>
      <c r="L124" s="54">
        <f>IF(OR(B124="",F124="",G124="❌ Отменена"),"",F124&amp;"#"&amp;COUNTIFS($F$5:F124,F124,$B$5:B124,"?*",$G$5:G124,"&lt;&gt;❌ Отменена"))</f>
        <v/>
      </c>
      <c r="M124" s="54">
        <f>IF(AND(B124&lt;&gt;"",F124&lt;&gt;"",F124&lt;TODAY(),AND(G124&lt;&gt;"✅ Выполнена",G124&lt;&gt;"❌ Отменена")),MAX($M$4:M123)+1,"")</f>
        <v/>
      </c>
    </row>
    <row r="125">
      <c r="A125" s="49">
        <f>IF(B125="","",COUNTA($B$5:B125))</f>
        <v/>
      </c>
      <c r="B125" s="50" t="n"/>
      <c r="C125" s="51" t="n"/>
      <c r="D125" s="51" t="n"/>
      <c r="E125" s="52" t="n"/>
      <c r="F125" s="53" t="n"/>
      <c r="G125" s="51" t="n"/>
      <c r="H125" s="53" t="n"/>
      <c r="I125" s="51" t="n"/>
      <c r="J125" s="54">
        <f>IF(OR(B125="",F125="",NOT(AND(G125&lt;&gt;"✅ Выполнена",G125&lt;&gt;"❌ Отменена"))),"",IF(F125&lt;TODAY(),"❗ просрочено "&amp;(TODAY()-F125)&amp;" дн.",IF(F125=TODAY(),"🔥 сегодня",IF(F125-TODAY()&lt;=3,"⏳ через "&amp;(F125-TODAY())&amp;" дн.",""))))</f>
        <v/>
      </c>
      <c r="K125" s="54">
        <f>IF(B125="","",IF(G125="✅ Выполнена","✔ ",IF(G125="❌ Отменена","✖ ",IF(AND(F125&lt;&gt;"",F125&lt;TODAY()),"❗ ","☐ ")))&amp;B125&amp;IF(E125="🔥 Высокий"," 🔥",""))</f>
        <v/>
      </c>
      <c r="L125" s="54">
        <f>IF(OR(B125="",F125="",G125="❌ Отменена"),"",F125&amp;"#"&amp;COUNTIFS($F$5:F125,F125,$B$5:B125,"?*",$G$5:G125,"&lt;&gt;❌ Отменена"))</f>
        <v/>
      </c>
      <c r="M125" s="54">
        <f>IF(AND(B125&lt;&gt;"",F125&lt;&gt;"",F125&lt;TODAY(),AND(G125&lt;&gt;"✅ Выполнена",G125&lt;&gt;"❌ Отменена")),MAX($M$4:M124)+1,"")</f>
        <v/>
      </c>
    </row>
    <row r="126">
      <c r="A126" s="49">
        <f>IF(B126="","",COUNTA($B$5:B126))</f>
        <v/>
      </c>
      <c r="B126" s="50" t="n"/>
      <c r="C126" s="51" t="n"/>
      <c r="D126" s="51" t="n"/>
      <c r="E126" s="52" t="n"/>
      <c r="F126" s="53" t="n"/>
      <c r="G126" s="51" t="n"/>
      <c r="H126" s="53" t="n"/>
      <c r="I126" s="51" t="n"/>
      <c r="J126" s="54">
        <f>IF(OR(B126="",F126="",NOT(AND(G126&lt;&gt;"✅ Выполнена",G126&lt;&gt;"❌ Отменена"))),"",IF(F126&lt;TODAY(),"❗ просрочено "&amp;(TODAY()-F126)&amp;" дн.",IF(F126=TODAY(),"🔥 сегодня",IF(F126-TODAY()&lt;=3,"⏳ через "&amp;(F126-TODAY())&amp;" дн.",""))))</f>
        <v/>
      </c>
      <c r="K126" s="54">
        <f>IF(B126="","",IF(G126="✅ Выполнена","✔ ",IF(G126="❌ Отменена","✖ ",IF(AND(F126&lt;&gt;"",F126&lt;TODAY()),"❗ ","☐ ")))&amp;B126&amp;IF(E126="🔥 Высокий"," 🔥",""))</f>
        <v/>
      </c>
      <c r="L126" s="54">
        <f>IF(OR(B126="",F126="",G126="❌ Отменена"),"",F126&amp;"#"&amp;COUNTIFS($F$5:F126,F126,$B$5:B126,"?*",$G$5:G126,"&lt;&gt;❌ Отменена"))</f>
        <v/>
      </c>
      <c r="M126" s="54">
        <f>IF(AND(B126&lt;&gt;"",F126&lt;&gt;"",F126&lt;TODAY(),AND(G126&lt;&gt;"✅ Выполнена",G126&lt;&gt;"❌ Отменена")),MAX($M$4:M125)+1,"")</f>
        <v/>
      </c>
    </row>
    <row r="127">
      <c r="A127" s="49">
        <f>IF(B127="","",COUNTA($B$5:B127))</f>
        <v/>
      </c>
      <c r="B127" s="50" t="n"/>
      <c r="C127" s="51" t="n"/>
      <c r="D127" s="51" t="n"/>
      <c r="E127" s="52" t="n"/>
      <c r="F127" s="53" t="n"/>
      <c r="G127" s="51" t="n"/>
      <c r="H127" s="53" t="n"/>
      <c r="I127" s="51" t="n"/>
      <c r="J127" s="54">
        <f>IF(OR(B127="",F127="",NOT(AND(G127&lt;&gt;"✅ Выполнена",G127&lt;&gt;"❌ Отменена"))),"",IF(F127&lt;TODAY(),"❗ просрочено "&amp;(TODAY()-F127)&amp;" дн.",IF(F127=TODAY(),"🔥 сегодня",IF(F127-TODAY()&lt;=3,"⏳ через "&amp;(F127-TODAY())&amp;" дн.",""))))</f>
        <v/>
      </c>
      <c r="K127" s="54">
        <f>IF(B127="","",IF(G127="✅ Выполнена","✔ ",IF(G127="❌ Отменена","✖ ",IF(AND(F127&lt;&gt;"",F127&lt;TODAY()),"❗ ","☐ ")))&amp;B127&amp;IF(E127="🔥 Высокий"," 🔥",""))</f>
        <v/>
      </c>
      <c r="L127" s="54">
        <f>IF(OR(B127="",F127="",G127="❌ Отменена"),"",F127&amp;"#"&amp;COUNTIFS($F$5:F127,F127,$B$5:B127,"?*",$G$5:G127,"&lt;&gt;❌ Отменена"))</f>
        <v/>
      </c>
      <c r="M127" s="54">
        <f>IF(AND(B127&lt;&gt;"",F127&lt;&gt;"",F127&lt;TODAY(),AND(G127&lt;&gt;"✅ Выполнена",G127&lt;&gt;"❌ Отменена")),MAX($M$4:M126)+1,"")</f>
        <v/>
      </c>
    </row>
    <row r="128">
      <c r="A128" s="49">
        <f>IF(B128="","",COUNTA($B$5:B128))</f>
        <v/>
      </c>
      <c r="B128" s="50" t="n"/>
      <c r="C128" s="51" t="n"/>
      <c r="D128" s="51" t="n"/>
      <c r="E128" s="52" t="n"/>
      <c r="F128" s="53" t="n"/>
      <c r="G128" s="51" t="n"/>
      <c r="H128" s="53" t="n"/>
      <c r="I128" s="51" t="n"/>
      <c r="J128" s="54">
        <f>IF(OR(B128="",F128="",NOT(AND(G128&lt;&gt;"✅ Выполнена",G128&lt;&gt;"❌ Отменена"))),"",IF(F128&lt;TODAY(),"❗ просрочено "&amp;(TODAY()-F128)&amp;" дн.",IF(F128=TODAY(),"🔥 сегодня",IF(F128-TODAY()&lt;=3,"⏳ через "&amp;(F128-TODAY())&amp;" дн.",""))))</f>
        <v/>
      </c>
      <c r="K128" s="54">
        <f>IF(B128="","",IF(G128="✅ Выполнена","✔ ",IF(G128="❌ Отменена","✖ ",IF(AND(F128&lt;&gt;"",F128&lt;TODAY()),"❗ ","☐ ")))&amp;B128&amp;IF(E128="🔥 Высокий"," 🔥",""))</f>
        <v/>
      </c>
      <c r="L128" s="54">
        <f>IF(OR(B128="",F128="",G128="❌ Отменена"),"",F128&amp;"#"&amp;COUNTIFS($F$5:F128,F128,$B$5:B128,"?*",$G$5:G128,"&lt;&gt;❌ Отменена"))</f>
        <v/>
      </c>
      <c r="M128" s="54">
        <f>IF(AND(B128&lt;&gt;"",F128&lt;&gt;"",F128&lt;TODAY(),AND(G128&lt;&gt;"✅ Выполнена",G128&lt;&gt;"❌ Отменена")),MAX($M$4:M127)+1,"")</f>
        <v/>
      </c>
    </row>
    <row r="129">
      <c r="A129" s="49">
        <f>IF(B129="","",COUNTA($B$5:B129))</f>
        <v/>
      </c>
      <c r="B129" s="50" t="n"/>
      <c r="C129" s="51" t="n"/>
      <c r="D129" s="51" t="n"/>
      <c r="E129" s="52" t="n"/>
      <c r="F129" s="53" t="n"/>
      <c r="G129" s="51" t="n"/>
      <c r="H129" s="53" t="n"/>
      <c r="I129" s="51" t="n"/>
      <c r="J129" s="54">
        <f>IF(OR(B129="",F129="",NOT(AND(G129&lt;&gt;"✅ Выполнена",G129&lt;&gt;"❌ Отменена"))),"",IF(F129&lt;TODAY(),"❗ просрочено "&amp;(TODAY()-F129)&amp;" дн.",IF(F129=TODAY(),"🔥 сегодня",IF(F129-TODAY()&lt;=3,"⏳ через "&amp;(F129-TODAY())&amp;" дн.",""))))</f>
        <v/>
      </c>
      <c r="K129" s="54">
        <f>IF(B129="","",IF(G129="✅ Выполнена","✔ ",IF(G129="❌ Отменена","✖ ",IF(AND(F129&lt;&gt;"",F129&lt;TODAY()),"❗ ","☐ ")))&amp;B129&amp;IF(E129="🔥 Высокий"," 🔥",""))</f>
        <v/>
      </c>
      <c r="L129" s="54">
        <f>IF(OR(B129="",F129="",G129="❌ Отменена"),"",F129&amp;"#"&amp;COUNTIFS($F$5:F129,F129,$B$5:B129,"?*",$G$5:G129,"&lt;&gt;❌ Отменена"))</f>
        <v/>
      </c>
      <c r="M129" s="54">
        <f>IF(AND(B129&lt;&gt;"",F129&lt;&gt;"",F129&lt;TODAY(),AND(G129&lt;&gt;"✅ Выполнена",G129&lt;&gt;"❌ Отменена")),MAX($M$4:M128)+1,"")</f>
        <v/>
      </c>
    </row>
    <row r="130">
      <c r="A130" s="49">
        <f>IF(B130="","",COUNTA($B$5:B130))</f>
        <v/>
      </c>
      <c r="B130" s="50" t="n"/>
      <c r="C130" s="51" t="n"/>
      <c r="D130" s="51" t="n"/>
      <c r="E130" s="52" t="n"/>
      <c r="F130" s="53" t="n"/>
      <c r="G130" s="51" t="n"/>
      <c r="H130" s="53" t="n"/>
      <c r="I130" s="51" t="n"/>
      <c r="J130" s="54">
        <f>IF(OR(B130="",F130="",NOT(AND(G130&lt;&gt;"✅ Выполнена",G130&lt;&gt;"❌ Отменена"))),"",IF(F130&lt;TODAY(),"❗ просрочено "&amp;(TODAY()-F130)&amp;" дн.",IF(F130=TODAY(),"🔥 сегодня",IF(F130-TODAY()&lt;=3,"⏳ через "&amp;(F130-TODAY())&amp;" дн.",""))))</f>
        <v/>
      </c>
      <c r="K130" s="54">
        <f>IF(B130="","",IF(G130="✅ Выполнена","✔ ",IF(G130="❌ Отменена","✖ ",IF(AND(F130&lt;&gt;"",F130&lt;TODAY()),"❗ ","☐ ")))&amp;B130&amp;IF(E130="🔥 Высокий"," 🔥",""))</f>
        <v/>
      </c>
      <c r="L130" s="54">
        <f>IF(OR(B130="",F130="",G130="❌ Отменена"),"",F130&amp;"#"&amp;COUNTIFS($F$5:F130,F130,$B$5:B130,"?*",$G$5:G130,"&lt;&gt;❌ Отменена"))</f>
        <v/>
      </c>
      <c r="M130" s="54">
        <f>IF(AND(B130&lt;&gt;"",F130&lt;&gt;"",F130&lt;TODAY(),AND(G130&lt;&gt;"✅ Выполнена",G130&lt;&gt;"❌ Отменена")),MAX($M$4:M129)+1,"")</f>
        <v/>
      </c>
    </row>
    <row r="131">
      <c r="A131" s="49">
        <f>IF(B131="","",COUNTA($B$5:B131))</f>
        <v/>
      </c>
      <c r="B131" s="50" t="n"/>
      <c r="C131" s="51" t="n"/>
      <c r="D131" s="51" t="n"/>
      <c r="E131" s="52" t="n"/>
      <c r="F131" s="53" t="n"/>
      <c r="G131" s="51" t="n"/>
      <c r="H131" s="53" t="n"/>
      <c r="I131" s="51" t="n"/>
      <c r="J131" s="54">
        <f>IF(OR(B131="",F131="",NOT(AND(G131&lt;&gt;"✅ Выполнена",G131&lt;&gt;"❌ Отменена"))),"",IF(F131&lt;TODAY(),"❗ просрочено "&amp;(TODAY()-F131)&amp;" дн.",IF(F131=TODAY(),"🔥 сегодня",IF(F131-TODAY()&lt;=3,"⏳ через "&amp;(F131-TODAY())&amp;" дн.",""))))</f>
        <v/>
      </c>
      <c r="K131" s="54">
        <f>IF(B131="","",IF(G131="✅ Выполнена","✔ ",IF(G131="❌ Отменена","✖ ",IF(AND(F131&lt;&gt;"",F131&lt;TODAY()),"❗ ","☐ ")))&amp;B131&amp;IF(E131="🔥 Высокий"," 🔥",""))</f>
        <v/>
      </c>
      <c r="L131" s="54">
        <f>IF(OR(B131="",F131="",G131="❌ Отменена"),"",F131&amp;"#"&amp;COUNTIFS($F$5:F131,F131,$B$5:B131,"?*",$G$5:G131,"&lt;&gt;❌ Отменена"))</f>
        <v/>
      </c>
      <c r="M131" s="54">
        <f>IF(AND(B131&lt;&gt;"",F131&lt;&gt;"",F131&lt;TODAY(),AND(G131&lt;&gt;"✅ Выполнена",G131&lt;&gt;"❌ Отменена")),MAX($M$4:M130)+1,"")</f>
        <v/>
      </c>
    </row>
    <row r="132">
      <c r="A132" s="49">
        <f>IF(B132="","",COUNTA($B$5:B132))</f>
        <v/>
      </c>
      <c r="B132" s="50" t="n"/>
      <c r="C132" s="51" t="n"/>
      <c r="D132" s="51" t="n"/>
      <c r="E132" s="52" t="n"/>
      <c r="F132" s="53" t="n"/>
      <c r="G132" s="51" t="n"/>
      <c r="H132" s="53" t="n"/>
      <c r="I132" s="51" t="n"/>
      <c r="J132" s="54">
        <f>IF(OR(B132="",F132="",NOT(AND(G132&lt;&gt;"✅ Выполнена",G132&lt;&gt;"❌ Отменена"))),"",IF(F132&lt;TODAY(),"❗ просрочено "&amp;(TODAY()-F132)&amp;" дн.",IF(F132=TODAY(),"🔥 сегодня",IF(F132-TODAY()&lt;=3,"⏳ через "&amp;(F132-TODAY())&amp;" дн.",""))))</f>
        <v/>
      </c>
      <c r="K132" s="54">
        <f>IF(B132="","",IF(G132="✅ Выполнена","✔ ",IF(G132="❌ Отменена","✖ ",IF(AND(F132&lt;&gt;"",F132&lt;TODAY()),"❗ ","☐ ")))&amp;B132&amp;IF(E132="🔥 Высокий"," 🔥",""))</f>
        <v/>
      </c>
      <c r="L132" s="54">
        <f>IF(OR(B132="",F132="",G132="❌ Отменена"),"",F132&amp;"#"&amp;COUNTIFS($F$5:F132,F132,$B$5:B132,"?*",$G$5:G132,"&lt;&gt;❌ Отменена"))</f>
        <v/>
      </c>
      <c r="M132" s="54">
        <f>IF(AND(B132&lt;&gt;"",F132&lt;&gt;"",F132&lt;TODAY(),AND(G132&lt;&gt;"✅ Выполнена",G132&lt;&gt;"❌ Отменена")),MAX($M$4:M131)+1,"")</f>
        <v/>
      </c>
    </row>
    <row r="133">
      <c r="A133" s="49">
        <f>IF(B133="","",COUNTA($B$5:B133))</f>
        <v/>
      </c>
      <c r="B133" s="50" t="n"/>
      <c r="C133" s="51" t="n"/>
      <c r="D133" s="51" t="n"/>
      <c r="E133" s="52" t="n"/>
      <c r="F133" s="53" t="n"/>
      <c r="G133" s="51" t="n"/>
      <c r="H133" s="53" t="n"/>
      <c r="I133" s="51" t="n"/>
      <c r="J133" s="54">
        <f>IF(OR(B133="",F133="",NOT(AND(G133&lt;&gt;"✅ Выполнена",G133&lt;&gt;"❌ Отменена"))),"",IF(F133&lt;TODAY(),"❗ просрочено "&amp;(TODAY()-F133)&amp;" дн.",IF(F133=TODAY(),"🔥 сегодня",IF(F133-TODAY()&lt;=3,"⏳ через "&amp;(F133-TODAY())&amp;" дн.",""))))</f>
        <v/>
      </c>
      <c r="K133" s="54">
        <f>IF(B133="","",IF(G133="✅ Выполнена","✔ ",IF(G133="❌ Отменена","✖ ",IF(AND(F133&lt;&gt;"",F133&lt;TODAY()),"❗ ","☐ ")))&amp;B133&amp;IF(E133="🔥 Высокий"," 🔥",""))</f>
        <v/>
      </c>
      <c r="L133" s="54">
        <f>IF(OR(B133="",F133="",G133="❌ Отменена"),"",F133&amp;"#"&amp;COUNTIFS($F$5:F133,F133,$B$5:B133,"?*",$G$5:G133,"&lt;&gt;❌ Отменена"))</f>
        <v/>
      </c>
      <c r="M133" s="54">
        <f>IF(AND(B133&lt;&gt;"",F133&lt;&gt;"",F133&lt;TODAY(),AND(G133&lt;&gt;"✅ Выполнена",G133&lt;&gt;"❌ Отменена")),MAX($M$4:M132)+1,"")</f>
        <v/>
      </c>
    </row>
    <row r="134">
      <c r="A134" s="49">
        <f>IF(B134="","",COUNTA($B$5:B134))</f>
        <v/>
      </c>
      <c r="B134" s="50" t="n"/>
      <c r="C134" s="51" t="n"/>
      <c r="D134" s="51" t="n"/>
      <c r="E134" s="52" t="n"/>
      <c r="F134" s="53" t="n"/>
      <c r="G134" s="51" t="n"/>
      <c r="H134" s="53" t="n"/>
      <c r="I134" s="51" t="n"/>
      <c r="J134" s="54">
        <f>IF(OR(B134="",F134="",NOT(AND(G134&lt;&gt;"✅ Выполнена",G134&lt;&gt;"❌ Отменена"))),"",IF(F134&lt;TODAY(),"❗ просрочено "&amp;(TODAY()-F134)&amp;" дн.",IF(F134=TODAY(),"🔥 сегодня",IF(F134-TODAY()&lt;=3,"⏳ через "&amp;(F134-TODAY())&amp;" дн.",""))))</f>
        <v/>
      </c>
      <c r="K134" s="54">
        <f>IF(B134="","",IF(G134="✅ Выполнена","✔ ",IF(G134="❌ Отменена","✖ ",IF(AND(F134&lt;&gt;"",F134&lt;TODAY()),"❗ ","☐ ")))&amp;B134&amp;IF(E134="🔥 Высокий"," 🔥",""))</f>
        <v/>
      </c>
      <c r="L134" s="54">
        <f>IF(OR(B134="",F134="",G134="❌ Отменена"),"",F134&amp;"#"&amp;COUNTIFS($F$5:F134,F134,$B$5:B134,"?*",$G$5:G134,"&lt;&gt;❌ Отменена"))</f>
        <v/>
      </c>
      <c r="M134" s="54">
        <f>IF(AND(B134&lt;&gt;"",F134&lt;&gt;"",F134&lt;TODAY(),AND(G134&lt;&gt;"✅ Выполнена",G134&lt;&gt;"❌ Отменена")),MAX($M$4:M133)+1,"")</f>
        <v/>
      </c>
    </row>
    <row r="135">
      <c r="A135" s="49">
        <f>IF(B135="","",COUNTA($B$5:B135))</f>
        <v/>
      </c>
      <c r="B135" s="50" t="n"/>
      <c r="C135" s="51" t="n"/>
      <c r="D135" s="51" t="n"/>
      <c r="E135" s="52" t="n"/>
      <c r="F135" s="53" t="n"/>
      <c r="G135" s="51" t="n"/>
      <c r="H135" s="53" t="n"/>
      <c r="I135" s="51" t="n"/>
      <c r="J135" s="54">
        <f>IF(OR(B135="",F135="",NOT(AND(G135&lt;&gt;"✅ Выполнена",G135&lt;&gt;"❌ Отменена"))),"",IF(F135&lt;TODAY(),"❗ просрочено "&amp;(TODAY()-F135)&amp;" дн.",IF(F135=TODAY(),"🔥 сегодня",IF(F135-TODAY()&lt;=3,"⏳ через "&amp;(F135-TODAY())&amp;" дн.",""))))</f>
        <v/>
      </c>
      <c r="K135" s="54">
        <f>IF(B135="","",IF(G135="✅ Выполнена","✔ ",IF(G135="❌ Отменена","✖ ",IF(AND(F135&lt;&gt;"",F135&lt;TODAY()),"❗ ","☐ ")))&amp;B135&amp;IF(E135="🔥 Высокий"," 🔥",""))</f>
        <v/>
      </c>
      <c r="L135" s="54">
        <f>IF(OR(B135="",F135="",G135="❌ Отменена"),"",F135&amp;"#"&amp;COUNTIFS($F$5:F135,F135,$B$5:B135,"?*",$G$5:G135,"&lt;&gt;❌ Отменена"))</f>
        <v/>
      </c>
      <c r="M135" s="54">
        <f>IF(AND(B135&lt;&gt;"",F135&lt;&gt;"",F135&lt;TODAY(),AND(G135&lt;&gt;"✅ Выполнена",G135&lt;&gt;"❌ Отменена")),MAX($M$4:M134)+1,"")</f>
        <v/>
      </c>
    </row>
    <row r="136">
      <c r="A136" s="49">
        <f>IF(B136="","",COUNTA($B$5:B136))</f>
        <v/>
      </c>
      <c r="B136" s="50" t="n"/>
      <c r="C136" s="51" t="n"/>
      <c r="D136" s="51" t="n"/>
      <c r="E136" s="52" t="n"/>
      <c r="F136" s="53" t="n"/>
      <c r="G136" s="51" t="n"/>
      <c r="H136" s="53" t="n"/>
      <c r="I136" s="51" t="n"/>
      <c r="J136" s="54">
        <f>IF(OR(B136="",F136="",NOT(AND(G136&lt;&gt;"✅ Выполнена",G136&lt;&gt;"❌ Отменена"))),"",IF(F136&lt;TODAY(),"❗ просрочено "&amp;(TODAY()-F136)&amp;" дн.",IF(F136=TODAY(),"🔥 сегодня",IF(F136-TODAY()&lt;=3,"⏳ через "&amp;(F136-TODAY())&amp;" дн.",""))))</f>
        <v/>
      </c>
      <c r="K136" s="54">
        <f>IF(B136="","",IF(G136="✅ Выполнена","✔ ",IF(G136="❌ Отменена","✖ ",IF(AND(F136&lt;&gt;"",F136&lt;TODAY()),"❗ ","☐ ")))&amp;B136&amp;IF(E136="🔥 Высокий"," 🔥",""))</f>
        <v/>
      </c>
      <c r="L136" s="54">
        <f>IF(OR(B136="",F136="",G136="❌ Отменена"),"",F136&amp;"#"&amp;COUNTIFS($F$5:F136,F136,$B$5:B136,"?*",$G$5:G136,"&lt;&gt;❌ Отменена"))</f>
        <v/>
      </c>
      <c r="M136" s="54">
        <f>IF(AND(B136&lt;&gt;"",F136&lt;&gt;"",F136&lt;TODAY(),AND(G136&lt;&gt;"✅ Выполнена",G136&lt;&gt;"❌ Отменена")),MAX($M$4:M135)+1,"")</f>
        <v/>
      </c>
    </row>
    <row r="137">
      <c r="A137" s="49">
        <f>IF(B137="","",COUNTA($B$5:B137))</f>
        <v/>
      </c>
      <c r="B137" s="50" t="n"/>
      <c r="C137" s="51" t="n"/>
      <c r="D137" s="51" t="n"/>
      <c r="E137" s="52" t="n"/>
      <c r="F137" s="53" t="n"/>
      <c r="G137" s="51" t="n"/>
      <c r="H137" s="53" t="n"/>
      <c r="I137" s="51" t="n"/>
      <c r="J137" s="54">
        <f>IF(OR(B137="",F137="",NOT(AND(G137&lt;&gt;"✅ Выполнена",G137&lt;&gt;"❌ Отменена"))),"",IF(F137&lt;TODAY(),"❗ просрочено "&amp;(TODAY()-F137)&amp;" дн.",IF(F137=TODAY(),"🔥 сегодня",IF(F137-TODAY()&lt;=3,"⏳ через "&amp;(F137-TODAY())&amp;" дн.",""))))</f>
        <v/>
      </c>
      <c r="K137" s="54">
        <f>IF(B137="","",IF(G137="✅ Выполнена","✔ ",IF(G137="❌ Отменена","✖ ",IF(AND(F137&lt;&gt;"",F137&lt;TODAY()),"❗ ","☐ ")))&amp;B137&amp;IF(E137="🔥 Высокий"," 🔥",""))</f>
        <v/>
      </c>
      <c r="L137" s="54">
        <f>IF(OR(B137="",F137="",G137="❌ Отменена"),"",F137&amp;"#"&amp;COUNTIFS($F$5:F137,F137,$B$5:B137,"?*",$G$5:G137,"&lt;&gt;❌ Отменена"))</f>
        <v/>
      </c>
      <c r="M137" s="54">
        <f>IF(AND(B137&lt;&gt;"",F137&lt;&gt;"",F137&lt;TODAY(),AND(G137&lt;&gt;"✅ Выполнена",G137&lt;&gt;"❌ Отменена")),MAX($M$4:M136)+1,"")</f>
        <v/>
      </c>
    </row>
    <row r="138">
      <c r="A138" s="49">
        <f>IF(B138="","",COUNTA($B$5:B138))</f>
        <v/>
      </c>
      <c r="B138" s="50" t="n"/>
      <c r="C138" s="51" t="n"/>
      <c r="D138" s="51" t="n"/>
      <c r="E138" s="52" t="n"/>
      <c r="F138" s="53" t="n"/>
      <c r="G138" s="51" t="n"/>
      <c r="H138" s="53" t="n"/>
      <c r="I138" s="51" t="n"/>
      <c r="J138" s="54">
        <f>IF(OR(B138="",F138="",NOT(AND(G138&lt;&gt;"✅ Выполнена",G138&lt;&gt;"❌ Отменена"))),"",IF(F138&lt;TODAY(),"❗ просрочено "&amp;(TODAY()-F138)&amp;" дн.",IF(F138=TODAY(),"🔥 сегодня",IF(F138-TODAY()&lt;=3,"⏳ через "&amp;(F138-TODAY())&amp;" дн.",""))))</f>
        <v/>
      </c>
      <c r="K138" s="54">
        <f>IF(B138="","",IF(G138="✅ Выполнена","✔ ",IF(G138="❌ Отменена","✖ ",IF(AND(F138&lt;&gt;"",F138&lt;TODAY()),"❗ ","☐ ")))&amp;B138&amp;IF(E138="🔥 Высокий"," 🔥",""))</f>
        <v/>
      </c>
      <c r="L138" s="54">
        <f>IF(OR(B138="",F138="",G138="❌ Отменена"),"",F138&amp;"#"&amp;COUNTIFS($F$5:F138,F138,$B$5:B138,"?*",$G$5:G138,"&lt;&gt;❌ Отменена"))</f>
        <v/>
      </c>
      <c r="M138" s="54">
        <f>IF(AND(B138&lt;&gt;"",F138&lt;&gt;"",F138&lt;TODAY(),AND(G138&lt;&gt;"✅ Выполнена",G138&lt;&gt;"❌ Отменена")),MAX($M$4:M137)+1,"")</f>
        <v/>
      </c>
    </row>
    <row r="139">
      <c r="A139" s="49">
        <f>IF(B139="","",COUNTA($B$5:B139))</f>
        <v/>
      </c>
      <c r="B139" s="50" t="n"/>
      <c r="C139" s="51" t="n"/>
      <c r="D139" s="51" t="n"/>
      <c r="E139" s="52" t="n"/>
      <c r="F139" s="53" t="n"/>
      <c r="G139" s="51" t="n"/>
      <c r="H139" s="53" t="n"/>
      <c r="I139" s="51" t="n"/>
      <c r="J139" s="54">
        <f>IF(OR(B139="",F139="",NOT(AND(G139&lt;&gt;"✅ Выполнена",G139&lt;&gt;"❌ Отменена"))),"",IF(F139&lt;TODAY(),"❗ просрочено "&amp;(TODAY()-F139)&amp;" дн.",IF(F139=TODAY(),"🔥 сегодня",IF(F139-TODAY()&lt;=3,"⏳ через "&amp;(F139-TODAY())&amp;" дн.",""))))</f>
        <v/>
      </c>
      <c r="K139" s="54">
        <f>IF(B139="","",IF(G139="✅ Выполнена","✔ ",IF(G139="❌ Отменена","✖ ",IF(AND(F139&lt;&gt;"",F139&lt;TODAY()),"❗ ","☐ ")))&amp;B139&amp;IF(E139="🔥 Высокий"," 🔥",""))</f>
        <v/>
      </c>
      <c r="L139" s="54">
        <f>IF(OR(B139="",F139="",G139="❌ Отменена"),"",F139&amp;"#"&amp;COUNTIFS($F$5:F139,F139,$B$5:B139,"?*",$G$5:G139,"&lt;&gt;❌ Отменена"))</f>
        <v/>
      </c>
      <c r="M139" s="54">
        <f>IF(AND(B139&lt;&gt;"",F139&lt;&gt;"",F139&lt;TODAY(),AND(G139&lt;&gt;"✅ Выполнена",G139&lt;&gt;"❌ Отменена")),MAX($M$4:M138)+1,"")</f>
        <v/>
      </c>
    </row>
    <row r="140">
      <c r="A140" s="49">
        <f>IF(B140="","",COUNTA($B$5:B140))</f>
        <v/>
      </c>
      <c r="B140" s="50" t="n"/>
      <c r="C140" s="51" t="n"/>
      <c r="D140" s="51" t="n"/>
      <c r="E140" s="52" t="n"/>
      <c r="F140" s="53" t="n"/>
      <c r="G140" s="51" t="n"/>
      <c r="H140" s="53" t="n"/>
      <c r="I140" s="51" t="n"/>
      <c r="J140" s="54">
        <f>IF(OR(B140="",F140="",NOT(AND(G140&lt;&gt;"✅ Выполнена",G140&lt;&gt;"❌ Отменена"))),"",IF(F140&lt;TODAY(),"❗ просрочено "&amp;(TODAY()-F140)&amp;" дн.",IF(F140=TODAY(),"🔥 сегодня",IF(F140-TODAY()&lt;=3,"⏳ через "&amp;(F140-TODAY())&amp;" дн.",""))))</f>
        <v/>
      </c>
      <c r="K140" s="54">
        <f>IF(B140="","",IF(G140="✅ Выполнена","✔ ",IF(G140="❌ Отменена","✖ ",IF(AND(F140&lt;&gt;"",F140&lt;TODAY()),"❗ ","☐ ")))&amp;B140&amp;IF(E140="🔥 Высокий"," 🔥",""))</f>
        <v/>
      </c>
      <c r="L140" s="54">
        <f>IF(OR(B140="",F140="",G140="❌ Отменена"),"",F140&amp;"#"&amp;COUNTIFS($F$5:F140,F140,$B$5:B140,"?*",$G$5:G140,"&lt;&gt;❌ Отменена"))</f>
        <v/>
      </c>
      <c r="M140" s="54">
        <f>IF(AND(B140&lt;&gt;"",F140&lt;&gt;"",F140&lt;TODAY(),AND(G140&lt;&gt;"✅ Выполнена",G140&lt;&gt;"❌ Отменена")),MAX($M$4:M139)+1,"")</f>
        <v/>
      </c>
    </row>
    <row r="141">
      <c r="A141" s="49">
        <f>IF(B141="","",COUNTA($B$5:B141))</f>
        <v/>
      </c>
      <c r="B141" s="50" t="n"/>
      <c r="C141" s="51" t="n"/>
      <c r="D141" s="51" t="n"/>
      <c r="E141" s="52" t="n"/>
      <c r="F141" s="53" t="n"/>
      <c r="G141" s="51" t="n"/>
      <c r="H141" s="53" t="n"/>
      <c r="I141" s="51" t="n"/>
      <c r="J141" s="54">
        <f>IF(OR(B141="",F141="",NOT(AND(G141&lt;&gt;"✅ Выполнена",G141&lt;&gt;"❌ Отменена"))),"",IF(F141&lt;TODAY(),"❗ просрочено "&amp;(TODAY()-F141)&amp;" дн.",IF(F141=TODAY(),"🔥 сегодня",IF(F141-TODAY()&lt;=3,"⏳ через "&amp;(F141-TODAY())&amp;" дн.",""))))</f>
        <v/>
      </c>
      <c r="K141" s="54">
        <f>IF(B141="","",IF(G141="✅ Выполнена","✔ ",IF(G141="❌ Отменена","✖ ",IF(AND(F141&lt;&gt;"",F141&lt;TODAY()),"❗ ","☐ ")))&amp;B141&amp;IF(E141="🔥 Высокий"," 🔥",""))</f>
        <v/>
      </c>
      <c r="L141" s="54">
        <f>IF(OR(B141="",F141="",G141="❌ Отменена"),"",F141&amp;"#"&amp;COUNTIFS($F$5:F141,F141,$B$5:B141,"?*",$G$5:G141,"&lt;&gt;❌ Отменена"))</f>
        <v/>
      </c>
      <c r="M141" s="54">
        <f>IF(AND(B141&lt;&gt;"",F141&lt;&gt;"",F141&lt;TODAY(),AND(G141&lt;&gt;"✅ Выполнена",G141&lt;&gt;"❌ Отменена")),MAX($M$4:M140)+1,"")</f>
        <v/>
      </c>
    </row>
    <row r="142">
      <c r="A142" s="49">
        <f>IF(B142="","",COUNTA($B$5:B142))</f>
        <v/>
      </c>
      <c r="B142" s="50" t="n"/>
      <c r="C142" s="51" t="n"/>
      <c r="D142" s="51" t="n"/>
      <c r="E142" s="52" t="n"/>
      <c r="F142" s="53" t="n"/>
      <c r="G142" s="51" t="n"/>
      <c r="H142" s="53" t="n"/>
      <c r="I142" s="51" t="n"/>
      <c r="J142" s="54">
        <f>IF(OR(B142="",F142="",NOT(AND(G142&lt;&gt;"✅ Выполнена",G142&lt;&gt;"❌ Отменена"))),"",IF(F142&lt;TODAY(),"❗ просрочено "&amp;(TODAY()-F142)&amp;" дн.",IF(F142=TODAY(),"🔥 сегодня",IF(F142-TODAY()&lt;=3,"⏳ через "&amp;(F142-TODAY())&amp;" дн.",""))))</f>
        <v/>
      </c>
      <c r="K142" s="54">
        <f>IF(B142="","",IF(G142="✅ Выполнена","✔ ",IF(G142="❌ Отменена","✖ ",IF(AND(F142&lt;&gt;"",F142&lt;TODAY()),"❗ ","☐ ")))&amp;B142&amp;IF(E142="🔥 Высокий"," 🔥",""))</f>
        <v/>
      </c>
      <c r="L142" s="54">
        <f>IF(OR(B142="",F142="",G142="❌ Отменена"),"",F142&amp;"#"&amp;COUNTIFS($F$5:F142,F142,$B$5:B142,"?*",$G$5:G142,"&lt;&gt;❌ Отменена"))</f>
        <v/>
      </c>
      <c r="M142" s="54">
        <f>IF(AND(B142&lt;&gt;"",F142&lt;&gt;"",F142&lt;TODAY(),AND(G142&lt;&gt;"✅ Выполнена",G142&lt;&gt;"❌ Отменена")),MAX($M$4:M141)+1,"")</f>
        <v/>
      </c>
    </row>
    <row r="143">
      <c r="A143" s="49">
        <f>IF(B143="","",COUNTA($B$5:B143))</f>
        <v/>
      </c>
      <c r="B143" s="50" t="n"/>
      <c r="C143" s="51" t="n"/>
      <c r="D143" s="51" t="n"/>
      <c r="E143" s="52" t="n"/>
      <c r="F143" s="53" t="n"/>
      <c r="G143" s="51" t="n"/>
      <c r="H143" s="53" t="n"/>
      <c r="I143" s="51" t="n"/>
      <c r="J143" s="54">
        <f>IF(OR(B143="",F143="",NOT(AND(G143&lt;&gt;"✅ Выполнена",G143&lt;&gt;"❌ Отменена"))),"",IF(F143&lt;TODAY(),"❗ просрочено "&amp;(TODAY()-F143)&amp;" дн.",IF(F143=TODAY(),"🔥 сегодня",IF(F143-TODAY()&lt;=3,"⏳ через "&amp;(F143-TODAY())&amp;" дн.",""))))</f>
        <v/>
      </c>
      <c r="K143" s="54">
        <f>IF(B143="","",IF(G143="✅ Выполнена","✔ ",IF(G143="❌ Отменена","✖ ",IF(AND(F143&lt;&gt;"",F143&lt;TODAY()),"❗ ","☐ ")))&amp;B143&amp;IF(E143="🔥 Высокий"," 🔥",""))</f>
        <v/>
      </c>
      <c r="L143" s="54">
        <f>IF(OR(B143="",F143="",G143="❌ Отменена"),"",F143&amp;"#"&amp;COUNTIFS($F$5:F143,F143,$B$5:B143,"?*",$G$5:G143,"&lt;&gt;❌ Отменена"))</f>
        <v/>
      </c>
      <c r="M143" s="54">
        <f>IF(AND(B143&lt;&gt;"",F143&lt;&gt;"",F143&lt;TODAY(),AND(G143&lt;&gt;"✅ Выполнена",G143&lt;&gt;"❌ Отменена")),MAX($M$4:M142)+1,"")</f>
        <v/>
      </c>
    </row>
    <row r="144">
      <c r="A144" s="49">
        <f>IF(B144="","",COUNTA($B$5:B144))</f>
        <v/>
      </c>
      <c r="B144" s="50" t="n"/>
      <c r="C144" s="51" t="n"/>
      <c r="D144" s="51" t="n"/>
      <c r="E144" s="52" t="n"/>
      <c r="F144" s="53" t="n"/>
      <c r="G144" s="51" t="n"/>
      <c r="H144" s="53" t="n"/>
      <c r="I144" s="51" t="n"/>
      <c r="J144" s="54">
        <f>IF(OR(B144="",F144="",NOT(AND(G144&lt;&gt;"✅ Выполнена",G144&lt;&gt;"❌ Отменена"))),"",IF(F144&lt;TODAY(),"❗ просрочено "&amp;(TODAY()-F144)&amp;" дн.",IF(F144=TODAY(),"🔥 сегодня",IF(F144-TODAY()&lt;=3,"⏳ через "&amp;(F144-TODAY())&amp;" дн.",""))))</f>
        <v/>
      </c>
      <c r="K144" s="54">
        <f>IF(B144="","",IF(G144="✅ Выполнена","✔ ",IF(G144="❌ Отменена","✖ ",IF(AND(F144&lt;&gt;"",F144&lt;TODAY()),"❗ ","☐ ")))&amp;B144&amp;IF(E144="🔥 Высокий"," 🔥",""))</f>
        <v/>
      </c>
      <c r="L144" s="54">
        <f>IF(OR(B144="",F144="",G144="❌ Отменена"),"",F144&amp;"#"&amp;COUNTIFS($F$5:F144,F144,$B$5:B144,"?*",$G$5:G144,"&lt;&gt;❌ Отменена"))</f>
        <v/>
      </c>
      <c r="M144" s="54">
        <f>IF(AND(B144&lt;&gt;"",F144&lt;&gt;"",F144&lt;TODAY(),AND(G144&lt;&gt;"✅ Выполнена",G144&lt;&gt;"❌ Отменена")),MAX($M$4:M143)+1,"")</f>
        <v/>
      </c>
    </row>
    <row r="145">
      <c r="A145" s="49">
        <f>IF(B145="","",COUNTA($B$5:B145))</f>
        <v/>
      </c>
      <c r="B145" s="50" t="n"/>
      <c r="C145" s="51" t="n"/>
      <c r="D145" s="51" t="n"/>
      <c r="E145" s="52" t="n"/>
      <c r="F145" s="53" t="n"/>
      <c r="G145" s="51" t="n"/>
      <c r="H145" s="53" t="n"/>
      <c r="I145" s="51" t="n"/>
      <c r="J145" s="54">
        <f>IF(OR(B145="",F145="",NOT(AND(G145&lt;&gt;"✅ Выполнена",G145&lt;&gt;"❌ Отменена"))),"",IF(F145&lt;TODAY(),"❗ просрочено "&amp;(TODAY()-F145)&amp;" дн.",IF(F145=TODAY(),"🔥 сегодня",IF(F145-TODAY()&lt;=3,"⏳ через "&amp;(F145-TODAY())&amp;" дн.",""))))</f>
        <v/>
      </c>
      <c r="K145" s="54">
        <f>IF(B145="","",IF(G145="✅ Выполнена","✔ ",IF(G145="❌ Отменена","✖ ",IF(AND(F145&lt;&gt;"",F145&lt;TODAY()),"❗ ","☐ ")))&amp;B145&amp;IF(E145="🔥 Высокий"," 🔥",""))</f>
        <v/>
      </c>
      <c r="L145" s="54">
        <f>IF(OR(B145="",F145="",G145="❌ Отменена"),"",F145&amp;"#"&amp;COUNTIFS($F$5:F145,F145,$B$5:B145,"?*",$G$5:G145,"&lt;&gt;❌ Отменена"))</f>
        <v/>
      </c>
      <c r="M145" s="54">
        <f>IF(AND(B145&lt;&gt;"",F145&lt;&gt;"",F145&lt;TODAY(),AND(G145&lt;&gt;"✅ Выполнена",G145&lt;&gt;"❌ Отменена")),MAX($M$4:M144)+1,"")</f>
        <v/>
      </c>
    </row>
    <row r="146">
      <c r="A146" s="49">
        <f>IF(B146="","",COUNTA($B$5:B146))</f>
        <v/>
      </c>
      <c r="B146" s="50" t="n"/>
      <c r="C146" s="51" t="n"/>
      <c r="D146" s="51" t="n"/>
      <c r="E146" s="52" t="n"/>
      <c r="F146" s="53" t="n"/>
      <c r="G146" s="51" t="n"/>
      <c r="H146" s="53" t="n"/>
      <c r="I146" s="51" t="n"/>
      <c r="J146" s="54">
        <f>IF(OR(B146="",F146="",NOT(AND(G146&lt;&gt;"✅ Выполнена",G146&lt;&gt;"❌ Отменена"))),"",IF(F146&lt;TODAY(),"❗ просрочено "&amp;(TODAY()-F146)&amp;" дн.",IF(F146=TODAY(),"🔥 сегодня",IF(F146-TODAY()&lt;=3,"⏳ через "&amp;(F146-TODAY())&amp;" дн.",""))))</f>
        <v/>
      </c>
      <c r="K146" s="54">
        <f>IF(B146="","",IF(G146="✅ Выполнена","✔ ",IF(G146="❌ Отменена","✖ ",IF(AND(F146&lt;&gt;"",F146&lt;TODAY()),"❗ ","☐ ")))&amp;B146&amp;IF(E146="🔥 Высокий"," 🔥",""))</f>
        <v/>
      </c>
      <c r="L146" s="54">
        <f>IF(OR(B146="",F146="",G146="❌ Отменена"),"",F146&amp;"#"&amp;COUNTIFS($F$5:F146,F146,$B$5:B146,"?*",$G$5:G146,"&lt;&gt;❌ Отменена"))</f>
        <v/>
      </c>
      <c r="M146" s="54">
        <f>IF(AND(B146&lt;&gt;"",F146&lt;&gt;"",F146&lt;TODAY(),AND(G146&lt;&gt;"✅ Выполнена",G146&lt;&gt;"❌ Отменена")),MAX($M$4:M145)+1,"")</f>
        <v/>
      </c>
    </row>
    <row r="147">
      <c r="A147" s="49">
        <f>IF(B147="","",COUNTA($B$5:B147))</f>
        <v/>
      </c>
      <c r="B147" s="50" t="n"/>
      <c r="C147" s="51" t="n"/>
      <c r="D147" s="51" t="n"/>
      <c r="E147" s="52" t="n"/>
      <c r="F147" s="53" t="n"/>
      <c r="G147" s="51" t="n"/>
      <c r="H147" s="53" t="n"/>
      <c r="I147" s="51" t="n"/>
      <c r="J147" s="54">
        <f>IF(OR(B147="",F147="",NOT(AND(G147&lt;&gt;"✅ Выполнена",G147&lt;&gt;"❌ Отменена"))),"",IF(F147&lt;TODAY(),"❗ просрочено "&amp;(TODAY()-F147)&amp;" дн.",IF(F147=TODAY(),"🔥 сегодня",IF(F147-TODAY()&lt;=3,"⏳ через "&amp;(F147-TODAY())&amp;" дн.",""))))</f>
        <v/>
      </c>
      <c r="K147" s="54">
        <f>IF(B147="","",IF(G147="✅ Выполнена","✔ ",IF(G147="❌ Отменена","✖ ",IF(AND(F147&lt;&gt;"",F147&lt;TODAY()),"❗ ","☐ ")))&amp;B147&amp;IF(E147="🔥 Высокий"," 🔥",""))</f>
        <v/>
      </c>
      <c r="L147" s="54">
        <f>IF(OR(B147="",F147="",G147="❌ Отменена"),"",F147&amp;"#"&amp;COUNTIFS($F$5:F147,F147,$B$5:B147,"?*",$G$5:G147,"&lt;&gt;❌ Отменена"))</f>
        <v/>
      </c>
      <c r="M147" s="54">
        <f>IF(AND(B147&lt;&gt;"",F147&lt;&gt;"",F147&lt;TODAY(),AND(G147&lt;&gt;"✅ Выполнена",G147&lt;&gt;"❌ Отменена")),MAX($M$4:M146)+1,"")</f>
        <v/>
      </c>
    </row>
    <row r="148">
      <c r="A148" s="49">
        <f>IF(B148="","",COUNTA($B$5:B148))</f>
        <v/>
      </c>
      <c r="B148" s="50" t="n"/>
      <c r="C148" s="51" t="n"/>
      <c r="D148" s="51" t="n"/>
      <c r="E148" s="52" t="n"/>
      <c r="F148" s="53" t="n"/>
      <c r="G148" s="51" t="n"/>
      <c r="H148" s="53" t="n"/>
      <c r="I148" s="51" t="n"/>
      <c r="J148" s="54">
        <f>IF(OR(B148="",F148="",NOT(AND(G148&lt;&gt;"✅ Выполнена",G148&lt;&gt;"❌ Отменена"))),"",IF(F148&lt;TODAY(),"❗ просрочено "&amp;(TODAY()-F148)&amp;" дн.",IF(F148=TODAY(),"🔥 сегодня",IF(F148-TODAY()&lt;=3,"⏳ через "&amp;(F148-TODAY())&amp;" дн.",""))))</f>
        <v/>
      </c>
      <c r="K148" s="54">
        <f>IF(B148="","",IF(G148="✅ Выполнена","✔ ",IF(G148="❌ Отменена","✖ ",IF(AND(F148&lt;&gt;"",F148&lt;TODAY()),"❗ ","☐ ")))&amp;B148&amp;IF(E148="🔥 Высокий"," 🔥",""))</f>
        <v/>
      </c>
      <c r="L148" s="54">
        <f>IF(OR(B148="",F148="",G148="❌ Отменена"),"",F148&amp;"#"&amp;COUNTIFS($F$5:F148,F148,$B$5:B148,"?*",$G$5:G148,"&lt;&gt;❌ Отменена"))</f>
        <v/>
      </c>
      <c r="M148" s="54">
        <f>IF(AND(B148&lt;&gt;"",F148&lt;&gt;"",F148&lt;TODAY(),AND(G148&lt;&gt;"✅ Выполнена",G148&lt;&gt;"❌ Отменена")),MAX($M$4:M147)+1,"")</f>
        <v/>
      </c>
    </row>
    <row r="149">
      <c r="A149" s="49">
        <f>IF(B149="","",COUNTA($B$5:B149))</f>
        <v/>
      </c>
      <c r="B149" s="50" t="n"/>
      <c r="C149" s="51" t="n"/>
      <c r="D149" s="51" t="n"/>
      <c r="E149" s="52" t="n"/>
      <c r="F149" s="53" t="n"/>
      <c r="G149" s="51" t="n"/>
      <c r="H149" s="53" t="n"/>
      <c r="I149" s="51" t="n"/>
      <c r="J149" s="54">
        <f>IF(OR(B149="",F149="",NOT(AND(G149&lt;&gt;"✅ Выполнена",G149&lt;&gt;"❌ Отменена"))),"",IF(F149&lt;TODAY(),"❗ просрочено "&amp;(TODAY()-F149)&amp;" дн.",IF(F149=TODAY(),"🔥 сегодня",IF(F149-TODAY()&lt;=3,"⏳ через "&amp;(F149-TODAY())&amp;" дн.",""))))</f>
        <v/>
      </c>
      <c r="K149" s="54">
        <f>IF(B149="","",IF(G149="✅ Выполнена","✔ ",IF(G149="❌ Отменена","✖ ",IF(AND(F149&lt;&gt;"",F149&lt;TODAY()),"❗ ","☐ ")))&amp;B149&amp;IF(E149="🔥 Высокий"," 🔥",""))</f>
        <v/>
      </c>
      <c r="L149" s="54">
        <f>IF(OR(B149="",F149="",G149="❌ Отменена"),"",F149&amp;"#"&amp;COUNTIFS($F$5:F149,F149,$B$5:B149,"?*",$G$5:G149,"&lt;&gt;❌ Отменена"))</f>
        <v/>
      </c>
      <c r="M149" s="54">
        <f>IF(AND(B149&lt;&gt;"",F149&lt;&gt;"",F149&lt;TODAY(),AND(G149&lt;&gt;"✅ Выполнена",G149&lt;&gt;"❌ Отменена")),MAX($M$4:M148)+1,"")</f>
        <v/>
      </c>
    </row>
    <row r="150">
      <c r="A150" s="49">
        <f>IF(B150="","",COUNTA($B$5:B150))</f>
        <v/>
      </c>
      <c r="B150" s="50" t="n"/>
      <c r="C150" s="51" t="n"/>
      <c r="D150" s="51" t="n"/>
      <c r="E150" s="52" t="n"/>
      <c r="F150" s="53" t="n"/>
      <c r="G150" s="51" t="n"/>
      <c r="H150" s="53" t="n"/>
      <c r="I150" s="51" t="n"/>
      <c r="J150" s="54">
        <f>IF(OR(B150="",F150="",NOT(AND(G150&lt;&gt;"✅ Выполнена",G150&lt;&gt;"❌ Отменена"))),"",IF(F150&lt;TODAY(),"❗ просрочено "&amp;(TODAY()-F150)&amp;" дн.",IF(F150=TODAY(),"🔥 сегодня",IF(F150-TODAY()&lt;=3,"⏳ через "&amp;(F150-TODAY())&amp;" дн.",""))))</f>
        <v/>
      </c>
      <c r="K150" s="54">
        <f>IF(B150="","",IF(G150="✅ Выполнена","✔ ",IF(G150="❌ Отменена","✖ ",IF(AND(F150&lt;&gt;"",F150&lt;TODAY()),"❗ ","☐ ")))&amp;B150&amp;IF(E150="🔥 Высокий"," 🔥",""))</f>
        <v/>
      </c>
      <c r="L150" s="54">
        <f>IF(OR(B150="",F150="",G150="❌ Отменена"),"",F150&amp;"#"&amp;COUNTIFS($F$5:F150,F150,$B$5:B150,"?*",$G$5:G150,"&lt;&gt;❌ Отменена"))</f>
        <v/>
      </c>
      <c r="M150" s="54">
        <f>IF(AND(B150&lt;&gt;"",F150&lt;&gt;"",F150&lt;TODAY(),AND(G150&lt;&gt;"✅ Выполнена",G150&lt;&gt;"❌ Отменена")),MAX($M$4:M149)+1,"")</f>
        <v/>
      </c>
    </row>
    <row r="151">
      <c r="A151" s="49">
        <f>IF(B151="","",COUNTA($B$5:B151))</f>
        <v/>
      </c>
      <c r="B151" s="50" t="n"/>
      <c r="C151" s="51" t="n"/>
      <c r="D151" s="51" t="n"/>
      <c r="E151" s="52" t="n"/>
      <c r="F151" s="53" t="n"/>
      <c r="G151" s="51" t="n"/>
      <c r="H151" s="53" t="n"/>
      <c r="I151" s="51" t="n"/>
      <c r="J151" s="54">
        <f>IF(OR(B151="",F151="",NOT(AND(G151&lt;&gt;"✅ Выполнена",G151&lt;&gt;"❌ Отменена"))),"",IF(F151&lt;TODAY(),"❗ просрочено "&amp;(TODAY()-F151)&amp;" дн.",IF(F151=TODAY(),"🔥 сегодня",IF(F151-TODAY()&lt;=3,"⏳ через "&amp;(F151-TODAY())&amp;" дн.",""))))</f>
        <v/>
      </c>
      <c r="K151" s="54">
        <f>IF(B151="","",IF(G151="✅ Выполнена","✔ ",IF(G151="❌ Отменена","✖ ",IF(AND(F151&lt;&gt;"",F151&lt;TODAY()),"❗ ","☐ ")))&amp;B151&amp;IF(E151="🔥 Высокий"," 🔥",""))</f>
        <v/>
      </c>
      <c r="L151" s="54">
        <f>IF(OR(B151="",F151="",G151="❌ Отменена"),"",F151&amp;"#"&amp;COUNTIFS($F$5:F151,F151,$B$5:B151,"?*",$G$5:G151,"&lt;&gt;❌ Отменена"))</f>
        <v/>
      </c>
      <c r="M151" s="54">
        <f>IF(AND(B151&lt;&gt;"",F151&lt;&gt;"",F151&lt;TODAY(),AND(G151&lt;&gt;"✅ Выполнена",G151&lt;&gt;"❌ Отменена")),MAX($M$4:M150)+1,"")</f>
        <v/>
      </c>
    </row>
    <row r="152">
      <c r="A152" s="49">
        <f>IF(B152="","",COUNTA($B$5:B152))</f>
        <v/>
      </c>
      <c r="B152" s="50" t="n"/>
      <c r="C152" s="51" t="n"/>
      <c r="D152" s="51" t="n"/>
      <c r="E152" s="52" t="n"/>
      <c r="F152" s="53" t="n"/>
      <c r="G152" s="51" t="n"/>
      <c r="H152" s="53" t="n"/>
      <c r="I152" s="51" t="n"/>
      <c r="J152" s="54">
        <f>IF(OR(B152="",F152="",NOT(AND(G152&lt;&gt;"✅ Выполнена",G152&lt;&gt;"❌ Отменена"))),"",IF(F152&lt;TODAY(),"❗ просрочено "&amp;(TODAY()-F152)&amp;" дн.",IF(F152=TODAY(),"🔥 сегодня",IF(F152-TODAY()&lt;=3,"⏳ через "&amp;(F152-TODAY())&amp;" дн.",""))))</f>
        <v/>
      </c>
      <c r="K152" s="54">
        <f>IF(B152="","",IF(G152="✅ Выполнена","✔ ",IF(G152="❌ Отменена","✖ ",IF(AND(F152&lt;&gt;"",F152&lt;TODAY()),"❗ ","☐ ")))&amp;B152&amp;IF(E152="🔥 Высокий"," 🔥",""))</f>
        <v/>
      </c>
      <c r="L152" s="54">
        <f>IF(OR(B152="",F152="",G152="❌ Отменена"),"",F152&amp;"#"&amp;COUNTIFS($F$5:F152,F152,$B$5:B152,"?*",$G$5:G152,"&lt;&gt;❌ Отменена"))</f>
        <v/>
      </c>
      <c r="M152" s="54">
        <f>IF(AND(B152&lt;&gt;"",F152&lt;&gt;"",F152&lt;TODAY(),AND(G152&lt;&gt;"✅ Выполнена",G152&lt;&gt;"❌ Отменена")),MAX($M$4:M151)+1,"")</f>
        <v/>
      </c>
    </row>
    <row r="153">
      <c r="A153" s="49">
        <f>IF(B153="","",COUNTA($B$5:B153))</f>
        <v/>
      </c>
      <c r="B153" s="50" t="n"/>
      <c r="C153" s="51" t="n"/>
      <c r="D153" s="51" t="n"/>
      <c r="E153" s="52" t="n"/>
      <c r="F153" s="53" t="n"/>
      <c r="G153" s="51" t="n"/>
      <c r="H153" s="53" t="n"/>
      <c r="I153" s="51" t="n"/>
      <c r="J153" s="54">
        <f>IF(OR(B153="",F153="",NOT(AND(G153&lt;&gt;"✅ Выполнена",G153&lt;&gt;"❌ Отменена"))),"",IF(F153&lt;TODAY(),"❗ просрочено "&amp;(TODAY()-F153)&amp;" дн.",IF(F153=TODAY(),"🔥 сегодня",IF(F153-TODAY()&lt;=3,"⏳ через "&amp;(F153-TODAY())&amp;" дн.",""))))</f>
        <v/>
      </c>
      <c r="K153" s="54">
        <f>IF(B153="","",IF(G153="✅ Выполнена","✔ ",IF(G153="❌ Отменена","✖ ",IF(AND(F153&lt;&gt;"",F153&lt;TODAY()),"❗ ","☐ ")))&amp;B153&amp;IF(E153="🔥 Высокий"," 🔥",""))</f>
        <v/>
      </c>
      <c r="L153" s="54">
        <f>IF(OR(B153="",F153="",G153="❌ Отменена"),"",F153&amp;"#"&amp;COUNTIFS($F$5:F153,F153,$B$5:B153,"?*",$G$5:G153,"&lt;&gt;❌ Отменена"))</f>
        <v/>
      </c>
      <c r="M153" s="54">
        <f>IF(AND(B153&lt;&gt;"",F153&lt;&gt;"",F153&lt;TODAY(),AND(G153&lt;&gt;"✅ Выполнена",G153&lt;&gt;"❌ Отменена")),MAX($M$4:M152)+1,"")</f>
        <v/>
      </c>
    </row>
    <row r="154">
      <c r="A154" s="49">
        <f>IF(B154="","",COUNTA($B$5:B154))</f>
        <v/>
      </c>
      <c r="B154" s="50" t="n"/>
      <c r="C154" s="51" t="n"/>
      <c r="D154" s="51" t="n"/>
      <c r="E154" s="52" t="n"/>
      <c r="F154" s="53" t="n"/>
      <c r="G154" s="51" t="n"/>
      <c r="H154" s="53" t="n"/>
      <c r="I154" s="51" t="n"/>
      <c r="J154" s="54">
        <f>IF(OR(B154="",F154="",NOT(AND(G154&lt;&gt;"✅ Выполнена",G154&lt;&gt;"❌ Отменена"))),"",IF(F154&lt;TODAY(),"❗ просрочено "&amp;(TODAY()-F154)&amp;" дн.",IF(F154=TODAY(),"🔥 сегодня",IF(F154-TODAY()&lt;=3,"⏳ через "&amp;(F154-TODAY())&amp;" дн.",""))))</f>
        <v/>
      </c>
      <c r="K154" s="54">
        <f>IF(B154="","",IF(G154="✅ Выполнена","✔ ",IF(G154="❌ Отменена","✖ ",IF(AND(F154&lt;&gt;"",F154&lt;TODAY()),"❗ ","☐ ")))&amp;B154&amp;IF(E154="🔥 Высокий"," 🔥",""))</f>
        <v/>
      </c>
      <c r="L154" s="54">
        <f>IF(OR(B154="",F154="",G154="❌ Отменена"),"",F154&amp;"#"&amp;COUNTIFS($F$5:F154,F154,$B$5:B154,"?*",$G$5:G154,"&lt;&gt;❌ Отменена"))</f>
        <v/>
      </c>
      <c r="M154" s="54">
        <f>IF(AND(B154&lt;&gt;"",F154&lt;&gt;"",F154&lt;TODAY(),AND(G154&lt;&gt;"✅ Выполнена",G154&lt;&gt;"❌ Отменена")),MAX($M$4:M153)+1,"")</f>
        <v/>
      </c>
    </row>
    <row r="155">
      <c r="A155" s="49">
        <f>IF(B155="","",COUNTA($B$5:B155))</f>
        <v/>
      </c>
      <c r="B155" s="50" t="n"/>
      <c r="C155" s="51" t="n"/>
      <c r="D155" s="51" t="n"/>
      <c r="E155" s="52" t="n"/>
      <c r="F155" s="53" t="n"/>
      <c r="G155" s="51" t="n"/>
      <c r="H155" s="53" t="n"/>
      <c r="I155" s="51" t="n"/>
      <c r="J155" s="54">
        <f>IF(OR(B155="",F155="",NOT(AND(G155&lt;&gt;"✅ Выполнена",G155&lt;&gt;"❌ Отменена"))),"",IF(F155&lt;TODAY(),"❗ просрочено "&amp;(TODAY()-F155)&amp;" дн.",IF(F155=TODAY(),"🔥 сегодня",IF(F155-TODAY()&lt;=3,"⏳ через "&amp;(F155-TODAY())&amp;" дн.",""))))</f>
        <v/>
      </c>
      <c r="K155" s="54">
        <f>IF(B155="","",IF(G155="✅ Выполнена","✔ ",IF(G155="❌ Отменена","✖ ",IF(AND(F155&lt;&gt;"",F155&lt;TODAY()),"❗ ","☐ ")))&amp;B155&amp;IF(E155="🔥 Высокий"," 🔥",""))</f>
        <v/>
      </c>
      <c r="L155" s="54">
        <f>IF(OR(B155="",F155="",G155="❌ Отменена"),"",F155&amp;"#"&amp;COUNTIFS($F$5:F155,F155,$B$5:B155,"?*",$G$5:G155,"&lt;&gt;❌ Отменена"))</f>
        <v/>
      </c>
      <c r="M155" s="54">
        <f>IF(AND(B155&lt;&gt;"",F155&lt;&gt;"",F155&lt;TODAY(),AND(G155&lt;&gt;"✅ Выполнена",G155&lt;&gt;"❌ Отменена")),MAX($M$4:M154)+1,"")</f>
        <v/>
      </c>
    </row>
    <row r="156">
      <c r="A156" s="49">
        <f>IF(B156="","",COUNTA($B$5:B156))</f>
        <v/>
      </c>
      <c r="B156" s="50" t="n"/>
      <c r="C156" s="51" t="n"/>
      <c r="D156" s="51" t="n"/>
      <c r="E156" s="52" t="n"/>
      <c r="F156" s="53" t="n"/>
      <c r="G156" s="51" t="n"/>
      <c r="H156" s="53" t="n"/>
      <c r="I156" s="51" t="n"/>
      <c r="J156" s="54">
        <f>IF(OR(B156="",F156="",NOT(AND(G156&lt;&gt;"✅ Выполнена",G156&lt;&gt;"❌ Отменена"))),"",IF(F156&lt;TODAY(),"❗ просрочено "&amp;(TODAY()-F156)&amp;" дн.",IF(F156=TODAY(),"🔥 сегодня",IF(F156-TODAY()&lt;=3,"⏳ через "&amp;(F156-TODAY())&amp;" дн.",""))))</f>
        <v/>
      </c>
      <c r="K156" s="54">
        <f>IF(B156="","",IF(G156="✅ Выполнена","✔ ",IF(G156="❌ Отменена","✖ ",IF(AND(F156&lt;&gt;"",F156&lt;TODAY()),"❗ ","☐ ")))&amp;B156&amp;IF(E156="🔥 Высокий"," 🔥",""))</f>
        <v/>
      </c>
      <c r="L156" s="54">
        <f>IF(OR(B156="",F156="",G156="❌ Отменена"),"",F156&amp;"#"&amp;COUNTIFS($F$5:F156,F156,$B$5:B156,"?*",$G$5:G156,"&lt;&gt;❌ Отменена"))</f>
        <v/>
      </c>
      <c r="M156" s="54">
        <f>IF(AND(B156&lt;&gt;"",F156&lt;&gt;"",F156&lt;TODAY(),AND(G156&lt;&gt;"✅ Выполнена",G156&lt;&gt;"❌ Отменена")),MAX($M$4:M155)+1,"")</f>
        <v/>
      </c>
    </row>
    <row r="157">
      <c r="A157" s="49">
        <f>IF(B157="","",COUNTA($B$5:B157))</f>
        <v/>
      </c>
      <c r="B157" s="50" t="n"/>
      <c r="C157" s="51" t="n"/>
      <c r="D157" s="51" t="n"/>
      <c r="E157" s="52" t="n"/>
      <c r="F157" s="53" t="n"/>
      <c r="G157" s="51" t="n"/>
      <c r="H157" s="53" t="n"/>
      <c r="I157" s="51" t="n"/>
      <c r="J157" s="54">
        <f>IF(OR(B157="",F157="",NOT(AND(G157&lt;&gt;"✅ Выполнена",G157&lt;&gt;"❌ Отменена"))),"",IF(F157&lt;TODAY(),"❗ просрочено "&amp;(TODAY()-F157)&amp;" дн.",IF(F157=TODAY(),"🔥 сегодня",IF(F157-TODAY()&lt;=3,"⏳ через "&amp;(F157-TODAY())&amp;" дн.",""))))</f>
        <v/>
      </c>
      <c r="K157" s="54">
        <f>IF(B157="","",IF(G157="✅ Выполнена","✔ ",IF(G157="❌ Отменена","✖ ",IF(AND(F157&lt;&gt;"",F157&lt;TODAY()),"❗ ","☐ ")))&amp;B157&amp;IF(E157="🔥 Высокий"," 🔥",""))</f>
        <v/>
      </c>
      <c r="L157" s="54">
        <f>IF(OR(B157="",F157="",G157="❌ Отменена"),"",F157&amp;"#"&amp;COUNTIFS($F$5:F157,F157,$B$5:B157,"?*",$G$5:G157,"&lt;&gt;❌ Отменена"))</f>
        <v/>
      </c>
      <c r="M157" s="54">
        <f>IF(AND(B157&lt;&gt;"",F157&lt;&gt;"",F157&lt;TODAY(),AND(G157&lt;&gt;"✅ Выполнена",G157&lt;&gt;"❌ Отменена")),MAX($M$4:M156)+1,"")</f>
        <v/>
      </c>
    </row>
    <row r="158">
      <c r="A158" s="49">
        <f>IF(B158="","",COUNTA($B$5:B158))</f>
        <v/>
      </c>
      <c r="B158" s="50" t="n"/>
      <c r="C158" s="51" t="n"/>
      <c r="D158" s="51" t="n"/>
      <c r="E158" s="52" t="n"/>
      <c r="F158" s="53" t="n"/>
      <c r="G158" s="51" t="n"/>
      <c r="H158" s="53" t="n"/>
      <c r="I158" s="51" t="n"/>
      <c r="J158" s="54">
        <f>IF(OR(B158="",F158="",NOT(AND(G158&lt;&gt;"✅ Выполнена",G158&lt;&gt;"❌ Отменена"))),"",IF(F158&lt;TODAY(),"❗ просрочено "&amp;(TODAY()-F158)&amp;" дн.",IF(F158=TODAY(),"🔥 сегодня",IF(F158-TODAY()&lt;=3,"⏳ через "&amp;(F158-TODAY())&amp;" дн.",""))))</f>
        <v/>
      </c>
      <c r="K158" s="54">
        <f>IF(B158="","",IF(G158="✅ Выполнена","✔ ",IF(G158="❌ Отменена","✖ ",IF(AND(F158&lt;&gt;"",F158&lt;TODAY()),"❗ ","☐ ")))&amp;B158&amp;IF(E158="🔥 Высокий"," 🔥",""))</f>
        <v/>
      </c>
      <c r="L158" s="54">
        <f>IF(OR(B158="",F158="",G158="❌ Отменена"),"",F158&amp;"#"&amp;COUNTIFS($F$5:F158,F158,$B$5:B158,"?*",$G$5:G158,"&lt;&gt;❌ Отменена"))</f>
        <v/>
      </c>
      <c r="M158" s="54">
        <f>IF(AND(B158&lt;&gt;"",F158&lt;&gt;"",F158&lt;TODAY(),AND(G158&lt;&gt;"✅ Выполнена",G158&lt;&gt;"❌ Отменена")),MAX($M$4:M157)+1,"")</f>
        <v/>
      </c>
    </row>
    <row r="159">
      <c r="A159" s="49">
        <f>IF(B159="","",COUNTA($B$5:B159))</f>
        <v/>
      </c>
      <c r="B159" s="50" t="n"/>
      <c r="C159" s="51" t="n"/>
      <c r="D159" s="51" t="n"/>
      <c r="E159" s="52" t="n"/>
      <c r="F159" s="53" t="n"/>
      <c r="G159" s="51" t="n"/>
      <c r="H159" s="53" t="n"/>
      <c r="I159" s="51" t="n"/>
      <c r="J159" s="54">
        <f>IF(OR(B159="",F159="",NOT(AND(G159&lt;&gt;"✅ Выполнена",G159&lt;&gt;"❌ Отменена"))),"",IF(F159&lt;TODAY(),"❗ просрочено "&amp;(TODAY()-F159)&amp;" дн.",IF(F159=TODAY(),"🔥 сегодня",IF(F159-TODAY()&lt;=3,"⏳ через "&amp;(F159-TODAY())&amp;" дн.",""))))</f>
        <v/>
      </c>
      <c r="K159" s="54">
        <f>IF(B159="","",IF(G159="✅ Выполнена","✔ ",IF(G159="❌ Отменена","✖ ",IF(AND(F159&lt;&gt;"",F159&lt;TODAY()),"❗ ","☐ ")))&amp;B159&amp;IF(E159="🔥 Высокий"," 🔥",""))</f>
        <v/>
      </c>
      <c r="L159" s="54">
        <f>IF(OR(B159="",F159="",G159="❌ Отменена"),"",F159&amp;"#"&amp;COUNTIFS($F$5:F159,F159,$B$5:B159,"?*",$G$5:G159,"&lt;&gt;❌ Отменена"))</f>
        <v/>
      </c>
      <c r="M159" s="54">
        <f>IF(AND(B159&lt;&gt;"",F159&lt;&gt;"",F159&lt;TODAY(),AND(G159&lt;&gt;"✅ Выполнена",G159&lt;&gt;"❌ Отменена")),MAX($M$4:M158)+1,"")</f>
        <v/>
      </c>
    </row>
    <row r="160">
      <c r="A160" s="49">
        <f>IF(B160="","",COUNTA($B$5:B160))</f>
        <v/>
      </c>
      <c r="B160" s="50" t="n"/>
      <c r="C160" s="51" t="n"/>
      <c r="D160" s="51" t="n"/>
      <c r="E160" s="52" t="n"/>
      <c r="F160" s="53" t="n"/>
      <c r="G160" s="51" t="n"/>
      <c r="H160" s="53" t="n"/>
      <c r="I160" s="51" t="n"/>
      <c r="J160" s="54">
        <f>IF(OR(B160="",F160="",NOT(AND(G160&lt;&gt;"✅ Выполнена",G160&lt;&gt;"❌ Отменена"))),"",IF(F160&lt;TODAY(),"❗ просрочено "&amp;(TODAY()-F160)&amp;" дн.",IF(F160=TODAY(),"🔥 сегодня",IF(F160-TODAY()&lt;=3,"⏳ через "&amp;(F160-TODAY())&amp;" дн.",""))))</f>
        <v/>
      </c>
      <c r="K160" s="54">
        <f>IF(B160="","",IF(G160="✅ Выполнена","✔ ",IF(G160="❌ Отменена","✖ ",IF(AND(F160&lt;&gt;"",F160&lt;TODAY()),"❗ ","☐ ")))&amp;B160&amp;IF(E160="🔥 Высокий"," 🔥",""))</f>
        <v/>
      </c>
      <c r="L160" s="54">
        <f>IF(OR(B160="",F160="",G160="❌ Отменена"),"",F160&amp;"#"&amp;COUNTIFS($F$5:F160,F160,$B$5:B160,"?*",$G$5:G160,"&lt;&gt;❌ Отменена"))</f>
        <v/>
      </c>
      <c r="M160" s="54">
        <f>IF(AND(B160&lt;&gt;"",F160&lt;&gt;"",F160&lt;TODAY(),AND(G160&lt;&gt;"✅ Выполнена",G160&lt;&gt;"❌ Отменена")),MAX($M$4:M159)+1,"")</f>
        <v/>
      </c>
    </row>
    <row r="161">
      <c r="A161" s="49">
        <f>IF(B161="","",COUNTA($B$5:B161))</f>
        <v/>
      </c>
      <c r="B161" s="50" t="n"/>
      <c r="C161" s="51" t="n"/>
      <c r="D161" s="51" t="n"/>
      <c r="E161" s="52" t="n"/>
      <c r="F161" s="53" t="n"/>
      <c r="G161" s="51" t="n"/>
      <c r="H161" s="53" t="n"/>
      <c r="I161" s="51" t="n"/>
      <c r="J161" s="54">
        <f>IF(OR(B161="",F161="",NOT(AND(G161&lt;&gt;"✅ Выполнена",G161&lt;&gt;"❌ Отменена"))),"",IF(F161&lt;TODAY(),"❗ просрочено "&amp;(TODAY()-F161)&amp;" дн.",IF(F161=TODAY(),"🔥 сегодня",IF(F161-TODAY()&lt;=3,"⏳ через "&amp;(F161-TODAY())&amp;" дн.",""))))</f>
        <v/>
      </c>
      <c r="K161" s="54">
        <f>IF(B161="","",IF(G161="✅ Выполнена","✔ ",IF(G161="❌ Отменена","✖ ",IF(AND(F161&lt;&gt;"",F161&lt;TODAY()),"❗ ","☐ ")))&amp;B161&amp;IF(E161="🔥 Высокий"," 🔥",""))</f>
        <v/>
      </c>
      <c r="L161" s="54">
        <f>IF(OR(B161="",F161="",G161="❌ Отменена"),"",F161&amp;"#"&amp;COUNTIFS($F$5:F161,F161,$B$5:B161,"?*",$G$5:G161,"&lt;&gt;❌ Отменена"))</f>
        <v/>
      </c>
      <c r="M161" s="54">
        <f>IF(AND(B161&lt;&gt;"",F161&lt;&gt;"",F161&lt;TODAY(),AND(G161&lt;&gt;"✅ Выполнена",G161&lt;&gt;"❌ Отменена")),MAX($M$4:M160)+1,"")</f>
        <v/>
      </c>
    </row>
    <row r="162">
      <c r="A162" s="49">
        <f>IF(B162="","",COUNTA($B$5:B162))</f>
        <v/>
      </c>
      <c r="B162" s="50" t="n"/>
      <c r="C162" s="51" t="n"/>
      <c r="D162" s="51" t="n"/>
      <c r="E162" s="52" t="n"/>
      <c r="F162" s="53" t="n"/>
      <c r="G162" s="51" t="n"/>
      <c r="H162" s="53" t="n"/>
      <c r="I162" s="51" t="n"/>
      <c r="J162" s="54">
        <f>IF(OR(B162="",F162="",NOT(AND(G162&lt;&gt;"✅ Выполнена",G162&lt;&gt;"❌ Отменена"))),"",IF(F162&lt;TODAY(),"❗ просрочено "&amp;(TODAY()-F162)&amp;" дн.",IF(F162=TODAY(),"🔥 сегодня",IF(F162-TODAY()&lt;=3,"⏳ через "&amp;(F162-TODAY())&amp;" дн.",""))))</f>
        <v/>
      </c>
      <c r="K162" s="54">
        <f>IF(B162="","",IF(G162="✅ Выполнена","✔ ",IF(G162="❌ Отменена","✖ ",IF(AND(F162&lt;&gt;"",F162&lt;TODAY()),"❗ ","☐ ")))&amp;B162&amp;IF(E162="🔥 Высокий"," 🔥",""))</f>
        <v/>
      </c>
      <c r="L162" s="54">
        <f>IF(OR(B162="",F162="",G162="❌ Отменена"),"",F162&amp;"#"&amp;COUNTIFS($F$5:F162,F162,$B$5:B162,"?*",$G$5:G162,"&lt;&gt;❌ Отменена"))</f>
        <v/>
      </c>
      <c r="M162" s="54">
        <f>IF(AND(B162&lt;&gt;"",F162&lt;&gt;"",F162&lt;TODAY(),AND(G162&lt;&gt;"✅ Выполнена",G162&lt;&gt;"❌ Отменена")),MAX($M$4:M161)+1,"")</f>
        <v/>
      </c>
    </row>
    <row r="163">
      <c r="A163" s="49">
        <f>IF(B163="","",COUNTA($B$5:B163))</f>
        <v/>
      </c>
      <c r="B163" s="50" t="n"/>
      <c r="C163" s="51" t="n"/>
      <c r="D163" s="51" t="n"/>
      <c r="E163" s="52" t="n"/>
      <c r="F163" s="53" t="n"/>
      <c r="G163" s="51" t="n"/>
      <c r="H163" s="53" t="n"/>
      <c r="I163" s="51" t="n"/>
      <c r="J163" s="54">
        <f>IF(OR(B163="",F163="",NOT(AND(G163&lt;&gt;"✅ Выполнена",G163&lt;&gt;"❌ Отменена"))),"",IF(F163&lt;TODAY(),"❗ просрочено "&amp;(TODAY()-F163)&amp;" дн.",IF(F163=TODAY(),"🔥 сегодня",IF(F163-TODAY()&lt;=3,"⏳ через "&amp;(F163-TODAY())&amp;" дн.",""))))</f>
        <v/>
      </c>
      <c r="K163" s="54">
        <f>IF(B163="","",IF(G163="✅ Выполнена","✔ ",IF(G163="❌ Отменена","✖ ",IF(AND(F163&lt;&gt;"",F163&lt;TODAY()),"❗ ","☐ ")))&amp;B163&amp;IF(E163="🔥 Высокий"," 🔥",""))</f>
        <v/>
      </c>
      <c r="L163" s="54">
        <f>IF(OR(B163="",F163="",G163="❌ Отменена"),"",F163&amp;"#"&amp;COUNTIFS($F$5:F163,F163,$B$5:B163,"?*",$G$5:G163,"&lt;&gt;❌ Отменена"))</f>
        <v/>
      </c>
      <c r="M163" s="54">
        <f>IF(AND(B163&lt;&gt;"",F163&lt;&gt;"",F163&lt;TODAY(),AND(G163&lt;&gt;"✅ Выполнена",G163&lt;&gt;"❌ Отменена")),MAX($M$4:M162)+1,"")</f>
        <v/>
      </c>
    </row>
    <row r="164">
      <c r="A164" s="49">
        <f>IF(B164="","",COUNTA($B$5:B164))</f>
        <v/>
      </c>
      <c r="B164" s="50" t="n"/>
      <c r="C164" s="51" t="n"/>
      <c r="D164" s="51" t="n"/>
      <c r="E164" s="52" t="n"/>
      <c r="F164" s="53" t="n"/>
      <c r="G164" s="51" t="n"/>
      <c r="H164" s="53" t="n"/>
      <c r="I164" s="51" t="n"/>
      <c r="J164" s="54">
        <f>IF(OR(B164="",F164="",NOT(AND(G164&lt;&gt;"✅ Выполнена",G164&lt;&gt;"❌ Отменена"))),"",IF(F164&lt;TODAY(),"❗ просрочено "&amp;(TODAY()-F164)&amp;" дн.",IF(F164=TODAY(),"🔥 сегодня",IF(F164-TODAY()&lt;=3,"⏳ через "&amp;(F164-TODAY())&amp;" дн.",""))))</f>
        <v/>
      </c>
      <c r="K164" s="54">
        <f>IF(B164="","",IF(G164="✅ Выполнена","✔ ",IF(G164="❌ Отменена","✖ ",IF(AND(F164&lt;&gt;"",F164&lt;TODAY()),"❗ ","☐ ")))&amp;B164&amp;IF(E164="🔥 Высокий"," 🔥",""))</f>
        <v/>
      </c>
      <c r="L164" s="54">
        <f>IF(OR(B164="",F164="",G164="❌ Отменена"),"",F164&amp;"#"&amp;COUNTIFS($F$5:F164,F164,$B$5:B164,"?*",$G$5:G164,"&lt;&gt;❌ Отменена"))</f>
        <v/>
      </c>
      <c r="M164" s="54">
        <f>IF(AND(B164&lt;&gt;"",F164&lt;&gt;"",F164&lt;TODAY(),AND(G164&lt;&gt;"✅ Выполнена",G164&lt;&gt;"❌ Отменена")),MAX($M$4:M163)+1,"")</f>
        <v/>
      </c>
    </row>
    <row r="165">
      <c r="A165" s="49">
        <f>IF(B165="","",COUNTA($B$5:B165))</f>
        <v/>
      </c>
      <c r="B165" s="50" t="n"/>
      <c r="C165" s="51" t="n"/>
      <c r="D165" s="51" t="n"/>
      <c r="E165" s="52" t="n"/>
      <c r="F165" s="53" t="n"/>
      <c r="G165" s="51" t="n"/>
      <c r="H165" s="53" t="n"/>
      <c r="I165" s="51" t="n"/>
      <c r="J165" s="54">
        <f>IF(OR(B165="",F165="",NOT(AND(G165&lt;&gt;"✅ Выполнена",G165&lt;&gt;"❌ Отменена"))),"",IF(F165&lt;TODAY(),"❗ просрочено "&amp;(TODAY()-F165)&amp;" дн.",IF(F165=TODAY(),"🔥 сегодня",IF(F165-TODAY()&lt;=3,"⏳ через "&amp;(F165-TODAY())&amp;" дн.",""))))</f>
        <v/>
      </c>
      <c r="K165" s="54">
        <f>IF(B165="","",IF(G165="✅ Выполнена","✔ ",IF(G165="❌ Отменена","✖ ",IF(AND(F165&lt;&gt;"",F165&lt;TODAY()),"❗ ","☐ ")))&amp;B165&amp;IF(E165="🔥 Высокий"," 🔥",""))</f>
        <v/>
      </c>
      <c r="L165" s="54">
        <f>IF(OR(B165="",F165="",G165="❌ Отменена"),"",F165&amp;"#"&amp;COUNTIFS($F$5:F165,F165,$B$5:B165,"?*",$G$5:G165,"&lt;&gt;❌ Отменена"))</f>
        <v/>
      </c>
      <c r="M165" s="54">
        <f>IF(AND(B165&lt;&gt;"",F165&lt;&gt;"",F165&lt;TODAY(),AND(G165&lt;&gt;"✅ Выполнена",G165&lt;&gt;"❌ Отменена")),MAX($M$4:M164)+1,"")</f>
        <v/>
      </c>
    </row>
    <row r="166">
      <c r="A166" s="49">
        <f>IF(B166="","",COUNTA($B$5:B166))</f>
        <v/>
      </c>
      <c r="B166" s="50" t="n"/>
      <c r="C166" s="51" t="n"/>
      <c r="D166" s="51" t="n"/>
      <c r="E166" s="52" t="n"/>
      <c r="F166" s="53" t="n"/>
      <c r="G166" s="51" t="n"/>
      <c r="H166" s="53" t="n"/>
      <c r="I166" s="51" t="n"/>
      <c r="J166" s="54">
        <f>IF(OR(B166="",F166="",NOT(AND(G166&lt;&gt;"✅ Выполнена",G166&lt;&gt;"❌ Отменена"))),"",IF(F166&lt;TODAY(),"❗ просрочено "&amp;(TODAY()-F166)&amp;" дн.",IF(F166=TODAY(),"🔥 сегодня",IF(F166-TODAY()&lt;=3,"⏳ через "&amp;(F166-TODAY())&amp;" дн.",""))))</f>
        <v/>
      </c>
      <c r="K166" s="54">
        <f>IF(B166="","",IF(G166="✅ Выполнена","✔ ",IF(G166="❌ Отменена","✖ ",IF(AND(F166&lt;&gt;"",F166&lt;TODAY()),"❗ ","☐ ")))&amp;B166&amp;IF(E166="🔥 Высокий"," 🔥",""))</f>
        <v/>
      </c>
      <c r="L166" s="54">
        <f>IF(OR(B166="",F166="",G166="❌ Отменена"),"",F166&amp;"#"&amp;COUNTIFS($F$5:F166,F166,$B$5:B166,"?*",$G$5:G166,"&lt;&gt;❌ Отменена"))</f>
        <v/>
      </c>
      <c r="M166" s="54">
        <f>IF(AND(B166&lt;&gt;"",F166&lt;&gt;"",F166&lt;TODAY(),AND(G166&lt;&gt;"✅ Выполнена",G166&lt;&gt;"❌ Отменена")),MAX($M$4:M165)+1,"")</f>
        <v/>
      </c>
    </row>
    <row r="167">
      <c r="A167" s="49">
        <f>IF(B167="","",COUNTA($B$5:B167))</f>
        <v/>
      </c>
      <c r="B167" s="50" t="n"/>
      <c r="C167" s="51" t="n"/>
      <c r="D167" s="51" t="n"/>
      <c r="E167" s="52" t="n"/>
      <c r="F167" s="53" t="n"/>
      <c r="G167" s="51" t="n"/>
      <c r="H167" s="53" t="n"/>
      <c r="I167" s="51" t="n"/>
      <c r="J167" s="54">
        <f>IF(OR(B167="",F167="",NOT(AND(G167&lt;&gt;"✅ Выполнена",G167&lt;&gt;"❌ Отменена"))),"",IF(F167&lt;TODAY(),"❗ просрочено "&amp;(TODAY()-F167)&amp;" дн.",IF(F167=TODAY(),"🔥 сегодня",IF(F167-TODAY()&lt;=3,"⏳ через "&amp;(F167-TODAY())&amp;" дн.",""))))</f>
        <v/>
      </c>
      <c r="K167" s="54">
        <f>IF(B167="","",IF(G167="✅ Выполнена","✔ ",IF(G167="❌ Отменена","✖ ",IF(AND(F167&lt;&gt;"",F167&lt;TODAY()),"❗ ","☐ ")))&amp;B167&amp;IF(E167="🔥 Высокий"," 🔥",""))</f>
        <v/>
      </c>
      <c r="L167" s="54">
        <f>IF(OR(B167="",F167="",G167="❌ Отменена"),"",F167&amp;"#"&amp;COUNTIFS($F$5:F167,F167,$B$5:B167,"?*",$G$5:G167,"&lt;&gt;❌ Отменена"))</f>
        <v/>
      </c>
      <c r="M167" s="54">
        <f>IF(AND(B167&lt;&gt;"",F167&lt;&gt;"",F167&lt;TODAY(),AND(G167&lt;&gt;"✅ Выполнена",G167&lt;&gt;"❌ Отменена")),MAX($M$4:M166)+1,"")</f>
        <v/>
      </c>
    </row>
    <row r="168">
      <c r="A168" s="49">
        <f>IF(B168="","",COUNTA($B$5:B168))</f>
        <v/>
      </c>
      <c r="B168" s="50" t="n"/>
      <c r="C168" s="51" t="n"/>
      <c r="D168" s="51" t="n"/>
      <c r="E168" s="52" t="n"/>
      <c r="F168" s="53" t="n"/>
      <c r="G168" s="51" t="n"/>
      <c r="H168" s="53" t="n"/>
      <c r="I168" s="51" t="n"/>
      <c r="J168" s="54">
        <f>IF(OR(B168="",F168="",NOT(AND(G168&lt;&gt;"✅ Выполнена",G168&lt;&gt;"❌ Отменена"))),"",IF(F168&lt;TODAY(),"❗ просрочено "&amp;(TODAY()-F168)&amp;" дн.",IF(F168=TODAY(),"🔥 сегодня",IF(F168-TODAY()&lt;=3,"⏳ через "&amp;(F168-TODAY())&amp;" дн.",""))))</f>
        <v/>
      </c>
      <c r="K168" s="54">
        <f>IF(B168="","",IF(G168="✅ Выполнена","✔ ",IF(G168="❌ Отменена","✖ ",IF(AND(F168&lt;&gt;"",F168&lt;TODAY()),"❗ ","☐ ")))&amp;B168&amp;IF(E168="🔥 Высокий"," 🔥",""))</f>
        <v/>
      </c>
      <c r="L168" s="54">
        <f>IF(OR(B168="",F168="",G168="❌ Отменена"),"",F168&amp;"#"&amp;COUNTIFS($F$5:F168,F168,$B$5:B168,"?*",$G$5:G168,"&lt;&gt;❌ Отменена"))</f>
        <v/>
      </c>
      <c r="M168" s="54">
        <f>IF(AND(B168&lt;&gt;"",F168&lt;&gt;"",F168&lt;TODAY(),AND(G168&lt;&gt;"✅ Выполнена",G168&lt;&gt;"❌ Отменена")),MAX($M$4:M167)+1,"")</f>
        <v/>
      </c>
    </row>
    <row r="169">
      <c r="A169" s="49">
        <f>IF(B169="","",COUNTA($B$5:B169))</f>
        <v/>
      </c>
      <c r="B169" s="50" t="n"/>
      <c r="C169" s="51" t="n"/>
      <c r="D169" s="51" t="n"/>
      <c r="E169" s="52" t="n"/>
      <c r="F169" s="53" t="n"/>
      <c r="G169" s="51" t="n"/>
      <c r="H169" s="53" t="n"/>
      <c r="I169" s="51" t="n"/>
      <c r="J169" s="54">
        <f>IF(OR(B169="",F169="",NOT(AND(G169&lt;&gt;"✅ Выполнена",G169&lt;&gt;"❌ Отменена"))),"",IF(F169&lt;TODAY(),"❗ просрочено "&amp;(TODAY()-F169)&amp;" дн.",IF(F169=TODAY(),"🔥 сегодня",IF(F169-TODAY()&lt;=3,"⏳ через "&amp;(F169-TODAY())&amp;" дн.",""))))</f>
        <v/>
      </c>
      <c r="K169" s="54">
        <f>IF(B169="","",IF(G169="✅ Выполнена","✔ ",IF(G169="❌ Отменена","✖ ",IF(AND(F169&lt;&gt;"",F169&lt;TODAY()),"❗ ","☐ ")))&amp;B169&amp;IF(E169="🔥 Высокий"," 🔥",""))</f>
        <v/>
      </c>
      <c r="L169" s="54">
        <f>IF(OR(B169="",F169="",G169="❌ Отменена"),"",F169&amp;"#"&amp;COUNTIFS($F$5:F169,F169,$B$5:B169,"?*",$G$5:G169,"&lt;&gt;❌ Отменена"))</f>
        <v/>
      </c>
      <c r="M169" s="54">
        <f>IF(AND(B169&lt;&gt;"",F169&lt;&gt;"",F169&lt;TODAY(),AND(G169&lt;&gt;"✅ Выполнена",G169&lt;&gt;"❌ Отменена")),MAX($M$4:M168)+1,"")</f>
        <v/>
      </c>
    </row>
    <row r="170">
      <c r="A170" s="49">
        <f>IF(B170="","",COUNTA($B$5:B170))</f>
        <v/>
      </c>
      <c r="B170" s="50" t="n"/>
      <c r="C170" s="51" t="n"/>
      <c r="D170" s="51" t="n"/>
      <c r="E170" s="52" t="n"/>
      <c r="F170" s="53" t="n"/>
      <c r="G170" s="51" t="n"/>
      <c r="H170" s="53" t="n"/>
      <c r="I170" s="51" t="n"/>
      <c r="J170" s="54">
        <f>IF(OR(B170="",F170="",NOT(AND(G170&lt;&gt;"✅ Выполнена",G170&lt;&gt;"❌ Отменена"))),"",IF(F170&lt;TODAY(),"❗ просрочено "&amp;(TODAY()-F170)&amp;" дн.",IF(F170=TODAY(),"🔥 сегодня",IF(F170-TODAY()&lt;=3,"⏳ через "&amp;(F170-TODAY())&amp;" дн.",""))))</f>
        <v/>
      </c>
      <c r="K170" s="54">
        <f>IF(B170="","",IF(G170="✅ Выполнена","✔ ",IF(G170="❌ Отменена","✖ ",IF(AND(F170&lt;&gt;"",F170&lt;TODAY()),"❗ ","☐ ")))&amp;B170&amp;IF(E170="🔥 Высокий"," 🔥",""))</f>
        <v/>
      </c>
      <c r="L170" s="54">
        <f>IF(OR(B170="",F170="",G170="❌ Отменена"),"",F170&amp;"#"&amp;COUNTIFS($F$5:F170,F170,$B$5:B170,"?*",$G$5:G170,"&lt;&gt;❌ Отменена"))</f>
        <v/>
      </c>
      <c r="M170" s="54">
        <f>IF(AND(B170&lt;&gt;"",F170&lt;&gt;"",F170&lt;TODAY(),AND(G170&lt;&gt;"✅ Выполнена",G170&lt;&gt;"❌ Отменена")),MAX($M$4:M169)+1,"")</f>
        <v/>
      </c>
    </row>
    <row r="171">
      <c r="A171" s="49">
        <f>IF(B171="","",COUNTA($B$5:B171))</f>
        <v/>
      </c>
      <c r="B171" s="50" t="n"/>
      <c r="C171" s="51" t="n"/>
      <c r="D171" s="51" t="n"/>
      <c r="E171" s="52" t="n"/>
      <c r="F171" s="53" t="n"/>
      <c r="G171" s="51" t="n"/>
      <c r="H171" s="53" t="n"/>
      <c r="I171" s="51" t="n"/>
      <c r="J171" s="54">
        <f>IF(OR(B171="",F171="",NOT(AND(G171&lt;&gt;"✅ Выполнена",G171&lt;&gt;"❌ Отменена"))),"",IF(F171&lt;TODAY(),"❗ просрочено "&amp;(TODAY()-F171)&amp;" дн.",IF(F171=TODAY(),"🔥 сегодня",IF(F171-TODAY()&lt;=3,"⏳ через "&amp;(F171-TODAY())&amp;" дн.",""))))</f>
        <v/>
      </c>
      <c r="K171" s="54">
        <f>IF(B171="","",IF(G171="✅ Выполнена","✔ ",IF(G171="❌ Отменена","✖ ",IF(AND(F171&lt;&gt;"",F171&lt;TODAY()),"❗ ","☐ ")))&amp;B171&amp;IF(E171="🔥 Высокий"," 🔥",""))</f>
        <v/>
      </c>
      <c r="L171" s="54">
        <f>IF(OR(B171="",F171="",G171="❌ Отменена"),"",F171&amp;"#"&amp;COUNTIFS($F$5:F171,F171,$B$5:B171,"?*",$G$5:G171,"&lt;&gt;❌ Отменена"))</f>
        <v/>
      </c>
      <c r="M171" s="54">
        <f>IF(AND(B171&lt;&gt;"",F171&lt;&gt;"",F171&lt;TODAY(),AND(G171&lt;&gt;"✅ Выполнена",G171&lt;&gt;"❌ Отменена")),MAX($M$4:M170)+1,"")</f>
        <v/>
      </c>
    </row>
    <row r="172">
      <c r="A172" s="49">
        <f>IF(B172="","",COUNTA($B$5:B172))</f>
        <v/>
      </c>
      <c r="B172" s="50" t="n"/>
      <c r="C172" s="51" t="n"/>
      <c r="D172" s="51" t="n"/>
      <c r="E172" s="52" t="n"/>
      <c r="F172" s="53" t="n"/>
      <c r="G172" s="51" t="n"/>
      <c r="H172" s="53" t="n"/>
      <c r="I172" s="51" t="n"/>
      <c r="J172" s="54">
        <f>IF(OR(B172="",F172="",NOT(AND(G172&lt;&gt;"✅ Выполнена",G172&lt;&gt;"❌ Отменена"))),"",IF(F172&lt;TODAY(),"❗ просрочено "&amp;(TODAY()-F172)&amp;" дн.",IF(F172=TODAY(),"🔥 сегодня",IF(F172-TODAY()&lt;=3,"⏳ через "&amp;(F172-TODAY())&amp;" дн.",""))))</f>
        <v/>
      </c>
      <c r="K172" s="54">
        <f>IF(B172="","",IF(G172="✅ Выполнена","✔ ",IF(G172="❌ Отменена","✖ ",IF(AND(F172&lt;&gt;"",F172&lt;TODAY()),"❗ ","☐ ")))&amp;B172&amp;IF(E172="🔥 Высокий"," 🔥",""))</f>
        <v/>
      </c>
      <c r="L172" s="54">
        <f>IF(OR(B172="",F172="",G172="❌ Отменена"),"",F172&amp;"#"&amp;COUNTIFS($F$5:F172,F172,$B$5:B172,"?*",$G$5:G172,"&lt;&gt;❌ Отменена"))</f>
        <v/>
      </c>
      <c r="M172" s="54">
        <f>IF(AND(B172&lt;&gt;"",F172&lt;&gt;"",F172&lt;TODAY(),AND(G172&lt;&gt;"✅ Выполнена",G172&lt;&gt;"❌ Отменена")),MAX($M$4:M171)+1,"")</f>
        <v/>
      </c>
    </row>
    <row r="173">
      <c r="A173" s="49">
        <f>IF(B173="","",COUNTA($B$5:B173))</f>
        <v/>
      </c>
      <c r="B173" s="50" t="n"/>
      <c r="C173" s="51" t="n"/>
      <c r="D173" s="51" t="n"/>
      <c r="E173" s="52" t="n"/>
      <c r="F173" s="53" t="n"/>
      <c r="G173" s="51" t="n"/>
      <c r="H173" s="53" t="n"/>
      <c r="I173" s="51" t="n"/>
      <c r="J173" s="54">
        <f>IF(OR(B173="",F173="",NOT(AND(G173&lt;&gt;"✅ Выполнена",G173&lt;&gt;"❌ Отменена"))),"",IF(F173&lt;TODAY(),"❗ просрочено "&amp;(TODAY()-F173)&amp;" дн.",IF(F173=TODAY(),"🔥 сегодня",IF(F173-TODAY()&lt;=3,"⏳ через "&amp;(F173-TODAY())&amp;" дн.",""))))</f>
        <v/>
      </c>
      <c r="K173" s="54">
        <f>IF(B173="","",IF(G173="✅ Выполнена","✔ ",IF(G173="❌ Отменена","✖ ",IF(AND(F173&lt;&gt;"",F173&lt;TODAY()),"❗ ","☐ ")))&amp;B173&amp;IF(E173="🔥 Высокий"," 🔥",""))</f>
        <v/>
      </c>
      <c r="L173" s="54">
        <f>IF(OR(B173="",F173="",G173="❌ Отменена"),"",F173&amp;"#"&amp;COUNTIFS($F$5:F173,F173,$B$5:B173,"?*",$G$5:G173,"&lt;&gt;❌ Отменена"))</f>
        <v/>
      </c>
      <c r="M173" s="54">
        <f>IF(AND(B173&lt;&gt;"",F173&lt;&gt;"",F173&lt;TODAY(),AND(G173&lt;&gt;"✅ Выполнена",G173&lt;&gt;"❌ Отменена")),MAX($M$4:M172)+1,"")</f>
        <v/>
      </c>
    </row>
    <row r="174">
      <c r="A174" s="49">
        <f>IF(B174="","",COUNTA($B$5:B174))</f>
        <v/>
      </c>
      <c r="B174" s="50" t="n"/>
      <c r="C174" s="51" t="n"/>
      <c r="D174" s="51" t="n"/>
      <c r="E174" s="52" t="n"/>
      <c r="F174" s="53" t="n"/>
      <c r="G174" s="51" t="n"/>
      <c r="H174" s="53" t="n"/>
      <c r="I174" s="51" t="n"/>
      <c r="J174" s="54">
        <f>IF(OR(B174="",F174="",NOT(AND(G174&lt;&gt;"✅ Выполнена",G174&lt;&gt;"❌ Отменена"))),"",IF(F174&lt;TODAY(),"❗ просрочено "&amp;(TODAY()-F174)&amp;" дн.",IF(F174=TODAY(),"🔥 сегодня",IF(F174-TODAY()&lt;=3,"⏳ через "&amp;(F174-TODAY())&amp;" дн.",""))))</f>
        <v/>
      </c>
      <c r="K174" s="54">
        <f>IF(B174="","",IF(G174="✅ Выполнена","✔ ",IF(G174="❌ Отменена","✖ ",IF(AND(F174&lt;&gt;"",F174&lt;TODAY()),"❗ ","☐ ")))&amp;B174&amp;IF(E174="🔥 Высокий"," 🔥",""))</f>
        <v/>
      </c>
      <c r="L174" s="54">
        <f>IF(OR(B174="",F174="",G174="❌ Отменена"),"",F174&amp;"#"&amp;COUNTIFS($F$5:F174,F174,$B$5:B174,"?*",$G$5:G174,"&lt;&gt;❌ Отменена"))</f>
        <v/>
      </c>
      <c r="M174" s="54">
        <f>IF(AND(B174&lt;&gt;"",F174&lt;&gt;"",F174&lt;TODAY(),AND(G174&lt;&gt;"✅ Выполнена",G174&lt;&gt;"❌ Отменена")),MAX($M$4:M173)+1,"")</f>
        <v/>
      </c>
    </row>
    <row r="175">
      <c r="A175" s="49">
        <f>IF(B175="","",COUNTA($B$5:B175))</f>
        <v/>
      </c>
      <c r="B175" s="50" t="n"/>
      <c r="C175" s="51" t="n"/>
      <c r="D175" s="51" t="n"/>
      <c r="E175" s="52" t="n"/>
      <c r="F175" s="53" t="n"/>
      <c r="G175" s="51" t="n"/>
      <c r="H175" s="53" t="n"/>
      <c r="I175" s="51" t="n"/>
      <c r="J175" s="54">
        <f>IF(OR(B175="",F175="",NOT(AND(G175&lt;&gt;"✅ Выполнена",G175&lt;&gt;"❌ Отменена"))),"",IF(F175&lt;TODAY(),"❗ просрочено "&amp;(TODAY()-F175)&amp;" дн.",IF(F175=TODAY(),"🔥 сегодня",IF(F175-TODAY()&lt;=3,"⏳ через "&amp;(F175-TODAY())&amp;" дн.",""))))</f>
        <v/>
      </c>
      <c r="K175" s="54">
        <f>IF(B175="","",IF(G175="✅ Выполнена","✔ ",IF(G175="❌ Отменена","✖ ",IF(AND(F175&lt;&gt;"",F175&lt;TODAY()),"❗ ","☐ ")))&amp;B175&amp;IF(E175="🔥 Высокий"," 🔥",""))</f>
        <v/>
      </c>
      <c r="L175" s="54">
        <f>IF(OR(B175="",F175="",G175="❌ Отменена"),"",F175&amp;"#"&amp;COUNTIFS($F$5:F175,F175,$B$5:B175,"?*",$G$5:G175,"&lt;&gt;❌ Отменена"))</f>
        <v/>
      </c>
      <c r="M175" s="54">
        <f>IF(AND(B175&lt;&gt;"",F175&lt;&gt;"",F175&lt;TODAY(),AND(G175&lt;&gt;"✅ Выполнена",G175&lt;&gt;"❌ Отменена")),MAX($M$4:M174)+1,"")</f>
        <v/>
      </c>
    </row>
    <row r="176">
      <c r="A176" s="49">
        <f>IF(B176="","",COUNTA($B$5:B176))</f>
        <v/>
      </c>
      <c r="B176" s="50" t="n"/>
      <c r="C176" s="51" t="n"/>
      <c r="D176" s="51" t="n"/>
      <c r="E176" s="52" t="n"/>
      <c r="F176" s="53" t="n"/>
      <c r="G176" s="51" t="n"/>
      <c r="H176" s="53" t="n"/>
      <c r="I176" s="51" t="n"/>
      <c r="J176" s="54">
        <f>IF(OR(B176="",F176="",NOT(AND(G176&lt;&gt;"✅ Выполнена",G176&lt;&gt;"❌ Отменена"))),"",IF(F176&lt;TODAY(),"❗ просрочено "&amp;(TODAY()-F176)&amp;" дн.",IF(F176=TODAY(),"🔥 сегодня",IF(F176-TODAY()&lt;=3,"⏳ через "&amp;(F176-TODAY())&amp;" дн.",""))))</f>
        <v/>
      </c>
      <c r="K176" s="54">
        <f>IF(B176="","",IF(G176="✅ Выполнена","✔ ",IF(G176="❌ Отменена","✖ ",IF(AND(F176&lt;&gt;"",F176&lt;TODAY()),"❗ ","☐ ")))&amp;B176&amp;IF(E176="🔥 Высокий"," 🔥",""))</f>
        <v/>
      </c>
      <c r="L176" s="54">
        <f>IF(OR(B176="",F176="",G176="❌ Отменена"),"",F176&amp;"#"&amp;COUNTIFS($F$5:F176,F176,$B$5:B176,"?*",$G$5:G176,"&lt;&gt;❌ Отменена"))</f>
        <v/>
      </c>
      <c r="M176" s="54">
        <f>IF(AND(B176&lt;&gt;"",F176&lt;&gt;"",F176&lt;TODAY(),AND(G176&lt;&gt;"✅ Выполнена",G176&lt;&gt;"❌ Отменена")),MAX($M$4:M175)+1,"")</f>
        <v/>
      </c>
    </row>
    <row r="177">
      <c r="A177" s="49">
        <f>IF(B177="","",COUNTA($B$5:B177))</f>
        <v/>
      </c>
      <c r="B177" s="50" t="n"/>
      <c r="C177" s="51" t="n"/>
      <c r="D177" s="51" t="n"/>
      <c r="E177" s="52" t="n"/>
      <c r="F177" s="53" t="n"/>
      <c r="G177" s="51" t="n"/>
      <c r="H177" s="53" t="n"/>
      <c r="I177" s="51" t="n"/>
      <c r="J177" s="54">
        <f>IF(OR(B177="",F177="",NOT(AND(G177&lt;&gt;"✅ Выполнена",G177&lt;&gt;"❌ Отменена"))),"",IF(F177&lt;TODAY(),"❗ просрочено "&amp;(TODAY()-F177)&amp;" дн.",IF(F177=TODAY(),"🔥 сегодня",IF(F177-TODAY()&lt;=3,"⏳ через "&amp;(F177-TODAY())&amp;" дн.",""))))</f>
        <v/>
      </c>
      <c r="K177" s="54">
        <f>IF(B177="","",IF(G177="✅ Выполнена","✔ ",IF(G177="❌ Отменена","✖ ",IF(AND(F177&lt;&gt;"",F177&lt;TODAY()),"❗ ","☐ ")))&amp;B177&amp;IF(E177="🔥 Высокий"," 🔥",""))</f>
        <v/>
      </c>
      <c r="L177" s="54">
        <f>IF(OR(B177="",F177="",G177="❌ Отменена"),"",F177&amp;"#"&amp;COUNTIFS($F$5:F177,F177,$B$5:B177,"?*",$G$5:G177,"&lt;&gt;❌ Отменена"))</f>
        <v/>
      </c>
      <c r="M177" s="54">
        <f>IF(AND(B177&lt;&gt;"",F177&lt;&gt;"",F177&lt;TODAY(),AND(G177&lt;&gt;"✅ Выполнена",G177&lt;&gt;"❌ Отменена")),MAX($M$4:M176)+1,"")</f>
        <v/>
      </c>
    </row>
    <row r="178">
      <c r="A178" s="49">
        <f>IF(B178="","",COUNTA($B$5:B178))</f>
        <v/>
      </c>
      <c r="B178" s="50" t="n"/>
      <c r="C178" s="51" t="n"/>
      <c r="D178" s="51" t="n"/>
      <c r="E178" s="52" t="n"/>
      <c r="F178" s="53" t="n"/>
      <c r="G178" s="51" t="n"/>
      <c r="H178" s="53" t="n"/>
      <c r="I178" s="51" t="n"/>
      <c r="J178" s="54">
        <f>IF(OR(B178="",F178="",NOT(AND(G178&lt;&gt;"✅ Выполнена",G178&lt;&gt;"❌ Отменена"))),"",IF(F178&lt;TODAY(),"❗ просрочено "&amp;(TODAY()-F178)&amp;" дн.",IF(F178=TODAY(),"🔥 сегодня",IF(F178-TODAY()&lt;=3,"⏳ через "&amp;(F178-TODAY())&amp;" дн.",""))))</f>
        <v/>
      </c>
      <c r="K178" s="54">
        <f>IF(B178="","",IF(G178="✅ Выполнена","✔ ",IF(G178="❌ Отменена","✖ ",IF(AND(F178&lt;&gt;"",F178&lt;TODAY()),"❗ ","☐ ")))&amp;B178&amp;IF(E178="🔥 Высокий"," 🔥",""))</f>
        <v/>
      </c>
      <c r="L178" s="54">
        <f>IF(OR(B178="",F178="",G178="❌ Отменена"),"",F178&amp;"#"&amp;COUNTIFS($F$5:F178,F178,$B$5:B178,"?*",$G$5:G178,"&lt;&gt;❌ Отменена"))</f>
        <v/>
      </c>
      <c r="M178" s="54">
        <f>IF(AND(B178&lt;&gt;"",F178&lt;&gt;"",F178&lt;TODAY(),AND(G178&lt;&gt;"✅ Выполнена",G178&lt;&gt;"❌ Отменена")),MAX($M$4:M177)+1,"")</f>
        <v/>
      </c>
    </row>
    <row r="179">
      <c r="A179" s="49">
        <f>IF(B179="","",COUNTA($B$5:B179))</f>
        <v/>
      </c>
      <c r="B179" s="50" t="n"/>
      <c r="C179" s="51" t="n"/>
      <c r="D179" s="51" t="n"/>
      <c r="E179" s="52" t="n"/>
      <c r="F179" s="53" t="n"/>
      <c r="G179" s="51" t="n"/>
      <c r="H179" s="53" t="n"/>
      <c r="I179" s="51" t="n"/>
      <c r="J179" s="54">
        <f>IF(OR(B179="",F179="",NOT(AND(G179&lt;&gt;"✅ Выполнена",G179&lt;&gt;"❌ Отменена"))),"",IF(F179&lt;TODAY(),"❗ просрочено "&amp;(TODAY()-F179)&amp;" дн.",IF(F179=TODAY(),"🔥 сегодня",IF(F179-TODAY()&lt;=3,"⏳ через "&amp;(F179-TODAY())&amp;" дн.",""))))</f>
        <v/>
      </c>
      <c r="K179" s="54">
        <f>IF(B179="","",IF(G179="✅ Выполнена","✔ ",IF(G179="❌ Отменена","✖ ",IF(AND(F179&lt;&gt;"",F179&lt;TODAY()),"❗ ","☐ ")))&amp;B179&amp;IF(E179="🔥 Высокий"," 🔥",""))</f>
        <v/>
      </c>
      <c r="L179" s="54">
        <f>IF(OR(B179="",F179="",G179="❌ Отменена"),"",F179&amp;"#"&amp;COUNTIFS($F$5:F179,F179,$B$5:B179,"?*",$G$5:G179,"&lt;&gt;❌ Отменена"))</f>
        <v/>
      </c>
      <c r="M179" s="54">
        <f>IF(AND(B179&lt;&gt;"",F179&lt;&gt;"",F179&lt;TODAY(),AND(G179&lt;&gt;"✅ Выполнена",G179&lt;&gt;"❌ Отменена")),MAX($M$4:M178)+1,"")</f>
        <v/>
      </c>
    </row>
    <row r="180">
      <c r="A180" s="49">
        <f>IF(B180="","",COUNTA($B$5:B180))</f>
        <v/>
      </c>
      <c r="B180" s="50" t="n"/>
      <c r="C180" s="51" t="n"/>
      <c r="D180" s="51" t="n"/>
      <c r="E180" s="52" t="n"/>
      <c r="F180" s="53" t="n"/>
      <c r="G180" s="51" t="n"/>
      <c r="H180" s="53" t="n"/>
      <c r="I180" s="51" t="n"/>
      <c r="J180" s="54">
        <f>IF(OR(B180="",F180="",NOT(AND(G180&lt;&gt;"✅ Выполнена",G180&lt;&gt;"❌ Отменена"))),"",IF(F180&lt;TODAY(),"❗ просрочено "&amp;(TODAY()-F180)&amp;" дн.",IF(F180=TODAY(),"🔥 сегодня",IF(F180-TODAY()&lt;=3,"⏳ через "&amp;(F180-TODAY())&amp;" дн.",""))))</f>
        <v/>
      </c>
      <c r="K180" s="54">
        <f>IF(B180="","",IF(G180="✅ Выполнена","✔ ",IF(G180="❌ Отменена","✖ ",IF(AND(F180&lt;&gt;"",F180&lt;TODAY()),"❗ ","☐ ")))&amp;B180&amp;IF(E180="🔥 Высокий"," 🔥",""))</f>
        <v/>
      </c>
      <c r="L180" s="54">
        <f>IF(OR(B180="",F180="",G180="❌ Отменена"),"",F180&amp;"#"&amp;COUNTIFS($F$5:F180,F180,$B$5:B180,"?*",$G$5:G180,"&lt;&gt;❌ Отменена"))</f>
        <v/>
      </c>
      <c r="M180" s="54">
        <f>IF(AND(B180&lt;&gt;"",F180&lt;&gt;"",F180&lt;TODAY(),AND(G180&lt;&gt;"✅ Выполнена",G180&lt;&gt;"❌ Отменена")),MAX($M$4:M179)+1,"")</f>
        <v/>
      </c>
    </row>
    <row r="181">
      <c r="A181" s="49">
        <f>IF(B181="","",COUNTA($B$5:B181))</f>
        <v/>
      </c>
      <c r="B181" s="50" t="n"/>
      <c r="C181" s="51" t="n"/>
      <c r="D181" s="51" t="n"/>
      <c r="E181" s="52" t="n"/>
      <c r="F181" s="53" t="n"/>
      <c r="G181" s="51" t="n"/>
      <c r="H181" s="53" t="n"/>
      <c r="I181" s="51" t="n"/>
      <c r="J181" s="54">
        <f>IF(OR(B181="",F181="",NOT(AND(G181&lt;&gt;"✅ Выполнена",G181&lt;&gt;"❌ Отменена"))),"",IF(F181&lt;TODAY(),"❗ просрочено "&amp;(TODAY()-F181)&amp;" дн.",IF(F181=TODAY(),"🔥 сегодня",IF(F181-TODAY()&lt;=3,"⏳ через "&amp;(F181-TODAY())&amp;" дн.",""))))</f>
        <v/>
      </c>
      <c r="K181" s="54">
        <f>IF(B181="","",IF(G181="✅ Выполнена","✔ ",IF(G181="❌ Отменена","✖ ",IF(AND(F181&lt;&gt;"",F181&lt;TODAY()),"❗ ","☐ ")))&amp;B181&amp;IF(E181="🔥 Высокий"," 🔥",""))</f>
        <v/>
      </c>
      <c r="L181" s="54">
        <f>IF(OR(B181="",F181="",G181="❌ Отменена"),"",F181&amp;"#"&amp;COUNTIFS($F$5:F181,F181,$B$5:B181,"?*",$G$5:G181,"&lt;&gt;❌ Отменена"))</f>
        <v/>
      </c>
      <c r="M181" s="54">
        <f>IF(AND(B181&lt;&gt;"",F181&lt;&gt;"",F181&lt;TODAY(),AND(G181&lt;&gt;"✅ Выполнена",G181&lt;&gt;"❌ Отменена")),MAX($M$4:M180)+1,"")</f>
        <v/>
      </c>
    </row>
    <row r="182">
      <c r="A182" s="49">
        <f>IF(B182="","",COUNTA($B$5:B182))</f>
        <v/>
      </c>
      <c r="B182" s="50" t="n"/>
      <c r="C182" s="51" t="n"/>
      <c r="D182" s="51" t="n"/>
      <c r="E182" s="52" t="n"/>
      <c r="F182" s="53" t="n"/>
      <c r="G182" s="51" t="n"/>
      <c r="H182" s="53" t="n"/>
      <c r="I182" s="51" t="n"/>
      <c r="J182" s="54">
        <f>IF(OR(B182="",F182="",NOT(AND(G182&lt;&gt;"✅ Выполнена",G182&lt;&gt;"❌ Отменена"))),"",IF(F182&lt;TODAY(),"❗ просрочено "&amp;(TODAY()-F182)&amp;" дн.",IF(F182=TODAY(),"🔥 сегодня",IF(F182-TODAY()&lt;=3,"⏳ через "&amp;(F182-TODAY())&amp;" дн.",""))))</f>
        <v/>
      </c>
      <c r="K182" s="54">
        <f>IF(B182="","",IF(G182="✅ Выполнена","✔ ",IF(G182="❌ Отменена","✖ ",IF(AND(F182&lt;&gt;"",F182&lt;TODAY()),"❗ ","☐ ")))&amp;B182&amp;IF(E182="🔥 Высокий"," 🔥",""))</f>
        <v/>
      </c>
      <c r="L182" s="54">
        <f>IF(OR(B182="",F182="",G182="❌ Отменена"),"",F182&amp;"#"&amp;COUNTIFS($F$5:F182,F182,$B$5:B182,"?*",$G$5:G182,"&lt;&gt;❌ Отменена"))</f>
        <v/>
      </c>
      <c r="M182" s="54">
        <f>IF(AND(B182&lt;&gt;"",F182&lt;&gt;"",F182&lt;TODAY(),AND(G182&lt;&gt;"✅ Выполнена",G182&lt;&gt;"❌ Отменена")),MAX($M$4:M181)+1,"")</f>
        <v/>
      </c>
    </row>
    <row r="183">
      <c r="A183" s="49">
        <f>IF(B183="","",COUNTA($B$5:B183))</f>
        <v/>
      </c>
      <c r="B183" s="50" t="n"/>
      <c r="C183" s="51" t="n"/>
      <c r="D183" s="51" t="n"/>
      <c r="E183" s="52" t="n"/>
      <c r="F183" s="53" t="n"/>
      <c r="G183" s="51" t="n"/>
      <c r="H183" s="53" t="n"/>
      <c r="I183" s="51" t="n"/>
      <c r="J183" s="54">
        <f>IF(OR(B183="",F183="",NOT(AND(G183&lt;&gt;"✅ Выполнена",G183&lt;&gt;"❌ Отменена"))),"",IF(F183&lt;TODAY(),"❗ просрочено "&amp;(TODAY()-F183)&amp;" дн.",IF(F183=TODAY(),"🔥 сегодня",IF(F183-TODAY()&lt;=3,"⏳ через "&amp;(F183-TODAY())&amp;" дн.",""))))</f>
        <v/>
      </c>
      <c r="K183" s="54">
        <f>IF(B183="","",IF(G183="✅ Выполнена","✔ ",IF(G183="❌ Отменена","✖ ",IF(AND(F183&lt;&gt;"",F183&lt;TODAY()),"❗ ","☐ ")))&amp;B183&amp;IF(E183="🔥 Высокий"," 🔥",""))</f>
        <v/>
      </c>
      <c r="L183" s="54">
        <f>IF(OR(B183="",F183="",G183="❌ Отменена"),"",F183&amp;"#"&amp;COUNTIFS($F$5:F183,F183,$B$5:B183,"?*",$G$5:G183,"&lt;&gt;❌ Отменена"))</f>
        <v/>
      </c>
      <c r="M183" s="54">
        <f>IF(AND(B183&lt;&gt;"",F183&lt;&gt;"",F183&lt;TODAY(),AND(G183&lt;&gt;"✅ Выполнена",G183&lt;&gt;"❌ Отменена")),MAX($M$4:M182)+1,"")</f>
        <v/>
      </c>
    </row>
    <row r="184">
      <c r="A184" s="49">
        <f>IF(B184="","",COUNTA($B$5:B184))</f>
        <v/>
      </c>
      <c r="B184" s="50" t="n"/>
      <c r="C184" s="51" t="n"/>
      <c r="D184" s="51" t="n"/>
      <c r="E184" s="52" t="n"/>
      <c r="F184" s="53" t="n"/>
      <c r="G184" s="51" t="n"/>
      <c r="H184" s="53" t="n"/>
      <c r="I184" s="51" t="n"/>
      <c r="J184" s="54">
        <f>IF(OR(B184="",F184="",NOT(AND(G184&lt;&gt;"✅ Выполнена",G184&lt;&gt;"❌ Отменена"))),"",IF(F184&lt;TODAY(),"❗ просрочено "&amp;(TODAY()-F184)&amp;" дн.",IF(F184=TODAY(),"🔥 сегодня",IF(F184-TODAY()&lt;=3,"⏳ через "&amp;(F184-TODAY())&amp;" дн.",""))))</f>
        <v/>
      </c>
      <c r="K184" s="54">
        <f>IF(B184="","",IF(G184="✅ Выполнена","✔ ",IF(G184="❌ Отменена","✖ ",IF(AND(F184&lt;&gt;"",F184&lt;TODAY()),"❗ ","☐ ")))&amp;B184&amp;IF(E184="🔥 Высокий"," 🔥",""))</f>
        <v/>
      </c>
      <c r="L184" s="54">
        <f>IF(OR(B184="",F184="",G184="❌ Отменена"),"",F184&amp;"#"&amp;COUNTIFS($F$5:F184,F184,$B$5:B184,"?*",$G$5:G184,"&lt;&gt;❌ Отменена"))</f>
        <v/>
      </c>
      <c r="M184" s="54">
        <f>IF(AND(B184&lt;&gt;"",F184&lt;&gt;"",F184&lt;TODAY(),AND(G184&lt;&gt;"✅ Выполнена",G184&lt;&gt;"❌ Отменена")),MAX($M$4:M183)+1,"")</f>
        <v/>
      </c>
    </row>
    <row r="185">
      <c r="A185" s="49">
        <f>IF(B185="","",COUNTA($B$5:B185))</f>
        <v/>
      </c>
      <c r="B185" s="50" t="n"/>
      <c r="C185" s="51" t="n"/>
      <c r="D185" s="51" t="n"/>
      <c r="E185" s="52" t="n"/>
      <c r="F185" s="53" t="n"/>
      <c r="G185" s="51" t="n"/>
      <c r="H185" s="53" t="n"/>
      <c r="I185" s="51" t="n"/>
      <c r="J185" s="54">
        <f>IF(OR(B185="",F185="",NOT(AND(G185&lt;&gt;"✅ Выполнена",G185&lt;&gt;"❌ Отменена"))),"",IF(F185&lt;TODAY(),"❗ просрочено "&amp;(TODAY()-F185)&amp;" дн.",IF(F185=TODAY(),"🔥 сегодня",IF(F185-TODAY()&lt;=3,"⏳ через "&amp;(F185-TODAY())&amp;" дн.",""))))</f>
        <v/>
      </c>
      <c r="K185" s="54">
        <f>IF(B185="","",IF(G185="✅ Выполнена","✔ ",IF(G185="❌ Отменена","✖ ",IF(AND(F185&lt;&gt;"",F185&lt;TODAY()),"❗ ","☐ ")))&amp;B185&amp;IF(E185="🔥 Высокий"," 🔥",""))</f>
        <v/>
      </c>
      <c r="L185" s="54">
        <f>IF(OR(B185="",F185="",G185="❌ Отменена"),"",F185&amp;"#"&amp;COUNTIFS($F$5:F185,F185,$B$5:B185,"?*",$G$5:G185,"&lt;&gt;❌ Отменена"))</f>
        <v/>
      </c>
      <c r="M185" s="54">
        <f>IF(AND(B185&lt;&gt;"",F185&lt;&gt;"",F185&lt;TODAY(),AND(G185&lt;&gt;"✅ Выполнена",G185&lt;&gt;"❌ Отменена")),MAX($M$4:M184)+1,"")</f>
        <v/>
      </c>
    </row>
    <row r="186">
      <c r="A186" s="49">
        <f>IF(B186="","",COUNTA($B$5:B186))</f>
        <v/>
      </c>
      <c r="B186" s="50" t="n"/>
      <c r="C186" s="51" t="n"/>
      <c r="D186" s="51" t="n"/>
      <c r="E186" s="52" t="n"/>
      <c r="F186" s="53" t="n"/>
      <c r="G186" s="51" t="n"/>
      <c r="H186" s="53" t="n"/>
      <c r="I186" s="51" t="n"/>
      <c r="J186" s="54">
        <f>IF(OR(B186="",F186="",NOT(AND(G186&lt;&gt;"✅ Выполнена",G186&lt;&gt;"❌ Отменена"))),"",IF(F186&lt;TODAY(),"❗ просрочено "&amp;(TODAY()-F186)&amp;" дн.",IF(F186=TODAY(),"🔥 сегодня",IF(F186-TODAY()&lt;=3,"⏳ через "&amp;(F186-TODAY())&amp;" дн.",""))))</f>
        <v/>
      </c>
      <c r="K186" s="54">
        <f>IF(B186="","",IF(G186="✅ Выполнена","✔ ",IF(G186="❌ Отменена","✖ ",IF(AND(F186&lt;&gt;"",F186&lt;TODAY()),"❗ ","☐ ")))&amp;B186&amp;IF(E186="🔥 Высокий"," 🔥",""))</f>
        <v/>
      </c>
      <c r="L186" s="54">
        <f>IF(OR(B186="",F186="",G186="❌ Отменена"),"",F186&amp;"#"&amp;COUNTIFS($F$5:F186,F186,$B$5:B186,"?*",$G$5:G186,"&lt;&gt;❌ Отменена"))</f>
        <v/>
      </c>
      <c r="M186" s="54">
        <f>IF(AND(B186&lt;&gt;"",F186&lt;&gt;"",F186&lt;TODAY(),AND(G186&lt;&gt;"✅ Выполнена",G186&lt;&gt;"❌ Отменена")),MAX($M$4:M185)+1,"")</f>
        <v/>
      </c>
    </row>
    <row r="187">
      <c r="A187" s="49">
        <f>IF(B187="","",COUNTA($B$5:B187))</f>
        <v/>
      </c>
      <c r="B187" s="50" t="n"/>
      <c r="C187" s="51" t="n"/>
      <c r="D187" s="51" t="n"/>
      <c r="E187" s="52" t="n"/>
      <c r="F187" s="53" t="n"/>
      <c r="G187" s="51" t="n"/>
      <c r="H187" s="53" t="n"/>
      <c r="I187" s="51" t="n"/>
      <c r="J187" s="54">
        <f>IF(OR(B187="",F187="",NOT(AND(G187&lt;&gt;"✅ Выполнена",G187&lt;&gt;"❌ Отменена"))),"",IF(F187&lt;TODAY(),"❗ просрочено "&amp;(TODAY()-F187)&amp;" дн.",IF(F187=TODAY(),"🔥 сегодня",IF(F187-TODAY()&lt;=3,"⏳ через "&amp;(F187-TODAY())&amp;" дн.",""))))</f>
        <v/>
      </c>
      <c r="K187" s="54">
        <f>IF(B187="","",IF(G187="✅ Выполнена","✔ ",IF(G187="❌ Отменена","✖ ",IF(AND(F187&lt;&gt;"",F187&lt;TODAY()),"❗ ","☐ ")))&amp;B187&amp;IF(E187="🔥 Высокий"," 🔥",""))</f>
        <v/>
      </c>
      <c r="L187" s="54">
        <f>IF(OR(B187="",F187="",G187="❌ Отменена"),"",F187&amp;"#"&amp;COUNTIFS($F$5:F187,F187,$B$5:B187,"?*",$G$5:G187,"&lt;&gt;❌ Отменена"))</f>
        <v/>
      </c>
      <c r="M187" s="54">
        <f>IF(AND(B187&lt;&gt;"",F187&lt;&gt;"",F187&lt;TODAY(),AND(G187&lt;&gt;"✅ Выполнена",G187&lt;&gt;"❌ Отменена")),MAX($M$4:M186)+1,"")</f>
        <v/>
      </c>
    </row>
    <row r="188">
      <c r="A188" s="49">
        <f>IF(B188="","",COUNTA($B$5:B188))</f>
        <v/>
      </c>
      <c r="B188" s="50" t="n"/>
      <c r="C188" s="51" t="n"/>
      <c r="D188" s="51" t="n"/>
      <c r="E188" s="52" t="n"/>
      <c r="F188" s="53" t="n"/>
      <c r="G188" s="51" t="n"/>
      <c r="H188" s="53" t="n"/>
      <c r="I188" s="51" t="n"/>
      <c r="J188" s="54">
        <f>IF(OR(B188="",F188="",NOT(AND(G188&lt;&gt;"✅ Выполнена",G188&lt;&gt;"❌ Отменена"))),"",IF(F188&lt;TODAY(),"❗ просрочено "&amp;(TODAY()-F188)&amp;" дн.",IF(F188=TODAY(),"🔥 сегодня",IF(F188-TODAY()&lt;=3,"⏳ через "&amp;(F188-TODAY())&amp;" дн.",""))))</f>
        <v/>
      </c>
      <c r="K188" s="54">
        <f>IF(B188="","",IF(G188="✅ Выполнена","✔ ",IF(G188="❌ Отменена","✖ ",IF(AND(F188&lt;&gt;"",F188&lt;TODAY()),"❗ ","☐ ")))&amp;B188&amp;IF(E188="🔥 Высокий"," 🔥",""))</f>
        <v/>
      </c>
      <c r="L188" s="54">
        <f>IF(OR(B188="",F188="",G188="❌ Отменена"),"",F188&amp;"#"&amp;COUNTIFS($F$5:F188,F188,$B$5:B188,"?*",$G$5:G188,"&lt;&gt;❌ Отменена"))</f>
        <v/>
      </c>
      <c r="M188" s="54">
        <f>IF(AND(B188&lt;&gt;"",F188&lt;&gt;"",F188&lt;TODAY(),AND(G188&lt;&gt;"✅ Выполнена",G188&lt;&gt;"❌ Отменена")),MAX($M$4:M187)+1,"")</f>
        <v/>
      </c>
    </row>
    <row r="189">
      <c r="A189" s="49">
        <f>IF(B189="","",COUNTA($B$5:B189))</f>
        <v/>
      </c>
      <c r="B189" s="50" t="n"/>
      <c r="C189" s="51" t="n"/>
      <c r="D189" s="51" t="n"/>
      <c r="E189" s="52" t="n"/>
      <c r="F189" s="53" t="n"/>
      <c r="G189" s="51" t="n"/>
      <c r="H189" s="53" t="n"/>
      <c r="I189" s="51" t="n"/>
      <c r="J189" s="54">
        <f>IF(OR(B189="",F189="",NOT(AND(G189&lt;&gt;"✅ Выполнена",G189&lt;&gt;"❌ Отменена"))),"",IF(F189&lt;TODAY(),"❗ просрочено "&amp;(TODAY()-F189)&amp;" дн.",IF(F189=TODAY(),"🔥 сегодня",IF(F189-TODAY()&lt;=3,"⏳ через "&amp;(F189-TODAY())&amp;" дн.",""))))</f>
        <v/>
      </c>
      <c r="K189" s="54">
        <f>IF(B189="","",IF(G189="✅ Выполнена","✔ ",IF(G189="❌ Отменена","✖ ",IF(AND(F189&lt;&gt;"",F189&lt;TODAY()),"❗ ","☐ ")))&amp;B189&amp;IF(E189="🔥 Высокий"," 🔥",""))</f>
        <v/>
      </c>
      <c r="L189" s="54">
        <f>IF(OR(B189="",F189="",G189="❌ Отменена"),"",F189&amp;"#"&amp;COUNTIFS($F$5:F189,F189,$B$5:B189,"?*",$G$5:G189,"&lt;&gt;❌ Отменена"))</f>
        <v/>
      </c>
      <c r="M189" s="54">
        <f>IF(AND(B189&lt;&gt;"",F189&lt;&gt;"",F189&lt;TODAY(),AND(G189&lt;&gt;"✅ Выполнена",G189&lt;&gt;"❌ Отменена")),MAX($M$4:M188)+1,"")</f>
        <v/>
      </c>
    </row>
    <row r="190">
      <c r="A190" s="49">
        <f>IF(B190="","",COUNTA($B$5:B190))</f>
        <v/>
      </c>
      <c r="B190" s="50" t="n"/>
      <c r="C190" s="51" t="n"/>
      <c r="D190" s="51" t="n"/>
      <c r="E190" s="52" t="n"/>
      <c r="F190" s="53" t="n"/>
      <c r="G190" s="51" t="n"/>
      <c r="H190" s="53" t="n"/>
      <c r="I190" s="51" t="n"/>
      <c r="J190" s="54">
        <f>IF(OR(B190="",F190="",NOT(AND(G190&lt;&gt;"✅ Выполнена",G190&lt;&gt;"❌ Отменена"))),"",IF(F190&lt;TODAY(),"❗ просрочено "&amp;(TODAY()-F190)&amp;" дн.",IF(F190=TODAY(),"🔥 сегодня",IF(F190-TODAY()&lt;=3,"⏳ через "&amp;(F190-TODAY())&amp;" дн.",""))))</f>
        <v/>
      </c>
      <c r="K190" s="54">
        <f>IF(B190="","",IF(G190="✅ Выполнена","✔ ",IF(G190="❌ Отменена","✖ ",IF(AND(F190&lt;&gt;"",F190&lt;TODAY()),"❗ ","☐ ")))&amp;B190&amp;IF(E190="🔥 Высокий"," 🔥",""))</f>
        <v/>
      </c>
      <c r="L190" s="54">
        <f>IF(OR(B190="",F190="",G190="❌ Отменена"),"",F190&amp;"#"&amp;COUNTIFS($F$5:F190,F190,$B$5:B190,"?*",$G$5:G190,"&lt;&gt;❌ Отменена"))</f>
        <v/>
      </c>
      <c r="M190" s="54">
        <f>IF(AND(B190&lt;&gt;"",F190&lt;&gt;"",F190&lt;TODAY(),AND(G190&lt;&gt;"✅ Выполнена",G190&lt;&gt;"❌ Отменена")),MAX($M$4:M189)+1,"")</f>
        <v/>
      </c>
    </row>
    <row r="191">
      <c r="A191" s="49">
        <f>IF(B191="","",COUNTA($B$5:B191))</f>
        <v/>
      </c>
      <c r="B191" s="50" t="n"/>
      <c r="C191" s="51" t="n"/>
      <c r="D191" s="51" t="n"/>
      <c r="E191" s="52" t="n"/>
      <c r="F191" s="53" t="n"/>
      <c r="G191" s="51" t="n"/>
      <c r="H191" s="53" t="n"/>
      <c r="I191" s="51" t="n"/>
      <c r="J191" s="54">
        <f>IF(OR(B191="",F191="",NOT(AND(G191&lt;&gt;"✅ Выполнена",G191&lt;&gt;"❌ Отменена"))),"",IF(F191&lt;TODAY(),"❗ просрочено "&amp;(TODAY()-F191)&amp;" дн.",IF(F191=TODAY(),"🔥 сегодня",IF(F191-TODAY()&lt;=3,"⏳ через "&amp;(F191-TODAY())&amp;" дн.",""))))</f>
        <v/>
      </c>
      <c r="K191" s="54">
        <f>IF(B191="","",IF(G191="✅ Выполнена","✔ ",IF(G191="❌ Отменена","✖ ",IF(AND(F191&lt;&gt;"",F191&lt;TODAY()),"❗ ","☐ ")))&amp;B191&amp;IF(E191="🔥 Высокий"," 🔥",""))</f>
        <v/>
      </c>
      <c r="L191" s="54">
        <f>IF(OR(B191="",F191="",G191="❌ Отменена"),"",F191&amp;"#"&amp;COUNTIFS($F$5:F191,F191,$B$5:B191,"?*",$G$5:G191,"&lt;&gt;❌ Отменена"))</f>
        <v/>
      </c>
      <c r="M191" s="54">
        <f>IF(AND(B191&lt;&gt;"",F191&lt;&gt;"",F191&lt;TODAY(),AND(G191&lt;&gt;"✅ Выполнена",G191&lt;&gt;"❌ Отменена")),MAX($M$4:M190)+1,"")</f>
        <v/>
      </c>
    </row>
    <row r="192">
      <c r="A192" s="49">
        <f>IF(B192="","",COUNTA($B$5:B192))</f>
        <v/>
      </c>
      <c r="B192" s="50" t="n"/>
      <c r="C192" s="51" t="n"/>
      <c r="D192" s="51" t="n"/>
      <c r="E192" s="52" t="n"/>
      <c r="F192" s="53" t="n"/>
      <c r="G192" s="51" t="n"/>
      <c r="H192" s="53" t="n"/>
      <c r="I192" s="51" t="n"/>
      <c r="J192" s="54">
        <f>IF(OR(B192="",F192="",NOT(AND(G192&lt;&gt;"✅ Выполнена",G192&lt;&gt;"❌ Отменена"))),"",IF(F192&lt;TODAY(),"❗ просрочено "&amp;(TODAY()-F192)&amp;" дн.",IF(F192=TODAY(),"🔥 сегодня",IF(F192-TODAY()&lt;=3,"⏳ через "&amp;(F192-TODAY())&amp;" дн.",""))))</f>
        <v/>
      </c>
      <c r="K192" s="54">
        <f>IF(B192="","",IF(G192="✅ Выполнена","✔ ",IF(G192="❌ Отменена","✖ ",IF(AND(F192&lt;&gt;"",F192&lt;TODAY()),"❗ ","☐ ")))&amp;B192&amp;IF(E192="🔥 Высокий"," 🔥",""))</f>
        <v/>
      </c>
      <c r="L192" s="54">
        <f>IF(OR(B192="",F192="",G192="❌ Отменена"),"",F192&amp;"#"&amp;COUNTIFS($F$5:F192,F192,$B$5:B192,"?*",$G$5:G192,"&lt;&gt;❌ Отменена"))</f>
        <v/>
      </c>
      <c r="M192" s="54">
        <f>IF(AND(B192&lt;&gt;"",F192&lt;&gt;"",F192&lt;TODAY(),AND(G192&lt;&gt;"✅ Выполнена",G192&lt;&gt;"❌ Отменена")),MAX($M$4:M191)+1,"")</f>
        <v/>
      </c>
    </row>
    <row r="193">
      <c r="A193" s="49">
        <f>IF(B193="","",COUNTA($B$5:B193))</f>
        <v/>
      </c>
      <c r="B193" s="50" t="n"/>
      <c r="C193" s="51" t="n"/>
      <c r="D193" s="51" t="n"/>
      <c r="E193" s="52" t="n"/>
      <c r="F193" s="53" t="n"/>
      <c r="G193" s="51" t="n"/>
      <c r="H193" s="53" t="n"/>
      <c r="I193" s="51" t="n"/>
      <c r="J193" s="54">
        <f>IF(OR(B193="",F193="",NOT(AND(G193&lt;&gt;"✅ Выполнена",G193&lt;&gt;"❌ Отменена"))),"",IF(F193&lt;TODAY(),"❗ просрочено "&amp;(TODAY()-F193)&amp;" дн.",IF(F193=TODAY(),"🔥 сегодня",IF(F193-TODAY()&lt;=3,"⏳ через "&amp;(F193-TODAY())&amp;" дн.",""))))</f>
        <v/>
      </c>
      <c r="K193" s="54">
        <f>IF(B193="","",IF(G193="✅ Выполнена","✔ ",IF(G193="❌ Отменена","✖ ",IF(AND(F193&lt;&gt;"",F193&lt;TODAY()),"❗ ","☐ ")))&amp;B193&amp;IF(E193="🔥 Высокий"," 🔥",""))</f>
        <v/>
      </c>
      <c r="L193" s="54">
        <f>IF(OR(B193="",F193="",G193="❌ Отменена"),"",F193&amp;"#"&amp;COUNTIFS($F$5:F193,F193,$B$5:B193,"?*",$G$5:G193,"&lt;&gt;❌ Отменена"))</f>
        <v/>
      </c>
      <c r="M193" s="54">
        <f>IF(AND(B193&lt;&gt;"",F193&lt;&gt;"",F193&lt;TODAY(),AND(G193&lt;&gt;"✅ Выполнена",G193&lt;&gt;"❌ Отменена")),MAX($M$4:M192)+1,"")</f>
        <v/>
      </c>
    </row>
    <row r="194">
      <c r="A194" s="49">
        <f>IF(B194="","",COUNTA($B$5:B194))</f>
        <v/>
      </c>
      <c r="B194" s="50" t="n"/>
      <c r="C194" s="51" t="n"/>
      <c r="D194" s="51" t="n"/>
      <c r="E194" s="52" t="n"/>
      <c r="F194" s="53" t="n"/>
      <c r="G194" s="51" t="n"/>
      <c r="H194" s="53" t="n"/>
      <c r="I194" s="51" t="n"/>
      <c r="J194" s="54">
        <f>IF(OR(B194="",F194="",NOT(AND(G194&lt;&gt;"✅ Выполнена",G194&lt;&gt;"❌ Отменена"))),"",IF(F194&lt;TODAY(),"❗ просрочено "&amp;(TODAY()-F194)&amp;" дн.",IF(F194=TODAY(),"🔥 сегодня",IF(F194-TODAY()&lt;=3,"⏳ через "&amp;(F194-TODAY())&amp;" дн.",""))))</f>
        <v/>
      </c>
      <c r="K194" s="54">
        <f>IF(B194="","",IF(G194="✅ Выполнена","✔ ",IF(G194="❌ Отменена","✖ ",IF(AND(F194&lt;&gt;"",F194&lt;TODAY()),"❗ ","☐ ")))&amp;B194&amp;IF(E194="🔥 Высокий"," 🔥",""))</f>
        <v/>
      </c>
      <c r="L194" s="54">
        <f>IF(OR(B194="",F194="",G194="❌ Отменена"),"",F194&amp;"#"&amp;COUNTIFS($F$5:F194,F194,$B$5:B194,"?*",$G$5:G194,"&lt;&gt;❌ Отменена"))</f>
        <v/>
      </c>
      <c r="M194" s="54">
        <f>IF(AND(B194&lt;&gt;"",F194&lt;&gt;"",F194&lt;TODAY(),AND(G194&lt;&gt;"✅ Выполнена",G194&lt;&gt;"❌ Отменена")),MAX($M$4:M193)+1,"")</f>
        <v/>
      </c>
    </row>
    <row r="195">
      <c r="A195" s="49">
        <f>IF(B195="","",COUNTA($B$5:B195))</f>
        <v/>
      </c>
      <c r="B195" s="50" t="n"/>
      <c r="C195" s="51" t="n"/>
      <c r="D195" s="51" t="n"/>
      <c r="E195" s="52" t="n"/>
      <c r="F195" s="53" t="n"/>
      <c r="G195" s="51" t="n"/>
      <c r="H195" s="53" t="n"/>
      <c r="I195" s="51" t="n"/>
      <c r="J195" s="54">
        <f>IF(OR(B195="",F195="",NOT(AND(G195&lt;&gt;"✅ Выполнена",G195&lt;&gt;"❌ Отменена"))),"",IF(F195&lt;TODAY(),"❗ просрочено "&amp;(TODAY()-F195)&amp;" дн.",IF(F195=TODAY(),"🔥 сегодня",IF(F195-TODAY()&lt;=3,"⏳ через "&amp;(F195-TODAY())&amp;" дн.",""))))</f>
        <v/>
      </c>
      <c r="K195" s="54">
        <f>IF(B195="","",IF(G195="✅ Выполнена","✔ ",IF(G195="❌ Отменена","✖ ",IF(AND(F195&lt;&gt;"",F195&lt;TODAY()),"❗ ","☐ ")))&amp;B195&amp;IF(E195="🔥 Высокий"," 🔥",""))</f>
        <v/>
      </c>
      <c r="L195" s="54">
        <f>IF(OR(B195="",F195="",G195="❌ Отменена"),"",F195&amp;"#"&amp;COUNTIFS($F$5:F195,F195,$B$5:B195,"?*",$G$5:G195,"&lt;&gt;❌ Отменена"))</f>
        <v/>
      </c>
      <c r="M195" s="54">
        <f>IF(AND(B195&lt;&gt;"",F195&lt;&gt;"",F195&lt;TODAY(),AND(G195&lt;&gt;"✅ Выполнена",G195&lt;&gt;"❌ Отменена")),MAX($M$4:M194)+1,"")</f>
        <v/>
      </c>
    </row>
    <row r="196">
      <c r="A196" s="49">
        <f>IF(B196="","",COUNTA($B$5:B196))</f>
        <v/>
      </c>
      <c r="B196" s="50" t="n"/>
      <c r="C196" s="51" t="n"/>
      <c r="D196" s="51" t="n"/>
      <c r="E196" s="52" t="n"/>
      <c r="F196" s="53" t="n"/>
      <c r="G196" s="51" t="n"/>
      <c r="H196" s="53" t="n"/>
      <c r="I196" s="51" t="n"/>
      <c r="J196" s="54">
        <f>IF(OR(B196="",F196="",NOT(AND(G196&lt;&gt;"✅ Выполнена",G196&lt;&gt;"❌ Отменена"))),"",IF(F196&lt;TODAY(),"❗ просрочено "&amp;(TODAY()-F196)&amp;" дн.",IF(F196=TODAY(),"🔥 сегодня",IF(F196-TODAY()&lt;=3,"⏳ через "&amp;(F196-TODAY())&amp;" дн.",""))))</f>
        <v/>
      </c>
      <c r="K196" s="54">
        <f>IF(B196="","",IF(G196="✅ Выполнена","✔ ",IF(G196="❌ Отменена","✖ ",IF(AND(F196&lt;&gt;"",F196&lt;TODAY()),"❗ ","☐ ")))&amp;B196&amp;IF(E196="🔥 Высокий"," 🔥",""))</f>
        <v/>
      </c>
      <c r="L196" s="54">
        <f>IF(OR(B196="",F196="",G196="❌ Отменена"),"",F196&amp;"#"&amp;COUNTIFS($F$5:F196,F196,$B$5:B196,"?*",$G$5:G196,"&lt;&gt;❌ Отменена"))</f>
        <v/>
      </c>
      <c r="M196" s="54">
        <f>IF(AND(B196&lt;&gt;"",F196&lt;&gt;"",F196&lt;TODAY(),AND(G196&lt;&gt;"✅ Выполнена",G196&lt;&gt;"❌ Отменена")),MAX($M$4:M195)+1,"")</f>
        <v/>
      </c>
    </row>
    <row r="197">
      <c r="A197" s="49">
        <f>IF(B197="","",COUNTA($B$5:B197))</f>
        <v/>
      </c>
      <c r="B197" s="50" t="n"/>
      <c r="C197" s="51" t="n"/>
      <c r="D197" s="51" t="n"/>
      <c r="E197" s="52" t="n"/>
      <c r="F197" s="53" t="n"/>
      <c r="G197" s="51" t="n"/>
      <c r="H197" s="53" t="n"/>
      <c r="I197" s="51" t="n"/>
      <c r="J197" s="54">
        <f>IF(OR(B197="",F197="",NOT(AND(G197&lt;&gt;"✅ Выполнена",G197&lt;&gt;"❌ Отменена"))),"",IF(F197&lt;TODAY(),"❗ просрочено "&amp;(TODAY()-F197)&amp;" дн.",IF(F197=TODAY(),"🔥 сегодня",IF(F197-TODAY()&lt;=3,"⏳ через "&amp;(F197-TODAY())&amp;" дн.",""))))</f>
        <v/>
      </c>
      <c r="K197" s="54">
        <f>IF(B197="","",IF(G197="✅ Выполнена","✔ ",IF(G197="❌ Отменена","✖ ",IF(AND(F197&lt;&gt;"",F197&lt;TODAY()),"❗ ","☐ ")))&amp;B197&amp;IF(E197="🔥 Высокий"," 🔥",""))</f>
        <v/>
      </c>
      <c r="L197" s="54">
        <f>IF(OR(B197="",F197="",G197="❌ Отменена"),"",F197&amp;"#"&amp;COUNTIFS($F$5:F197,F197,$B$5:B197,"?*",$G$5:G197,"&lt;&gt;❌ Отменена"))</f>
        <v/>
      </c>
      <c r="M197" s="54">
        <f>IF(AND(B197&lt;&gt;"",F197&lt;&gt;"",F197&lt;TODAY(),AND(G197&lt;&gt;"✅ Выполнена",G197&lt;&gt;"❌ Отменена")),MAX($M$4:M196)+1,"")</f>
        <v/>
      </c>
    </row>
    <row r="198">
      <c r="A198" s="49">
        <f>IF(B198="","",COUNTA($B$5:B198))</f>
        <v/>
      </c>
      <c r="B198" s="50" t="n"/>
      <c r="C198" s="51" t="n"/>
      <c r="D198" s="51" t="n"/>
      <c r="E198" s="52" t="n"/>
      <c r="F198" s="53" t="n"/>
      <c r="G198" s="51" t="n"/>
      <c r="H198" s="53" t="n"/>
      <c r="I198" s="51" t="n"/>
      <c r="J198" s="54">
        <f>IF(OR(B198="",F198="",NOT(AND(G198&lt;&gt;"✅ Выполнена",G198&lt;&gt;"❌ Отменена"))),"",IF(F198&lt;TODAY(),"❗ просрочено "&amp;(TODAY()-F198)&amp;" дн.",IF(F198=TODAY(),"🔥 сегодня",IF(F198-TODAY()&lt;=3,"⏳ через "&amp;(F198-TODAY())&amp;" дн.",""))))</f>
        <v/>
      </c>
      <c r="K198" s="54">
        <f>IF(B198="","",IF(G198="✅ Выполнена","✔ ",IF(G198="❌ Отменена","✖ ",IF(AND(F198&lt;&gt;"",F198&lt;TODAY()),"❗ ","☐ ")))&amp;B198&amp;IF(E198="🔥 Высокий"," 🔥",""))</f>
        <v/>
      </c>
      <c r="L198" s="54">
        <f>IF(OR(B198="",F198="",G198="❌ Отменена"),"",F198&amp;"#"&amp;COUNTIFS($F$5:F198,F198,$B$5:B198,"?*",$G$5:G198,"&lt;&gt;❌ Отменена"))</f>
        <v/>
      </c>
      <c r="M198" s="54">
        <f>IF(AND(B198&lt;&gt;"",F198&lt;&gt;"",F198&lt;TODAY(),AND(G198&lt;&gt;"✅ Выполнена",G198&lt;&gt;"❌ Отменена")),MAX($M$4:M197)+1,"")</f>
        <v/>
      </c>
    </row>
    <row r="199">
      <c r="A199" s="49">
        <f>IF(B199="","",COUNTA($B$5:B199))</f>
        <v/>
      </c>
      <c r="B199" s="50" t="n"/>
      <c r="C199" s="51" t="n"/>
      <c r="D199" s="51" t="n"/>
      <c r="E199" s="52" t="n"/>
      <c r="F199" s="53" t="n"/>
      <c r="G199" s="51" t="n"/>
      <c r="H199" s="53" t="n"/>
      <c r="I199" s="51" t="n"/>
      <c r="J199" s="54">
        <f>IF(OR(B199="",F199="",NOT(AND(G199&lt;&gt;"✅ Выполнена",G199&lt;&gt;"❌ Отменена"))),"",IF(F199&lt;TODAY(),"❗ просрочено "&amp;(TODAY()-F199)&amp;" дн.",IF(F199=TODAY(),"🔥 сегодня",IF(F199-TODAY()&lt;=3,"⏳ через "&amp;(F199-TODAY())&amp;" дн.",""))))</f>
        <v/>
      </c>
      <c r="K199" s="54">
        <f>IF(B199="","",IF(G199="✅ Выполнена","✔ ",IF(G199="❌ Отменена","✖ ",IF(AND(F199&lt;&gt;"",F199&lt;TODAY()),"❗ ","☐ ")))&amp;B199&amp;IF(E199="🔥 Высокий"," 🔥",""))</f>
        <v/>
      </c>
      <c r="L199" s="54">
        <f>IF(OR(B199="",F199="",G199="❌ Отменена"),"",F199&amp;"#"&amp;COUNTIFS($F$5:F199,F199,$B$5:B199,"?*",$G$5:G199,"&lt;&gt;❌ Отменена"))</f>
        <v/>
      </c>
      <c r="M199" s="54">
        <f>IF(AND(B199&lt;&gt;"",F199&lt;&gt;"",F199&lt;TODAY(),AND(G199&lt;&gt;"✅ Выполнена",G199&lt;&gt;"❌ Отменена")),MAX($M$4:M198)+1,"")</f>
        <v/>
      </c>
    </row>
    <row r="200">
      <c r="A200" s="49">
        <f>IF(B200="","",COUNTA($B$5:B200))</f>
        <v/>
      </c>
      <c r="B200" s="50" t="n"/>
      <c r="C200" s="51" t="n"/>
      <c r="D200" s="51" t="n"/>
      <c r="E200" s="52" t="n"/>
      <c r="F200" s="53" t="n"/>
      <c r="G200" s="51" t="n"/>
      <c r="H200" s="53" t="n"/>
      <c r="I200" s="51" t="n"/>
      <c r="J200" s="54">
        <f>IF(OR(B200="",F200="",NOT(AND(G200&lt;&gt;"✅ Выполнена",G200&lt;&gt;"❌ Отменена"))),"",IF(F200&lt;TODAY(),"❗ просрочено "&amp;(TODAY()-F200)&amp;" дн.",IF(F200=TODAY(),"🔥 сегодня",IF(F200-TODAY()&lt;=3,"⏳ через "&amp;(F200-TODAY())&amp;" дн.",""))))</f>
        <v/>
      </c>
      <c r="K200" s="54">
        <f>IF(B200="","",IF(G200="✅ Выполнена","✔ ",IF(G200="❌ Отменена","✖ ",IF(AND(F200&lt;&gt;"",F200&lt;TODAY()),"❗ ","☐ ")))&amp;B200&amp;IF(E200="🔥 Высокий"," 🔥",""))</f>
        <v/>
      </c>
      <c r="L200" s="54">
        <f>IF(OR(B200="",F200="",G200="❌ Отменена"),"",F200&amp;"#"&amp;COUNTIFS($F$5:F200,F200,$B$5:B200,"?*",$G$5:G200,"&lt;&gt;❌ Отменена"))</f>
        <v/>
      </c>
      <c r="M200" s="54">
        <f>IF(AND(B200&lt;&gt;"",F200&lt;&gt;"",F200&lt;TODAY(),AND(G200&lt;&gt;"✅ Выполнена",G200&lt;&gt;"❌ Отменена")),MAX($M$4:M199)+1,"")</f>
        <v/>
      </c>
    </row>
    <row r="201">
      <c r="A201" s="49">
        <f>IF(B201="","",COUNTA($B$5:B201))</f>
        <v/>
      </c>
      <c r="B201" s="50" t="n"/>
      <c r="C201" s="51" t="n"/>
      <c r="D201" s="51" t="n"/>
      <c r="E201" s="52" t="n"/>
      <c r="F201" s="53" t="n"/>
      <c r="G201" s="51" t="n"/>
      <c r="H201" s="53" t="n"/>
      <c r="I201" s="51" t="n"/>
      <c r="J201" s="54">
        <f>IF(OR(B201="",F201="",NOT(AND(G201&lt;&gt;"✅ Выполнена",G201&lt;&gt;"❌ Отменена"))),"",IF(F201&lt;TODAY(),"❗ просрочено "&amp;(TODAY()-F201)&amp;" дн.",IF(F201=TODAY(),"🔥 сегодня",IF(F201-TODAY()&lt;=3,"⏳ через "&amp;(F201-TODAY())&amp;" дн.",""))))</f>
        <v/>
      </c>
      <c r="K201" s="54">
        <f>IF(B201="","",IF(G201="✅ Выполнена","✔ ",IF(G201="❌ Отменена","✖ ",IF(AND(F201&lt;&gt;"",F201&lt;TODAY()),"❗ ","☐ ")))&amp;B201&amp;IF(E201="🔥 Высокий"," 🔥",""))</f>
        <v/>
      </c>
      <c r="L201" s="54">
        <f>IF(OR(B201="",F201="",G201="❌ Отменена"),"",F201&amp;"#"&amp;COUNTIFS($F$5:F201,F201,$B$5:B201,"?*",$G$5:G201,"&lt;&gt;❌ Отменена"))</f>
        <v/>
      </c>
      <c r="M201" s="54">
        <f>IF(AND(B201&lt;&gt;"",F201&lt;&gt;"",F201&lt;TODAY(),AND(G201&lt;&gt;"✅ Выполнена",G201&lt;&gt;"❌ Отменена")),MAX($M$4:M200)+1,"")</f>
        <v/>
      </c>
    </row>
    <row r="202">
      <c r="A202" s="49">
        <f>IF(B202="","",COUNTA($B$5:B202))</f>
        <v/>
      </c>
      <c r="B202" s="50" t="n"/>
      <c r="C202" s="51" t="n"/>
      <c r="D202" s="51" t="n"/>
      <c r="E202" s="52" t="n"/>
      <c r="F202" s="53" t="n"/>
      <c r="G202" s="51" t="n"/>
      <c r="H202" s="53" t="n"/>
      <c r="I202" s="51" t="n"/>
      <c r="J202" s="54">
        <f>IF(OR(B202="",F202="",NOT(AND(G202&lt;&gt;"✅ Выполнена",G202&lt;&gt;"❌ Отменена"))),"",IF(F202&lt;TODAY(),"❗ просрочено "&amp;(TODAY()-F202)&amp;" дн.",IF(F202=TODAY(),"🔥 сегодня",IF(F202-TODAY()&lt;=3,"⏳ через "&amp;(F202-TODAY())&amp;" дн.",""))))</f>
        <v/>
      </c>
      <c r="K202" s="54">
        <f>IF(B202="","",IF(G202="✅ Выполнена","✔ ",IF(G202="❌ Отменена","✖ ",IF(AND(F202&lt;&gt;"",F202&lt;TODAY()),"❗ ","☐ ")))&amp;B202&amp;IF(E202="🔥 Высокий"," 🔥",""))</f>
        <v/>
      </c>
      <c r="L202" s="54">
        <f>IF(OR(B202="",F202="",G202="❌ Отменена"),"",F202&amp;"#"&amp;COUNTIFS($F$5:F202,F202,$B$5:B202,"?*",$G$5:G202,"&lt;&gt;❌ Отменена"))</f>
        <v/>
      </c>
      <c r="M202" s="54">
        <f>IF(AND(B202&lt;&gt;"",F202&lt;&gt;"",F202&lt;TODAY(),AND(G202&lt;&gt;"✅ Выполнена",G202&lt;&gt;"❌ Отменена")),MAX($M$4:M201)+1,"")</f>
        <v/>
      </c>
    </row>
    <row r="203">
      <c r="A203" s="49">
        <f>IF(B203="","",COUNTA($B$5:B203))</f>
        <v/>
      </c>
      <c r="B203" s="50" t="n"/>
      <c r="C203" s="51" t="n"/>
      <c r="D203" s="51" t="n"/>
      <c r="E203" s="52" t="n"/>
      <c r="F203" s="53" t="n"/>
      <c r="G203" s="51" t="n"/>
      <c r="H203" s="53" t="n"/>
      <c r="I203" s="51" t="n"/>
      <c r="J203" s="54">
        <f>IF(OR(B203="",F203="",NOT(AND(G203&lt;&gt;"✅ Выполнена",G203&lt;&gt;"❌ Отменена"))),"",IF(F203&lt;TODAY(),"❗ просрочено "&amp;(TODAY()-F203)&amp;" дн.",IF(F203=TODAY(),"🔥 сегодня",IF(F203-TODAY()&lt;=3,"⏳ через "&amp;(F203-TODAY())&amp;" дн.",""))))</f>
        <v/>
      </c>
      <c r="K203" s="54">
        <f>IF(B203="","",IF(G203="✅ Выполнена","✔ ",IF(G203="❌ Отменена","✖ ",IF(AND(F203&lt;&gt;"",F203&lt;TODAY()),"❗ ","☐ ")))&amp;B203&amp;IF(E203="🔥 Высокий"," 🔥",""))</f>
        <v/>
      </c>
      <c r="L203" s="54">
        <f>IF(OR(B203="",F203="",G203="❌ Отменена"),"",F203&amp;"#"&amp;COUNTIFS($F$5:F203,F203,$B$5:B203,"?*",$G$5:G203,"&lt;&gt;❌ Отменена"))</f>
        <v/>
      </c>
      <c r="M203" s="54">
        <f>IF(AND(B203&lt;&gt;"",F203&lt;&gt;"",F203&lt;TODAY(),AND(G203&lt;&gt;"✅ Выполнена",G203&lt;&gt;"❌ Отменена")),MAX($M$4:M202)+1,"")</f>
        <v/>
      </c>
    </row>
    <row r="204">
      <c r="A204" s="49">
        <f>IF(B204="","",COUNTA($B$5:B204))</f>
        <v/>
      </c>
      <c r="B204" s="50" t="n"/>
      <c r="C204" s="51" t="n"/>
      <c r="D204" s="51" t="n"/>
      <c r="E204" s="52" t="n"/>
      <c r="F204" s="53" t="n"/>
      <c r="G204" s="51" t="n"/>
      <c r="H204" s="53" t="n"/>
      <c r="I204" s="51" t="n"/>
      <c r="J204" s="54">
        <f>IF(OR(B204="",F204="",NOT(AND(G204&lt;&gt;"✅ Выполнена",G204&lt;&gt;"❌ Отменена"))),"",IF(F204&lt;TODAY(),"❗ просрочено "&amp;(TODAY()-F204)&amp;" дн.",IF(F204=TODAY(),"🔥 сегодня",IF(F204-TODAY()&lt;=3,"⏳ через "&amp;(F204-TODAY())&amp;" дн.",""))))</f>
        <v/>
      </c>
      <c r="K204" s="54">
        <f>IF(B204="","",IF(G204="✅ Выполнена","✔ ",IF(G204="❌ Отменена","✖ ",IF(AND(F204&lt;&gt;"",F204&lt;TODAY()),"❗ ","☐ ")))&amp;B204&amp;IF(E204="🔥 Высокий"," 🔥",""))</f>
        <v/>
      </c>
      <c r="L204" s="54">
        <f>IF(OR(B204="",F204="",G204="❌ Отменена"),"",F204&amp;"#"&amp;COUNTIFS($F$5:F204,F204,$B$5:B204,"?*",$G$5:G204,"&lt;&gt;❌ Отменена"))</f>
        <v/>
      </c>
      <c r="M204" s="54">
        <f>IF(AND(B204&lt;&gt;"",F204&lt;&gt;"",F204&lt;TODAY(),AND(G204&lt;&gt;"✅ Выполнена",G204&lt;&gt;"❌ Отменена")),MAX($M$4:M203)+1,"")</f>
        <v/>
      </c>
    </row>
    <row r="205">
      <c r="A205" s="49">
        <f>IF(B205="","",COUNTA($B$5:B205))</f>
        <v/>
      </c>
      <c r="B205" s="50" t="n"/>
      <c r="C205" s="51" t="n"/>
      <c r="D205" s="51" t="n"/>
      <c r="E205" s="52" t="n"/>
      <c r="F205" s="53" t="n"/>
      <c r="G205" s="51" t="n"/>
      <c r="H205" s="53" t="n"/>
      <c r="I205" s="51" t="n"/>
      <c r="J205" s="54">
        <f>IF(OR(B205="",F205="",NOT(AND(G205&lt;&gt;"✅ Выполнена",G205&lt;&gt;"❌ Отменена"))),"",IF(F205&lt;TODAY(),"❗ просрочено "&amp;(TODAY()-F205)&amp;" дн.",IF(F205=TODAY(),"🔥 сегодня",IF(F205-TODAY()&lt;=3,"⏳ через "&amp;(F205-TODAY())&amp;" дн.",""))))</f>
        <v/>
      </c>
      <c r="K205" s="54">
        <f>IF(B205="","",IF(G205="✅ Выполнена","✔ ",IF(G205="❌ Отменена","✖ ",IF(AND(F205&lt;&gt;"",F205&lt;TODAY()),"❗ ","☐ ")))&amp;B205&amp;IF(E205="🔥 Высокий"," 🔥",""))</f>
        <v/>
      </c>
      <c r="L205" s="54">
        <f>IF(OR(B205="",F205="",G205="❌ Отменена"),"",F205&amp;"#"&amp;COUNTIFS($F$5:F205,F205,$B$5:B205,"?*",$G$5:G205,"&lt;&gt;❌ Отменена"))</f>
        <v/>
      </c>
      <c r="M205" s="54">
        <f>IF(AND(B205&lt;&gt;"",F205&lt;&gt;"",F205&lt;TODAY(),AND(G205&lt;&gt;"✅ Выполнена",G205&lt;&gt;"❌ Отменена")),MAX($M$4:M204)+1,"")</f>
        <v/>
      </c>
    </row>
    <row r="206">
      <c r="A206" s="49">
        <f>IF(B206="","",COUNTA($B$5:B206))</f>
        <v/>
      </c>
      <c r="B206" s="50" t="n"/>
      <c r="C206" s="51" t="n"/>
      <c r="D206" s="51" t="n"/>
      <c r="E206" s="52" t="n"/>
      <c r="F206" s="53" t="n"/>
      <c r="G206" s="51" t="n"/>
      <c r="H206" s="53" t="n"/>
      <c r="I206" s="51" t="n"/>
      <c r="J206" s="54">
        <f>IF(OR(B206="",F206="",NOT(AND(G206&lt;&gt;"✅ Выполнена",G206&lt;&gt;"❌ Отменена"))),"",IF(F206&lt;TODAY(),"❗ просрочено "&amp;(TODAY()-F206)&amp;" дн.",IF(F206=TODAY(),"🔥 сегодня",IF(F206-TODAY()&lt;=3,"⏳ через "&amp;(F206-TODAY())&amp;" дн.",""))))</f>
        <v/>
      </c>
      <c r="K206" s="54">
        <f>IF(B206="","",IF(G206="✅ Выполнена","✔ ",IF(G206="❌ Отменена","✖ ",IF(AND(F206&lt;&gt;"",F206&lt;TODAY()),"❗ ","☐ ")))&amp;B206&amp;IF(E206="🔥 Высокий"," 🔥",""))</f>
        <v/>
      </c>
      <c r="L206" s="54">
        <f>IF(OR(B206="",F206="",G206="❌ Отменена"),"",F206&amp;"#"&amp;COUNTIFS($F$5:F206,F206,$B$5:B206,"?*",$G$5:G206,"&lt;&gt;❌ Отменена"))</f>
        <v/>
      </c>
      <c r="M206" s="54">
        <f>IF(AND(B206&lt;&gt;"",F206&lt;&gt;"",F206&lt;TODAY(),AND(G206&lt;&gt;"✅ Выполнена",G206&lt;&gt;"❌ Отменена")),MAX($M$4:M205)+1,"")</f>
        <v/>
      </c>
    </row>
    <row r="207">
      <c r="A207" s="49">
        <f>IF(B207="","",COUNTA($B$5:B207))</f>
        <v/>
      </c>
      <c r="B207" s="50" t="n"/>
      <c r="C207" s="51" t="n"/>
      <c r="D207" s="51" t="n"/>
      <c r="E207" s="52" t="n"/>
      <c r="F207" s="53" t="n"/>
      <c r="G207" s="51" t="n"/>
      <c r="H207" s="53" t="n"/>
      <c r="I207" s="51" t="n"/>
      <c r="J207" s="54">
        <f>IF(OR(B207="",F207="",NOT(AND(G207&lt;&gt;"✅ Выполнена",G207&lt;&gt;"❌ Отменена"))),"",IF(F207&lt;TODAY(),"❗ просрочено "&amp;(TODAY()-F207)&amp;" дн.",IF(F207=TODAY(),"🔥 сегодня",IF(F207-TODAY()&lt;=3,"⏳ через "&amp;(F207-TODAY())&amp;" дн.",""))))</f>
        <v/>
      </c>
      <c r="K207" s="54">
        <f>IF(B207="","",IF(G207="✅ Выполнена","✔ ",IF(G207="❌ Отменена","✖ ",IF(AND(F207&lt;&gt;"",F207&lt;TODAY()),"❗ ","☐ ")))&amp;B207&amp;IF(E207="🔥 Высокий"," 🔥",""))</f>
        <v/>
      </c>
      <c r="L207" s="54">
        <f>IF(OR(B207="",F207="",G207="❌ Отменена"),"",F207&amp;"#"&amp;COUNTIFS($F$5:F207,F207,$B$5:B207,"?*",$G$5:G207,"&lt;&gt;❌ Отменена"))</f>
        <v/>
      </c>
      <c r="M207" s="54">
        <f>IF(AND(B207&lt;&gt;"",F207&lt;&gt;"",F207&lt;TODAY(),AND(G207&lt;&gt;"✅ Выполнена",G207&lt;&gt;"❌ Отменена")),MAX($M$4:M206)+1,"")</f>
        <v/>
      </c>
    </row>
    <row r="208">
      <c r="A208" s="49">
        <f>IF(B208="","",COUNTA($B$5:B208))</f>
        <v/>
      </c>
      <c r="B208" s="50" t="n"/>
      <c r="C208" s="51" t="n"/>
      <c r="D208" s="51" t="n"/>
      <c r="E208" s="52" t="n"/>
      <c r="F208" s="53" t="n"/>
      <c r="G208" s="51" t="n"/>
      <c r="H208" s="53" t="n"/>
      <c r="I208" s="51" t="n"/>
      <c r="J208" s="54">
        <f>IF(OR(B208="",F208="",NOT(AND(G208&lt;&gt;"✅ Выполнена",G208&lt;&gt;"❌ Отменена"))),"",IF(F208&lt;TODAY(),"❗ просрочено "&amp;(TODAY()-F208)&amp;" дн.",IF(F208=TODAY(),"🔥 сегодня",IF(F208-TODAY()&lt;=3,"⏳ через "&amp;(F208-TODAY())&amp;" дн.",""))))</f>
        <v/>
      </c>
      <c r="K208" s="54">
        <f>IF(B208="","",IF(G208="✅ Выполнена","✔ ",IF(G208="❌ Отменена","✖ ",IF(AND(F208&lt;&gt;"",F208&lt;TODAY()),"❗ ","☐ ")))&amp;B208&amp;IF(E208="🔥 Высокий"," 🔥",""))</f>
        <v/>
      </c>
      <c r="L208" s="54">
        <f>IF(OR(B208="",F208="",G208="❌ Отменена"),"",F208&amp;"#"&amp;COUNTIFS($F$5:F208,F208,$B$5:B208,"?*",$G$5:G208,"&lt;&gt;❌ Отменена"))</f>
        <v/>
      </c>
      <c r="M208" s="54">
        <f>IF(AND(B208&lt;&gt;"",F208&lt;&gt;"",F208&lt;TODAY(),AND(G208&lt;&gt;"✅ Выполнена",G208&lt;&gt;"❌ Отменена")),MAX($M$4:M207)+1,"")</f>
        <v/>
      </c>
    </row>
    <row r="209">
      <c r="A209" s="49">
        <f>IF(B209="","",COUNTA($B$5:B209))</f>
        <v/>
      </c>
      <c r="B209" s="50" t="n"/>
      <c r="C209" s="51" t="n"/>
      <c r="D209" s="51" t="n"/>
      <c r="E209" s="52" t="n"/>
      <c r="F209" s="53" t="n"/>
      <c r="G209" s="51" t="n"/>
      <c r="H209" s="53" t="n"/>
      <c r="I209" s="51" t="n"/>
      <c r="J209" s="54">
        <f>IF(OR(B209="",F209="",NOT(AND(G209&lt;&gt;"✅ Выполнена",G209&lt;&gt;"❌ Отменена"))),"",IF(F209&lt;TODAY(),"❗ просрочено "&amp;(TODAY()-F209)&amp;" дн.",IF(F209=TODAY(),"🔥 сегодня",IF(F209-TODAY()&lt;=3,"⏳ через "&amp;(F209-TODAY())&amp;" дн.",""))))</f>
        <v/>
      </c>
      <c r="K209" s="54">
        <f>IF(B209="","",IF(G209="✅ Выполнена","✔ ",IF(G209="❌ Отменена","✖ ",IF(AND(F209&lt;&gt;"",F209&lt;TODAY()),"❗ ","☐ ")))&amp;B209&amp;IF(E209="🔥 Высокий"," 🔥",""))</f>
        <v/>
      </c>
      <c r="L209" s="54">
        <f>IF(OR(B209="",F209="",G209="❌ Отменена"),"",F209&amp;"#"&amp;COUNTIFS($F$5:F209,F209,$B$5:B209,"?*",$G$5:G209,"&lt;&gt;❌ Отменена"))</f>
        <v/>
      </c>
      <c r="M209" s="54">
        <f>IF(AND(B209&lt;&gt;"",F209&lt;&gt;"",F209&lt;TODAY(),AND(G209&lt;&gt;"✅ Выполнена",G209&lt;&gt;"❌ Отменена")),MAX($M$4:M208)+1,"")</f>
        <v/>
      </c>
    </row>
    <row r="210">
      <c r="A210" s="49">
        <f>IF(B210="","",COUNTA($B$5:B210))</f>
        <v/>
      </c>
      <c r="B210" s="50" t="n"/>
      <c r="C210" s="51" t="n"/>
      <c r="D210" s="51" t="n"/>
      <c r="E210" s="52" t="n"/>
      <c r="F210" s="53" t="n"/>
      <c r="G210" s="51" t="n"/>
      <c r="H210" s="53" t="n"/>
      <c r="I210" s="51" t="n"/>
      <c r="J210" s="54">
        <f>IF(OR(B210="",F210="",NOT(AND(G210&lt;&gt;"✅ Выполнена",G210&lt;&gt;"❌ Отменена"))),"",IF(F210&lt;TODAY(),"❗ просрочено "&amp;(TODAY()-F210)&amp;" дн.",IF(F210=TODAY(),"🔥 сегодня",IF(F210-TODAY()&lt;=3,"⏳ через "&amp;(F210-TODAY())&amp;" дн.",""))))</f>
        <v/>
      </c>
      <c r="K210" s="54">
        <f>IF(B210="","",IF(G210="✅ Выполнена","✔ ",IF(G210="❌ Отменена","✖ ",IF(AND(F210&lt;&gt;"",F210&lt;TODAY()),"❗ ","☐ ")))&amp;B210&amp;IF(E210="🔥 Высокий"," 🔥",""))</f>
        <v/>
      </c>
      <c r="L210" s="54">
        <f>IF(OR(B210="",F210="",G210="❌ Отменена"),"",F210&amp;"#"&amp;COUNTIFS($F$5:F210,F210,$B$5:B210,"?*",$G$5:G210,"&lt;&gt;❌ Отменена"))</f>
        <v/>
      </c>
      <c r="M210" s="54">
        <f>IF(AND(B210&lt;&gt;"",F210&lt;&gt;"",F210&lt;TODAY(),AND(G210&lt;&gt;"✅ Выполнена",G210&lt;&gt;"❌ Отменена")),MAX($M$4:M209)+1,"")</f>
        <v/>
      </c>
    </row>
    <row r="211">
      <c r="A211" s="49">
        <f>IF(B211="","",COUNTA($B$5:B211))</f>
        <v/>
      </c>
      <c r="B211" s="50" t="n"/>
      <c r="C211" s="51" t="n"/>
      <c r="D211" s="51" t="n"/>
      <c r="E211" s="52" t="n"/>
      <c r="F211" s="53" t="n"/>
      <c r="G211" s="51" t="n"/>
      <c r="H211" s="53" t="n"/>
      <c r="I211" s="51" t="n"/>
      <c r="J211" s="54">
        <f>IF(OR(B211="",F211="",NOT(AND(G211&lt;&gt;"✅ Выполнена",G211&lt;&gt;"❌ Отменена"))),"",IF(F211&lt;TODAY(),"❗ просрочено "&amp;(TODAY()-F211)&amp;" дн.",IF(F211=TODAY(),"🔥 сегодня",IF(F211-TODAY()&lt;=3,"⏳ через "&amp;(F211-TODAY())&amp;" дн.",""))))</f>
        <v/>
      </c>
      <c r="K211" s="54">
        <f>IF(B211="","",IF(G211="✅ Выполнена","✔ ",IF(G211="❌ Отменена","✖ ",IF(AND(F211&lt;&gt;"",F211&lt;TODAY()),"❗ ","☐ ")))&amp;B211&amp;IF(E211="🔥 Высокий"," 🔥",""))</f>
        <v/>
      </c>
      <c r="L211" s="54">
        <f>IF(OR(B211="",F211="",G211="❌ Отменена"),"",F211&amp;"#"&amp;COUNTIFS($F$5:F211,F211,$B$5:B211,"?*",$G$5:G211,"&lt;&gt;❌ Отменена"))</f>
        <v/>
      </c>
      <c r="M211" s="54">
        <f>IF(AND(B211&lt;&gt;"",F211&lt;&gt;"",F211&lt;TODAY(),AND(G211&lt;&gt;"✅ Выполнена",G211&lt;&gt;"❌ Отменена")),MAX($M$4:M210)+1,"")</f>
        <v/>
      </c>
    </row>
    <row r="212">
      <c r="A212" s="49">
        <f>IF(B212="","",COUNTA($B$5:B212))</f>
        <v/>
      </c>
      <c r="B212" s="50" t="n"/>
      <c r="C212" s="51" t="n"/>
      <c r="D212" s="51" t="n"/>
      <c r="E212" s="52" t="n"/>
      <c r="F212" s="53" t="n"/>
      <c r="G212" s="51" t="n"/>
      <c r="H212" s="53" t="n"/>
      <c r="I212" s="51" t="n"/>
      <c r="J212" s="54">
        <f>IF(OR(B212="",F212="",NOT(AND(G212&lt;&gt;"✅ Выполнена",G212&lt;&gt;"❌ Отменена"))),"",IF(F212&lt;TODAY(),"❗ просрочено "&amp;(TODAY()-F212)&amp;" дн.",IF(F212=TODAY(),"🔥 сегодня",IF(F212-TODAY()&lt;=3,"⏳ через "&amp;(F212-TODAY())&amp;" дн.",""))))</f>
        <v/>
      </c>
      <c r="K212" s="54">
        <f>IF(B212="","",IF(G212="✅ Выполнена","✔ ",IF(G212="❌ Отменена","✖ ",IF(AND(F212&lt;&gt;"",F212&lt;TODAY()),"❗ ","☐ ")))&amp;B212&amp;IF(E212="🔥 Высокий"," 🔥",""))</f>
        <v/>
      </c>
      <c r="L212" s="54">
        <f>IF(OR(B212="",F212="",G212="❌ Отменена"),"",F212&amp;"#"&amp;COUNTIFS($F$5:F212,F212,$B$5:B212,"?*",$G$5:G212,"&lt;&gt;❌ Отменена"))</f>
        <v/>
      </c>
      <c r="M212" s="54">
        <f>IF(AND(B212&lt;&gt;"",F212&lt;&gt;"",F212&lt;TODAY(),AND(G212&lt;&gt;"✅ Выполнена",G212&lt;&gt;"❌ Отменена")),MAX($M$4:M211)+1,"")</f>
        <v/>
      </c>
    </row>
    <row r="213">
      <c r="A213" s="49">
        <f>IF(B213="","",COUNTA($B$5:B213))</f>
        <v/>
      </c>
      <c r="B213" s="50" t="n"/>
      <c r="C213" s="51" t="n"/>
      <c r="D213" s="51" t="n"/>
      <c r="E213" s="52" t="n"/>
      <c r="F213" s="53" t="n"/>
      <c r="G213" s="51" t="n"/>
      <c r="H213" s="53" t="n"/>
      <c r="I213" s="51" t="n"/>
      <c r="J213" s="54">
        <f>IF(OR(B213="",F213="",NOT(AND(G213&lt;&gt;"✅ Выполнена",G213&lt;&gt;"❌ Отменена"))),"",IF(F213&lt;TODAY(),"❗ просрочено "&amp;(TODAY()-F213)&amp;" дн.",IF(F213=TODAY(),"🔥 сегодня",IF(F213-TODAY()&lt;=3,"⏳ через "&amp;(F213-TODAY())&amp;" дн.",""))))</f>
        <v/>
      </c>
      <c r="K213" s="54">
        <f>IF(B213="","",IF(G213="✅ Выполнена","✔ ",IF(G213="❌ Отменена","✖ ",IF(AND(F213&lt;&gt;"",F213&lt;TODAY()),"❗ ","☐ ")))&amp;B213&amp;IF(E213="🔥 Высокий"," 🔥",""))</f>
        <v/>
      </c>
      <c r="L213" s="54">
        <f>IF(OR(B213="",F213="",G213="❌ Отменена"),"",F213&amp;"#"&amp;COUNTIFS($F$5:F213,F213,$B$5:B213,"?*",$G$5:G213,"&lt;&gt;❌ Отменена"))</f>
        <v/>
      </c>
      <c r="M213" s="54">
        <f>IF(AND(B213&lt;&gt;"",F213&lt;&gt;"",F213&lt;TODAY(),AND(G213&lt;&gt;"✅ Выполнена",G213&lt;&gt;"❌ Отменена")),MAX($M$4:M212)+1,"")</f>
        <v/>
      </c>
    </row>
    <row r="214">
      <c r="A214" s="49">
        <f>IF(B214="","",COUNTA($B$5:B214))</f>
        <v/>
      </c>
      <c r="B214" s="50" t="n"/>
      <c r="C214" s="51" t="n"/>
      <c r="D214" s="51" t="n"/>
      <c r="E214" s="52" t="n"/>
      <c r="F214" s="53" t="n"/>
      <c r="G214" s="51" t="n"/>
      <c r="H214" s="53" t="n"/>
      <c r="I214" s="51" t="n"/>
      <c r="J214" s="54">
        <f>IF(OR(B214="",F214="",NOT(AND(G214&lt;&gt;"✅ Выполнена",G214&lt;&gt;"❌ Отменена"))),"",IF(F214&lt;TODAY(),"❗ просрочено "&amp;(TODAY()-F214)&amp;" дн.",IF(F214=TODAY(),"🔥 сегодня",IF(F214-TODAY()&lt;=3,"⏳ через "&amp;(F214-TODAY())&amp;" дн.",""))))</f>
        <v/>
      </c>
      <c r="K214" s="54">
        <f>IF(B214="","",IF(G214="✅ Выполнена","✔ ",IF(G214="❌ Отменена","✖ ",IF(AND(F214&lt;&gt;"",F214&lt;TODAY()),"❗ ","☐ ")))&amp;B214&amp;IF(E214="🔥 Высокий"," 🔥",""))</f>
        <v/>
      </c>
      <c r="L214" s="54">
        <f>IF(OR(B214="",F214="",G214="❌ Отменена"),"",F214&amp;"#"&amp;COUNTIFS($F$5:F214,F214,$B$5:B214,"?*",$G$5:G214,"&lt;&gt;❌ Отменена"))</f>
        <v/>
      </c>
      <c r="M214" s="54">
        <f>IF(AND(B214&lt;&gt;"",F214&lt;&gt;"",F214&lt;TODAY(),AND(G214&lt;&gt;"✅ Выполнена",G214&lt;&gt;"❌ Отменена")),MAX($M$4:M213)+1,"")</f>
        <v/>
      </c>
    </row>
    <row r="215">
      <c r="A215" s="49">
        <f>IF(B215="","",COUNTA($B$5:B215))</f>
        <v/>
      </c>
      <c r="B215" s="50" t="n"/>
      <c r="C215" s="51" t="n"/>
      <c r="D215" s="51" t="n"/>
      <c r="E215" s="52" t="n"/>
      <c r="F215" s="53" t="n"/>
      <c r="G215" s="51" t="n"/>
      <c r="H215" s="53" t="n"/>
      <c r="I215" s="51" t="n"/>
      <c r="J215" s="54">
        <f>IF(OR(B215="",F215="",NOT(AND(G215&lt;&gt;"✅ Выполнена",G215&lt;&gt;"❌ Отменена"))),"",IF(F215&lt;TODAY(),"❗ просрочено "&amp;(TODAY()-F215)&amp;" дн.",IF(F215=TODAY(),"🔥 сегодня",IF(F215-TODAY()&lt;=3,"⏳ через "&amp;(F215-TODAY())&amp;" дн.",""))))</f>
        <v/>
      </c>
      <c r="K215" s="54">
        <f>IF(B215="","",IF(G215="✅ Выполнена","✔ ",IF(G215="❌ Отменена","✖ ",IF(AND(F215&lt;&gt;"",F215&lt;TODAY()),"❗ ","☐ ")))&amp;B215&amp;IF(E215="🔥 Высокий"," 🔥",""))</f>
        <v/>
      </c>
      <c r="L215" s="54">
        <f>IF(OR(B215="",F215="",G215="❌ Отменена"),"",F215&amp;"#"&amp;COUNTIFS($F$5:F215,F215,$B$5:B215,"?*",$G$5:G215,"&lt;&gt;❌ Отменена"))</f>
        <v/>
      </c>
      <c r="M215" s="54">
        <f>IF(AND(B215&lt;&gt;"",F215&lt;&gt;"",F215&lt;TODAY(),AND(G215&lt;&gt;"✅ Выполнена",G215&lt;&gt;"❌ Отменена")),MAX($M$4:M214)+1,"")</f>
        <v/>
      </c>
    </row>
    <row r="216">
      <c r="A216" s="49">
        <f>IF(B216="","",COUNTA($B$5:B216))</f>
        <v/>
      </c>
      <c r="B216" s="50" t="n"/>
      <c r="C216" s="51" t="n"/>
      <c r="D216" s="51" t="n"/>
      <c r="E216" s="52" t="n"/>
      <c r="F216" s="53" t="n"/>
      <c r="G216" s="51" t="n"/>
      <c r="H216" s="53" t="n"/>
      <c r="I216" s="51" t="n"/>
      <c r="J216" s="54">
        <f>IF(OR(B216="",F216="",NOT(AND(G216&lt;&gt;"✅ Выполнена",G216&lt;&gt;"❌ Отменена"))),"",IF(F216&lt;TODAY(),"❗ просрочено "&amp;(TODAY()-F216)&amp;" дн.",IF(F216=TODAY(),"🔥 сегодня",IF(F216-TODAY()&lt;=3,"⏳ через "&amp;(F216-TODAY())&amp;" дн.",""))))</f>
        <v/>
      </c>
      <c r="K216" s="54">
        <f>IF(B216="","",IF(G216="✅ Выполнена","✔ ",IF(G216="❌ Отменена","✖ ",IF(AND(F216&lt;&gt;"",F216&lt;TODAY()),"❗ ","☐ ")))&amp;B216&amp;IF(E216="🔥 Высокий"," 🔥",""))</f>
        <v/>
      </c>
      <c r="L216" s="54">
        <f>IF(OR(B216="",F216="",G216="❌ Отменена"),"",F216&amp;"#"&amp;COUNTIFS($F$5:F216,F216,$B$5:B216,"?*",$G$5:G216,"&lt;&gt;❌ Отменена"))</f>
        <v/>
      </c>
      <c r="M216" s="54">
        <f>IF(AND(B216&lt;&gt;"",F216&lt;&gt;"",F216&lt;TODAY(),AND(G216&lt;&gt;"✅ Выполнена",G216&lt;&gt;"❌ Отменена")),MAX($M$4:M215)+1,"")</f>
        <v/>
      </c>
    </row>
    <row r="217">
      <c r="A217" s="49">
        <f>IF(B217="","",COUNTA($B$5:B217))</f>
        <v/>
      </c>
      <c r="B217" s="50" t="n"/>
      <c r="C217" s="51" t="n"/>
      <c r="D217" s="51" t="n"/>
      <c r="E217" s="52" t="n"/>
      <c r="F217" s="53" t="n"/>
      <c r="G217" s="51" t="n"/>
      <c r="H217" s="53" t="n"/>
      <c r="I217" s="51" t="n"/>
      <c r="J217" s="54">
        <f>IF(OR(B217="",F217="",NOT(AND(G217&lt;&gt;"✅ Выполнена",G217&lt;&gt;"❌ Отменена"))),"",IF(F217&lt;TODAY(),"❗ просрочено "&amp;(TODAY()-F217)&amp;" дн.",IF(F217=TODAY(),"🔥 сегодня",IF(F217-TODAY()&lt;=3,"⏳ через "&amp;(F217-TODAY())&amp;" дн.",""))))</f>
        <v/>
      </c>
      <c r="K217" s="54">
        <f>IF(B217="","",IF(G217="✅ Выполнена","✔ ",IF(G217="❌ Отменена","✖ ",IF(AND(F217&lt;&gt;"",F217&lt;TODAY()),"❗ ","☐ ")))&amp;B217&amp;IF(E217="🔥 Высокий"," 🔥",""))</f>
        <v/>
      </c>
      <c r="L217" s="54">
        <f>IF(OR(B217="",F217="",G217="❌ Отменена"),"",F217&amp;"#"&amp;COUNTIFS($F$5:F217,F217,$B$5:B217,"?*",$G$5:G217,"&lt;&gt;❌ Отменена"))</f>
        <v/>
      </c>
      <c r="M217" s="54">
        <f>IF(AND(B217&lt;&gt;"",F217&lt;&gt;"",F217&lt;TODAY(),AND(G217&lt;&gt;"✅ Выполнена",G217&lt;&gt;"❌ Отменена")),MAX($M$4:M216)+1,"")</f>
        <v/>
      </c>
    </row>
    <row r="218">
      <c r="A218" s="49">
        <f>IF(B218="","",COUNTA($B$5:B218))</f>
        <v/>
      </c>
      <c r="B218" s="50" t="n"/>
      <c r="C218" s="51" t="n"/>
      <c r="D218" s="51" t="n"/>
      <c r="E218" s="52" t="n"/>
      <c r="F218" s="53" t="n"/>
      <c r="G218" s="51" t="n"/>
      <c r="H218" s="53" t="n"/>
      <c r="I218" s="51" t="n"/>
      <c r="J218" s="54">
        <f>IF(OR(B218="",F218="",NOT(AND(G218&lt;&gt;"✅ Выполнена",G218&lt;&gt;"❌ Отменена"))),"",IF(F218&lt;TODAY(),"❗ просрочено "&amp;(TODAY()-F218)&amp;" дн.",IF(F218=TODAY(),"🔥 сегодня",IF(F218-TODAY()&lt;=3,"⏳ через "&amp;(F218-TODAY())&amp;" дн.",""))))</f>
        <v/>
      </c>
      <c r="K218" s="54">
        <f>IF(B218="","",IF(G218="✅ Выполнена","✔ ",IF(G218="❌ Отменена","✖ ",IF(AND(F218&lt;&gt;"",F218&lt;TODAY()),"❗ ","☐ ")))&amp;B218&amp;IF(E218="🔥 Высокий"," 🔥",""))</f>
        <v/>
      </c>
      <c r="L218" s="54">
        <f>IF(OR(B218="",F218="",G218="❌ Отменена"),"",F218&amp;"#"&amp;COUNTIFS($F$5:F218,F218,$B$5:B218,"?*",$G$5:G218,"&lt;&gt;❌ Отменена"))</f>
        <v/>
      </c>
      <c r="M218" s="54">
        <f>IF(AND(B218&lt;&gt;"",F218&lt;&gt;"",F218&lt;TODAY(),AND(G218&lt;&gt;"✅ Выполнена",G218&lt;&gt;"❌ Отменена")),MAX($M$4:M217)+1,"")</f>
        <v/>
      </c>
    </row>
    <row r="219">
      <c r="A219" s="49">
        <f>IF(B219="","",COUNTA($B$5:B219))</f>
        <v/>
      </c>
      <c r="B219" s="50" t="n"/>
      <c r="C219" s="51" t="n"/>
      <c r="D219" s="51" t="n"/>
      <c r="E219" s="52" t="n"/>
      <c r="F219" s="53" t="n"/>
      <c r="G219" s="51" t="n"/>
      <c r="H219" s="53" t="n"/>
      <c r="I219" s="51" t="n"/>
      <c r="J219" s="54">
        <f>IF(OR(B219="",F219="",NOT(AND(G219&lt;&gt;"✅ Выполнена",G219&lt;&gt;"❌ Отменена"))),"",IF(F219&lt;TODAY(),"❗ просрочено "&amp;(TODAY()-F219)&amp;" дн.",IF(F219=TODAY(),"🔥 сегодня",IF(F219-TODAY()&lt;=3,"⏳ через "&amp;(F219-TODAY())&amp;" дн.",""))))</f>
        <v/>
      </c>
      <c r="K219" s="54">
        <f>IF(B219="","",IF(G219="✅ Выполнена","✔ ",IF(G219="❌ Отменена","✖ ",IF(AND(F219&lt;&gt;"",F219&lt;TODAY()),"❗ ","☐ ")))&amp;B219&amp;IF(E219="🔥 Высокий"," 🔥",""))</f>
        <v/>
      </c>
      <c r="L219" s="54">
        <f>IF(OR(B219="",F219="",G219="❌ Отменена"),"",F219&amp;"#"&amp;COUNTIFS($F$5:F219,F219,$B$5:B219,"?*",$G$5:G219,"&lt;&gt;❌ Отменена"))</f>
        <v/>
      </c>
      <c r="M219" s="54">
        <f>IF(AND(B219&lt;&gt;"",F219&lt;&gt;"",F219&lt;TODAY(),AND(G219&lt;&gt;"✅ Выполнена",G219&lt;&gt;"❌ Отменена")),MAX($M$4:M218)+1,"")</f>
        <v/>
      </c>
    </row>
    <row r="220">
      <c r="A220" s="49">
        <f>IF(B220="","",COUNTA($B$5:B220))</f>
        <v/>
      </c>
      <c r="B220" s="50" t="n"/>
      <c r="C220" s="51" t="n"/>
      <c r="D220" s="51" t="n"/>
      <c r="E220" s="52" t="n"/>
      <c r="F220" s="53" t="n"/>
      <c r="G220" s="51" t="n"/>
      <c r="H220" s="53" t="n"/>
      <c r="I220" s="51" t="n"/>
      <c r="J220" s="54">
        <f>IF(OR(B220="",F220="",NOT(AND(G220&lt;&gt;"✅ Выполнена",G220&lt;&gt;"❌ Отменена"))),"",IF(F220&lt;TODAY(),"❗ просрочено "&amp;(TODAY()-F220)&amp;" дн.",IF(F220=TODAY(),"🔥 сегодня",IF(F220-TODAY()&lt;=3,"⏳ через "&amp;(F220-TODAY())&amp;" дн.",""))))</f>
        <v/>
      </c>
      <c r="K220" s="54">
        <f>IF(B220="","",IF(G220="✅ Выполнена","✔ ",IF(G220="❌ Отменена","✖ ",IF(AND(F220&lt;&gt;"",F220&lt;TODAY()),"❗ ","☐ ")))&amp;B220&amp;IF(E220="🔥 Высокий"," 🔥",""))</f>
        <v/>
      </c>
      <c r="L220" s="54">
        <f>IF(OR(B220="",F220="",G220="❌ Отменена"),"",F220&amp;"#"&amp;COUNTIFS($F$5:F220,F220,$B$5:B220,"?*",$G$5:G220,"&lt;&gt;❌ Отменена"))</f>
        <v/>
      </c>
      <c r="M220" s="54">
        <f>IF(AND(B220&lt;&gt;"",F220&lt;&gt;"",F220&lt;TODAY(),AND(G220&lt;&gt;"✅ Выполнена",G220&lt;&gt;"❌ Отменена")),MAX($M$4:M219)+1,"")</f>
        <v/>
      </c>
    </row>
    <row r="221">
      <c r="A221" s="49">
        <f>IF(B221="","",COUNTA($B$5:B221))</f>
        <v/>
      </c>
      <c r="B221" s="50" t="n"/>
      <c r="C221" s="51" t="n"/>
      <c r="D221" s="51" t="n"/>
      <c r="E221" s="52" t="n"/>
      <c r="F221" s="53" t="n"/>
      <c r="G221" s="51" t="n"/>
      <c r="H221" s="53" t="n"/>
      <c r="I221" s="51" t="n"/>
      <c r="J221" s="54">
        <f>IF(OR(B221="",F221="",NOT(AND(G221&lt;&gt;"✅ Выполнена",G221&lt;&gt;"❌ Отменена"))),"",IF(F221&lt;TODAY(),"❗ просрочено "&amp;(TODAY()-F221)&amp;" дн.",IF(F221=TODAY(),"🔥 сегодня",IF(F221-TODAY()&lt;=3,"⏳ через "&amp;(F221-TODAY())&amp;" дн.",""))))</f>
        <v/>
      </c>
      <c r="K221" s="54">
        <f>IF(B221="","",IF(G221="✅ Выполнена","✔ ",IF(G221="❌ Отменена","✖ ",IF(AND(F221&lt;&gt;"",F221&lt;TODAY()),"❗ ","☐ ")))&amp;B221&amp;IF(E221="🔥 Высокий"," 🔥",""))</f>
        <v/>
      </c>
      <c r="L221" s="54">
        <f>IF(OR(B221="",F221="",G221="❌ Отменена"),"",F221&amp;"#"&amp;COUNTIFS($F$5:F221,F221,$B$5:B221,"?*",$G$5:G221,"&lt;&gt;❌ Отменена"))</f>
        <v/>
      </c>
      <c r="M221" s="54">
        <f>IF(AND(B221&lt;&gt;"",F221&lt;&gt;"",F221&lt;TODAY(),AND(G221&lt;&gt;"✅ Выполнена",G221&lt;&gt;"❌ Отменена")),MAX($M$4:M220)+1,"")</f>
        <v/>
      </c>
    </row>
    <row r="222">
      <c r="A222" s="49">
        <f>IF(B222="","",COUNTA($B$5:B222))</f>
        <v/>
      </c>
      <c r="B222" s="50" t="n"/>
      <c r="C222" s="51" t="n"/>
      <c r="D222" s="51" t="n"/>
      <c r="E222" s="52" t="n"/>
      <c r="F222" s="53" t="n"/>
      <c r="G222" s="51" t="n"/>
      <c r="H222" s="53" t="n"/>
      <c r="I222" s="51" t="n"/>
      <c r="J222" s="54">
        <f>IF(OR(B222="",F222="",NOT(AND(G222&lt;&gt;"✅ Выполнена",G222&lt;&gt;"❌ Отменена"))),"",IF(F222&lt;TODAY(),"❗ просрочено "&amp;(TODAY()-F222)&amp;" дн.",IF(F222=TODAY(),"🔥 сегодня",IF(F222-TODAY()&lt;=3,"⏳ через "&amp;(F222-TODAY())&amp;" дн.",""))))</f>
        <v/>
      </c>
      <c r="K222" s="54">
        <f>IF(B222="","",IF(G222="✅ Выполнена","✔ ",IF(G222="❌ Отменена","✖ ",IF(AND(F222&lt;&gt;"",F222&lt;TODAY()),"❗ ","☐ ")))&amp;B222&amp;IF(E222="🔥 Высокий"," 🔥",""))</f>
        <v/>
      </c>
      <c r="L222" s="54">
        <f>IF(OR(B222="",F222="",G222="❌ Отменена"),"",F222&amp;"#"&amp;COUNTIFS($F$5:F222,F222,$B$5:B222,"?*",$G$5:G222,"&lt;&gt;❌ Отменена"))</f>
        <v/>
      </c>
      <c r="M222" s="54">
        <f>IF(AND(B222&lt;&gt;"",F222&lt;&gt;"",F222&lt;TODAY(),AND(G222&lt;&gt;"✅ Выполнена",G222&lt;&gt;"❌ Отменена")),MAX($M$4:M221)+1,"")</f>
        <v/>
      </c>
    </row>
    <row r="223">
      <c r="A223" s="49">
        <f>IF(B223="","",COUNTA($B$5:B223))</f>
        <v/>
      </c>
      <c r="B223" s="50" t="n"/>
      <c r="C223" s="51" t="n"/>
      <c r="D223" s="51" t="n"/>
      <c r="E223" s="52" t="n"/>
      <c r="F223" s="53" t="n"/>
      <c r="G223" s="51" t="n"/>
      <c r="H223" s="53" t="n"/>
      <c r="I223" s="51" t="n"/>
      <c r="J223" s="54">
        <f>IF(OR(B223="",F223="",NOT(AND(G223&lt;&gt;"✅ Выполнена",G223&lt;&gt;"❌ Отменена"))),"",IF(F223&lt;TODAY(),"❗ просрочено "&amp;(TODAY()-F223)&amp;" дн.",IF(F223=TODAY(),"🔥 сегодня",IF(F223-TODAY()&lt;=3,"⏳ через "&amp;(F223-TODAY())&amp;" дн.",""))))</f>
        <v/>
      </c>
      <c r="K223" s="54">
        <f>IF(B223="","",IF(G223="✅ Выполнена","✔ ",IF(G223="❌ Отменена","✖ ",IF(AND(F223&lt;&gt;"",F223&lt;TODAY()),"❗ ","☐ ")))&amp;B223&amp;IF(E223="🔥 Высокий"," 🔥",""))</f>
        <v/>
      </c>
      <c r="L223" s="54">
        <f>IF(OR(B223="",F223="",G223="❌ Отменена"),"",F223&amp;"#"&amp;COUNTIFS($F$5:F223,F223,$B$5:B223,"?*",$G$5:G223,"&lt;&gt;❌ Отменена"))</f>
        <v/>
      </c>
      <c r="M223" s="54">
        <f>IF(AND(B223&lt;&gt;"",F223&lt;&gt;"",F223&lt;TODAY(),AND(G223&lt;&gt;"✅ Выполнена",G223&lt;&gt;"❌ Отменена")),MAX($M$4:M222)+1,"")</f>
        <v/>
      </c>
    </row>
    <row r="224">
      <c r="A224" s="49">
        <f>IF(B224="","",COUNTA($B$5:B224))</f>
        <v/>
      </c>
      <c r="B224" s="50" t="n"/>
      <c r="C224" s="51" t="n"/>
      <c r="D224" s="51" t="n"/>
      <c r="E224" s="52" t="n"/>
      <c r="F224" s="53" t="n"/>
      <c r="G224" s="51" t="n"/>
      <c r="H224" s="53" t="n"/>
      <c r="I224" s="51" t="n"/>
      <c r="J224" s="54">
        <f>IF(OR(B224="",F224="",NOT(AND(G224&lt;&gt;"✅ Выполнена",G224&lt;&gt;"❌ Отменена"))),"",IF(F224&lt;TODAY(),"❗ просрочено "&amp;(TODAY()-F224)&amp;" дн.",IF(F224=TODAY(),"🔥 сегодня",IF(F224-TODAY()&lt;=3,"⏳ через "&amp;(F224-TODAY())&amp;" дн.",""))))</f>
        <v/>
      </c>
      <c r="K224" s="54">
        <f>IF(B224="","",IF(G224="✅ Выполнена","✔ ",IF(G224="❌ Отменена","✖ ",IF(AND(F224&lt;&gt;"",F224&lt;TODAY()),"❗ ","☐ ")))&amp;B224&amp;IF(E224="🔥 Высокий"," 🔥",""))</f>
        <v/>
      </c>
      <c r="L224" s="54">
        <f>IF(OR(B224="",F224="",G224="❌ Отменена"),"",F224&amp;"#"&amp;COUNTIFS($F$5:F224,F224,$B$5:B224,"?*",$G$5:G224,"&lt;&gt;❌ Отменена"))</f>
        <v/>
      </c>
      <c r="M224" s="54">
        <f>IF(AND(B224&lt;&gt;"",F224&lt;&gt;"",F224&lt;TODAY(),AND(G224&lt;&gt;"✅ Выполнена",G224&lt;&gt;"❌ Отменена")),MAX($M$4:M223)+1,"")</f>
        <v/>
      </c>
    </row>
    <row r="225">
      <c r="A225" s="49">
        <f>IF(B225="","",COUNTA($B$5:B225))</f>
        <v/>
      </c>
      <c r="B225" s="50" t="n"/>
      <c r="C225" s="51" t="n"/>
      <c r="D225" s="51" t="n"/>
      <c r="E225" s="52" t="n"/>
      <c r="F225" s="53" t="n"/>
      <c r="G225" s="51" t="n"/>
      <c r="H225" s="53" t="n"/>
      <c r="I225" s="51" t="n"/>
      <c r="J225" s="54">
        <f>IF(OR(B225="",F225="",NOT(AND(G225&lt;&gt;"✅ Выполнена",G225&lt;&gt;"❌ Отменена"))),"",IF(F225&lt;TODAY(),"❗ просрочено "&amp;(TODAY()-F225)&amp;" дн.",IF(F225=TODAY(),"🔥 сегодня",IF(F225-TODAY()&lt;=3,"⏳ через "&amp;(F225-TODAY())&amp;" дн.",""))))</f>
        <v/>
      </c>
      <c r="K225" s="54">
        <f>IF(B225="","",IF(G225="✅ Выполнена","✔ ",IF(G225="❌ Отменена","✖ ",IF(AND(F225&lt;&gt;"",F225&lt;TODAY()),"❗ ","☐ ")))&amp;B225&amp;IF(E225="🔥 Высокий"," 🔥",""))</f>
        <v/>
      </c>
      <c r="L225" s="54">
        <f>IF(OR(B225="",F225="",G225="❌ Отменена"),"",F225&amp;"#"&amp;COUNTIFS($F$5:F225,F225,$B$5:B225,"?*",$G$5:G225,"&lt;&gt;❌ Отменена"))</f>
        <v/>
      </c>
      <c r="M225" s="54">
        <f>IF(AND(B225&lt;&gt;"",F225&lt;&gt;"",F225&lt;TODAY(),AND(G225&lt;&gt;"✅ Выполнена",G225&lt;&gt;"❌ Отменена")),MAX($M$4:M224)+1,"")</f>
        <v/>
      </c>
    </row>
    <row r="226">
      <c r="A226" s="49">
        <f>IF(B226="","",COUNTA($B$5:B226))</f>
        <v/>
      </c>
      <c r="B226" s="50" t="n"/>
      <c r="C226" s="51" t="n"/>
      <c r="D226" s="51" t="n"/>
      <c r="E226" s="52" t="n"/>
      <c r="F226" s="53" t="n"/>
      <c r="G226" s="51" t="n"/>
      <c r="H226" s="53" t="n"/>
      <c r="I226" s="51" t="n"/>
      <c r="J226" s="54">
        <f>IF(OR(B226="",F226="",NOT(AND(G226&lt;&gt;"✅ Выполнена",G226&lt;&gt;"❌ Отменена"))),"",IF(F226&lt;TODAY(),"❗ просрочено "&amp;(TODAY()-F226)&amp;" дн.",IF(F226=TODAY(),"🔥 сегодня",IF(F226-TODAY()&lt;=3,"⏳ через "&amp;(F226-TODAY())&amp;" дн.",""))))</f>
        <v/>
      </c>
      <c r="K226" s="54">
        <f>IF(B226="","",IF(G226="✅ Выполнена","✔ ",IF(G226="❌ Отменена","✖ ",IF(AND(F226&lt;&gt;"",F226&lt;TODAY()),"❗ ","☐ ")))&amp;B226&amp;IF(E226="🔥 Высокий"," 🔥",""))</f>
        <v/>
      </c>
      <c r="L226" s="54">
        <f>IF(OR(B226="",F226="",G226="❌ Отменена"),"",F226&amp;"#"&amp;COUNTIFS($F$5:F226,F226,$B$5:B226,"?*",$G$5:G226,"&lt;&gt;❌ Отменена"))</f>
        <v/>
      </c>
      <c r="M226" s="54">
        <f>IF(AND(B226&lt;&gt;"",F226&lt;&gt;"",F226&lt;TODAY(),AND(G226&lt;&gt;"✅ Выполнена",G226&lt;&gt;"❌ Отменена")),MAX($M$4:M225)+1,"")</f>
        <v/>
      </c>
    </row>
    <row r="227">
      <c r="A227" s="49">
        <f>IF(B227="","",COUNTA($B$5:B227))</f>
        <v/>
      </c>
      <c r="B227" s="50" t="n"/>
      <c r="C227" s="51" t="n"/>
      <c r="D227" s="51" t="n"/>
      <c r="E227" s="52" t="n"/>
      <c r="F227" s="53" t="n"/>
      <c r="G227" s="51" t="n"/>
      <c r="H227" s="53" t="n"/>
      <c r="I227" s="51" t="n"/>
      <c r="J227" s="54">
        <f>IF(OR(B227="",F227="",NOT(AND(G227&lt;&gt;"✅ Выполнена",G227&lt;&gt;"❌ Отменена"))),"",IF(F227&lt;TODAY(),"❗ просрочено "&amp;(TODAY()-F227)&amp;" дн.",IF(F227=TODAY(),"🔥 сегодня",IF(F227-TODAY()&lt;=3,"⏳ через "&amp;(F227-TODAY())&amp;" дн.",""))))</f>
        <v/>
      </c>
      <c r="K227" s="54">
        <f>IF(B227="","",IF(G227="✅ Выполнена","✔ ",IF(G227="❌ Отменена","✖ ",IF(AND(F227&lt;&gt;"",F227&lt;TODAY()),"❗ ","☐ ")))&amp;B227&amp;IF(E227="🔥 Высокий"," 🔥",""))</f>
        <v/>
      </c>
      <c r="L227" s="54">
        <f>IF(OR(B227="",F227="",G227="❌ Отменена"),"",F227&amp;"#"&amp;COUNTIFS($F$5:F227,F227,$B$5:B227,"?*",$G$5:G227,"&lt;&gt;❌ Отменена"))</f>
        <v/>
      </c>
      <c r="M227" s="54">
        <f>IF(AND(B227&lt;&gt;"",F227&lt;&gt;"",F227&lt;TODAY(),AND(G227&lt;&gt;"✅ Выполнена",G227&lt;&gt;"❌ Отменена")),MAX($M$4:M226)+1,"")</f>
        <v/>
      </c>
    </row>
    <row r="228">
      <c r="A228" s="49">
        <f>IF(B228="","",COUNTA($B$5:B228))</f>
        <v/>
      </c>
      <c r="B228" s="50" t="n"/>
      <c r="C228" s="51" t="n"/>
      <c r="D228" s="51" t="n"/>
      <c r="E228" s="52" t="n"/>
      <c r="F228" s="53" t="n"/>
      <c r="G228" s="51" t="n"/>
      <c r="H228" s="53" t="n"/>
      <c r="I228" s="51" t="n"/>
      <c r="J228" s="54">
        <f>IF(OR(B228="",F228="",NOT(AND(G228&lt;&gt;"✅ Выполнена",G228&lt;&gt;"❌ Отменена"))),"",IF(F228&lt;TODAY(),"❗ просрочено "&amp;(TODAY()-F228)&amp;" дн.",IF(F228=TODAY(),"🔥 сегодня",IF(F228-TODAY()&lt;=3,"⏳ через "&amp;(F228-TODAY())&amp;" дн.",""))))</f>
        <v/>
      </c>
      <c r="K228" s="54">
        <f>IF(B228="","",IF(G228="✅ Выполнена","✔ ",IF(G228="❌ Отменена","✖ ",IF(AND(F228&lt;&gt;"",F228&lt;TODAY()),"❗ ","☐ ")))&amp;B228&amp;IF(E228="🔥 Высокий"," 🔥",""))</f>
        <v/>
      </c>
      <c r="L228" s="54">
        <f>IF(OR(B228="",F228="",G228="❌ Отменена"),"",F228&amp;"#"&amp;COUNTIFS($F$5:F228,F228,$B$5:B228,"?*",$G$5:G228,"&lt;&gt;❌ Отменена"))</f>
        <v/>
      </c>
      <c r="M228" s="54">
        <f>IF(AND(B228&lt;&gt;"",F228&lt;&gt;"",F228&lt;TODAY(),AND(G228&lt;&gt;"✅ Выполнена",G228&lt;&gt;"❌ Отменена")),MAX($M$4:M227)+1,"")</f>
        <v/>
      </c>
    </row>
    <row r="229">
      <c r="A229" s="49">
        <f>IF(B229="","",COUNTA($B$5:B229))</f>
        <v/>
      </c>
      <c r="B229" s="50" t="n"/>
      <c r="C229" s="51" t="n"/>
      <c r="D229" s="51" t="n"/>
      <c r="E229" s="52" t="n"/>
      <c r="F229" s="53" t="n"/>
      <c r="G229" s="51" t="n"/>
      <c r="H229" s="53" t="n"/>
      <c r="I229" s="51" t="n"/>
      <c r="J229" s="54">
        <f>IF(OR(B229="",F229="",NOT(AND(G229&lt;&gt;"✅ Выполнена",G229&lt;&gt;"❌ Отменена"))),"",IF(F229&lt;TODAY(),"❗ просрочено "&amp;(TODAY()-F229)&amp;" дн.",IF(F229=TODAY(),"🔥 сегодня",IF(F229-TODAY()&lt;=3,"⏳ через "&amp;(F229-TODAY())&amp;" дн.",""))))</f>
        <v/>
      </c>
      <c r="K229" s="54">
        <f>IF(B229="","",IF(G229="✅ Выполнена","✔ ",IF(G229="❌ Отменена","✖ ",IF(AND(F229&lt;&gt;"",F229&lt;TODAY()),"❗ ","☐ ")))&amp;B229&amp;IF(E229="🔥 Высокий"," 🔥",""))</f>
        <v/>
      </c>
      <c r="L229" s="54">
        <f>IF(OR(B229="",F229="",G229="❌ Отменена"),"",F229&amp;"#"&amp;COUNTIFS($F$5:F229,F229,$B$5:B229,"?*",$G$5:G229,"&lt;&gt;❌ Отменена"))</f>
        <v/>
      </c>
      <c r="M229" s="54">
        <f>IF(AND(B229&lt;&gt;"",F229&lt;&gt;"",F229&lt;TODAY(),AND(G229&lt;&gt;"✅ Выполнена",G229&lt;&gt;"❌ Отменена")),MAX($M$4:M228)+1,"")</f>
        <v/>
      </c>
    </row>
    <row r="230">
      <c r="A230" s="49">
        <f>IF(B230="","",COUNTA($B$5:B230))</f>
        <v/>
      </c>
      <c r="B230" s="50" t="n"/>
      <c r="C230" s="51" t="n"/>
      <c r="D230" s="51" t="n"/>
      <c r="E230" s="52" t="n"/>
      <c r="F230" s="53" t="n"/>
      <c r="G230" s="51" t="n"/>
      <c r="H230" s="53" t="n"/>
      <c r="I230" s="51" t="n"/>
      <c r="J230" s="54">
        <f>IF(OR(B230="",F230="",NOT(AND(G230&lt;&gt;"✅ Выполнена",G230&lt;&gt;"❌ Отменена"))),"",IF(F230&lt;TODAY(),"❗ просрочено "&amp;(TODAY()-F230)&amp;" дн.",IF(F230=TODAY(),"🔥 сегодня",IF(F230-TODAY()&lt;=3,"⏳ через "&amp;(F230-TODAY())&amp;" дн.",""))))</f>
        <v/>
      </c>
      <c r="K230" s="54">
        <f>IF(B230="","",IF(G230="✅ Выполнена","✔ ",IF(G230="❌ Отменена","✖ ",IF(AND(F230&lt;&gt;"",F230&lt;TODAY()),"❗ ","☐ ")))&amp;B230&amp;IF(E230="🔥 Высокий"," 🔥",""))</f>
        <v/>
      </c>
      <c r="L230" s="54">
        <f>IF(OR(B230="",F230="",G230="❌ Отменена"),"",F230&amp;"#"&amp;COUNTIFS($F$5:F230,F230,$B$5:B230,"?*",$G$5:G230,"&lt;&gt;❌ Отменена"))</f>
        <v/>
      </c>
      <c r="M230" s="54">
        <f>IF(AND(B230&lt;&gt;"",F230&lt;&gt;"",F230&lt;TODAY(),AND(G230&lt;&gt;"✅ Выполнена",G230&lt;&gt;"❌ Отменена")),MAX($M$4:M229)+1,"")</f>
        <v/>
      </c>
    </row>
    <row r="231">
      <c r="A231" s="49">
        <f>IF(B231="","",COUNTA($B$5:B231))</f>
        <v/>
      </c>
      <c r="B231" s="50" t="n"/>
      <c r="C231" s="51" t="n"/>
      <c r="D231" s="51" t="n"/>
      <c r="E231" s="52" t="n"/>
      <c r="F231" s="53" t="n"/>
      <c r="G231" s="51" t="n"/>
      <c r="H231" s="53" t="n"/>
      <c r="I231" s="51" t="n"/>
      <c r="J231" s="54">
        <f>IF(OR(B231="",F231="",NOT(AND(G231&lt;&gt;"✅ Выполнена",G231&lt;&gt;"❌ Отменена"))),"",IF(F231&lt;TODAY(),"❗ просрочено "&amp;(TODAY()-F231)&amp;" дн.",IF(F231=TODAY(),"🔥 сегодня",IF(F231-TODAY()&lt;=3,"⏳ через "&amp;(F231-TODAY())&amp;" дн.",""))))</f>
        <v/>
      </c>
      <c r="K231" s="54">
        <f>IF(B231="","",IF(G231="✅ Выполнена","✔ ",IF(G231="❌ Отменена","✖ ",IF(AND(F231&lt;&gt;"",F231&lt;TODAY()),"❗ ","☐ ")))&amp;B231&amp;IF(E231="🔥 Высокий"," 🔥",""))</f>
        <v/>
      </c>
      <c r="L231" s="54">
        <f>IF(OR(B231="",F231="",G231="❌ Отменена"),"",F231&amp;"#"&amp;COUNTIFS($F$5:F231,F231,$B$5:B231,"?*",$G$5:G231,"&lt;&gt;❌ Отменена"))</f>
        <v/>
      </c>
      <c r="M231" s="54">
        <f>IF(AND(B231&lt;&gt;"",F231&lt;&gt;"",F231&lt;TODAY(),AND(G231&lt;&gt;"✅ Выполнена",G231&lt;&gt;"❌ Отменена")),MAX($M$4:M230)+1,"")</f>
        <v/>
      </c>
    </row>
    <row r="232">
      <c r="A232" s="49">
        <f>IF(B232="","",COUNTA($B$5:B232))</f>
        <v/>
      </c>
      <c r="B232" s="50" t="n"/>
      <c r="C232" s="51" t="n"/>
      <c r="D232" s="51" t="n"/>
      <c r="E232" s="52" t="n"/>
      <c r="F232" s="53" t="n"/>
      <c r="G232" s="51" t="n"/>
      <c r="H232" s="53" t="n"/>
      <c r="I232" s="51" t="n"/>
      <c r="J232" s="54">
        <f>IF(OR(B232="",F232="",NOT(AND(G232&lt;&gt;"✅ Выполнена",G232&lt;&gt;"❌ Отменена"))),"",IF(F232&lt;TODAY(),"❗ просрочено "&amp;(TODAY()-F232)&amp;" дн.",IF(F232=TODAY(),"🔥 сегодня",IF(F232-TODAY()&lt;=3,"⏳ через "&amp;(F232-TODAY())&amp;" дн.",""))))</f>
        <v/>
      </c>
      <c r="K232" s="54">
        <f>IF(B232="","",IF(G232="✅ Выполнена","✔ ",IF(G232="❌ Отменена","✖ ",IF(AND(F232&lt;&gt;"",F232&lt;TODAY()),"❗ ","☐ ")))&amp;B232&amp;IF(E232="🔥 Высокий"," 🔥",""))</f>
        <v/>
      </c>
      <c r="L232" s="54">
        <f>IF(OR(B232="",F232="",G232="❌ Отменена"),"",F232&amp;"#"&amp;COUNTIFS($F$5:F232,F232,$B$5:B232,"?*",$G$5:G232,"&lt;&gt;❌ Отменена"))</f>
        <v/>
      </c>
      <c r="M232" s="54">
        <f>IF(AND(B232&lt;&gt;"",F232&lt;&gt;"",F232&lt;TODAY(),AND(G232&lt;&gt;"✅ Выполнена",G232&lt;&gt;"❌ Отменена")),MAX($M$4:M231)+1,"")</f>
        <v/>
      </c>
    </row>
    <row r="233">
      <c r="A233" s="49">
        <f>IF(B233="","",COUNTA($B$5:B233))</f>
        <v/>
      </c>
      <c r="B233" s="50" t="n"/>
      <c r="C233" s="51" t="n"/>
      <c r="D233" s="51" t="n"/>
      <c r="E233" s="52" t="n"/>
      <c r="F233" s="53" t="n"/>
      <c r="G233" s="51" t="n"/>
      <c r="H233" s="53" t="n"/>
      <c r="I233" s="51" t="n"/>
      <c r="J233" s="54">
        <f>IF(OR(B233="",F233="",NOT(AND(G233&lt;&gt;"✅ Выполнена",G233&lt;&gt;"❌ Отменена"))),"",IF(F233&lt;TODAY(),"❗ просрочено "&amp;(TODAY()-F233)&amp;" дн.",IF(F233=TODAY(),"🔥 сегодня",IF(F233-TODAY()&lt;=3,"⏳ через "&amp;(F233-TODAY())&amp;" дн.",""))))</f>
        <v/>
      </c>
      <c r="K233" s="54">
        <f>IF(B233="","",IF(G233="✅ Выполнена","✔ ",IF(G233="❌ Отменена","✖ ",IF(AND(F233&lt;&gt;"",F233&lt;TODAY()),"❗ ","☐ ")))&amp;B233&amp;IF(E233="🔥 Высокий"," 🔥",""))</f>
        <v/>
      </c>
      <c r="L233" s="54">
        <f>IF(OR(B233="",F233="",G233="❌ Отменена"),"",F233&amp;"#"&amp;COUNTIFS($F$5:F233,F233,$B$5:B233,"?*",$G$5:G233,"&lt;&gt;❌ Отменена"))</f>
        <v/>
      </c>
      <c r="M233" s="54">
        <f>IF(AND(B233&lt;&gt;"",F233&lt;&gt;"",F233&lt;TODAY(),AND(G233&lt;&gt;"✅ Выполнена",G233&lt;&gt;"❌ Отменена")),MAX($M$4:M232)+1,"")</f>
        <v/>
      </c>
    </row>
    <row r="234">
      <c r="A234" s="49">
        <f>IF(B234="","",COUNTA($B$5:B234))</f>
        <v/>
      </c>
      <c r="B234" s="50" t="n"/>
      <c r="C234" s="51" t="n"/>
      <c r="D234" s="51" t="n"/>
      <c r="E234" s="52" t="n"/>
      <c r="F234" s="53" t="n"/>
      <c r="G234" s="51" t="n"/>
      <c r="H234" s="53" t="n"/>
      <c r="I234" s="51" t="n"/>
      <c r="J234" s="54">
        <f>IF(OR(B234="",F234="",NOT(AND(G234&lt;&gt;"✅ Выполнена",G234&lt;&gt;"❌ Отменена"))),"",IF(F234&lt;TODAY(),"❗ просрочено "&amp;(TODAY()-F234)&amp;" дн.",IF(F234=TODAY(),"🔥 сегодня",IF(F234-TODAY()&lt;=3,"⏳ через "&amp;(F234-TODAY())&amp;" дн.",""))))</f>
        <v/>
      </c>
      <c r="K234" s="54">
        <f>IF(B234="","",IF(G234="✅ Выполнена","✔ ",IF(G234="❌ Отменена","✖ ",IF(AND(F234&lt;&gt;"",F234&lt;TODAY()),"❗ ","☐ ")))&amp;B234&amp;IF(E234="🔥 Высокий"," 🔥",""))</f>
        <v/>
      </c>
      <c r="L234" s="54">
        <f>IF(OR(B234="",F234="",G234="❌ Отменена"),"",F234&amp;"#"&amp;COUNTIFS($F$5:F234,F234,$B$5:B234,"?*",$G$5:G234,"&lt;&gt;❌ Отменена"))</f>
        <v/>
      </c>
      <c r="M234" s="54">
        <f>IF(AND(B234&lt;&gt;"",F234&lt;&gt;"",F234&lt;TODAY(),AND(G234&lt;&gt;"✅ Выполнена",G234&lt;&gt;"❌ Отменена")),MAX($M$4:M233)+1,"")</f>
        <v/>
      </c>
    </row>
    <row r="235">
      <c r="A235" s="49">
        <f>IF(B235="","",COUNTA($B$5:B235))</f>
        <v/>
      </c>
      <c r="B235" s="50" t="n"/>
      <c r="C235" s="51" t="n"/>
      <c r="D235" s="51" t="n"/>
      <c r="E235" s="52" t="n"/>
      <c r="F235" s="53" t="n"/>
      <c r="G235" s="51" t="n"/>
      <c r="H235" s="53" t="n"/>
      <c r="I235" s="51" t="n"/>
      <c r="J235" s="54">
        <f>IF(OR(B235="",F235="",NOT(AND(G235&lt;&gt;"✅ Выполнена",G235&lt;&gt;"❌ Отменена"))),"",IF(F235&lt;TODAY(),"❗ просрочено "&amp;(TODAY()-F235)&amp;" дн.",IF(F235=TODAY(),"🔥 сегодня",IF(F235-TODAY()&lt;=3,"⏳ через "&amp;(F235-TODAY())&amp;" дн.",""))))</f>
        <v/>
      </c>
      <c r="K235" s="54">
        <f>IF(B235="","",IF(G235="✅ Выполнена","✔ ",IF(G235="❌ Отменена","✖ ",IF(AND(F235&lt;&gt;"",F235&lt;TODAY()),"❗ ","☐ ")))&amp;B235&amp;IF(E235="🔥 Высокий"," 🔥",""))</f>
        <v/>
      </c>
      <c r="L235" s="54">
        <f>IF(OR(B235="",F235="",G235="❌ Отменена"),"",F235&amp;"#"&amp;COUNTIFS($F$5:F235,F235,$B$5:B235,"?*",$G$5:G235,"&lt;&gt;❌ Отменена"))</f>
        <v/>
      </c>
      <c r="M235" s="54">
        <f>IF(AND(B235&lt;&gt;"",F235&lt;&gt;"",F235&lt;TODAY(),AND(G235&lt;&gt;"✅ Выполнена",G235&lt;&gt;"❌ Отменена")),MAX($M$4:M234)+1,"")</f>
        <v/>
      </c>
    </row>
    <row r="236">
      <c r="A236" s="49">
        <f>IF(B236="","",COUNTA($B$5:B236))</f>
        <v/>
      </c>
      <c r="B236" s="50" t="n"/>
      <c r="C236" s="51" t="n"/>
      <c r="D236" s="51" t="n"/>
      <c r="E236" s="52" t="n"/>
      <c r="F236" s="53" t="n"/>
      <c r="G236" s="51" t="n"/>
      <c r="H236" s="53" t="n"/>
      <c r="I236" s="51" t="n"/>
      <c r="J236" s="54">
        <f>IF(OR(B236="",F236="",NOT(AND(G236&lt;&gt;"✅ Выполнена",G236&lt;&gt;"❌ Отменена"))),"",IF(F236&lt;TODAY(),"❗ просрочено "&amp;(TODAY()-F236)&amp;" дн.",IF(F236=TODAY(),"🔥 сегодня",IF(F236-TODAY()&lt;=3,"⏳ через "&amp;(F236-TODAY())&amp;" дн.",""))))</f>
        <v/>
      </c>
      <c r="K236" s="54">
        <f>IF(B236="","",IF(G236="✅ Выполнена","✔ ",IF(G236="❌ Отменена","✖ ",IF(AND(F236&lt;&gt;"",F236&lt;TODAY()),"❗ ","☐ ")))&amp;B236&amp;IF(E236="🔥 Высокий"," 🔥",""))</f>
        <v/>
      </c>
      <c r="L236" s="54">
        <f>IF(OR(B236="",F236="",G236="❌ Отменена"),"",F236&amp;"#"&amp;COUNTIFS($F$5:F236,F236,$B$5:B236,"?*",$G$5:G236,"&lt;&gt;❌ Отменена"))</f>
        <v/>
      </c>
      <c r="M236" s="54">
        <f>IF(AND(B236&lt;&gt;"",F236&lt;&gt;"",F236&lt;TODAY(),AND(G236&lt;&gt;"✅ Выполнена",G236&lt;&gt;"❌ Отменена")),MAX($M$4:M235)+1,"")</f>
        <v/>
      </c>
    </row>
    <row r="237">
      <c r="A237" s="49">
        <f>IF(B237="","",COUNTA($B$5:B237))</f>
        <v/>
      </c>
      <c r="B237" s="50" t="n"/>
      <c r="C237" s="51" t="n"/>
      <c r="D237" s="51" t="n"/>
      <c r="E237" s="52" t="n"/>
      <c r="F237" s="53" t="n"/>
      <c r="G237" s="51" t="n"/>
      <c r="H237" s="53" t="n"/>
      <c r="I237" s="51" t="n"/>
      <c r="J237" s="54">
        <f>IF(OR(B237="",F237="",NOT(AND(G237&lt;&gt;"✅ Выполнена",G237&lt;&gt;"❌ Отменена"))),"",IF(F237&lt;TODAY(),"❗ просрочено "&amp;(TODAY()-F237)&amp;" дн.",IF(F237=TODAY(),"🔥 сегодня",IF(F237-TODAY()&lt;=3,"⏳ через "&amp;(F237-TODAY())&amp;" дн.",""))))</f>
        <v/>
      </c>
      <c r="K237" s="54">
        <f>IF(B237="","",IF(G237="✅ Выполнена","✔ ",IF(G237="❌ Отменена","✖ ",IF(AND(F237&lt;&gt;"",F237&lt;TODAY()),"❗ ","☐ ")))&amp;B237&amp;IF(E237="🔥 Высокий"," 🔥",""))</f>
        <v/>
      </c>
      <c r="L237" s="54">
        <f>IF(OR(B237="",F237="",G237="❌ Отменена"),"",F237&amp;"#"&amp;COUNTIFS($F$5:F237,F237,$B$5:B237,"?*",$G$5:G237,"&lt;&gt;❌ Отменена"))</f>
        <v/>
      </c>
      <c r="M237" s="54">
        <f>IF(AND(B237&lt;&gt;"",F237&lt;&gt;"",F237&lt;TODAY(),AND(G237&lt;&gt;"✅ Выполнена",G237&lt;&gt;"❌ Отменена")),MAX($M$4:M236)+1,"")</f>
        <v/>
      </c>
    </row>
    <row r="238">
      <c r="A238" s="49">
        <f>IF(B238="","",COUNTA($B$5:B238))</f>
        <v/>
      </c>
      <c r="B238" s="50" t="n"/>
      <c r="C238" s="51" t="n"/>
      <c r="D238" s="51" t="n"/>
      <c r="E238" s="52" t="n"/>
      <c r="F238" s="53" t="n"/>
      <c r="G238" s="51" t="n"/>
      <c r="H238" s="53" t="n"/>
      <c r="I238" s="51" t="n"/>
      <c r="J238" s="54">
        <f>IF(OR(B238="",F238="",NOT(AND(G238&lt;&gt;"✅ Выполнена",G238&lt;&gt;"❌ Отменена"))),"",IF(F238&lt;TODAY(),"❗ просрочено "&amp;(TODAY()-F238)&amp;" дн.",IF(F238=TODAY(),"🔥 сегодня",IF(F238-TODAY()&lt;=3,"⏳ через "&amp;(F238-TODAY())&amp;" дн.",""))))</f>
        <v/>
      </c>
      <c r="K238" s="54">
        <f>IF(B238="","",IF(G238="✅ Выполнена","✔ ",IF(G238="❌ Отменена","✖ ",IF(AND(F238&lt;&gt;"",F238&lt;TODAY()),"❗ ","☐ ")))&amp;B238&amp;IF(E238="🔥 Высокий"," 🔥",""))</f>
        <v/>
      </c>
      <c r="L238" s="54">
        <f>IF(OR(B238="",F238="",G238="❌ Отменена"),"",F238&amp;"#"&amp;COUNTIFS($F$5:F238,F238,$B$5:B238,"?*",$G$5:G238,"&lt;&gt;❌ Отменена"))</f>
        <v/>
      </c>
      <c r="M238" s="54">
        <f>IF(AND(B238&lt;&gt;"",F238&lt;&gt;"",F238&lt;TODAY(),AND(G238&lt;&gt;"✅ Выполнена",G238&lt;&gt;"❌ Отменена")),MAX($M$4:M237)+1,"")</f>
        <v/>
      </c>
    </row>
    <row r="239">
      <c r="A239" s="49">
        <f>IF(B239="","",COUNTA($B$5:B239))</f>
        <v/>
      </c>
      <c r="B239" s="50" t="n"/>
      <c r="C239" s="51" t="n"/>
      <c r="D239" s="51" t="n"/>
      <c r="E239" s="52" t="n"/>
      <c r="F239" s="53" t="n"/>
      <c r="G239" s="51" t="n"/>
      <c r="H239" s="53" t="n"/>
      <c r="I239" s="51" t="n"/>
      <c r="J239" s="54">
        <f>IF(OR(B239="",F239="",NOT(AND(G239&lt;&gt;"✅ Выполнена",G239&lt;&gt;"❌ Отменена"))),"",IF(F239&lt;TODAY(),"❗ просрочено "&amp;(TODAY()-F239)&amp;" дн.",IF(F239=TODAY(),"🔥 сегодня",IF(F239-TODAY()&lt;=3,"⏳ через "&amp;(F239-TODAY())&amp;" дн.",""))))</f>
        <v/>
      </c>
      <c r="K239" s="54">
        <f>IF(B239="","",IF(G239="✅ Выполнена","✔ ",IF(G239="❌ Отменена","✖ ",IF(AND(F239&lt;&gt;"",F239&lt;TODAY()),"❗ ","☐ ")))&amp;B239&amp;IF(E239="🔥 Высокий"," 🔥",""))</f>
        <v/>
      </c>
      <c r="L239" s="54">
        <f>IF(OR(B239="",F239="",G239="❌ Отменена"),"",F239&amp;"#"&amp;COUNTIFS($F$5:F239,F239,$B$5:B239,"?*",$G$5:G239,"&lt;&gt;❌ Отменена"))</f>
        <v/>
      </c>
      <c r="M239" s="54">
        <f>IF(AND(B239&lt;&gt;"",F239&lt;&gt;"",F239&lt;TODAY(),AND(G239&lt;&gt;"✅ Выполнена",G239&lt;&gt;"❌ Отменена")),MAX($M$4:M238)+1,"")</f>
        <v/>
      </c>
    </row>
    <row r="240">
      <c r="A240" s="49">
        <f>IF(B240="","",COUNTA($B$5:B240))</f>
        <v/>
      </c>
      <c r="B240" s="50" t="n"/>
      <c r="C240" s="51" t="n"/>
      <c r="D240" s="51" t="n"/>
      <c r="E240" s="52" t="n"/>
      <c r="F240" s="53" t="n"/>
      <c r="G240" s="51" t="n"/>
      <c r="H240" s="53" t="n"/>
      <c r="I240" s="51" t="n"/>
      <c r="J240" s="54">
        <f>IF(OR(B240="",F240="",NOT(AND(G240&lt;&gt;"✅ Выполнена",G240&lt;&gt;"❌ Отменена"))),"",IF(F240&lt;TODAY(),"❗ просрочено "&amp;(TODAY()-F240)&amp;" дн.",IF(F240=TODAY(),"🔥 сегодня",IF(F240-TODAY()&lt;=3,"⏳ через "&amp;(F240-TODAY())&amp;" дн.",""))))</f>
        <v/>
      </c>
      <c r="K240" s="54">
        <f>IF(B240="","",IF(G240="✅ Выполнена","✔ ",IF(G240="❌ Отменена","✖ ",IF(AND(F240&lt;&gt;"",F240&lt;TODAY()),"❗ ","☐ ")))&amp;B240&amp;IF(E240="🔥 Высокий"," 🔥",""))</f>
        <v/>
      </c>
      <c r="L240" s="54">
        <f>IF(OR(B240="",F240="",G240="❌ Отменена"),"",F240&amp;"#"&amp;COUNTIFS($F$5:F240,F240,$B$5:B240,"?*",$G$5:G240,"&lt;&gt;❌ Отменена"))</f>
        <v/>
      </c>
      <c r="M240" s="54">
        <f>IF(AND(B240&lt;&gt;"",F240&lt;&gt;"",F240&lt;TODAY(),AND(G240&lt;&gt;"✅ Выполнена",G240&lt;&gt;"❌ Отменена")),MAX($M$4:M239)+1,"")</f>
        <v/>
      </c>
    </row>
    <row r="241">
      <c r="A241" s="49">
        <f>IF(B241="","",COUNTA($B$5:B241))</f>
        <v/>
      </c>
      <c r="B241" s="50" t="n"/>
      <c r="C241" s="51" t="n"/>
      <c r="D241" s="51" t="n"/>
      <c r="E241" s="52" t="n"/>
      <c r="F241" s="53" t="n"/>
      <c r="G241" s="51" t="n"/>
      <c r="H241" s="53" t="n"/>
      <c r="I241" s="51" t="n"/>
      <c r="J241" s="54">
        <f>IF(OR(B241="",F241="",NOT(AND(G241&lt;&gt;"✅ Выполнена",G241&lt;&gt;"❌ Отменена"))),"",IF(F241&lt;TODAY(),"❗ просрочено "&amp;(TODAY()-F241)&amp;" дн.",IF(F241=TODAY(),"🔥 сегодня",IF(F241-TODAY()&lt;=3,"⏳ через "&amp;(F241-TODAY())&amp;" дн.",""))))</f>
        <v/>
      </c>
      <c r="K241" s="54">
        <f>IF(B241="","",IF(G241="✅ Выполнена","✔ ",IF(G241="❌ Отменена","✖ ",IF(AND(F241&lt;&gt;"",F241&lt;TODAY()),"❗ ","☐ ")))&amp;B241&amp;IF(E241="🔥 Высокий"," 🔥",""))</f>
        <v/>
      </c>
      <c r="L241" s="54">
        <f>IF(OR(B241="",F241="",G241="❌ Отменена"),"",F241&amp;"#"&amp;COUNTIFS($F$5:F241,F241,$B$5:B241,"?*",$G$5:G241,"&lt;&gt;❌ Отменена"))</f>
        <v/>
      </c>
      <c r="M241" s="54">
        <f>IF(AND(B241&lt;&gt;"",F241&lt;&gt;"",F241&lt;TODAY(),AND(G241&lt;&gt;"✅ Выполнена",G241&lt;&gt;"❌ Отменена")),MAX($M$4:M240)+1,"")</f>
        <v/>
      </c>
    </row>
    <row r="242">
      <c r="A242" s="49">
        <f>IF(B242="","",COUNTA($B$5:B242))</f>
        <v/>
      </c>
      <c r="B242" s="50" t="n"/>
      <c r="C242" s="51" t="n"/>
      <c r="D242" s="51" t="n"/>
      <c r="E242" s="52" t="n"/>
      <c r="F242" s="53" t="n"/>
      <c r="G242" s="51" t="n"/>
      <c r="H242" s="53" t="n"/>
      <c r="I242" s="51" t="n"/>
      <c r="J242" s="54">
        <f>IF(OR(B242="",F242="",NOT(AND(G242&lt;&gt;"✅ Выполнена",G242&lt;&gt;"❌ Отменена"))),"",IF(F242&lt;TODAY(),"❗ просрочено "&amp;(TODAY()-F242)&amp;" дн.",IF(F242=TODAY(),"🔥 сегодня",IF(F242-TODAY()&lt;=3,"⏳ через "&amp;(F242-TODAY())&amp;" дн.",""))))</f>
        <v/>
      </c>
      <c r="K242" s="54">
        <f>IF(B242="","",IF(G242="✅ Выполнена","✔ ",IF(G242="❌ Отменена","✖ ",IF(AND(F242&lt;&gt;"",F242&lt;TODAY()),"❗ ","☐ ")))&amp;B242&amp;IF(E242="🔥 Высокий"," 🔥",""))</f>
        <v/>
      </c>
      <c r="L242" s="54">
        <f>IF(OR(B242="",F242="",G242="❌ Отменена"),"",F242&amp;"#"&amp;COUNTIFS($F$5:F242,F242,$B$5:B242,"?*",$G$5:G242,"&lt;&gt;❌ Отменена"))</f>
        <v/>
      </c>
      <c r="M242" s="54">
        <f>IF(AND(B242&lt;&gt;"",F242&lt;&gt;"",F242&lt;TODAY(),AND(G242&lt;&gt;"✅ Выполнена",G242&lt;&gt;"❌ Отменена")),MAX($M$4:M241)+1,"")</f>
        <v/>
      </c>
    </row>
    <row r="243">
      <c r="A243" s="49">
        <f>IF(B243="","",COUNTA($B$5:B243))</f>
        <v/>
      </c>
      <c r="B243" s="50" t="n"/>
      <c r="C243" s="51" t="n"/>
      <c r="D243" s="51" t="n"/>
      <c r="E243" s="52" t="n"/>
      <c r="F243" s="53" t="n"/>
      <c r="G243" s="51" t="n"/>
      <c r="H243" s="53" t="n"/>
      <c r="I243" s="51" t="n"/>
      <c r="J243" s="54">
        <f>IF(OR(B243="",F243="",NOT(AND(G243&lt;&gt;"✅ Выполнена",G243&lt;&gt;"❌ Отменена"))),"",IF(F243&lt;TODAY(),"❗ просрочено "&amp;(TODAY()-F243)&amp;" дн.",IF(F243=TODAY(),"🔥 сегодня",IF(F243-TODAY()&lt;=3,"⏳ через "&amp;(F243-TODAY())&amp;" дн.",""))))</f>
        <v/>
      </c>
      <c r="K243" s="54">
        <f>IF(B243="","",IF(G243="✅ Выполнена","✔ ",IF(G243="❌ Отменена","✖ ",IF(AND(F243&lt;&gt;"",F243&lt;TODAY()),"❗ ","☐ ")))&amp;B243&amp;IF(E243="🔥 Высокий"," 🔥",""))</f>
        <v/>
      </c>
      <c r="L243" s="54">
        <f>IF(OR(B243="",F243="",G243="❌ Отменена"),"",F243&amp;"#"&amp;COUNTIFS($F$5:F243,F243,$B$5:B243,"?*",$G$5:G243,"&lt;&gt;❌ Отменена"))</f>
        <v/>
      </c>
      <c r="M243" s="54">
        <f>IF(AND(B243&lt;&gt;"",F243&lt;&gt;"",F243&lt;TODAY(),AND(G243&lt;&gt;"✅ Выполнена",G243&lt;&gt;"❌ Отменена")),MAX($M$4:M242)+1,"")</f>
        <v/>
      </c>
    </row>
    <row r="244">
      <c r="A244" s="49">
        <f>IF(B244="","",COUNTA($B$5:B244))</f>
        <v/>
      </c>
      <c r="B244" s="50" t="n"/>
      <c r="C244" s="51" t="n"/>
      <c r="D244" s="51" t="n"/>
      <c r="E244" s="52" t="n"/>
      <c r="F244" s="53" t="n"/>
      <c r="G244" s="51" t="n"/>
      <c r="H244" s="53" t="n"/>
      <c r="I244" s="51" t="n"/>
      <c r="J244" s="54">
        <f>IF(OR(B244="",F244="",NOT(AND(G244&lt;&gt;"✅ Выполнена",G244&lt;&gt;"❌ Отменена"))),"",IF(F244&lt;TODAY(),"❗ просрочено "&amp;(TODAY()-F244)&amp;" дн.",IF(F244=TODAY(),"🔥 сегодня",IF(F244-TODAY()&lt;=3,"⏳ через "&amp;(F244-TODAY())&amp;" дн.",""))))</f>
        <v/>
      </c>
      <c r="K244" s="54">
        <f>IF(B244="","",IF(G244="✅ Выполнена","✔ ",IF(G244="❌ Отменена","✖ ",IF(AND(F244&lt;&gt;"",F244&lt;TODAY()),"❗ ","☐ ")))&amp;B244&amp;IF(E244="🔥 Высокий"," 🔥",""))</f>
        <v/>
      </c>
      <c r="L244" s="54">
        <f>IF(OR(B244="",F244="",G244="❌ Отменена"),"",F244&amp;"#"&amp;COUNTIFS($F$5:F244,F244,$B$5:B244,"?*",$G$5:G244,"&lt;&gt;❌ Отменена"))</f>
        <v/>
      </c>
      <c r="M244" s="54">
        <f>IF(AND(B244&lt;&gt;"",F244&lt;&gt;"",F244&lt;TODAY(),AND(G244&lt;&gt;"✅ Выполнена",G244&lt;&gt;"❌ Отменена")),MAX($M$4:M243)+1,"")</f>
        <v/>
      </c>
    </row>
    <row r="245">
      <c r="A245" s="49">
        <f>IF(B245="","",COUNTA($B$5:B245))</f>
        <v/>
      </c>
      <c r="B245" s="50" t="n"/>
      <c r="C245" s="51" t="n"/>
      <c r="D245" s="51" t="n"/>
      <c r="E245" s="52" t="n"/>
      <c r="F245" s="53" t="n"/>
      <c r="G245" s="51" t="n"/>
      <c r="H245" s="53" t="n"/>
      <c r="I245" s="51" t="n"/>
      <c r="J245" s="54">
        <f>IF(OR(B245="",F245="",NOT(AND(G245&lt;&gt;"✅ Выполнена",G245&lt;&gt;"❌ Отменена"))),"",IF(F245&lt;TODAY(),"❗ просрочено "&amp;(TODAY()-F245)&amp;" дн.",IF(F245=TODAY(),"🔥 сегодня",IF(F245-TODAY()&lt;=3,"⏳ через "&amp;(F245-TODAY())&amp;" дн.",""))))</f>
        <v/>
      </c>
      <c r="K245" s="54">
        <f>IF(B245="","",IF(G245="✅ Выполнена","✔ ",IF(G245="❌ Отменена","✖ ",IF(AND(F245&lt;&gt;"",F245&lt;TODAY()),"❗ ","☐ ")))&amp;B245&amp;IF(E245="🔥 Высокий"," 🔥",""))</f>
        <v/>
      </c>
      <c r="L245" s="54">
        <f>IF(OR(B245="",F245="",G245="❌ Отменена"),"",F245&amp;"#"&amp;COUNTIFS($F$5:F245,F245,$B$5:B245,"?*",$G$5:G245,"&lt;&gt;❌ Отменена"))</f>
        <v/>
      </c>
      <c r="M245" s="54">
        <f>IF(AND(B245&lt;&gt;"",F245&lt;&gt;"",F245&lt;TODAY(),AND(G245&lt;&gt;"✅ Выполнена",G245&lt;&gt;"❌ Отменена")),MAX($M$4:M244)+1,"")</f>
        <v/>
      </c>
    </row>
    <row r="246">
      <c r="A246" s="49">
        <f>IF(B246="","",COUNTA($B$5:B246))</f>
        <v/>
      </c>
      <c r="B246" s="50" t="n"/>
      <c r="C246" s="51" t="n"/>
      <c r="D246" s="51" t="n"/>
      <c r="E246" s="52" t="n"/>
      <c r="F246" s="53" t="n"/>
      <c r="G246" s="51" t="n"/>
      <c r="H246" s="53" t="n"/>
      <c r="I246" s="51" t="n"/>
      <c r="J246" s="54">
        <f>IF(OR(B246="",F246="",NOT(AND(G246&lt;&gt;"✅ Выполнена",G246&lt;&gt;"❌ Отменена"))),"",IF(F246&lt;TODAY(),"❗ просрочено "&amp;(TODAY()-F246)&amp;" дн.",IF(F246=TODAY(),"🔥 сегодня",IF(F246-TODAY()&lt;=3,"⏳ через "&amp;(F246-TODAY())&amp;" дн.",""))))</f>
        <v/>
      </c>
      <c r="K246" s="54">
        <f>IF(B246="","",IF(G246="✅ Выполнена","✔ ",IF(G246="❌ Отменена","✖ ",IF(AND(F246&lt;&gt;"",F246&lt;TODAY()),"❗ ","☐ ")))&amp;B246&amp;IF(E246="🔥 Высокий"," 🔥",""))</f>
        <v/>
      </c>
      <c r="L246" s="54">
        <f>IF(OR(B246="",F246="",G246="❌ Отменена"),"",F246&amp;"#"&amp;COUNTIFS($F$5:F246,F246,$B$5:B246,"?*",$G$5:G246,"&lt;&gt;❌ Отменена"))</f>
        <v/>
      </c>
      <c r="M246" s="54">
        <f>IF(AND(B246&lt;&gt;"",F246&lt;&gt;"",F246&lt;TODAY(),AND(G246&lt;&gt;"✅ Выполнена",G246&lt;&gt;"❌ Отменена")),MAX($M$4:M245)+1,"")</f>
        <v/>
      </c>
    </row>
    <row r="247">
      <c r="A247" s="49">
        <f>IF(B247="","",COUNTA($B$5:B247))</f>
        <v/>
      </c>
      <c r="B247" s="50" t="n"/>
      <c r="C247" s="51" t="n"/>
      <c r="D247" s="51" t="n"/>
      <c r="E247" s="52" t="n"/>
      <c r="F247" s="53" t="n"/>
      <c r="G247" s="51" t="n"/>
      <c r="H247" s="53" t="n"/>
      <c r="I247" s="51" t="n"/>
      <c r="J247" s="54">
        <f>IF(OR(B247="",F247="",NOT(AND(G247&lt;&gt;"✅ Выполнена",G247&lt;&gt;"❌ Отменена"))),"",IF(F247&lt;TODAY(),"❗ просрочено "&amp;(TODAY()-F247)&amp;" дн.",IF(F247=TODAY(),"🔥 сегодня",IF(F247-TODAY()&lt;=3,"⏳ через "&amp;(F247-TODAY())&amp;" дн.",""))))</f>
        <v/>
      </c>
      <c r="K247" s="54">
        <f>IF(B247="","",IF(G247="✅ Выполнена","✔ ",IF(G247="❌ Отменена","✖ ",IF(AND(F247&lt;&gt;"",F247&lt;TODAY()),"❗ ","☐ ")))&amp;B247&amp;IF(E247="🔥 Высокий"," 🔥",""))</f>
        <v/>
      </c>
      <c r="L247" s="54">
        <f>IF(OR(B247="",F247="",G247="❌ Отменена"),"",F247&amp;"#"&amp;COUNTIFS($F$5:F247,F247,$B$5:B247,"?*",$G$5:G247,"&lt;&gt;❌ Отменена"))</f>
        <v/>
      </c>
      <c r="M247" s="54">
        <f>IF(AND(B247&lt;&gt;"",F247&lt;&gt;"",F247&lt;TODAY(),AND(G247&lt;&gt;"✅ Выполнена",G247&lt;&gt;"❌ Отменена")),MAX($M$4:M246)+1,"")</f>
        <v/>
      </c>
    </row>
    <row r="248">
      <c r="A248" s="49">
        <f>IF(B248="","",COUNTA($B$5:B248))</f>
        <v/>
      </c>
      <c r="B248" s="50" t="n"/>
      <c r="C248" s="51" t="n"/>
      <c r="D248" s="51" t="n"/>
      <c r="E248" s="52" t="n"/>
      <c r="F248" s="53" t="n"/>
      <c r="G248" s="51" t="n"/>
      <c r="H248" s="53" t="n"/>
      <c r="I248" s="51" t="n"/>
      <c r="J248" s="54">
        <f>IF(OR(B248="",F248="",NOT(AND(G248&lt;&gt;"✅ Выполнена",G248&lt;&gt;"❌ Отменена"))),"",IF(F248&lt;TODAY(),"❗ просрочено "&amp;(TODAY()-F248)&amp;" дн.",IF(F248=TODAY(),"🔥 сегодня",IF(F248-TODAY()&lt;=3,"⏳ через "&amp;(F248-TODAY())&amp;" дн.",""))))</f>
        <v/>
      </c>
      <c r="K248" s="54">
        <f>IF(B248="","",IF(G248="✅ Выполнена","✔ ",IF(G248="❌ Отменена","✖ ",IF(AND(F248&lt;&gt;"",F248&lt;TODAY()),"❗ ","☐ ")))&amp;B248&amp;IF(E248="🔥 Высокий"," 🔥",""))</f>
        <v/>
      </c>
      <c r="L248" s="54">
        <f>IF(OR(B248="",F248="",G248="❌ Отменена"),"",F248&amp;"#"&amp;COUNTIFS($F$5:F248,F248,$B$5:B248,"?*",$G$5:G248,"&lt;&gt;❌ Отменена"))</f>
        <v/>
      </c>
      <c r="M248" s="54">
        <f>IF(AND(B248&lt;&gt;"",F248&lt;&gt;"",F248&lt;TODAY(),AND(G248&lt;&gt;"✅ Выполнена",G248&lt;&gt;"❌ Отменена")),MAX($M$4:M247)+1,"")</f>
        <v/>
      </c>
    </row>
    <row r="249">
      <c r="A249" s="49">
        <f>IF(B249="","",COUNTA($B$5:B249))</f>
        <v/>
      </c>
      <c r="B249" s="50" t="n"/>
      <c r="C249" s="51" t="n"/>
      <c r="D249" s="51" t="n"/>
      <c r="E249" s="52" t="n"/>
      <c r="F249" s="53" t="n"/>
      <c r="G249" s="51" t="n"/>
      <c r="H249" s="53" t="n"/>
      <c r="I249" s="51" t="n"/>
      <c r="J249" s="54">
        <f>IF(OR(B249="",F249="",NOT(AND(G249&lt;&gt;"✅ Выполнена",G249&lt;&gt;"❌ Отменена"))),"",IF(F249&lt;TODAY(),"❗ просрочено "&amp;(TODAY()-F249)&amp;" дн.",IF(F249=TODAY(),"🔥 сегодня",IF(F249-TODAY()&lt;=3,"⏳ через "&amp;(F249-TODAY())&amp;" дн.",""))))</f>
        <v/>
      </c>
      <c r="K249" s="54">
        <f>IF(B249="","",IF(G249="✅ Выполнена","✔ ",IF(G249="❌ Отменена","✖ ",IF(AND(F249&lt;&gt;"",F249&lt;TODAY()),"❗ ","☐ ")))&amp;B249&amp;IF(E249="🔥 Высокий"," 🔥",""))</f>
        <v/>
      </c>
      <c r="L249" s="54">
        <f>IF(OR(B249="",F249="",G249="❌ Отменена"),"",F249&amp;"#"&amp;COUNTIFS($F$5:F249,F249,$B$5:B249,"?*",$G$5:G249,"&lt;&gt;❌ Отменена"))</f>
        <v/>
      </c>
      <c r="M249" s="54">
        <f>IF(AND(B249&lt;&gt;"",F249&lt;&gt;"",F249&lt;TODAY(),AND(G249&lt;&gt;"✅ Выполнена",G249&lt;&gt;"❌ Отменена")),MAX($M$4:M248)+1,"")</f>
        <v/>
      </c>
    </row>
    <row r="250">
      <c r="A250" s="49">
        <f>IF(B250="","",COUNTA($B$5:B250))</f>
        <v/>
      </c>
      <c r="B250" s="50" t="n"/>
      <c r="C250" s="51" t="n"/>
      <c r="D250" s="51" t="n"/>
      <c r="E250" s="52" t="n"/>
      <c r="F250" s="53" t="n"/>
      <c r="G250" s="51" t="n"/>
      <c r="H250" s="53" t="n"/>
      <c r="I250" s="51" t="n"/>
      <c r="J250" s="54">
        <f>IF(OR(B250="",F250="",NOT(AND(G250&lt;&gt;"✅ Выполнена",G250&lt;&gt;"❌ Отменена"))),"",IF(F250&lt;TODAY(),"❗ просрочено "&amp;(TODAY()-F250)&amp;" дн.",IF(F250=TODAY(),"🔥 сегодня",IF(F250-TODAY()&lt;=3,"⏳ через "&amp;(F250-TODAY())&amp;" дн.",""))))</f>
        <v/>
      </c>
      <c r="K250" s="54">
        <f>IF(B250="","",IF(G250="✅ Выполнена","✔ ",IF(G250="❌ Отменена","✖ ",IF(AND(F250&lt;&gt;"",F250&lt;TODAY()),"❗ ","☐ ")))&amp;B250&amp;IF(E250="🔥 Высокий"," 🔥",""))</f>
        <v/>
      </c>
      <c r="L250" s="54">
        <f>IF(OR(B250="",F250="",G250="❌ Отменена"),"",F250&amp;"#"&amp;COUNTIFS($F$5:F250,F250,$B$5:B250,"?*",$G$5:G250,"&lt;&gt;❌ Отменена"))</f>
        <v/>
      </c>
      <c r="M250" s="54">
        <f>IF(AND(B250&lt;&gt;"",F250&lt;&gt;"",F250&lt;TODAY(),AND(G250&lt;&gt;"✅ Выполнена",G250&lt;&gt;"❌ Отменена")),MAX($M$4:M249)+1,"")</f>
        <v/>
      </c>
    </row>
    <row r="251">
      <c r="A251" s="49">
        <f>IF(B251="","",COUNTA($B$5:B251))</f>
        <v/>
      </c>
      <c r="B251" s="50" t="n"/>
      <c r="C251" s="51" t="n"/>
      <c r="D251" s="51" t="n"/>
      <c r="E251" s="52" t="n"/>
      <c r="F251" s="53" t="n"/>
      <c r="G251" s="51" t="n"/>
      <c r="H251" s="53" t="n"/>
      <c r="I251" s="51" t="n"/>
      <c r="J251" s="54">
        <f>IF(OR(B251="",F251="",NOT(AND(G251&lt;&gt;"✅ Выполнена",G251&lt;&gt;"❌ Отменена"))),"",IF(F251&lt;TODAY(),"❗ просрочено "&amp;(TODAY()-F251)&amp;" дн.",IF(F251=TODAY(),"🔥 сегодня",IF(F251-TODAY()&lt;=3,"⏳ через "&amp;(F251-TODAY())&amp;" дн.",""))))</f>
        <v/>
      </c>
      <c r="K251" s="54">
        <f>IF(B251="","",IF(G251="✅ Выполнена","✔ ",IF(G251="❌ Отменена","✖ ",IF(AND(F251&lt;&gt;"",F251&lt;TODAY()),"❗ ","☐ ")))&amp;B251&amp;IF(E251="🔥 Высокий"," 🔥",""))</f>
        <v/>
      </c>
      <c r="L251" s="54">
        <f>IF(OR(B251="",F251="",G251="❌ Отменена"),"",F251&amp;"#"&amp;COUNTIFS($F$5:F251,F251,$B$5:B251,"?*",$G$5:G251,"&lt;&gt;❌ Отменена"))</f>
        <v/>
      </c>
      <c r="M251" s="54">
        <f>IF(AND(B251&lt;&gt;"",F251&lt;&gt;"",F251&lt;TODAY(),AND(G251&lt;&gt;"✅ Выполнена",G251&lt;&gt;"❌ Отменена")),MAX($M$4:M250)+1,"")</f>
        <v/>
      </c>
    </row>
    <row r="252">
      <c r="A252" s="49">
        <f>IF(B252="","",COUNTA($B$5:B252))</f>
        <v/>
      </c>
      <c r="B252" s="50" t="n"/>
      <c r="C252" s="51" t="n"/>
      <c r="D252" s="51" t="n"/>
      <c r="E252" s="52" t="n"/>
      <c r="F252" s="53" t="n"/>
      <c r="G252" s="51" t="n"/>
      <c r="H252" s="53" t="n"/>
      <c r="I252" s="51" t="n"/>
      <c r="J252" s="54">
        <f>IF(OR(B252="",F252="",NOT(AND(G252&lt;&gt;"✅ Выполнена",G252&lt;&gt;"❌ Отменена"))),"",IF(F252&lt;TODAY(),"❗ просрочено "&amp;(TODAY()-F252)&amp;" дн.",IF(F252=TODAY(),"🔥 сегодня",IF(F252-TODAY()&lt;=3,"⏳ через "&amp;(F252-TODAY())&amp;" дн.",""))))</f>
        <v/>
      </c>
      <c r="K252" s="54">
        <f>IF(B252="","",IF(G252="✅ Выполнена","✔ ",IF(G252="❌ Отменена","✖ ",IF(AND(F252&lt;&gt;"",F252&lt;TODAY()),"❗ ","☐ ")))&amp;B252&amp;IF(E252="🔥 Высокий"," 🔥",""))</f>
        <v/>
      </c>
      <c r="L252" s="54">
        <f>IF(OR(B252="",F252="",G252="❌ Отменена"),"",F252&amp;"#"&amp;COUNTIFS($F$5:F252,F252,$B$5:B252,"?*",$G$5:G252,"&lt;&gt;❌ Отменена"))</f>
        <v/>
      </c>
      <c r="M252" s="54">
        <f>IF(AND(B252&lt;&gt;"",F252&lt;&gt;"",F252&lt;TODAY(),AND(G252&lt;&gt;"✅ Выполнена",G252&lt;&gt;"❌ Отменена")),MAX($M$4:M251)+1,"")</f>
        <v/>
      </c>
    </row>
    <row r="253">
      <c r="A253" s="49">
        <f>IF(B253="","",COUNTA($B$5:B253))</f>
        <v/>
      </c>
      <c r="B253" s="50" t="n"/>
      <c r="C253" s="51" t="n"/>
      <c r="D253" s="51" t="n"/>
      <c r="E253" s="52" t="n"/>
      <c r="F253" s="53" t="n"/>
      <c r="G253" s="51" t="n"/>
      <c r="H253" s="53" t="n"/>
      <c r="I253" s="51" t="n"/>
      <c r="J253" s="54">
        <f>IF(OR(B253="",F253="",NOT(AND(G253&lt;&gt;"✅ Выполнена",G253&lt;&gt;"❌ Отменена"))),"",IF(F253&lt;TODAY(),"❗ просрочено "&amp;(TODAY()-F253)&amp;" дн.",IF(F253=TODAY(),"🔥 сегодня",IF(F253-TODAY()&lt;=3,"⏳ через "&amp;(F253-TODAY())&amp;" дн.",""))))</f>
        <v/>
      </c>
      <c r="K253" s="54">
        <f>IF(B253="","",IF(G253="✅ Выполнена","✔ ",IF(G253="❌ Отменена","✖ ",IF(AND(F253&lt;&gt;"",F253&lt;TODAY()),"❗ ","☐ ")))&amp;B253&amp;IF(E253="🔥 Высокий"," 🔥",""))</f>
        <v/>
      </c>
      <c r="L253" s="54">
        <f>IF(OR(B253="",F253="",G253="❌ Отменена"),"",F253&amp;"#"&amp;COUNTIFS($F$5:F253,F253,$B$5:B253,"?*",$G$5:G253,"&lt;&gt;❌ Отменена"))</f>
        <v/>
      </c>
      <c r="M253" s="54">
        <f>IF(AND(B253&lt;&gt;"",F253&lt;&gt;"",F253&lt;TODAY(),AND(G253&lt;&gt;"✅ Выполнена",G253&lt;&gt;"❌ Отменена")),MAX($M$4:M252)+1,"")</f>
        <v/>
      </c>
    </row>
    <row r="254">
      <c r="A254" s="49">
        <f>IF(B254="","",COUNTA($B$5:B254))</f>
        <v/>
      </c>
      <c r="B254" s="50" t="n"/>
      <c r="C254" s="51" t="n"/>
      <c r="D254" s="51" t="n"/>
      <c r="E254" s="52" t="n"/>
      <c r="F254" s="53" t="n"/>
      <c r="G254" s="51" t="n"/>
      <c r="H254" s="53" t="n"/>
      <c r="I254" s="51" t="n"/>
      <c r="J254" s="54">
        <f>IF(OR(B254="",F254="",NOT(AND(G254&lt;&gt;"✅ Выполнена",G254&lt;&gt;"❌ Отменена"))),"",IF(F254&lt;TODAY(),"❗ просрочено "&amp;(TODAY()-F254)&amp;" дн.",IF(F254=TODAY(),"🔥 сегодня",IF(F254-TODAY()&lt;=3,"⏳ через "&amp;(F254-TODAY())&amp;" дн.",""))))</f>
        <v/>
      </c>
      <c r="K254" s="54">
        <f>IF(B254="","",IF(G254="✅ Выполнена","✔ ",IF(G254="❌ Отменена","✖ ",IF(AND(F254&lt;&gt;"",F254&lt;TODAY()),"❗ ","☐ ")))&amp;B254&amp;IF(E254="🔥 Высокий"," 🔥",""))</f>
        <v/>
      </c>
      <c r="L254" s="54">
        <f>IF(OR(B254="",F254="",G254="❌ Отменена"),"",F254&amp;"#"&amp;COUNTIFS($F$5:F254,F254,$B$5:B254,"?*",$G$5:G254,"&lt;&gt;❌ Отменена"))</f>
        <v/>
      </c>
      <c r="M254" s="54">
        <f>IF(AND(B254&lt;&gt;"",F254&lt;&gt;"",F254&lt;TODAY(),AND(G254&lt;&gt;"✅ Выполнена",G254&lt;&gt;"❌ Отменена")),MAX($M$4:M253)+1,"")</f>
        <v/>
      </c>
    </row>
    <row r="255">
      <c r="A255" s="49">
        <f>IF(B255="","",COUNTA($B$5:B255))</f>
        <v/>
      </c>
      <c r="B255" s="50" t="n"/>
      <c r="C255" s="51" t="n"/>
      <c r="D255" s="51" t="n"/>
      <c r="E255" s="52" t="n"/>
      <c r="F255" s="53" t="n"/>
      <c r="G255" s="51" t="n"/>
      <c r="H255" s="53" t="n"/>
      <c r="I255" s="51" t="n"/>
      <c r="J255" s="54">
        <f>IF(OR(B255="",F255="",NOT(AND(G255&lt;&gt;"✅ Выполнена",G255&lt;&gt;"❌ Отменена"))),"",IF(F255&lt;TODAY(),"❗ просрочено "&amp;(TODAY()-F255)&amp;" дн.",IF(F255=TODAY(),"🔥 сегодня",IF(F255-TODAY()&lt;=3,"⏳ через "&amp;(F255-TODAY())&amp;" дн.",""))))</f>
        <v/>
      </c>
      <c r="K255" s="54">
        <f>IF(B255="","",IF(G255="✅ Выполнена","✔ ",IF(G255="❌ Отменена","✖ ",IF(AND(F255&lt;&gt;"",F255&lt;TODAY()),"❗ ","☐ ")))&amp;B255&amp;IF(E255="🔥 Высокий"," 🔥",""))</f>
        <v/>
      </c>
      <c r="L255" s="54">
        <f>IF(OR(B255="",F255="",G255="❌ Отменена"),"",F255&amp;"#"&amp;COUNTIFS($F$5:F255,F255,$B$5:B255,"?*",$G$5:G255,"&lt;&gt;❌ Отменена"))</f>
        <v/>
      </c>
      <c r="M255" s="54">
        <f>IF(AND(B255&lt;&gt;"",F255&lt;&gt;"",F255&lt;TODAY(),AND(G255&lt;&gt;"✅ Выполнена",G255&lt;&gt;"❌ Отменена")),MAX($M$4:M254)+1,"")</f>
        <v/>
      </c>
    </row>
    <row r="256">
      <c r="A256" s="49">
        <f>IF(B256="","",COUNTA($B$5:B256))</f>
        <v/>
      </c>
      <c r="B256" s="50" t="n"/>
      <c r="C256" s="51" t="n"/>
      <c r="D256" s="51" t="n"/>
      <c r="E256" s="52" t="n"/>
      <c r="F256" s="53" t="n"/>
      <c r="G256" s="51" t="n"/>
      <c r="H256" s="53" t="n"/>
      <c r="I256" s="51" t="n"/>
      <c r="J256" s="54">
        <f>IF(OR(B256="",F256="",NOT(AND(G256&lt;&gt;"✅ Выполнена",G256&lt;&gt;"❌ Отменена"))),"",IF(F256&lt;TODAY(),"❗ просрочено "&amp;(TODAY()-F256)&amp;" дн.",IF(F256=TODAY(),"🔥 сегодня",IF(F256-TODAY()&lt;=3,"⏳ через "&amp;(F256-TODAY())&amp;" дн.",""))))</f>
        <v/>
      </c>
      <c r="K256" s="54">
        <f>IF(B256="","",IF(G256="✅ Выполнена","✔ ",IF(G256="❌ Отменена","✖ ",IF(AND(F256&lt;&gt;"",F256&lt;TODAY()),"❗ ","☐ ")))&amp;B256&amp;IF(E256="🔥 Высокий"," 🔥",""))</f>
        <v/>
      </c>
      <c r="L256" s="54">
        <f>IF(OR(B256="",F256="",G256="❌ Отменена"),"",F256&amp;"#"&amp;COUNTIFS($F$5:F256,F256,$B$5:B256,"?*",$G$5:G256,"&lt;&gt;❌ Отменена"))</f>
        <v/>
      </c>
      <c r="M256" s="54">
        <f>IF(AND(B256&lt;&gt;"",F256&lt;&gt;"",F256&lt;TODAY(),AND(G256&lt;&gt;"✅ Выполнена",G256&lt;&gt;"❌ Отменена")),MAX($M$4:M255)+1,"")</f>
        <v/>
      </c>
    </row>
    <row r="257">
      <c r="A257" s="49">
        <f>IF(B257="","",COUNTA($B$5:B257))</f>
        <v/>
      </c>
      <c r="B257" s="50" t="n"/>
      <c r="C257" s="51" t="n"/>
      <c r="D257" s="51" t="n"/>
      <c r="E257" s="52" t="n"/>
      <c r="F257" s="53" t="n"/>
      <c r="G257" s="51" t="n"/>
      <c r="H257" s="53" t="n"/>
      <c r="I257" s="51" t="n"/>
      <c r="J257" s="54">
        <f>IF(OR(B257="",F257="",NOT(AND(G257&lt;&gt;"✅ Выполнена",G257&lt;&gt;"❌ Отменена"))),"",IF(F257&lt;TODAY(),"❗ просрочено "&amp;(TODAY()-F257)&amp;" дн.",IF(F257=TODAY(),"🔥 сегодня",IF(F257-TODAY()&lt;=3,"⏳ через "&amp;(F257-TODAY())&amp;" дн.",""))))</f>
        <v/>
      </c>
      <c r="K257" s="54">
        <f>IF(B257="","",IF(G257="✅ Выполнена","✔ ",IF(G257="❌ Отменена","✖ ",IF(AND(F257&lt;&gt;"",F257&lt;TODAY()),"❗ ","☐ ")))&amp;B257&amp;IF(E257="🔥 Высокий"," 🔥",""))</f>
        <v/>
      </c>
      <c r="L257" s="54">
        <f>IF(OR(B257="",F257="",G257="❌ Отменена"),"",F257&amp;"#"&amp;COUNTIFS($F$5:F257,F257,$B$5:B257,"?*",$G$5:G257,"&lt;&gt;❌ Отменена"))</f>
        <v/>
      </c>
      <c r="M257" s="54">
        <f>IF(AND(B257&lt;&gt;"",F257&lt;&gt;"",F257&lt;TODAY(),AND(G257&lt;&gt;"✅ Выполнена",G257&lt;&gt;"❌ Отменена")),MAX($M$4:M256)+1,"")</f>
        <v/>
      </c>
    </row>
    <row r="258">
      <c r="A258" s="49">
        <f>IF(B258="","",COUNTA($B$5:B258))</f>
        <v/>
      </c>
      <c r="B258" s="50" t="n"/>
      <c r="C258" s="51" t="n"/>
      <c r="D258" s="51" t="n"/>
      <c r="E258" s="52" t="n"/>
      <c r="F258" s="53" t="n"/>
      <c r="G258" s="51" t="n"/>
      <c r="H258" s="53" t="n"/>
      <c r="I258" s="51" t="n"/>
      <c r="J258" s="54">
        <f>IF(OR(B258="",F258="",NOT(AND(G258&lt;&gt;"✅ Выполнена",G258&lt;&gt;"❌ Отменена"))),"",IF(F258&lt;TODAY(),"❗ просрочено "&amp;(TODAY()-F258)&amp;" дн.",IF(F258=TODAY(),"🔥 сегодня",IF(F258-TODAY()&lt;=3,"⏳ через "&amp;(F258-TODAY())&amp;" дн.",""))))</f>
        <v/>
      </c>
      <c r="K258" s="54">
        <f>IF(B258="","",IF(G258="✅ Выполнена","✔ ",IF(G258="❌ Отменена","✖ ",IF(AND(F258&lt;&gt;"",F258&lt;TODAY()),"❗ ","☐ ")))&amp;B258&amp;IF(E258="🔥 Высокий"," 🔥",""))</f>
        <v/>
      </c>
      <c r="L258" s="54">
        <f>IF(OR(B258="",F258="",G258="❌ Отменена"),"",F258&amp;"#"&amp;COUNTIFS($F$5:F258,F258,$B$5:B258,"?*",$G$5:G258,"&lt;&gt;❌ Отменена"))</f>
        <v/>
      </c>
      <c r="M258" s="54">
        <f>IF(AND(B258&lt;&gt;"",F258&lt;&gt;"",F258&lt;TODAY(),AND(G258&lt;&gt;"✅ Выполнена",G258&lt;&gt;"❌ Отменена")),MAX($M$4:M257)+1,"")</f>
        <v/>
      </c>
    </row>
    <row r="259">
      <c r="A259" s="49">
        <f>IF(B259="","",COUNTA($B$5:B259))</f>
        <v/>
      </c>
      <c r="B259" s="50" t="n"/>
      <c r="C259" s="51" t="n"/>
      <c r="D259" s="51" t="n"/>
      <c r="E259" s="52" t="n"/>
      <c r="F259" s="53" t="n"/>
      <c r="G259" s="51" t="n"/>
      <c r="H259" s="53" t="n"/>
      <c r="I259" s="51" t="n"/>
      <c r="J259" s="54">
        <f>IF(OR(B259="",F259="",NOT(AND(G259&lt;&gt;"✅ Выполнена",G259&lt;&gt;"❌ Отменена"))),"",IF(F259&lt;TODAY(),"❗ просрочено "&amp;(TODAY()-F259)&amp;" дн.",IF(F259=TODAY(),"🔥 сегодня",IF(F259-TODAY()&lt;=3,"⏳ через "&amp;(F259-TODAY())&amp;" дн.",""))))</f>
        <v/>
      </c>
      <c r="K259" s="54">
        <f>IF(B259="","",IF(G259="✅ Выполнена","✔ ",IF(G259="❌ Отменена","✖ ",IF(AND(F259&lt;&gt;"",F259&lt;TODAY()),"❗ ","☐ ")))&amp;B259&amp;IF(E259="🔥 Высокий"," 🔥",""))</f>
        <v/>
      </c>
      <c r="L259" s="54">
        <f>IF(OR(B259="",F259="",G259="❌ Отменена"),"",F259&amp;"#"&amp;COUNTIFS($F$5:F259,F259,$B$5:B259,"?*",$G$5:G259,"&lt;&gt;❌ Отменена"))</f>
        <v/>
      </c>
      <c r="M259" s="54">
        <f>IF(AND(B259&lt;&gt;"",F259&lt;&gt;"",F259&lt;TODAY(),AND(G259&lt;&gt;"✅ Выполнена",G259&lt;&gt;"❌ Отменена")),MAX($M$4:M258)+1,"")</f>
        <v/>
      </c>
    </row>
    <row r="260">
      <c r="A260" s="49">
        <f>IF(B260="","",COUNTA($B$5:B260))</f>
        <v/>
      </c>
      <c r="B260" s="50" t="n"/>
      <c r="C260" s="51" t="n"/>
      <c r="D260" s="51" t="n"/>
      <c r="E260" s="52" t="n"/>
      <c r="F260" s="53" t="n"/>
      <c r="G260" s="51" t="n"/>
      <c r="H260" s="53" t="n"/>
      <c r="I260" s="51" t="n"/>
      <c r="J260" s="54">
        <f>IF(OR(B260="",F260="",NOT(AND(G260&lt;&gt;"✅ Выполнена",G260&lt;&gt;"❌ Отменена"))),"",IF(F260&lt;TODAY(),"❗ просрочено "&amp;(TODAY()-F260)&amp;" дн.",IF(F260=TODAY(),"🔥 сегодня",IF(F260-TODAY()&lt;=3,"⏳ через "&amp;(F260-TODAY())&amp;" дн.",""))))</f>
        <v/>
      </c>
      <c r="K260" s="54">
        <f>IF(B260="","",IF(G260="✅ Выполнена","✔ ",IF(G260="❌ Отменена","✖ ",IF(AND(F260&lt;&gt;"",F260&lt;TODAY()),"❗ ","☐ ")))&amp;B260&amp;IF(E260="🔥 Высокий"," 🔥",""))</f>
        <v/>
      </c>
      <c r="L260" s="54">
        <f>IF(OR(B260="",F260="",G260="❌ Отменена"),"",F260&amp;"#"&amp;COUNTIFS($F$5:F260,F260,$B$5:B260,"?*",$G$5:G260,"&lt;&gt;❌ Отменена"))</f>
        <v/>
      </c>
      <c r="M260" s="54">
        <f>IF(AND(B260&lt;&gt;"",F260&lt;&gt;"",F260&lt;TODAY(),AND(G260&lt;&gt;"✅ Выполнена",G260&lt;&gt;"❌ Отменена")),MAX($M$4:M259)+1,"")</f>
        <v/>
      </c>
    </row>
    <row r="261">
      <c r="A261" s="49">
        <f>IF(B261="","",COUNTA($B$5:B261))</f>
        <v/>
      </c>
      <c r="B261" s="50" t="n"/>
      <c r="C261" s="51" t="n"/>
      <c r="D261" s="51" t="n"/>
      <c r="E261" s="52" t="n"/>
      <c r="F261" s="53" t="n"/>
      <c r="G261" s="51" t="n"/>
      <c r="H261" s="53" t="n"/>
      <c r="I261" s="51" t="n"/>
      <c r="J261" s="54">
        <f>IF(OR(B261="",F261="",NOT(AND(G261&lt;&gt;"✅ Выполнена",G261&lt;&gt;"❌ Отменена"))),"",IF(F261&lt;TODAY(),"❗ просрочено "&amp;(TODAY()-F261)&amp;" дн.",IF(F261=TODAY(),"🔥 сегодня",IF(F261-TODAY()&lt;=3,"⏳ через "&amp;(F261-TODAY())&amp;" дн.",""))))</f>
        <v/>
      </c>
      <c r="K261" s="54">
        <f>IF(B261="","",IF(G261="✅ Выполнена","✔ ",IF(G261="❌ Отменена","✖ ",IF(AND(F261&lt;&gt;"",F261&lt;TODAY()),"❗ ","☐ ")))&amp;B261&amp;IF(E261="🔥 Высокий"," 🔥",""))</f>
        <v/>
      </c>
      <c r="L261" s="54">
        <f>IF(OR(B261="",F261="",G261="❌ Отменена"),"",F261&amp;"#"&amp;COUNTIFS($F$5:F261,F261,$B$5:B261,"?*",$G$5:G261,"&lt;&gt;❌ Отменена"))</f>
        <v/>
      </c>
      <c r="M261" s="54">
        <f>IF(AND(B261&lt;&gt;"",F261&lt;&gt;"",F261&lt;TODAY(),AND(G261&lt;&gt;"✅ Выполнена",G261&lt;&gt;"❌ Отменена")),MAX($M$4:M260)+1,"")</f>
        <v/>
      </c>
    </row>
    <row r="262">
      <c r="A262" s="49">
        <f>IF(B262="","",COUNTA($B$5:B262))</f>
        <v/>
      </c>
      <c r="B262" s="50" t="n"/>
      <c r="C262" s="51" t="n"/>
      <c r="D262" s="51" t="n"/>
      <c r="E262" s="52" t="n"/>
      <c r="F262" s="53" t="n"/>
      <c r="G262" s="51" t="n"/>
      <c r="H262" s="53" t="n"/>
      <c r="I262" s="51" t="n"/>
      <c r="J262" s="54">
        <f>IF(OR(B262="",F262="",NOT(AND(G262&lt;&gt;"✅ Выполнена",G262&lt;&gt;"❌ Отменена"))),"",IF(F262&lt;TODAY(),"❗ просрочено "&amp;(TODAY()-F262)&amp;" дн.",IF(F262=TODAY(),"🔥 сегодня",IF(F262-TODAY()&lt;=3,"⏳ через "&amp;(F262-TODAY())&amp;" дн.",""))))</f>
        <v/>
      </c>
      <c r="K262" s="54">
        <f>IF(B262="","",IF(G262="✅ Выполнена","✔ ",IF(G262="❌ Отменена","✖ ",IF(AND(F262&lt;&gt;"",F262&lt;TODAY()),"❗ ","☐ ")))&amp;B262&amp;IF(E262="🔥 Высокий"," 🔥",""))</f>
        <v/>
      </c>
      <c r="L262" s="54">
        <f>IF(OR(B262="",F262="",G262="❌ Отменена"),"",F262&amp;"#"&amp;COUNTIFS($F$5:F262,F262,$B$5:B262,"?*",$G$5:G262,"&lt;&gt;❌ Отменена"))</f>
        <v/>
      </c>
      <c r="M262" s="54">
        <f>IF(AND(B262&lt;&gt;"",F262&lt;&gt;"",F262&lt;TODAY(),AND(G262&lt;&gt;"✅ Выполнена",G262&lt;&gt;"❌ Отменена")),MAX($M$4:M261)+1,"")</f>
        <v/>
      </c>
    </row>
    <row r="263">
      <c r="A263" s="49">
        <f>IF(B263="","",COUNTA($B$5:B263))</f>
        <v/>
      </c>
      <c r="B263" s="50" t="n"/>
      <c r="C263" s="51" t="n"/>
      <c r="D263" s="51" t="n"/>
      <c r="E263" s="52" t="n"/>
      <c r="F263" s="53" t="n"/>
      <c r="G263" s="51" t="n"/>
      <c r="H263" s="53" t="n"/>
      <c r="I263" s="51" t="n"/>
      <c r="J263" s="54">
        <f>IF(OR(B263="",F263="",NOT(AND(G263&lt;&gt;"✅ Выполнена",G263&lt;&gt;"❌ Отменена"))),"",IF(F263&lt;TODAY(),"❗ просрочено "&amp;(TODAY()-F263)&amp;" дн.",IF(F263=TODAY(),"🔥 сегодня",IF(F263-TODAY()&lt;=3,"⏳ через "&amp;(F263-TODAY())&amp;" дн.",""))))</f>
        <v/>
      </c>
      <c r="K263" s="54">
        <f>IF(B263="","",IF(G263="✅ Выполнена","✔ ",IF(G263="❌ Отменена","✖ ",IF(AND(F263&lt;&gt;"",F263&lt;TODAY()),"❗ ","☐ ")))&amp;B263&amp;IF(E263="🔥 Высокий"," 🔥",""))</f>
        <v/>
      </c>
      <c r="L263" s="54">
        <f>IF(OR(B263="",F263="",G263="❌ Отменена"),"",F263&amp;"#"&amp;COUNTIFS($F$5:F263,F263,$B$5:B263,"?*",$G$5:G263,"&lt;&gt;❌ Отменена"))</f>
        <v/>
      </c>
      <c r="M263" s="54">
        <f>IF(AND(B263&lt;&gt;"",F263&lt;&gt;"",F263&lt;TODAY(),AND(G263&lt;&gt;"✅ Выполнена",G263&lt;&gt;"❌ Отменена")),MAX($M$4:M262)+1,"")</f>
        <v/>
      </c>
    </row>
    <row r="264">
      <c r="A264" s="49">
        <f>IF(B264="","",COUNTA($B$5:B264))</f>
        <v/>
      </c>
      <c r="B264" s="50" t="n"/>
      <c r="C264" s="51" t="n"/>
      <c r="D264" s="51" t="n"/>
      <c r="E264" s="52" t="n"/>
      <c r="F264" s="53" t="n"/>
      <c r="G264" s="51" t="n"/>
      <c r="H264" s="53" t="n"/>
      <c r="I264" s="51" t="n"/>
      <c r="J264" s="54">
        <f>IF(OR(B264="",F264="",NOT(AND(G264&lt;&gt;"✅ Выполнена",G264&lt;&gt;"❌ Отменена"))),"",IF(F264&lt;TODAY(),"❗ просрочено "&amp;(TODAY()-F264)&amp;" дн.",IF(F264=TODAY(),"🔥 сегодня",IF(F264-TODAY()&lt;=3,"⏳ через "&amp;(F264-TODAY())&amp;" дн.",""))))</f>
        <v/>
      </c>
      <c r="K264" s="54">
        <f>IF(B264="","",IF(G264="✅ Выполнена","✔ ",IF(G264="❌ Отменена","✖ ",IF(AND(F264&lt;&gt;"",F264&lt;TODAY()),"❗ ","☐ ")))&amp;B264&amp;IF(E264="🔥 Высокий"," 🔥",""))</f>
        <v/>
      </c>
      <c r="L264" s="54">
        <f>IF(OR(B264="",F264="",G264="❌ Отменена"),"",F264&amp;"#"&amp;COUNTIFS($F$5:F264,F264,$B$5:B264,"?*",$G$5:G264,"&lt;&gt;❌ Отменена"))</f>
        <v/>
      </c>
      <c r="M264" s="54">
        <f>IF(AND(B264&lt;&gt;"",F264&lt;&gt;"",F264&lt;TODAY(),AND(G264&lt;&gt;"✅ Выполнена",G264&lt;&gt;"❌ Отменена")),MAX($M$4:M263)+1,"")</f>
        <v/>
      </c>
    </row>
    <row r="265">
      <c r="A265" s="49">
        <f>IF(B265="","",COUNTA($B$5:B265))</f>
        <v/>
      </c>
      <c r="B265" s="50" t="n"/>
      <c r="C265" s="51" t="n"/>
      <c r="D265" s="51" t="n"/>
      <c r="E265" s="52" t="n"/>
      <c r="F265" s="53" t="n"/>
      <c r="G265" s="51" t="n"/>
      <c r="H265" s="53" t="n"/>
      <c r="I265" s="51" t="n"/>
      <c r="J265" s="54">
        <f>IF(OR(B265="",F265="",NOT(AND(G265&lt;&gt;"✅ Выполнена",G265&lt;&gt;"❌ Отменена"))),"",IF(F265&lt;TODAY(),"❗ просрочено "&amp;(TODAY()-F265)&amp;" дн.",IF(F265=TODAY(),"🔥 сегодня",IF(F265-TODAY()&lt;=3,"⏳ через "&amp;(F265-TODAY())&amp;" дн.",""))))</f>
        <v/>
      </c>
      <c r="K265" s="54">
        <f>IF(B265="","",IF(G265="✅ Выполнена","✔ ",IF(G265="❌ Отменена","✖ ",IF(AND(F265&lt;&gt;"",F265&lt;TODAY()),"❗ ","☐ ")))&amp;B265&amp;IF(E265="🔥 Высокий"," 🔥",""))</f>
        <v/>
      </c>
      <c r="L265" s="54">
        <f>IF(OR(B265="",F265="",G265="❌ Отменена"),"",F265&amp;"#"&amp;COUNTIFS($F$5:F265,F265,$B$5:B265,"?*",$G$5:G265,"&lt;&gt;❌ Отменена"))</f>
        <v/>
      </c>
      <c r="M265" s="54">
        <f>IF(AND(B265&lt;&gt;"",F265&lt;&gt;"",F265&lt;TODAY(),AND(G265&lt;&gt;"✅ Выполнена",G265&lt;&gt;"❌ Отменена")),MAX($M$4:M264)+1,"")</f>
        <v/>
      </c>
    </row>
    <row r="266">
      <c r="A266" s="49">
        <f>IF(B266="","",COUNTA($B$5:B266))</f>
        <v/>
      </c>
      <c r="B266" s="50" t="n"/>
      <c r="C266" s="51" t="n"/>
      <c r="D266" s="51" t="n"/>
      <c r="E266" s="52" t="n"/>
      <c r="F266" s="53" t="n"/>
      <c r="G266" s="51" t="n"/>
      <c r="H266" s="53" t="n"/>
      <c r="I266" s="51" t="n"/>
      <c r="J266" s="54">
        <f>IF(OR(B266="",F266="",NOT(AND(G266&lt;&gt;"✅ Выполнена",G266&lt;&gt;"❌ Отменена"))),"",IF(F266&lt;TODAY(),"❗ просрочено "&amp;(TODAY()-F266)&amp;" дн.",IF(F266=TODAY(),"🔥 сегодня",IF(F266-TODAY()&lt;=3,"⏳ через "&amp;(F266-TODAY())&amp;" дн.",""))))</f>
        <v/>
      </c>
      <c r="K266" s="54">
        <f>IF(B266="","",IF(G266="✅ Выполнена","✔ ",IF(G266="❌ Отменена","✖ ",IF(AND(F266&lt;&gt;"",F266&lt;TODAY()),"❗ ","☐ ")))&amp;B266&amp;IF(E266="🔥 Высокий"," 🔥",""))</f>
        <v/>
      </c>
      <c r="L266" s="54">
        <f>IF(OR(B266="",F266="",G266="❌ Отменена"),"",F266&amp;"#"&amp;COUNTIFS($F$5:F266,F266,$B$5:B266,"?*",$G$5:G266,"&lt;&gt;❌ Отменена"))</f>
        <v/>
      </c>
      <c r="M266" s="54">
        <f>IF(AND(B266&lt;&gt;"",F266&lt;&gt;"",F266&lt;TODAY(),AND(G266&lt;&gt;"✅ Выполнена",G266&lt;&gt;"❌ Отменена")),MAX($M$4:M265)+1,"")</f>
        <v/>
      </c>
    </row>
    <row r="267">
      <c r="A267" s="49">
        <f>IF(B267="","",COUNTA($B$5:B267))</f>
        <v/>
      </c>
      <c r="B267" s="50" t="n"/>
      <c r="C267" s="51" t="n"/>
      <c r="D267" s="51" t="n"/>
      <c r="E267" s="52" t="n"/>
      <c r="F267" s="53" t="n"/>
      <c r="G267" s="51" t="n"/>
      <c r="H267" s="53" t="n"/>
      <c r="I267" s="51" t="n"/>
      <c r="J267" s="54">
        <f>IF(OR(B267="",F267="",NOT(AND(G267&lt;&gt;"✅ Выполнена",G267&lt;&gt;"❌ Отменена"))),"",IF(F267&lt;TODAY(),"❗ просрочено "&amp;(TODAY()-F267)&amp;" дн.",IF(F267=TODAY(),"🔥 сегодня",IF(F267-TODAY()&lt;=3,"⏳ через "&amp;(F267-TODAY())&amp;" дн.",""))))</f>
        <v/>
      </c>
      <c r="K267" s="54">
        <f>IF(B267="","",IF(G267="✅ Выполнена","✔ ",IF(G267="❌ Отменена","✖ ",IF(AND(F267&lt;&gt;"",F267&lt;TODAY()),"❗ ","☐ ")))&amp;B267&amp;IF(E267="🔥 Высокий"," 🔥",""))</f>
        <v/>
      </c>
      <c r="L267" s="54">
        <f>IF(OR(B267="",F267="",G267="❌ Отменена"),"",F267&amp;"#"&amp;COUNTIFS($F$5:F267,F267,$B$5:B267,"?*",$G$5:G267,"&lt;&gt;❌ Отменена"))</f>
        <v/>
      </c>
      <c r="M267" s="54">
        <f>IF(AND(B267&lt;&gt;"",F267&lt;&gt;"",F267&lt;TODAY(),AND(G267&lt;&gt;"✅ Выполнена",G267&lt;&gt;"❌ Отменена")),MAX($M$4:M266)+1,"")</f>
        <v/>
      </c>
    </row>
    <row r="268">
      <c r="A268" s="49">
        <f>IF(B268="","",COUNTA($B$5:B268))</f>
        <v/>
      </c>
      <c r="B268" s="50" t="n"/>
      <c r="C268" s="51" t="n"/>
      <c r="D268" s="51" t="n"/>
      <c r="E268" s="52" t="n"/>
      <c r="F268" s="53" t="n"/>
      <c r="G268" s="51" t="n"/>
      <c r="H268" s="53" t="n"/>
      <c r="I268" s="51" t="n"/>
      <c r="J268" s="54">
        <f>IF(OR(B268="",F268="",NOT(AND(G268&lt;&gt;"✅ Выполнена",G268&lt;&gt;"❌ Отменена"))),"",IF(F268&lt;TODAY(),"❗ просрочено "&amp;(TODAY()-F268)&amp;" дн.",IF(F268=TODAY(),"🔥 сегодня",IF(F268-TODAY()&lt;=3,"⏳ через "&amp;(F268-TODAY())&amp;" дн.",""))))</f>
        <v/>
      </c>
      <c r="K268" s="54">
        <f>IF(B268="","",IF(G268="✅ Выполнена","✔ ",IF(G268="❌ Отменена","✖ ",IF(AND(F268&lt;&gt;"",F268&lt;TODAY()),"❗ ","☐ ")))&amp;B268&amp;IF(E268="🔥 Высокий"," 🔥",""))</f>
        <v/>
      </c>
      <c r="L268" s="54">
        <f>IF(OR(B268="",F268="",G268="❌ Отменена"),"",F268&amp;"#"&amp;COUNTIFS($F$5:F268,F268,$B$5:B268,"?*",$G$5:G268,"&lt;&gt;❌ Отменена"))</f>
        <v/>
      </c>
      <c r="M268" s="54">
        <f>IF(AND(B268&lt;&gt;"",F268&lt;&gt;"",F268&lt;TODAY(),AND(G268&lt;&gt;"✅ Выполнена",G268&lt;&gt;"❌ Отменена")),MAX($M$4:M267)+1,"")</f>
        <v/>
      </c>
    </row>
    <row r="269">
      <c r="A269" s="49">
        <f>IF(B269="","",COUNTA($B$5:B269))</f>
        <v/>
      </c>
      <c r="B269" s="50" t="n"/>
      <c r="C269" s="51" t="n"/>
      <c r="D269" s="51" t="n"/>
      <c r="E269" s="52" t="n"/>
      <c r="F269" s="53" t="n"/>
      <c r="G269" s="51" t="n"/>
      <c r="H269" s="53" t="n"/>
      <c r="I269" s="51" t="n"/>
      <c r="J269" s="54">
        <f>IF(OR(B269="",F269="",NOT(AND(G269&lt;&gt;"✅ Выполнена",G269&lt;&gt;"❌ Отменена"))),"",IF(F269&lt;TODAY(),"❗ просрочено "&amp;(TODAY()-F269)&amp;" дн.",IF(F269=TODAY(),"🔥 сегодня",IF(F269-TODAY()&lt;=3,"⏳ через "&amp;(F269-TODAY())&amp;" дн.",""))))</f>
        <v/>
      </c>
      <c r="K269" s="54">
        <f>IF(B269="","",IF(G269="✅ Выполнена","✔ ",IF(G269="❌ Отменена","✖ ",IF(AND(F269&lt;&gt;"",F269&lt;TODAY()),"❗ ","☐ ")))&amp;B269&amp;IF(E269="🔥 Высокий"," 🔥",""))</f>
        <v/>
      </c>
      <c r="L269" s="54">
        <f>IF(OR(B269="",F269="",G269="❌ Отменена"),"",F269&amp;"#"&amp;COUNTIFS($F$5:F269,F269,$B$5:B269,"?*",$G$5:G269,"&lt;&gt;❌ Отменена"))</f>
        <v/>
      </c>
      <c r="M269" s="54">
        <f>IF(AND(B269&lt;&gt;"",F269&lt;&gt;"",F269&lt;TODAY(),AND(G269&lt;&gt;"✅ Выполнена",G269&lt;&gt;"❌ Отменена")),MAX($M$4:M268)+1,"")</f>
        <v/>
      </c>
    </row>
    <row r="270">
      <c r="A270" s="49">
        <f>IF(B270="","",COUNTA($B$5:B270))</f>
        <v/>
      </c>
      <c r="B270" s="50" t="n"/>
      <c r="C270" s="51" t="n"/>
      <c r="D270" s="51" t="n"/>
      <c r="E270" s="52" t="n"/>
      <c r="F270" s="53" t="n"/>
      <c r="G270" s="51" t="n"/>
      <c r="H270" s="53" t="n"/>
      <c r="I270" s="51" t="n"/>
      <c r="J270" s="54">
        <f>IF(OR(B270="",F270="",NOT(AND(G270&lt;&gt;"✅ Выполнена",G270&lt;&gt;"❌ Отменена"))),"",IF(F270&lt;TODAY(),"❗ просрочено "&amp;(TODAY()-F270)&amp;" дн.",IF(F270=TODAY(),"🔥 сегодня",IF(F270-TODAY()&lt;=3,"⏳ через "&amp;(F270-TODAY())&amp;" дн.",""))))</f>
        <v/>
      </c>
      <c r="K270" s="54">
        <f>IF(B270="","",IF(G270="✅ Выполнена","✔ ",IF(G270="❌ Отменена","✖ ",IF(AND(F270&lt;&gt;"",F270&lt;TODAY()),"❗ ","☐ ")))&amp;B270&amp;IF(E270="🔥 Высокий"," 🔥",""))</f>
        <v/>
      </c>
      <c r="L270" s="54">
        <f>IF(OR(B270="",F270="",G270="❌ Отменена"),"",F270&amp;"#"&amp;COUNTIFS($F$5:F270,F270,$B$5:B270,"?*",$G$5:G270,"&lt;&gt;❌ Отменена"))</f>
        <v/>
      </c>
      <c r="M270" s="54">
        <f>IF(AND(B270&lt;&gt;"",F270&lt;&gt;"",F270&lt;TODAY(),AND(G270&lt;&gt;"✅ Выполнена",G270&lt;&gt;"❌ Отменена")),MAX($M$4:M269)+1,"")</f>
        <v/>
      </c>
    </row>
    <row r="271">
      <c r="A271" s="49">
        <f>IF(B271="","",COUNTA($B$5:B271))</f>
        <v/>
      </c>
      <c r="B271" s="50" t="n"/>
      <c r="C271" s="51" t="n"/>
      <c r="D271" s="51" t="n"/>
      <c r="E271" s="52" t="n"/>
      <c r="F271" s="53" t="n"/>
      <c r="G271" s="51" t="n"/>
      <c r="H271" s="53" t="n"/>
      <c r="I271" s="51" t="n"/>
      <c r="J271" s="54">
        <f>IF(OR(B271="",F271="",NOT(AND(G271&lt;&gt;"✅ Выполнена",G271&lt;&gt;"❌ Отменена"))),"",IF(F271&lt;TODAY(),"❗ просрочено "&amp;(TODAY()-F271)&amp;" дн.",IF(F271=TODAY(),"🔥 сегодня",IF(F271-TODAY()&lt;=3,"⏳ через "&amp;(F271-TODAY())&amp;" дн.",""))))</f>
        <v/>
      </c>
      <c r="K271" s="54">
        <f>IF(B271="","",IF(G271="✅ Выполнена","✔ ",IF(G271="❌ Отменена","✖ ",IF(AND(F271&lt;&gt;"",F271&lt;TODAY()),"❗ ","☐ ")))&amp;B271&amp;IF(E271="🔥 Высокий"," 🔥",""))</f>
        <v/>
      </c>
      <c r="L271" s="54">
        <f>IF(OR(B271="",F271="",G271="❌ Отменена"),"",F271&amp;"#"&amp;COUNTIFS($F$5:F271,F271,$B$5:B271,"?*",$G$5:G271,"&lt;&gt;❌ Отменена"))</f>
        <v/>
      </c>
      <c r="M271" s="54">
        <f>IF(AND(B271&lt;&gt;"",F271&lt;&gt;"",F271&lt;TODAY(),AND(G271&lt;&gt;"✅ Выполнена",G271&lt;&gt;"❌ Отменена")),MAX($M$4:M270)+1,"")</f>
        <v/>
      </c>
    </row>
    <row r="272">
      <c r="A272" s="49">
        <f>IF(B272="","",COUNTA($B$5:B272))</f>
        <v/>
      </c>
      <c r="B272" s="50" t="n"/>
      <c r="C272" s="51" t="n"/>
      <c r="D272" s="51" t="n"/>
      <c r="E272" s="52" t="n"/>
      <c r="F272" s="53" t="n"/>
      <c r="G272" s="51" t="n"/>
      <c r="H272" s="53" t="n"/>
      <c r="I272" s="51" t="n"/>
      <c r="J272" s="54">
        <f>IF(OR(B272="",F272="",NOT(AND(G272&lt;&gt;"✅ Выполнена",G272&lt;&gt;"❌ Отменена"))),"",IF(F272&lt;TODAY(),"❗ просрочено "&amp;(TODAY()-F272)&amp;" дн.",IF(F272=TODAY(),"🔥 сегодня",IF(F272-TODAY()&lt;=3,"⏳ через "&amp;(F272-TODAY())&amp;" дн.",""))))</f>
        <v/>
      </c>
      <c r="K272" s="54">
        <f>IF(B272="","",IF(G272="✅ Выполнена","✔ ",IF(G272="❌ Отменена","✖ ",IF(AND(F272&lt;&gt;"",F272&lt;TODAY()),"❗ ","☐ ")))&amp;B272&amp;IF(E272="🔥 Высокий"," 🔥",""))</f>
        <v/>
      </c>
      <c r="L272" s="54">
        <f>IF(OR(B272="",F272="",G272="❌ Отменена"),"",F272&amp;"#"&amp;COUNTIFS($F$5:F272,F272,$B$5:B272,"?*",$G$5:G272,"&lt;&gt;❌ Отменена"))</f>
        <v/>
      </c>
      <c r="M272" s="54">
        <f>IF(AND(B272&lt;&gt;"",F272&lt;&gt;"",F272&lt;TODAY(),AND(G272&lt;&gt;"✅ Выполнена",G272&lt;&gt;"❌ Отменена")),MAX($M$4:M271)+1,"")</f>
        <v/>
      </c>
    </row>
    <row r="273">
      <c r="A273" s="49">
        <f>IF(B273="","",COUNTA($B$5:B273))</f>
        <v/>
      </c>
      <c r="B273" s="50" t="n"/>
      <c r="C273" s="51" t="n"/>
      <c r="D273" s="51" t="n"/>
      <c r="E273" s="52" t="n"/>
      <c r="F273" s="53" t="n"/>
      <c r="G273" s="51" t="n"/>
      <c r="H273" s="53" t="n"/>
      <c r="I273" s="51" t="n"/>
      <c r="J273" s="54">
        <f>IF(OR(B273="",F273="",NOT(AND(G273&lt;&gt;"✅ Выполнена",G273&lt;&gt;"❌ Отменена"))),"",IF(F273&lt;TODAY(),"❗ просрочено "&amp;(TODAY()-F273)&amp;" дн.",IF(F273=TODAY(),"🔥 сегодня",IF(F273-TODAY()&lt;=3,"⏳ через "&amp;(F273-TODAY())&amp;" дн.",""))))</f>
        <v/>
      </c>
      <c r="K273" s="54">
        <f>IF(B273="","",IF(G273="✅ Выполнена","✔ ",IF(G273="❌ Отменена","✖ ",IF(AND(F273&lt;&gt;"",F273&lt;TODAY()),"❗ ","☐ ")))&amp;B273&amp;IF(E273="🔥 Высокий"," 🔥",""))</f>
        <v/>
      </c>
      <c r="L273" s="54">
        <f>IF(OR(B273="",F273="",G273="❌ Отменена"),"",F273&amp;"#"&amp;COUNTIFS($F$5:F273,F273,$B$5:B273,"?*",$G$5:G273,"&lt;&gt;❌ Отменена"))</f>
        <v/>
      </c>
      <c r="M273" s="54">
        <f>IF(AND(B273&lt;&gt;"",F273&lt;&gt;"",F273&lt;TODAY(),AND(G273&lt;&gt;"✅ Выполнена",G273&lt;&gt;"❌ Отменена")),MAX($M$4:M272)+1,"")</f>
        <v/>
      </c>
    </row>
    <row r="274">
      <c r="A274" s="49">
        <f>IF(B274="","",COUNTA($B$5:B274))</f>
        <v/>
      </c>
      <c r="B274" s="50" t="n"/>
      <c r="C274" s="51" t="n"/>
      <c r="D274" s="51" t="n"/>
      <c r="E274" s="52" t="n"/>
      <c r="F274" s="53" t="n"/>
      <c r="G274" s="51" t="n"/>
      <c r="H274" s="53" t="n"/>
      <c r="I274" s="51" t="n"/>
      <c r="J274" s="54">
        <f>IF(OR(B274="",F274="",NOT(AND(G274&lt;&gt;"✅ Выполнена",G274&lt;&gt;"❌ Отменена"))),"",IF(F274&lt;TODAY(),"❗ просрочено "&amp;(TODAY()-F274)&amp;" дн.",IF(F274=TODAY(),"🔥 сегодня",IF(F274-TODAY()&lt;=3,"⏳ через "&amp;(F274-TODAY())&amp;" дн.",""))))</f>
        <v/>
      </c>
      <c r="K274" s="54">
        <f>IF(B274="","",IF(G274="✅ Выполнена","✔ ",IF(G274="❌ Отменена","✖ ",IF(AND(F274&lt;&gt;"",F274&lt;TODAY()),"❗ ","☐ ")))&amp;B274&amp;IF(E274="🔥 Высокий"," 🔥",""))</f>
        <v/>
      </c>
      <c r="L274" s="54">
        <f>IF(OR(B274="",F274="",G274="❌ Отменена"),"",F274&amp;"#"&amp;COUNTIFS($F$5:F274,F274,$B$5:B274,"?*",$G$5:G274,"&lt;&gt;❌ Отменена"))</f>
        <v/>
      </c>
      <c r="M274" s="54">
        <f>IF(AND(B274&lt;&gt;"",F274&lt;&gt;"",F274&lt;TODAY(),AND(G274&lt;&gt;"✅ Выполнена",G274&lt;&gt;"❌ Отменена")),MAX($M$4:M273)+1,"")</f>
        <v/>
      </c>
    </row>
    <row r="275">
      <c r="A275" s="49">
        <f>IF(B275="","",COUNTA($B$5:B275))</f>
        <v/>
      </c>
      <c r="B275" s="50" t="n"/>
      <c r="C275" s="51" t="n"/>
      <c r="D275" s="51" t="n"/>
      <c r="E275" s="52" t="n"/>
      <c r="F275" s="53" t="n"/>
      <c r="G275" s="51" t="n"/>
      <c r="H275" s="53" t="n"/>
      <c r="I275" s="51" t="n"/>
      <c r="J275" s="54">
        <f>IF(OR(B275="",F275="",NOT(AND(G275&lt;&gt;"✅ Выполнена",G275&lt;&gt;"❌ Отменена"))),"",IF(F275&lt;TODAY(),"❗ просрочено "&amp;(TODAY()-F275)&amp;" дн.",IF(F275=TODAY(),"🔥 сегодня",IF(F275-TODAY()&lt;=3,"⏳ через "&amp;(F275-TODAY())&amp;" дн.",""))))</f>
        <v/>
      </c>
      <c r="K275" s="54">
        <f>IF(B275="","",IF(G275="✅ Выполнена","✔ ",IF(G275="❌ Отменена","✖ ",IF(AND(F275&lt;&gt;"",F275&lt;TODAY()),"❗ ","☐ ")))&amp;B275&amp;IF(E275="🔥 Высокий"," 🔥",""))</f>
        <v/>
      </c>
      <c r="L275" s="54">
        <f>IF(OR(B275="",F275="",G275="❌ Отменена"),"",F275&amp;"#"&amp;COUNTIFS($F$5:F275,F275,$B$5:B275,"?*",$G$5:G275,"&lt;&gt;❌ Отменена"))</f>
        <v/>
      </c>
      <c r="M275" s="54">
        <f>IF(AND(B275&lt;&gt;"",F275&lt;&gt;"",F275&lt;TODAY(),AND(G275&lt;&gt;"✅ Выполнена",G275&lt;&gt;"❌ Отменена")),MAX($M$4:M274)+1,"")</f>
        <v/>
      </c>
    </row>
    <row r="276">
      <c r="A276" s="49">
        <f>IF(B276="","",COUNTA($B$5:B276))</f>
        <v/>
      </c>
      <c r="B276" s="50" t="n"/>
      <c r="C276" s="51" t="n"/>
      <c r="D276" s="51" t="n"/>
      <c r="E276" s="52" t="n"/>
      <c r="F276" s="53" t="n"/>
      <c r="G276" s="51" t="n"/>
      <c r="H276" s="53" t="n"/>
      <c r="I276" s="51" t="n"/>
      <c r="J276" s="54">
        <f>IF(OR(B276="",F276="",NOT(AND(G276&lt;&gt;"✅ Выполнена",G276&lt;&gt;"❌ Отменена"))),"",IF(F276&lt;TODAY(),"❗ просрочено "&amp;(TODAY()-F276)&amp;" дн.",IF(F276=TODAY(),"🔥 сегодня",IF(F276-TODAY()&lt;=3,"⏳ через "&amp;(F276-TODAY())&amp;" дн.",""))))</f>
        <v/>
      </c>
      <c r="K276" s="54">
        <f>IF(B276="","",IF(G276="✅ Выполнена","✔ ",IF(G276="❌ Отменена","✖ ",IF(AND(F276&lt;&gt;"",F276&lt;TODAY()),"❗ ","☐ ")))&amp;B276&amp;IF(E276="🔥 Высокий"," 🔥",""))</f>
        <v/>
      </c>
      <c r="L276" s="54">
        <f>IF(OR(B276="",F276="",G276="❌ Отменена"),"",F276&amp;"#"&amp;COUNTIFS($F$5:F276,F276,$B$5:B276,"?*",$G$5:G276,"&lt;&gt;❌ Отменена"))</f>
        <v/>
      </c>
      <c r="M276" s="54">
        <f>IF(AND(B276&lt;&gt;"",F276&lt;&gt;"",F276&lt;TODAY(),AND(G276&lt;&gt;"✅ Выполнена",G276&lt;&gt;"❌ Отменена")),MAX($M$4:M275)+1,"")</f>
        <v/>
      </c>
    </row>
    <row r="277">
      <c r="A277" s="49">
        <f>IF(B277="","",COUNTA($B$5:B277))</f>
        <v/>
      </c>
      <c r="B277" s="50" t="n"/>
      <c r="C277" s="51" t="n"/>
      <c r="D277" s="51" t="n"/>
      <c r="E277" s="52" t="n"/>
      <c r="F277" s="53" t="n"/>
      <c r="G277" s="51" t="n"/>
      <c r="H277" s="53" t="n"/>
      <c r="I277" s="51" t="n"/>
      <c r="J277" s="54">
        <f>IF(OR(B277="",F277="",NOT(AND(G277&lt;&gt;"✅ Выполнена",G277&lt;&gt;"❌ Отменена"))),"",IF(F277&lt;TODAY(),"❗ просрочено "&amp;(TODAY()-F277)&amp;" дн.",IF(F277=TODAY(),"🔥 сегодня",IF(F277-TODAY()&lt;=3,"⏳ через "&amp;(F277-TODAY())&amp;" дн.",""))))</f>
        <v/>
      </c>
      <c r="K277" s="54">
        <f>IF(B277="","",IF(G277="✅ Выполнена","✔ ",IF(G277="❌ Отменена","✖ ",IF(AND(F277&lt;&gt;"",F277&lt;TODAY()),"❗ ","☐ ")))&amp;B277&amp;IF(E277="🔥 Высокий"," 🔥",""))</f>
        <v/>
      </c>
      <c r="L277" s="54">
        <f>IF(OR(B277="",F277="",G277="❌ Отменена"),"",F277&amp;"#"&amp;COUNTIFS($F$5:F277,F277,$B$5:B277,"?*",$G$5:G277,"&lt;&gt;❌ Отменена"))</f>
        <v/>
      </c>
      <c r="M277" s="54">
        <f>IF(AND(B277&lt;&gt;"",F277&lt;&gt;"",F277&lt;TODAY(),AND(G277&lt;&gt;"✅ Выполнена",G277&lt;&gt;"❌ Отменена")),MAX($M$4:M276)+1,"")</f>
        <v/>
      </c>
    </row>
    <row r="278">
      <c r="A278" s="49">
        <f>IF(B278="","",COUNTA($B$5:B278))</f>
        <v/>
      </c>
      <c r="B278" s="50" t="n"/>
      <c r="C278" s="51" t="n"/>
      <c r="D278" s="51" t="n"/>
      <c r="E278" s="52" t="n"/>
      <c r="F278" s="53" t="n"/>
      <c r="G278" s="51" t="n"/>
      <c r="H278" s="53" t="n"/>
      <c r="I278" s="51" t="n"/>
      <c r="J278" s="54">
        <f>IF(OR(B278="",F278="",NOT(AND(G278&lt;&gt;"✅ Выполнена",G278&lt;&gt;"❌ Отменена"))),"",IF(F278&lt;TODAY(),"❗ просрочено "&amp;(TODAY()-F278)&amp;" дн.",IF(F278=TODAY(),"🔥 сегодня",IF(F278-TODAY()&lt;=3,"⏳ через "&amp;(F278-TODAY())&amp;" дн.",""))))</f>
        <v/>
      </c>
      <c r="K278" s="54">
        <f>IF(B278="","",IF(G278="✅ Выполнена","✔ ",IF(G278="❌ Отменена","✖ ",IF(AND(F278&lt;&gt;"",F278&lt;TODAY()),"❗ ","☐ ")))&amp;B278&amp;IF(E278="🔥 Высокий"," 🔥",""))</f>
        <v/>
      </c>
      <c r="L278" s="54">
        <f>IF(OR(B278="",F278="",G278="❌ Отменена"),"",F278&amp;"#"&amp;COUNTIFS($F$5:F278,F278,$B$5:B278,"?*",$G$5:G278,"&lt;&gt;❌ Отменена"))</f>
        <v/>
      </c>
      <c r="M278" s="54">
        <f>IF(AND(B278&lt;&gt;"",F278&lt;&gt;"",F278&lt;TODAY(),AND(G278&lt;&gt;"✅ Выполнена",G278&lt;&gt;"❌ Отменена")),MAX($M$4:M277)+1,"")</f>
        <v/>
      </c>
    </row>
    <row r="279">
      <c r="A279" s="49">
        <f>IF(B279="","",COUNTA($B$5:B279))</f>
        <v/>
      </c>
      <c r="B279" s="50" t="n"/>
      <c r="C279" s="51" t="n"/>
      <c r="D279" s="51" t="n"/>
      <c r="E279" s="52" t="n"/>
      <c r="F279" s="53" t="n"/>
      <c r="G279" s="51" t="n"/>
      <c r="H279" s="53" t="n"/>
      <c r="I279" s="51" t="n"/>
      <c r="J279" s="54">
        <f>IF(OR(B279="",F279="",NOT(AND(G279&lt;&gt;"✅ Выполнена",G279&lt;&gt;"❌ Отменена"))),"",IF(F279&lt;TODAY(),"❗ просрочено "&amp;(TODAY()-F279)&amp;" дн.",IF(F279=TODAY(),"🔥 сегодня",IF(F279-TODAY()&lt;=3,"⏳ через "&amp;(F279-TODAY())&amp;" дн.",""))))</f>
        <v/>
      </c>
      <c r="K279" s="54">
        <f>IF(B279="","",IF(G279="✅ Выполнена","✔ ",IF(G279="❌ Отменена","✖ ",IF(AND(F279&lt;&gt;"",F279&lt;TODAY()),"❗ ","☐ ")))&amp;B279&amp;IF(E279="🔥 Высокий"," 🔥",""))</f>
        <v/>
      </c>
      <c r="L279" s="54">
        <f>IF(OR(B279="",F279="",G279="❌ Отменена"),"",F279&amp;"#"&amp;COUNTIFS($F$5:F279,F279,$B$5:B279,"?*",$G$5:G279,"&lt;&gt;❌ Отменена"))</f>
        <v/>
      </c>
      <c r="M279" s="54">
        <f>IF(AND(B279&lt;&gt;"",F279&lt;&gt;"",F279&lt;TODAY(),AND(G279&lt;&gt;"✅ Выполнена",G279&lt;&gt;"❌ Отменена")),MAX($M$4:M278)+1,"")</f>
        <v/>
      </c>
    </row>
    <row r="280">
      <c r="A280" s="49">
        <f>IF(B280="","",COUNTA($B$5:B280))</f>
        <v/>
      </c>
      <c r="B280" s="50" t="n"/>
      <c r="C280" s="51" t="n"/>
      <c r="D280" s="51" t="n"/>
      <c r="E280" s="52" t="n"/>
      <c r="F280" s="53" t="n"/>
      <c r="G280" s="51" t="n"/>
      <c r="H280" s="53" t="n"/>
      <c r="I280" s="51" t="n"/>
      <c r="J280" s="54">
        <f>IF(OR(B280="",F280="",NOT(AND(G280&lt;&gt;"✅ Выполнена",G280&lt;&gt;"❌ Отменена"))),"",IF(F280&lt;TODAY(),"❗ просрочено "&amp;(TODAY()-F280)&amp;" дн.",IF(F280=TODAY(),"🔥 сегодня",IF(F280-TODAY()&lt;=3,"⏳ через "&amp;(F280-TODAY())&amp;" дн.",""))))</f>
        <v/>
      </c>
      <c r="K280" s="54">
        <f>IF(B280="","",IF(G280="✅ Выполнена","✔ ",IF(G280="❌ Отменена","✖ ",IF(AND(F280&lt;&gt;"",F280&lt;TODAY()),"❗ ","☐ ")))&amp;B280&amp;IF(E280="🔥 Высокий"," 🔥",""))</f>
        <v/>
      </c>
      <c r="L280" s="54">
        <f>IF(OR(B280="",F280="",G280="❌ Отменена"),"",F280&amp;"#"&amp;COUNTIFS($F$5:F280,F280,$B$5:B280,"?*",$G$5:G280,"&lt;&gt;❌ Отменена"))</f>
        <v/>
      </c>
      <c r="M280" s="54">
        <f>IF(AND(B280&lt;&gt;"",F280&lt;&gt;"",F280&lt;TODAY(),AND(G280&lt;&gt;"✅ Выполнена",G280&lt;&gt;"❌ Отменена")),MAX($M$4:M279)+1,"")</f>
        <v/>
      </c>
    </row>
    <row r="281">
      <c r="A281" s="49">
        <f>IF(B281="","",COUNTA($B$5:B281))</f>
        <v/>
      </c>
      <c r="B281" s="50" t="n"/>
      <c r="C281" s="51" t="n"/>
      <c r="D281" s="51" t="n"/>
      <c r="E281" s="52" t="n"/>
      <c r="F281" s="53" t="n"/>
      <c r="G281" s="51" t="n"/>
      <c r="H281" s="53" t="n"/>
      <c r="I281" s="51" t="n"/>
      <c r="J281" s="54">
        <f>IF(OR(B281="",F281="",NOT(AND(G281&lt;&gt;"✅ Выполнена",G281&lt;&gt;"❌ Отменена"))),"",IF(F281&lt;TODAY(),"❗ просрочено "&amp;(TODAY()-F281)&amp;" дн.",IF(F281=TODAY(),"🔥 сегодня",IF(F281-TODAY()&lt;=3,"⏳ через "&amp;(F281-TODAY())&amp;" дн.",""))))</f>
        <v/>
      </c>
      <c r="K281" s="54">
        <f>IF(B281="","",IF(G281="✅ Выполнена","✔ ",IF(G281="❌ Отменена","✖ ",IF(AND(F281&lt;&gt;"",F281&lt;TODAY()),"❗ ","☐ ")))&amp;B281&amp;IF(E281="🔥 Высокий"," 🔥",""))</f>
        <v/>
      </c>
      <c r="L281" s="54">
        <f>IF(OR(B281="",F281="",G281="❌ Отменена"),"",F281&amp;"#"&amp;COUNTIFS($F$5:F281,F281,$B$5:B281,"?*",$G$5:G281,"&lt;&gt;❌ Отменена"))</f>
        <v/>
      </c>
      <c r="M281" s="54">
        <f>IF(AND(B281&lt;&gt;"",F281&lt;&gt;"",F281&lt;TODAY(),AND(G281&lt;&gt;"✅ Выполнена",G281&lt;&gt;"❌ Отменена")),MAX($M$4:M280)+1,"")</f>
        <v/>
      </c>
    </row>
    <row r="282">
      <c r="A282" s="49">
        <f>IF(B282="","",COUNTA($B$5:B282))</f>
        <v/>
      </c>
      <c r="B282" s="50" t="n"/>
      <c r="C282" s="51" t="n"/>
      <c r="D282" s="51" t="n"/>
      <c r="E282" s="52" t="n"/>
      <c r="F282" s="53" t="n"/>
      <c r="G282" s="51" t="n"/>
      <c r="H282" s="53" t="n"/>
      <c r="I282" s="51" t="n"/>
      <c r="J282" s="54">
        <f>IF(OR(B282="",F282="",NOT(AND(G282&lt;&gt;"✅ Выполнена",G282&lt;&gt;"❌ Отменена"))),"",IF(F282&lt;TODAY(),"❗ просрочено "&amp;(TODAY()-F282)&amp;" дн.",IF(F282=TODAY(),"🔥 сегодня",IF(F282-TODAY()&lt;=3,"⏳ через "&amp;(F282-TODAY())&amp;" дн.",""))))</f>
        <v/>
      </c>
      <c r="K282" s="54">
        <f>IF(B282="","",IF(G282="✅ Выполнена","✔ ",IF(G282="❌ Отменена","✖ ",IF(AND(F282&lt;&gt;"",F282&lt;TODAY()),"❗ ","☐ ")))&amp;B282&amp;IF(E282="🔥 Высокий"," 🔥",""))</f>
        <v/>
      </c>
      <c r="L282" s="54">
        <f>IF(OR(B282="",F282="",G282="❌ Отменена"),"",F282&amp;"#"&amp;COUNTIFS($F$5:F282,F282,$B$5:B282,"?*",$G$5:G282,"&lt;&gt;❌ Отменена"))</f>
        <v/>
      </c>
      <c r="M282" s="54">
        <f>IF(AND(B282&lt;&gt;"",F282&lt;&gt;"",F282&lt;TODAY(),AND(G282&lt;&gt;"✅ Выполнена",G282&lt;&gt;"❌ Отменена")),MAX($M$4:M281)+1,"")</f>
        <v/>
      </c>
    </row>
    <row r="283">
      <c r="A283" s="49">
        <f>IF(B283="","",COUNTA($B$5:B283))</f>
        <v/>
      </c>
      <c r="B283" s="50" t="n"/>
      <c r="C283" s="51" t="n"/>
      <c r="D283" s="51" t="n"/>
      <c r="E283" s="52" t="n"/>
      <c r="F283" s="53" t="n"/>
      <c r="G283" s="51" t="n"/>
      <c r="H283" s="53" t="n"/>
      <c r="I283" s="51" t="n"/>
      <c r="J283" s="54">
        <f>IF(OR(B283="",F283="",NOT(AND(G283&lt;&gt;"✅ Выполнена",G283&lt;&gt;"❌ Отменена"))),"",IF(F283&lt;TODAY(),"❗ просрочено "&amp;(TODAY()-F283)&amp;" дн.",IF(F283=TODAY(),"🔥 сегодня",IF(F283-TODAY()&lt;=3,"⏳ через "&amp;(F283-TODAY())&amp;" дн.",""))))</f>
        <v/>
      </c>
      <c r="K283" s="54">
        <f>IF(B283="","",IF(G283="✅ Выполнена","✔ ",IF(G283="❌ Отменена","✖ ",IF(AND(F283&lt;&gt;"",F283&lt;TODAY()),"❗ ","☐ ")))&amp;B283&amp;IF(E283="🔥 Высокий"," 🔥",""))</f>
        <v/>
      </c>
      <c r="L283" s="54">
        <f>IF(OR(B283="",F283="",G283="❌ Отменена"),"",F283&amp;"#"&amp;COUNTIFS($F$5:F283,F283,$B$5:B283,"?*",$G$5:G283,"&lt;&gt;❌ Отменена"))</f>
        <v/>
      </c>
      <c r="M283" s="54">
        <f>IF(AND(B283&lt;&gt;"",F283&lt;&gt;"",F283&lt;TODAY(),AND(G283&lt;&gt;"✅ Выполнена",G283&lt;&gt;"❌ Отменена")),MAX($M$4:M282)+1,"")</f>
        <v/>
      </c>
    </row>
    <row r="284">
      <c r="A284" s="49">
        <f>IF(B284="","",COUNTA($B$5:B284))</f>
        <v/>
      </c>
      <c r="B284" s="50" t="n"/>
      <c r="C284" s="51" t="n"/>
      <c r="D284" s="51" t="n"/>
      <c r="E284" s="52" t="n"/>
      <c r="F284" s="53" t="n"/>
      <c r="G284" s="51" t="n"/>
      <c r="H284" s="53" t="n"/>
      <c r="I284" s="51" t="n"/>
      <c r="J284" s="54">
        <f>IF(OR(B284="",F284="",NOT(AND(G284&lt;&gt;"✅ Выполнена",G284&lt;&gt;"❌ Отменена"))),"",IF(F284&lt;TODAY(),"❗ просрочено "&amp;(TODAY()-F284)&amp;" дн.",IF(F284=TODAY(),"🔥 сегодня",IF(F284-TODAY()&lt;=3,"⏳ через "&amp;(F284-TODAY())&amp;" дн.",""))))</f>
        <v/>
      </c>
      <c r="K284" s="54">
        <f>IF(B284="","",IF(G284="✅ Выполнена","✔ ",IF(G284="❌ Отменена","✖ ",IF(AND(F284&lt;&gt;"",F284&lt;TODAY()),"❗ ","☐ ")))&amp;B284&amp;IF(E284="🔥 Высокий"," 🔥",""))</f>
        <v/>
      </c>
      <c r="L284" s="54">
        <f>IF(OR(B284="",F284="",G284="❌ Отменена"),"",F284&amp;"#"&amp;COUNTIFS($F$5:F284,F284,$B$5:B284,"?*",$G$5:G284,"&lt;&gt;❌ Отменена"))</f>
        <v/>
      </c>
      <c r="M284" s="54">
        <f>IF(AND(B284&lt;&gt;"",F284&lt;&gt;"",F284&lt;TODAY(),AND(G284&lt;&gt;"✅ Выполнена",G284&lt;&gt;"❌ Отменена")),MAX($M$4:M283)+1,"")</f>
        <v/>
      </c>
    </row>
    <row r="285">
      <c r="A285" s="49">
        <f>IF(B285="","",COUNTA($B$5:B285))</f>
        <v/>
      </c>
      <c r="B285" s="50" t="n"/>
      <c r="C285" s="51" t="n"/>
      <c r="D285" s="51" t="n"/>
      <c r="E285" s="52" t="n"/>
      <c r="F285" s="53" t="n"/>
      <c r="G285" s="51" t="n"/>
      <c r="H285" s="53" t="n"/>
      <c r="I285" s="51" t="n"/>
      <c r="J285" s="54">
        <f>IF(OR(B285="",F285="",NOT(AND(G285&lt;&gt;"✅ Выполнена",G285&lt;&gt;"❌ Отменена"))),"",IF(F285&lt;TODAY(),"❗ просрочено "&amp;(TODAY()-F285)&amp;" дн.",IF(F285=TODAY(),"🔥 сегодня",IF(F285-TODAY()&lt;=3,"⏳ через "&amp;(F285-TODAY())&amp;" дн.",""))))</f>
        <v/>
      </c>
      <c r="K285" s="54">
        <f>IF(B285="","",IF(G285="✅ Выполнена","✔ ",IF(G285="❌ Отменена","✖ ",IF(AND(F285&lt;&gt;"",F285&lt;TODAY()),"❗ ","☐ ")))&amp;B285&amp;IF(E285="🔥 Высокий"," 🔥",""))</f>
        <v/>
      </c>
      <c r="L285" s="54">
        <f>IF(OR(B285="",F285="",G285="❌ Отменена"),"",F285&amp;"#"&amp;COUNTIFS($F$5:F285,F285,$B$5:B285,"?*",$G$5:G285,"&lt;&gt;❌ Отменена"))</f>
        <v/>
      </c>
      <c r="M285" s="54">
        <f>IF(AND(B285&lt;&gt;"",F285&lt;&gt;"",F285&lt;TODAY(),AND(G285&lt;&gt;"✅ Выполнена",G285&lt;&gt;"❌ Отменена")),MAX($M$4:M284)+1,"")</f>
        <v/>
      </c>
    </row>
    <row r="286">
      <c r="A286" s="49">
        <f>IF(B286="","",COUNTA($B$5:B286))</f>
        <v/>
      </c>
      <c r="B286" s="50" t="n"/>
      <c r="C286" s="51" t="n"/>
      <c r="D286" s="51" t="n"/>
      <c r="E286" s="52" t="n"/>
      <c r="F286" s="53" t="n"/>
      <c r="G286" s="51" t="n"/>
      <c r="H286" s="53" t="n"/>
      <c r="I286" s="51" t="n"/>
      <c r="J286" s="54">
        <f>IF(OR(B286="",F286="",NOT(AND(G286&lt;&gt;"✅ Выполнена",G286&lt;&gt;"❌ Отменена"))),"",IF(F286&lt;TODAY(),"❗ просрочено "&amp;(TODAY()-F286)&amp;" дн.",IF(F286=TODAY(),"🔥 сегодня",IF(F286-TODAY()&lt;=3,"⏳ через "&amp;(F286-TODAY())&amp;" дн.",""))))</f>
        <v/>
      </c>
      <c r="K286" s="54">
        <f>IF(B286="","",IF(G286="✅ Выполнена","✔ ",IF(G286="❌ Отменена","✖ ",IF(AND(F286&lt;&gt;"",F286&lt;TODAY()),"❗ ","☐ ")))&amp;B286&amp;IF(E286="🔥 Высокий"," 🔥",""))</f>
        <v/>
      </c>
      <c r="L286" s="54">
        <f>IF(OR(B286="",F286="",G286="❌ Отменена"),"",F286&amp;"#"&amp;COUNTIFS($F$5:F286,F286,$B$5:B286,"?*",$G$5:G286,"&lt;&gt;❌ Отменена"))</f>
        <v/>
      </c>
      <c r="M286" s="54">
        <f>IF(AND(B286&lt;&gt;"",F286&lt;&gt;"",F286&lt;TODAY(),AND(G286&lt;&gt;"✅ Выполнена",G286&lt;&gt;"❌ Отменена")),MAX($M$4:M285)+1,"")</f>
        <v/>
      </c>
    </row>
    <row r="287">
      <c r="A287" s="49">
        <f>IF(B287="","",COUNTA($B$5:B287))</f>
        <v/>
      </c>
      <c r="B287" s="50" t="n"/>
      <c r="C287" s="51" t="n"/>
      <c r="D287" s="51" t="n"/>
      <c r="E287" s="52" t="n"/>
      <c r="F287" s="53" t="n"/>
      <c r="G287" s="51" t="n"/>
      <c r="H287" s="53" t="n"/>
      <c r="I287" s="51" t="n"/>
      <c r="J287" s="54">
        <f>IF(OR(B287="",F287="",NOT(AND(G287&lt;&gt;"✅ Выполнена",G287&lt;&gt;"❌ Отменена"))),"",IF(F287&lt;TODAY(),"❗ просрочено "&amp;(TODAY()-F287)&amp;" дн.",IF(F287=TODAY(),"🔥 сегодня",IF(F287-TODAY()&lt;=3,"⏳ через "&amp;(F287-TODAY())&amp;" дн.",""))))</f>
        <v/>
      </c>
      <c r="K287" s="54">
        <f>IF(B287="","",IF(G287="✅ Выполнена","✔ ",IF(G287="❌ Отменена","✖ ",IF(AND(F287&lt;&gt;"",F287&lt;TODAY()),"❗ ","☐ ")))&amp;B287&amp;IF(E287="🔥 Высокий"," 🔥",""))</f>
        <v/>
      </c>
      <c r="L287" s="54">
        <f>IF(OR(B287="",F287="",G287="❌ Отменена"),"",F287&amp;"#"&amp;COUNTIFS($F$5:F287,F287,$B$5:B287,"?*",$G$5:G287,"&lt;&gt;❌ Отменена"))</f>
        <v/>
      </c>
      <c r="M287" s="54">
        <f>IF(AND(B287&lt;&gt;"",F287&lt;&gt;"",F287&lt;TODAY(),AND(G287&lt;&gt;"✅ Выполнена",G287&lt;&gt;"❌ Отменена")),MAX($M$4:M286)+1,"")</f>
        <v/>
      </c>
    </row>
    <row r="288">
      <c r="A288" s="49">
        <f>IF(B288="","",COUNTA($B$5:B288))</f>
        <v/>
      </c>
      <c r="B288" s="50" t="n"/>
      <c r="C288" s="51" t="n"/>
      <c r="D288" s="51" t="n"/>
      <c r="E288" s="52" t="n"/>
      <c r="F288" s="53" t="n"/>
      <c r="G288" s="51" t="n"/>
      <c r="H288" s="53" t="n"/>
      <c r="I288" s="51" t="n"/>
      <c r="J288" s="54">
        <f>IF(OR(B288="",F288="",NOT(AND(G288&lt;&gt;"✅ Выполнена",G288&lt;&gt;"❌ Отменена"))),"",IF(F288&lt;TODAY(),"❗ просрочено "&amp;(TODAY()-F288)&amp;" дн.",IF(F288=TODAY(),"🔥 сегодня",IF(F288-TODAY()&lt;=3,"⏳ через "&amp;(F288-TODAY())&amp;" дн.",""))))</f>
        <v/>
      </c>
      <c r="K288" s="54">
        <f>IF(B288="","",IF(G288="✅ Выполнена","✔ ",IF(G288="❌ Отменена","✖ ",IF(AND(F288&lt;&gt;"",F288&lt;TODAY()),"❗ ","☐ ")))&amp;B288&amp;IF(E288="🔥 Высокий"," 🔥",""))</f>
        <v/>
      </c>
      <c r="L288" s="54">
        <f>IF(OR(B288="",F288="",G288="❌ Отменена"),"",F288&amp;"#"&amp;COUNTIFS($F$5:F288,F288,$B$5:B288,"?*",$G$5:G288,"&lt;&gt;❌ Отменена"))</f>
        <v/>
      </c>
      <c r="M288" s="54">
        <f>IF(AND(B288&lt;&gt;"",F288&lt;&gt;"",F288&lt;TODAY(),AND(G288&lt;&gt;"✅ Выполнена",G288&lt;&gt;"❌ Отменена")),MAX($M$4:M287)+1,"")</f>
        <v/>
      </c>
    </row>
    <row r="289">
      <c r="A289" s="49">
        <f>IF(B289="","",COUNTA($B$5:B289))</f>
        <v/>
      </c>
      <c r="B289" s="50" t="n"/>
      <c r="C289" s="51" t="n"/>
      <c r="D289" s="51" t="n"/>
      <c r="E289" s="52" t="n"/>
      <c r="F289" s="53" t="n"/>
      <c r="G289" s="51" t="n"/>
      <c r="H289" s="53" t="n"/>
      <c r="I289" s="51" t="n"/>
      <c r="J289" s="54">
        <f>IF(OR(B289="",F289="",NOT(AND(G289&lt;&gt;"✅ Выполнена",G289&lt;&gt;"❌ Отменена"))),"",IF(F289&lt;TODAY(),"❗ просрочено "&amp;(TODAY()-F289)&amp;" дн.",IF(F289=TODAY(),"🔥 сегодня",IF(F289-TODAY()&lt;=3,"⏳ через "&amp;(F289-TODAY())&amp;" дн.",""))))</f>
        <v/>
      </c>
      <c r="K289" s="54">
        <f>IF(B289="","",IF(G289="✅ Выполнена","✔ ",IF(G289="❌ Отменена","✖ ",IF(AND(F289&lt;&gt;"",F289&lt;TODAY()),"❗ ","☐ ")))&amp;B289&amp;IF(E289="🔥 Высокий"," 🔥",""))</f>
        <v/>
      </c>
      <c r="L289" s="54">
        <f>IF(OR(B289="",F289="",G289="❌ Отменена"),"",F289&amp;"#"&amp;COUNTIFS($F$5:F289,F289,$B$5:B289,"?*",$G$5:G289,"&lt;&gt;❌ Отменена"))</f>
        <v/>
      </c>
      <c r="M289" s="54">
        <f>IF(AND(B289&lt;&gt;"",F289&lt;&gt;"",F289&lt;TODAY(),AND(G289&lt;&gt;"✅ Выполнена",G289&lt;&gt;"❌ Отменена")),MAX($M$4:M288)+1,"")</f>
        <v/>
      </c>
    </row>
    <row r="290">
      <c r="A290" s="49">
        <f>IF(B290="","",COUNTA($B$5:B290))</f>
        <v/>
      </c>
      <c r="B290" s="50" t="n"/>
      <c r="C290" s="51" t="n"/>
      <c r="D290" s="51" t="n"/>
      <c r="E290" s="52" t="n"/>
      <c r="F290" s="53" t="n"/>
      <c r="G290" s="51" t="n"/>
      <c r="H290" s="53" t="n"/>
      <c r="I290" s="51" t="n"/>
      <c r="J290" s="54">
        <f>IF(OR(B290="",F290="",NOT(AND(G290&lt;&gt;"✅ Выполнена",G290&lt;&gt;"❌ Отменена"))),"",IF(F290&lt;TODAY(),"❗ просрочено "&amp;(TODAY()-F290)&amp;" дн.",IF(F290=TODAY(),"🔥 сегодня",IF(F290-TODAY()&lt;=3,"⏳ через "&amp;(F290-TODAY())&amp;" дн.",""))))</f>
        <v/>
      </c>
      <c r="K290" s="54">
        <f>IF(B290="","",IF(G290="✅ Выполнена","✔ ",IF(G290="❌ Отменена","✖ ",IF(AND(F290&lt;&gt;"",F290&lt;TODAY()),"❗ ","☐ ")))&amp;B290&amp;IF(E290="🔥 Высокий"," 🔥",""))</f>
        <v/>
      </c>
      <c r="L290" s="54">
        <f>IF(OR(B290="",F290="",G290="❌ Отменена"),"",F290&amp;"#"&amp;COUNTIFS($F$5:F290,F290,$B$5:B290,"?*",$G$5:G290,"&lt;&gt;❌ Отменена"))</f>
        <v/>
      </c>
      <c r="M290" s="54">
        <f>IF(AND(B290&lt;&gt;"",F290&lt;&gt;"",F290&lt;TODAY(),AND(G290&lt;&gt;"✅ Выполнена",G290&lt;&gt;"❌ Отменена")),MAX($M$4:M289)+1,"")</f>
        <v/>
      </c>
    </row>
    <row r="291">
      <c r="A291" s="49">
        <f>IF(B291="","",COUNTA($B$5:B291))</f>
        <v/>
      </c>
      <c r="B291" s="50" t="n"/>
      <c r="C291" s="51" t="n"/>
      <c r="D291" s="51" t="n"/>
      <c r="E291" s="52" t="n"/>
      <c r="F291" s="53" t="n"/>
      <c r="G291" s="51" t="n"/>
      <c r="H291" s="53" t="n"/>
      <c r="I291" s="51" t="n"/>
      <c r="J291" s="54">
        <f>IF(OR(B291="",F291="",NOT(AND(G291&lt;&gt;"✅ Выполнена",G291&lt;&gt;"❌ Отменена"))),"",IF(F291&lt;TODAY(),"❗ просрочено "&amp;(TODAY()-F291)&amp;" дн.",IF(F291=TODAY(),"🔥 сегодня",IF(F291-TODAY()&lt;=3,"⏳ через "&amp;(F291-TODAY())&amp;" дн.",""))))</f>
        <v/>
      </c>
      <c r="K291" s="54">
        <f>IF(B291="","",IF(G291="✅ Выполнена","✔ ",IF(G291="❌ Отменена","✖ ",IF(AND(F291&lt;&gt;"",F291&lt;TODAY()),"❗ ","☐ ")))&amp;B291&amp;IF(E291="🔥 Высокий"," 🔥",""))</f>
        <v/>
      </c>
      <c r="L291" s="54">
        <f>IF(OR(B291="",F291="",G291="❌ Отменена"),"",F291&amp;"#"&amp;COUNTIFS($F$5:F291,F291,$B$5:B291,"?*",$G$5:G291,"&lt;&gt;❌ Отменена"))</f>
        <v/>
      </c>
      <c r="M291" s="54">
        <f>IF(AND(B291&lt;&gt;"",F291&lt;&gt;"",F291&lt;TODAY(),AND(G291&lt;&gt;"✅ Выполнена",G291&lt;&gt;"❌ Отменена")),MAX($M$4:M290)+1,"")</f>
        <v/>
      </c>
    </row>
    <row r="292">
      <c r="A292" s="49">
        <f>IF(B292="","",COUNTA($B$5:B292))</f>
        <v/>
      </c>
      <c r="B292" s="50" t="n"/>
      <c r="C292" s="51" t="n"/>
      <c r="D292" s="51" t="n"/>
      <c r="E292" s="52" t="n"/>
      <c r="F292" s="53" t="n"/>
      <c r="G292" s="51" t="n"/>
      <c r="H292" s="53" t="n"/>
      <c r="I292" s="51" t="n"/>
      <c r="J292" s="54">
        <f>IF(OR(B292="",F292="",NOT(AND(G292&lt;&gt;"✅ Выполнена",G292&lt;&gt;"❌ Отменена"))),"",IF(F292&lt;TODAY(),"❗ просрочено "&amp;(TODAY()-F292)&amp;" дн.",IF(F292=TODAY(),"🔥 сегодня",IF(F292-TODAY()&lt;=3,"⏳ через "&amp;(F292-TODAY())&amp;" дн.",""))))</f>
        <v/>
      </c>
      <c r="K292" s="54">
        <f>IF(B292="","",IF(G292="✅ Выполнена","✔ ",IF(G292="❌ Отменена","✖ ",IF(AND(F292&lt;&gt;"",F292&lt;TODAY()),"❗ ","☐ ")))&amp;B292&amp;IF(E292="🔥 Высокий"," 🔥",""))</f>
        <v/>
      </c>
      <c r="L292" s="54">
        <f>IF(OR(B292="",F292="",G292="❌ Отменена"),"",F292&amp;"#"&amp;COUNTIFS($F$5:F292,F292,$B$5:B292,"?*",$G$5:G292,"&lt;&gt;❌ Отменена"))</f>
        <v/>
      </c>
      <c r="M292" s="54">
        <f>IF(AND(B292&lt;&gt;"",F292&lt;&gt;"",F292&lt;TODAY(),AND(G292&lt;&gt;"✅ Выполнена",G292&lt;&gt;"❌ Отменена")),MAX($M$4:M291)+1,"")</f>
        <v/>
      </c>
    </row>
    <row r="293">
      <c r="A293" s="49">
        <f>IF(B293="","",COUNTA($B$5:B293))</f>
        <v/>
      </c>
      <c r="B293" s="50" t="n"/>
      <c r="C293" s="51" t="n"/>
      <c r="D293" s="51" t="n"/>
      <c r="E293" s="52" t="n"/>
      <c r="F293" s="53" t="n"/>
      <c r="G293" s="51" t="n"/>
      <c r="H293" s="53" t="n"/>
      <c r="I293" s="51" t="n"/>
      <c r="J293" s="54">
        <f>IF(OR(B293="",F293="",NOT(AND(G293&lt;&gt;"✅ Выполнена",G293&lt;&gt;"❌ Отменена"))),"",IF(F293&lt;TODAY(),"❗ просрочено "&amp;(TODAY()-F293)&amp;" дн.",IF(F293=TODAY(),"🔥 сегодня",IF(F293-TODAY()&lt;=3,"⏳ через "&amp;(F293-TODAY())&amp;" дн.",""))))</f>
        <v/>
      </c>
      <c r="K293" s="54">
        <f>IF(B293="","",IF(G293="✅ Выполнена","✔ ",IF(G293="❌ Отменена","✖ ",IF(AND(F293&lt;&gt;"",F293&lt;TODAY()),"❗ ","☐ ")))&amp;B293&amp;IF(E293="🔥 Высокий"," 🔥",""))</f>
        <v/>
      </c>
      <c r="L293" s="54">
        <f>IF(OR(B293="",F293="",G293="❌ Отменена"),"",F293&amp;"#"&amp;COUNTIFS($F$5:F293,F293,$B$5:B293,"?*",$G$5:G293,"&lt;&gt;❌ Отменена"))</f>
        <v/>
      </c>
      <c r="M293" s="54">
        <f>IF(AND(B293&lt;&gt;"",F293&lt;&gt;"",F293&lt;TODAY(),AND(G293&lt;&gt;"✅ Выполнена",G293&lt;&gt;"❌ Отменена")),MAX($M$4:M292)+1,"")</f>
        <v/>
      </c>
    </row>
    <row r="294">
      <c r="A294" s="49">
        <f>IF(B294="","",COUNTA($B$5:B294))</f>
        <v/>
      </c>
      <c r="B294" s="50" t="n"/>
      <c r="C294" s="51" t="n"/>
      <c r="D294" s="51" t="n"/>
      <c r="E294" s="52" t="n"/>
      <c r="F294" s="53" t="n"/>
      <c r="G294" s="51" t="n"/>
      <c r="H294" s="53" t="n"/>
      <c r="I294" s="51" t="n"/>
      <c r="J294" s="54">
        <f>IF(OR(B294="",F294="",NOT(AND(G294&lt;&gt;"✅ Выполнена",G294&lt;&gt;"❌ Отменена"))),"",IF(F294&lt;TODAY(),"❗ просрочено "&amp;(TODAY()-F294)&amp;" дн.",IF(F294=TODAY(),"🔥 сегодня",IF(F294-TODAY()&lt;=3,"⏳ через "&amp;(F294-TODAY())&amp;" дн.",""))))</f>
        <v/>
      </c>
      <c r="K294" s="54">
        <f>IF(B294="","",IF(G294="✅ Выполнена","✔ ",IF(G294="❌ Отменена","✖ ",IF(AND(F294&lt;&gt;"",F294&lt;TODAY()),"❗ ","☐ ")))&amp;B294&amp;IF(E294="🔥 Высокий"," 🔥",""))</f>
        <v/>
      </c>
      <c r="L294" s="54">
        <f>IF(OR(B294="",F294="",G294="❌ Отменена"),"",F294&amp;"#"&amp;COUNTIFS($F$5:F294,F294,$B$5:B294,"?*",$G$5:G294,"&lt;&gt;❌ Отменена"))</f>
        <v/>
      </c>
      <c r="M294" s="54">
        <f>IF(AND(B294&lt;&gt;"",F294&lt;&gt;"",F294&lt;TODAY(),AND(G294&lt;&gt;"✅ Выполнена",G294&lt;&gt;"❌ Отменена")),MAX($M$4:M293)+1,"")</f>
        <v/>
      </c>
    </row>
    <row r="295">
      <c r="A295" s="49">
        <f>IF(B295="","",COUNTA($B$5:B295))</f>
        <v/>
      </c>
      <c r="B295" s="50" t="n"/>
      <c r="C295" s="51" t="n"/>
      <c r="D295" s="51" t="n"/>
      <c r="E295" s="52" t="n"/>
      <c r="F295" s="53" t="n"/>
      <c r="G295" s="51" t="n"/>
      <c r="H295" s="53" t="n"/>
      <c r="I295" s="51" t="n"/>
      <c r="J295" s="54">
        <f>IF(OR(B295="",F295="",NOT(AND(G295&lt;&gt;"✅ Выполнена",G295&lt;&gt;"❌ Отменена"))),"",IF(F295&lt;TODAY(),"❗ просрочено "&amp;(TODAY()-F295)&amp;" дн.",IF(F295=TODAY(),"🔥 сегодня",IF(F295-TODAY()&lt;=3,"⏳ через "&amp;(F295-TODAY())&amp;" дн.",""))))</f>
        <v/>
      </c>
      <c r="K295" s="54">
        <f>IF(B295="","",IF(G295="✅ Выполнена","✔ ",IF(G295="❌ Отменена","✖ ",IF(AND(F295&lt;&gt;"",F295&lt;TODAY()),"❗ ","☐ ")))&amp;B295&amp;IF(E295="🔥 Высокий"," 🔥",""))</f>
        <v/>
      </c>
      <c r="L295" s="54">
        <f>IF(OR(B295="",F295="",G295="❌ Отменена"),"",F295&amp;"#"&amp;COUNTIFS($F$5:F295,F295,$B$5:B295,"?*",$G$5:G295,"&lt;&gt;❌ Отменена"))</f>
        <v/>
      </c>
      <c r="M295" s="54">
        <f>IF(AND(B295&lt;&gt;"",F295&lt;&gt;"",F295&lt;TODAY(),AND(G295&lt;&gt;"✅ Выполнена",G295&lt;&gt;"❌ Отменена")),MAX($M$4:M294)+1,"")</f>
        <v/>
      </c>
    </row>
    <row r="296">
      <c r="A296" s="49">
        <f>IF(B296="","",COUNTA($B$5:B296))</f>
        <v/>
      </c>
      <c r="B296" s="50" t="n"/>
      <c r="C296" s="51" t="n"/>
      <c r="D296" s="51" t="n"/>
      <c r="E296" s="52" t="n"/>
      <c r="F296" s="53" t="n"/>
      <c r="G296" s="51" t="n"/>
      <c r="H296" s="53" t="n"/>
      <c r="I296" s="51" t="n"/>
      <c r="J296" s="54">
        <f>IF(OR(B296="",F296="",NOT(AND(G296&lt;&gt;"✅ Выполнена",G296&lt;&gt;"❌ Отменена"))),"",IF(F296&lt;TODAY(),"❗ просрочено "&amp;(TODAY()-F296)&amp;" дн.",IF(F296=TODAY(),"🔥 сегодня",IF(F296-TODAY()&lt;=3,"⏳ через "&amp;(F296-TODAY())&amp;" дн.",""))))</f>
        <v/>
      </c>
      <c r="K296" s="54">
        <f>IF(B296="","",IF(G296="✅ Выполнена","✔ ",IF(G296="❌ Отменена","✖ ",IF(AND(F296&lt;&gt;"",F296&lt;TODAY()),"❗ ","☐ ")))&amp;B296&amp;IF(E296="🔥 Высокий"," 🔥",""))</f>
        <v/>
      </c>
      <c r="L296" s="54">
        <f>IF(OR(B296="",F296="",G296="❌ Отменена"),"",F296&amp;"#"&amp;COUNTIFS($F$5:F296,F296,$B$5:B296,"?*",$G$5:G296,"&lt;&gt;❌ Отменена"))</f>
        <v/>
      </c>
      <c r="M296" s="54">
        <f>IF(AND(B296&lt;&gt;"",F296&lt;&gt;"",F296&lt;TODAY(),AND(G296&lt;&gt;"✅ Выполнена",G296&lt;&gt;"❌ Отменена")),MAX($M$4:M295)+1,"")</f>
        <v/>
      </c>
    </row>
    <row r="297">
      <c r="A297" s="49">
        <f>IF(B297="","",COUNTA($B$5:B297))</f>
        <v/>
      </c>
      <c r="B297" s="50" t="n"/>
      <c r="C297" s="51" t="n"/>
      <c r="D297" s="51" t="n"/>
      <c r="E297" s="52" t="n"/>
      <c r="F297" s="53" t="n"/>
      <c r="G297" s="51" t="n"/>
      <c r="H297" s="53" t="n"/>
      <c r="I297" s="51" t="n"/>
      <c r="J297" s="54">
        <f>IF(OR(B297="",F297="",NOT(AND(G297&lt;&gt;"✅ Выполнена",G297&lt;&gt;"❌ Отменена"))),"",IF(F297&lt;TODAY(),"❗ просрочено "&amp;(TODAY()-F297)&amp;" дн.",IF(F297=TODAY(),"🔥 сегодня",IF(F297-TODAY()&lt;=3,"⏳ через "&amp;(F297-TODAY())&amp;" дн.",""))))</f>
        <v/>
      </c>
      <c r="K297" s="54">
        <f>IF(B297="","",IF(G297="✅ Выполнена","✔ ",IF(G297="❌ Отменена","✖ ",IF(AND(F297&lt;&gt;"",F297&lt;TODAY()),"❗ ","☐ ")))&amp;B297&amp;IF(E297="🔥 Высокий"," 🔥",""))</f>
        <v/>
      </c>
      <c r="L297" s="54">
        <f>IF(OR(B297="",F297="",G297="❌ Отменена"),"",F297&amp;"#"&amp;COUNTIFS($F$5:F297,F297,$B$5:B297,"?*",$G$5:G297,"&lt;&gt;❌ Отменена"))</f>
        <v/>
      </c>
      <c r="M297" s="54">
        <f>IF(AND(B297&lt;&gt;"",F297&lt;&gt;"",F297&lt;TODAY(),AND(G297&lt;&gt;"✅ Выполнена",G297&lt;&gt;"❌ Отменена")),MAX($M$4:M296)+1,"")</f>
        <v/>
      </c>
    </row>
    <row r="298">
      <c r="A298" s="49">
        <f>IF(B298="","",COUNTA($B$5:B298))</f>
        <v/>
      </c>
      <c r="B298" s="50" t="n"/>
      <c r="C298" s="51" t="n"/>
      <c r="D298" s="51" t="n"/>
      <c r="E298" s="52" t="n"/>
      <c r="F298" s="53" t="n"/>
      <c r="G298" s="51" t="n"/>
      <c r="H298" s="53" t="n"/>
      <c r="I298" s="51" t="n"/>
      <c r="J298" s="54">
        <f>IF(OR(B298="",F298="",NOT(AND(G298&lt;&gt;"✅ Выполнена",G298&lt;&gt;"❌ Отменена"))),"",IF(F298&lt;TODAY(),"❗ просрочено "&amp;(TODAY()-F298)&amp;" дн.",IF(F298=TODAY(),"🔥 сегодня",IF(F298-TODAY()&lt;=3,"⏳ через "&amp;(F298-TODAY())&amp;" дн.",""))))</f>
        <v/>
      </c>
      <c r="K298" s="54">
        <f>IF(B298="","",IF(G298="✅ Выполнена","✔ ",IF(G298="❌ Отменена","✖ ",IF(AND(F298&lt;&gt;"",F298&lt;TODAY()),"❗ ","☐ ")))&amp;B298&amp;IF(E298="🔥 Высокий"," 🔥",""))</f>
        <v/>
      </c>
      <c r="L298" s="54">
        <f>IF(OR(B298="",F298="",G298="❌ Отменена"),"",F298&amp;"#"&amp;COUNTIFS($F$5:F298,F298,$B$5:B298,"?*",$G$5:G298,"&lt;&gt;❌ Отменена"))</f>
        <v/>
      </c>
      <c r="M298" s="54">
        <f>IF(AND(B298&lt;&gt;"",F298&lt;&gt;"",F298&lt;TODAY(),AND(G298&lt;&gt;"✅ Выполнена",G298&lt;&gt;"❌ Отменена")),MAX($M$4:M297)+1,"")</f>
        <v/>
      </c>
    </row>
    <row r="299">
      <c r="A299" s="49">
        <f>IF(B299="","",COUNTA($B$5:B299))</f>
        <v/>
      </c>
      <c r="B299" s="50" t="n"/>
      <c r="C299" s="51" t="n"/>
      <c r="D299" s="51" t="n"/>
      <c r="E299" s="52" t="n"/>
      <c r="F299" s="53" t="n"/>
      <c r="G299" s="51" t="n"/>
      <c r="H299" s="53" t="n"/>
      <c r="I299" s="51" t="n"/>
      <c r="J299" s="54">
        <f>IF(OR(B299="",F299="",NOT(AND(G299&lt;&gt;"✅ Выполнена",G299&lt;&gt;"❌ Отменена"))),"",IF(F299&lt;TODAY(),"❗ просрочено "&amp;(TODAY()-F299)&amp;" дн.",IF(F299=TODAY(),"🔥 сегодня",IF(F299-TODAY()&lt;=3,"⏳ через "&amp;(F299-TODAY())&amp;" дн.",""))))</f>
        <v/>
      </c>
      <c r="K299" s="54">
        <f>IF(B299="","",IF(G299="✅ Выполнена","✔ ",IF(G299="❌ Отменена","✖ ",IF(AND(F299&lt;&gt;"",F299&lt;TODAY()),"❗ ","☐ ")))&amp;B299&amp;IF(E299="🔥 Высокий"," 🔥",""))</f>
        <v/>
      </c>
      <c r="L299" s="54">
        <f>IF(OR(B299="",F299="",G299="❌ Отменена"),"",F299&amp;"#"&amp;COUNTIFS($F$5:F299,F299,$B$5:B299,"?*",$G$5:G299,"&lt;&gt;❌ Отменена"))</f>
        <v/>
      </c>
      <c r="M299" s="54">
        <f>IF(AND(B299&lt;&gt;"",F299&lt;&gt;"",F299&lt;TODAY(),AND(G299&lt;&gt;"✅ Выполнена",G299&lt;&gt;"❌ Отменена")),MAX($M$4:M298)+1,"")</f>
        <v/>
      </c>
    </row>
    <row r="300">
      <c r="A300" s="49">
        <f>IF(B300="","",COUNTA($B$5:B300))</f>
        <v/>
      </c>
      <c r="B300" s="50" t="n"/>
      <c r="C300" s="51" t="n"/>
      <c r="D300" s="51" t="n"/>
      <c r="E300" s="52" t="n"/>
      <c r="F300" s="53" t="n"/>
      <c r="G300" s="51" t="n"/>
      <c r="H300" s="53" t="n"/>
      <c r="I300" s="51" t="n"/>
      <c r="J300" s="54">
        <f>IF(OR(B300="",F300="",NOT(AND(G300&lt;&gt;"✅ Выполнена",G300&lt;&gt;"❌ Отменена"))),"",IF(F300&lt;TODAY(),"❗ просрочено "&amp;(TODAY()-F300)&amp;" дн.",IF(F300=TODAY(),"🔥 сегодня",IF(F300-TODAY()&lt;=3,"⏳ через "&amp;(F300-TODAY())&amp;" дн.",""))))</f>
        <v/>
      </c>
      <c r="K300" s="54">
        <f>IF(B300="","",IF(G300="✅ Выполнена","✔ ",IF(G300="❌ Отменена","✖ ",IF(AND(F300&lt;&gt;"",F300&lt;TODAY()),"❗ ","☐ ")))&amp;B300&amp;IF(E300="🔥 Высокий"," 🔥",""))</f>
        <v/>
      </c>
      <c r="L300" s="54">
        <f>IF(OR(B300="",F300="",G300="❌ Отменена"),"",F300&amp;"#"&amp;COUNTIFS($F$5:F300,F300,$B$5:B300,"?*",$G$5:G300,"&lt;&gt;❌ Отменена"))</f>
        <v/>
      </c>
      <c r="M300" s="54">
        <f>IF(AND(B300&lt;&gt;"",F300&lt;&gt;"",F300&lt;TODAY(),AND(G300&lt;&gt;"✅ Выполнена",G300&lt;&gt;"❌ Отменена")),MAX($M$4:M299)+1,"")</f>
        <v/>
      </c>
    </row>
    <row r="301">
      <c r="A301" s="49">
        <f>IF(B301="","",COUNTA($B$5:B301))</f>
        <v/>
      </c>
      <c r="B301" s="50" t="n"/>
      <c r="C301" s="51" t="n"/>
      <c r="D301" s="51" t="n"/>
      <c r="E301" s="52" t="n"/>
      <c r="F301" s="53" t="n"/>
      <c r="G301" s="51" t="n"/>
      <c r="H301" s="53" t="n"/>
      <c r="I301" s="51" t="n"/>
      <c r="J301" s="54">
        <f>IF(OR(B301="",F301="",NOT(AND(G301&lt;&gt;"✅ Выполнена",G301&lt;&gt;"❌ Отменена"))),"",IF(F301&lt;TODAY(),"❗ просрочено "&amp;(TODAY()-F301)&amp;" дн.",IF(F301=TODAY(),"🔥 сегодня",IF(F301-TODAY()&lt;=3,"⏳ через "&amp;(F301-TODAY())&amp;" дн.",""))))</f>
        <v/>
      </c>
      <c r="K301" s="54">
        <f>IF(B301="","",IF(G301="✅ Выполнена","✔ ",IF(G301="❌ Отменена","✖ ",IF(AND(F301&lt;&gt;"",F301&lt;TODAY()),"❗ ","☐ ")))&amp;B301&amp;IF(E301="🔥 Высокий"," 🔥",""))</f>
        <v/>
      </c>
      <c r="L301" s="54">
        <f>IF(OR(B301="",F301="",G301="❌ Отменена"),"",F301&amp;"#"&amp;COUNTIFS($F$5:F301,F301,$B$5:B301,"?*",$G$5:G301,"&lt;&gt;❌ Отменена"))</f>
        <v/>
      </c>
      <c r="M301" s="54">
        <f>IF(AND(B301&lt;&gt;"",F301&lt;&gt;"",F301&lt;TODAY(),AND(G301&lt;&gt;"✅ Выполнена",G301&lt;&gt;"❌ Отменена")),MAX($M$4:M300)+1,"")</f>
        <v/>
      </c>
    </row>
    <row r="302">
      <c r="A302" s="49">
        <f>IF(B302="","",COUNTA($B$5:B302))</f>
        <v/>
      </c>
      <c r="B302" s="50" t="n"/>
      <c r="C302" s="51" t="n"/>
      <c r="D302" s="51" t="n"/>
      <c r="E302" s="52" t="n"/>
      <c r="F302" s="53" t="n"/>
      <c r="G302" s="51" t="n"/>
      <c r="H302" s="53" t="n"/>
      <c r="I302" s="51" t="n"/>
      <c r="J302" s="54">
        <f>IF(OR(B302="",F302="",NOT(AND(G302&lt;&gt;"✅ Выполнена",G302&lt;&gt;"❌ Отменена"))),"",IF(F302&lt;TODAY(),"❗ просрочено "&amp;(TODAY()-F302)&amp;" дн.",IF(F302=TODAY(),"🔥 сегодня",IF(F302-TODAY()&lt;=3,"⏳ через "&amp;(F302-TODAY())&amp;" дн.",""))))</f>
        <v/>
      </c>
      <c r="K302" s="54">
        <f>IF(B302="","",IF(G302="✅ Выполнена","✔ ",IF(G302="❌ Отменена","✖ ",IF(AND(F302&lt;&gt;"",F302&lt;TODAY()),"❗ ","☐ ")))&amp;B302&amp;IF(E302="🔥 Высокий"," 🔥",""))</f>
        <v/>
      </c>
      <c r="L302" s="54">
        <f>IF(OR(B302="",F302="",G302="❌ Отменена"),"",F302&amp;"#"&amp;COUNTIFS($F$5:F302,F302,$B$5:B302,"?*",$G$5:G302,"&lt;&gt;❌ Отменена"))</f>
        <v/>
      </c>
      <c r="M302" s="54">
        <f>IF(AND(B302&lt;&gt;"",F302&lt;&gt;"",F302&lt;TODAY(),AND(G302&lt;&gt;"✅ Выполнена",G302&lt;&gt;"❌ Отменена")),MAX($M$4:M301)+1,"")</f>
        <v/>
      </c>
    </row>
    <row r="303">
      <c r="A303" s="49">
        <f>IF(B303="","",COUNTA($B$5:B303))</f>
        <v/>
      </c>
      <c r="B303" s="50" t="n"/>
      <c r="C303" s="51" t="n"/>
      <c r="D303" s="51" t="n"/>
      <c r="E303" s="52" t="n"/>
      <c r="F303" s="53" t="n"/>
      <c r="G303" s="51" t="n"/>
      <c r="H303" s="53" t="n"/>
      <c r="I303" s="51" t="n"/>
      <c r="J303" s="54">
        <f>IF(OR(B303="",F303="",NOT(AND(G303&lt;&gt;"✅ Выполнена",G303&lt;&gt;"❌ Отменена"))),"",IF(F303&lt;TODAY(),"❗ просрочено "&amp;(TODAY()-F303)&amp;" дн.",IF(F303=TODAY(),"🔥 сегодня",IF(F303-TODAY()&lt;=3,"⏳ через "&amp;(F303-TODAY())&amp;" дн.",""))))</f>
        <v/>
      </c>
      <c r="K303" s="54">
        <f>IF(B303="","",IF(G303="✅ Выполнена","✔ ",IF(G303="❌ Отменена","✖ ",IF(AND(F303&lt;&gt;"",F303&lt;TODAY()),"❗ ","☐ ")))&amp;B303&amp;IF(E303="🔥 Высокий"," 🔥",""))</f>
        <v/>
      </c>
      <c r="L303" s="54">
        <f>IF(OR(B303="",F303="",G303="❌ Отменена"),"",F303&amp;"#"&amp;COUNTIFS($F$5:F303,F303,$B$5:B303,"?*",$G$5:G303,"&lt;&gt;❌ Отменена"))</f>
        <v/>
      </c>
      <c r="M303" s="54">
        <f>IF(AND(B303&lt;&gt;"",F303&lt;&gt;"",F303&lt;TODAY(),AND(G303&lt;&gt;"✅ Выполнена",G303&lt;&gt;"❌ Отменена")),MAX($M$4:M302)+1,"")</f>
        <v/>
      </c>
    </row>
    <row r="304">
      <c r="A304" s="49">
        <f>IF(B304="","",COUNTA($B$5:B304))</f>
        <v/>
      </c>
      <c r="B304" s="50" t="n"/>
      <c r="C304" s="51" t="n"/>
      <c r="D304" s="51" t="n"/>
      <c r="E304" s="52" t="n"/>
      <c r="F304" s="53" t="n"/>
      <c r="G304" s="51" t="n"/>
      <c r="H304" s="53" t="n"/>
      <c r="I304" s="51" t="n"/>
      <c r="J304" s="54">
        <f>IF(OR(B304="",F304="",NOT(AND(G304&lt;&gt;"✅ Выполнена",G304&lt;&gt;"❌ Отменена"))),"",IF(F304&lt;TODAY(),"❗ просрочено "&amp;(TODAY()-F304)&amp;" дн.",IF(F304=TODAY(),"🔥 сегодня",IF(F304-TODAY()&lt;=3,"⏳ через "&amp;(F304-TODAY())&amp;" дн.",""))))</f>
        <v/>
      </c>
      <c r="K304" s="54">
        <f>IF(B304="","",IF(G304="✅ Выполнена","✔ ",IF(G304="❌ Отменена","✖ ",IF(AND(F304&lt;&gt;"",F304&lt;TODAY()),"❗ ","☐ ")))&amp;B304&amp;IF(E304="🔥 Высокий"," 🔥",""))</f>
        <v/>
      </c>
      <c r="L304" s="54">
        <f>IF(OR(B304="",F304="",G304="❌ Отменена"),"",F304&amp;"#"&amp;COUNTIFS($F$5:F304,F304,$B$5:B304,"?*",$G$5:G304,"&lt;&gt;❌ Отменена"))</f>
        <v/>
      </c>
      <c r="M304" s="54">
        <f>IF(AND(B304&lt;&gt;"",F304&lt;&gt;"",F304&lt;TODAY(),AND(G304&lt;&gt;"✅ Выполнена",G304&lt;&gt;"❌ Отменена")),MAX($M$4:M303)+1,"")</f>
        <v/>
      </c>
    </row>
    <row r="305">
      <c r="A305" s="49">
        <f>IF(B305="","",COUNTA($B$5:B305))</f>
        <v/>
      </c>
      <c r="B305" s="50" t="n"/>
      <c r="C305" s="51" t="n"/>
      <c r="D305" s="51" t="n"/>
      <c r="E305" s="52" t="n"/>
      <c r="F305" s="53" t="n"/>
      <c r="G305" s="51" t="n"/>
      <c r="H305" s="53" t="n"/>
      <c r="I305" s="51" t="n"/>
      <c r="J305" s="54">
        <f>IF(OR(B305="",F305="",NOT(AND(G305&lt;&gt;"✅ Выполнена",G305&lt;&gt;"❌ Отменена"))),"",IF(F305&lt;TODAY(),"❗ просрочено "&amp;(TODAY()-F305)&amp;" дн.",IF(F305=TODAY(),"🔥 сегодня",IF(F305-TODAY()&lt;=3,"⏳ через "&amp;(F305-TODAY())&amp;" дн.",""))))</f>
        <v/>
      </c>
      <c r="K305" s="54">
        <f>IF(B305="","",IF(G305="✅ Выполнена","✔ ",IF(G305="❌ Отменена","✖ ",IF(AND(F305&lt;&gt;"",F305&lt;TODAY()),"❗ ","☐ ")))&amp;B305&amp;IF(E305="🔥 Высокий"," 🔥",""))</f>
        <v/>
      </c>
      <c r="L305" s="54">
        <f>IF(OR(B305="",F305="",G305="❌ Отменена"),"",F305&amp;"#"&amp;COUNTIFS($F$5:F305,F305,$B$5:B305,"?*",$G$5:G305,"&lt;&gt;❌ Отменена"))</f>
        <v/>
      </c>
      <c r="M305" s="54">
        <f>IF(AND(B305&lt;&gt;"",F305&lt;&gt;"",F305&lt;TODAY(),AND(G305&lt;&gt;"✅ Выполнена",G305&lt;&gt;"❌ Отменена")),MAX($M$4:M304)+1,"")</f>
        <v/>
      </c>
    </row>
    <row r="306">
      <c r="A306" s="49">
        <f>IF(B306="","",COUNTA($B$5:B306))</f>
        <v/>
      </c>
      <c r="B306" s="50" t="n"/>
      <c r="C306" s="51" t="n"/>
      <c r="D306" s="51" t="n"/>
      <c r="E306" s="52" t="n"/>
      <c r="F306" s="53" t="n"/>
      <c r="G306" s="51" t="n"/>
      <c r="H306" s="53" t="n"/>
      <c r="I306" s="51" t="n"/>
      <c r="J306" s="54">
        <f>IF(OR(B306="",F306="",NOT(AND(G306&lt;&gt;"✅ Выполнена",G306&lt;&gt;"❌ Отменена"))),"",IF(F306&lt;TODAY(),"❗ просрочено "&amp;(TODAY()-F306)&amp;" дн.",IF(F306=TODAY(),"🔥 сегодня",IF(F306-TODAY()&lt;=3,"⏳ через "&amp;(F306-TODAY())&amp;" дн.",""))))</f>
        <v/>
      </c>
      <c r="K306" s="54">
        <f>IF(B306="","",IF(G306="✅ Выполнена","✔ ",IF(G306="❌ Отменена","✖ ",IF(AND(F306&lt;&gt;"",F306&lt;TODAY()),"❗ ","☐ ")))&amp;B306&amp;IF(E306="🔥 Высокий"," 🔥",""))</f>
        <v/>
      </c>
      <c r="L306" s="54">
        <f>IF(OR(B306="",F306="",G306="❌ Отменена"),"",F306&amp;"#"&amp;COUNTIFS($F$5:F306,F306,$B$5:B306,"?*",$G$5:G306,"&lt;&gt;❌ Отменена"))</f>
        <v/>
      </c>
      <c r="M306" s="54">
        <f>IF(AND(B306&lt;&gt;"",F306&lt;&gt;"",F306&lt;TODAY(),AND(G306&lt;&gt;"✅ Выполнена",G306&lt;&gt;"❌ Отменена")),MAX($M$4:M305)+1,"")</f>
        <v/>
      </c>
    </row>
    <row r="307">
      <c r="A307" s="49">
        <f>IF(B307="","",COUNTA($B$5:B307))</f>
        <v/>
      </c>
      <c r="B307" s="50" t="n"/>
      <c r="C307" s="51" t="n"/>
      <c r="D307" s="51" t="n"/>
      <c r="E307" s="52" t="n"/>
      <c r="F307" s="53" t="n"/>
      <c r="G307" s="51" t="n"/>
      <c r="H307" s="53" t="n"/>
      <c r="I307" s="51" t="n"/>
      <c r="J307" s="54">
        <f>IF(OR(B307="",F307="",NOT(AND(G307&lt;&gt;"✅ Выполнена",G307&lt;&gt;"❌ Отменена"))),"",IF(F307&lt;TODAY(),"❗ просрочено "&amp;(TODAY()-F307)&amp;" дн.",IF(F307=TODAY(),"🔥 сегодня",IF(F307-TODAY()&lt;=3,"⏳ через "&amp;(F307-TODAY())&amp;" дн.",""))))</f>
        <v/>
      </c>
      <c r="K307" s="54">
        <f>IF(B307="","",IF(G307="✅ Выполнена","✔ ",IF(G307="❌ Отменена","✖ ",IF(AND(F307&lt;&gt;"",F307&lt;TODAY()),"❗ ","☐ ")))&amp;B307&amp;IF(E307="🔥 Высокий"," 🔥",""))</f>
        <v/>
      </c>
      <c r="L307" s="54">
        <f>IF(OR(B307="",F307="",G307="❌ Отменена"),"",F307&amp;"#"&amp;COUNTIFS($F$5:F307,F307,$B$5:B307,"?*",$G$5:G307,"&lt;&gt;❌ Отменена"))</f>
        <v/>
      </c>
      <c r="M307" s="54">
        <f>IF(AND(B307&lt;&gt;"",F307&lt;&gt;"",F307&lt;TODAY(),AND(G307&lt;&gt;"✅ Выполнена",G307&lt;&gt;"❌ Отменена")),MAX($M$4:M306)+1,"")</f>
        <v/>
      </c>
    </row>
    <row r="308">
      <c r="A308" s="49">
        <f>IF(B308="","",COUNTA($B$5:B308))</f>
        <v/>
      </c>
      <c r="B308" s="50" t="n"/>
      <c r="C308" s="51" t="n"/>
      <c r="D308" s="51" t="n"/>
      <c r="E308" s="52" t="n"/>
      <c r="F308" s="53" t="n"/>
      <c r="G308" s="51" t="n"/>
      <c r="H308" s="53" t="n"/>
      <c r="I308" s="51" t="n"/>
      <c r="J308" s="54">
        <f>IF(OR(B308="",F308="",NOT(AND(G308&lt;&gt;"✅ Выполнена",G308&lt;&gt;"❌ Отменена"))),"",IF(F308&lt;TODAY(),"❗ просрочено "&amp;(TODAY()-F308)&amp;" дн.",IF(F308=TODAY(),"🔥 сегодня",IF(F308-TODAY()&lt;=3,"⏳ через "&amp;(F308-TODAY())&amp;" дн.",""))))</f>
        <v/>
      </c>
      <c r="K308" s="54">
        <f>IF(B308="","",IF(G308="✅ Выполнена","✔ ",IF(G308="❌ Отменена","✖ ",IF(AND(F308&lt;&gt;"",F308&lt;TODAY()),"❗ ","☐ ")))&amp;B308&amp;IF(E308="🔥 Высокий"," 🔥",""))</f>
        <v/>
      </c>
      <c r="L308" s="54">
        <f>IF(OR(B308="",F308="",G308="❌ Отменена"),"",F308&amp;"#"&amp;COUNTIFS($F$5:F308,F308,$B$5:B308,"?*",$G$5:G308,"&lt;&gt;❌ Отменена"))</f>
        <v/>
      </c>
      <c r="M308" s="54">
        <f>IF(AND(B308&lt;&gt;"",F308&lt;&gt;"",F308&lt;TODAY(),AND(G308&lt;&gt;"✅ Выполнена",G308&lt;&gt;"❌ Отменена")),MAX($M$4:M307)+1,"")</f>
        <v/>
      </c>
    </row>
    <row r="309">
      <c r="A309" s="49">
        <f>IF(B309="","",COUNTA($B$5:B309))</f>
        <v/>
      </c>
      <c r="B309" s="50" t="n"/>
      <c r="C309" s="51" t="n"/>
      <c r="D309" s="51" t="n"/>
      <c r="E309" s="52" t="n"/>
      <c r="F309" s="53" t="n"/>
      <c r="G309" s="51" t="n"/>
      <c r="H309" s="53" t="n"/>
      <c r="I309" s="51" t="n"/>
      <c r="J309" s="54">
        <f>IF(OR(B309="",F309="",NOT(AND(G309&lt;&gt;"✅ Выполнена",G309&lt;&gt;"❌ Отменена"))),"",IF(F309&lt;TODAY(),"❗ просрочено "&amp;(TODAY()-F309)&amp;" дн.",IF(F309=TODAY(),"🔥 сегодня",IF(F309-TODAY()&lt;=3,"⏳ через "&amp;(F309-TODAY())&amp;" дн.",""))))</f>
        <v/>
      </c>
      <c r="K309" s="54">
        <f>IF(B309="","",IF(G309="✅ Выполнена","✔ ",IF(G309="❌ Отменена","✖ ",IF(AND(F309&lt;&gt;"",F309&lt;TODAY()),"❗ ","☐ ")))&amp;B309&amp;IF(E309="🔥 Высокий"," 🔥",""))</f>
        <v/>
      </c>
      <c r="L309" s="54">
        <f>IF(OR(B309="",F309="",G309="❌ Отменена"),"",F309&amp;"#"&amp;COUNTIFS($F$5:F309,F309,$B$5:B309,"?*",$G$5:G309,"&lt;&gt;❌ Отменена"))</f>
        <v/>
      </c>
      <c r="M309" s="54">
        <f>IF(AND(B309&lt;&gt;"",F309&lt;&gt;"",F309&lt;TODAY(),AND(G309&lt;&gt;"✅ Выполнена",G309&lt;&gt;"❌ Отменена")),MAX($M$4:M308)+1,"")</f>
        <v/>
      </c>
    </row>
    <row r="310">
      <c r="A310" s="49">
        <f>IF(B310="","",COUNTA($B$5:B310))</f>
        <v/>
      </c>
      <c r="B310" s="50" t="n"/>
      <c r="C310" s="51" t="n"/>
      <c r="D310" s="51" t="n"/>
      <c r="E310" s="52" t="n"/>
      <c r="F310" s="53" t="n"/>
      <c r="G310" s="51" t="n"/>
      <c r="H310" s="53" t="n"/>
      <c r="I310" s="51" t="n"/>
      <c r="J310" s="54">
        <f>IF(OR(B310="",F310="",NOT(AND(G310&lt;&gt;"✅ Выполнена",G310&lt;&gt;"❌ Отменена"))),"",IF(F310&lt;TODAY(),"❗ просрочено "&amp;(TODAY()-F310)&amp;" дн.",IF(F310=TODAY(),"🔥 сегодня",IF(F310-TODAY()&lt;=3,"⏳ через "&amp;(F310-TODAY())&amp;" дн.",""))))</f>
        <v/>
      </c>
      <c r="K310" s="54">
        <f>IF(B310="","",IF(G310="✅ Выполнена","✔ ",IF(G310="❌ Отменена","✖ ",IF(AND(F310&lt;&gt;"",F310&lt;TODAY()),"❗ ","☐ ")))&amp;B310&amp;IF(E310="🔥 Высокий"," 🔥",""))</f>
        <v/>
      </c>
      <c r="L310" s="54">
        <f>IF(OR(B310="",F310="",G310="❌ Отменена"),"",F310&amp;"#"&amp;COUNTIFS($F$5:F310,F310,$B$5:B310,"?*",$G$5:G310,"&lt;&gt;❌ Отменена"))</f>
        <v/>
      </c>
      <c r="M310" s="54">
        <f>IF(AND(B310&lt;&gt;"",F310&lt;&gt;"",F310&lt;TODAY(),AND(G310&lt;&gt;"✅ Выполнена",G310&lt;&gt;"❌ Отменена")),MAX($M$4:M309)+1,"")</f>
        <v/>
      </c>
    </row>
    <row r="311">
      <c r="A311" s="49">
        <f>IF(B311="","",COUNTA($B$5:B311))</f>
        <v/>
      </c>
      <c r="B311" s="50" t="n"/>
      <c r="C311" s="51" t="n"/>
      <c r="D311" s="51" t="n"/>
      <c r="E311" s="52" t="n"/>
      <c r="F311" s="53" t="n"/>
      <c r="G311" s="51" t="n"/>
      <c r="H311" s="53" t="n"/>
      <c r="I311" s="51" t="n"/>
      <c r="J311" s="54">
        <f>IF(OR(B311="",F311="",NOT(AND(G311&lt;&gt;"✅ Выполнена",G311&lt;&gt;"❌ Отменена"))),"",IF(F311&lt;TODAY(),"❗ просрочено "&amp;(TODAY()-F311)&amp;" дн.",IF(F311=TODAY(),"🔥 сегодня",IF(F311-TODAY()&lt;=3,"⏳ через "&amp;(F311-TODAY())&amp;" дн.",""))))</f>
        <v/>
      </c>
      <c r="K311" s="54">
        <f>IF(B311="","",IF(G311="✅ Выполнена","✔ ",IF(G311="❌ Отменена","✖ ",IF(AND(F311&lt;&gt;"",F311&lt;TODAY()),"❗ ","☐ ")))&amp;B311&amp;IF(E311="🔥 Высокий"," 🔥",""))</f>
        <v/>
      </c>
      <c r="L311" s="54">
        <f>IF(OR(B311="",F311="",G311="❌ Отменена"),"",F311&amp;"#"&amp;COUNTIFS($F$5:F311,F311,$B$5:B311,"?*",$G$5:G311,"&lt;&gt;❌ Отменена"))</f>
        <v/>
      </c>
      <c r="M311" s="54">
        <f>IF(AND(B311&lt;&gt;"",F311&lt;&gt;"",F311&lt;TODAY(),AND(G311&lt;&gt;"✅ Выполнена",G311&lt;&gt;"❌ Отменена")),MAX($M$4:M310)+1,"")</f>
        <v/>
      </c>
    </row>
    <row r="312">
      <c r="A312" s="49">
        <f>IF(B312="","",COUNTA($B$5:B312))</f>
        <v/>
      </c>
      <c r="B312" s="50" t="n"/>
      <c r="C312" s="51" t="n"/>
      <c r="D312" s="51" t="n"/>
      <c r="E312" s="52" t="n"/>
      <c r="F312" s="53" t="n"/>
      <c r="G312" s="51" t="n"/>
      <c r="H312" s="53" t="n"/>
      <c r="I312" s="51" t="n"/>
      <c r="J312" s="54">
        <f>IF(OR(B312="",F312="",NOT(AND(G312&lt;&gt;"✅ Выполнена",G312&lt;&gt;"❌ Отменена"))),"",IF(F312&lt;TODAY(),"❗ просрочено "&amp;(TODAY()-F312)&amp;" дн.",IF(F312=TODAY(),"🔥 сегодня",IF(F312-TODAY()&lt;=3,"⏳ через "&amp;(F312-TODAY())&amp;" дн.",""))))</f>
        <v/>
      </c>
      <c r="K312" s="54">
        <f>IF(B312="","",IF(G312="✅ Выполнена","✔ ",IF(G312="❌ Отменена","✖ ",IF(AND(F312&lt;&gt;"",F312&lt;TODAY()),"❗ ","☐ ")))&amp;B312&amp;IF(E312="🔥 Высокий"," 🔥",""))</f>
        <v/>
      </c>
      <c r="L312" s="54">
        <f>IF(OR(B312="",F312="",G312="❌ Отменена"),"",F312&amp;"#"&amp;COUNTIFS($F$5:F312,F312,$B$5:B312,"?*",$G$5:G312,"&lt;&gt;❌ Отменена"))</f>
        <v/>
      </c>
      <c r="M312" s="54">
        <f>IF(AND(B312&lt;&gt;"",F312&lt;&gt;"",F312&lt;TODAY(),AND(G312&lt;&gt;"✅ Выполнена",G312&lt;&gt;"❌ Отменена")),MAX($M$4:M311)+1,"")</f>
        <v/>
      </c>
    </row>
    <row r="313">
      <c r="A313" s="49">
        <f>IF(B313="","",COUNTA($B$5:B313))</f>
        <v/>
      </c>
      <c r="B313" s="50" t="n"/>
      <c r="C313" s="51" t="n"/>
      <c r="D313" s="51" t="n"/>
      <c r="E313" s="52" t="n"/>
      <c r="F313" s="53" t="n"/>
      <c r="G313" s="51" t="n"/>
      <c r="H313" s="53" t="n"/>
      <c r="I313" s="51" t="n"/>
      <c r="J313" s="54">
        <f>IF(OR(B313="",F313="",NOT(AND(G313&lt;&gt;"✅ Выполнена",G313&lt;&gt;"❌ Отменена"))),"",IF(F313&lt;TODAY(),"❗ просрочено "&amp;(TODAY()-F313)&amp;" дн.",IF(F313=TODAY(),"🔥 сегодня",IF(F313-TODAY()&lt;=3,"⏳ через "&amp;(F313-TODAY())&amp;" дн.",""))))</f>
        <v/>
      </c>
      <c r="K313" s="54">
        <f>IF(B313="","",IF(G313="✅ Выполнена","✔ ",IF(G313="❌ Отменена","✖ ",IF(AND(F313&lt;&gt;"",F313&lt;TODAY()),"❗ ","☐ ")))&amp;B313&amp;IF(E313="🔥 Высокий"," 🔥",""))</f>
        <v/>
      </c>
      <c r="L313" s="54">
        <f>IF(OR(B313="",F313="",G313="❌ Отменена"),"",F313&amp;"#"&amp;COUNTIFS($F$5:F313,F313,$B$5:B313,"?*",$G$5:G313,"&lt;&gt;❌ Отменена"))</f>
        <v/>
      </c>
      <c r="M313" s="54">
        <f>IF(AND(B313&lt;&gt;"",F313&lt;&gt;"",F313&lt;TODAY(),AND(G313&lt;&gt;"✅ Выполнена",G313&lt;&gt;"❌ Отменена")),MAX($M$4:M312)+1,"")</f>
        <v/>
      </c>
    </row>
    <row r="314">
      <c r="A314" s="49">
        <f>IF(B314="","",COUNTA($B$5:B314))</f>
        <v/>
      </c>
      <c r="B314" s="50" t="n"/>
      <c r="C314" s="51" t="n"/>
      <c r="D314" s="51" t="n"/>
      <c r="E314" s="52" t="n"/>
      <c r="F314" s="53" t="n"/>
      <c r="G314" s="51" t="n"/>
      <c r="H314" s="53" t="n"/>
      <c r="I314" s="51" t="n"/>
      <c r="J314" s="54">
        <f>IF(OR(B314="",F314="",NOT(AND(G314&lt;&gt;"✅ Выполнена",G314&lt;&gt;"❌ Отменена"))),"",IF(F314&lt;TODAY(),"❗ просрочено "&amp;(TODAY()-F314)&amp;" дн.",IF(F314=TODAY(),"🔥 сегодня",IF(F314-TODAY()&lt;=3,"⏳ через "&amp;(F314-TODAY())&amp;" дн.",""))))</f>
        <v/>
      </c>
      <c r="K314" s="54">
        <f>IF(B314="","",IF(G314="✅ Выполнена","✔ ",IF(G314="❌ Отменена","✖ ",IF(AND(F314&lt;&gt;"",F314&lt;TODAY()),"❗ ","☐ ")))&amp;B314&amp;IF(E314="🔥 Высокий"," 🔥",""))</f>
        <v/>
      </c>
      <c r="L314" s="54">
        <f>IF(OR(B314="",F314="",G314="❌ Отменена"),"",F314&amp;"#"&amp;COUNTIFS($F$5:F314,F314,$B$5:B314,"?*",$G$5:G314,"&lt;&gt;❌ Отменена"))</f>
        <v/>
      </c>
      <c r="M314" s="54">
        <f>IF(AND(B314&lt;&gt;"",F314&lt;&gt;"",F314&lt;TODAY(),AND(G314&lt;&gt;"✅ Выполнена",G314&lt;&gt;"❌ Отменена")),MAX($M$4:M313)+1,"")</f>
        <v/>
      </c>
    </row>
    <row r="315">
      <c r="A315" s="49">
        <f>IF(B315="","",COUNTA($B$5:B315))</f>
        <v/>
      </c>
      <c r="B315" s="50" t="n"/>
      <c r="C315" s="51" t="n"/>
      <c r="D315" s="51" t="n"/>
      <c r="E315" s="52" t="n"/>
      <c r="F315" s="53" t="n"/>
      <c r="G315" s="51" t="n"/>
      <c r="H315" s="53" t="n"/>
      <c r="I315" s="51" t="n"/>
      <c r="J315" s="54">
        <f>IF(OR(B315="",F315="",NOT(AND(G315&lt;&gt;"✅ Выполнена",G315&lt;&gt;"❌ Отменена"))),"",IF(F315&lt;TODAY(),"❗ просрочено "&amp;(TODAY()-F315)&amp;" дн.",IF(F315=TODAY(),"🔥 сегодня",IF(F315-TODAY()&lt;=3,"⏳ через "&amp;(F315-TODAY())&amp;" дн.",""))))</f>
        <v/>
      </c>
      <c r="K315" s="54">
        <f>IF(B315="","",IF(G315="✅ Выполнена","✔ ",IF(G315="❌ Отменена","✖ ",IF(AND(F315&lt;&gt;"",F315&lt;TODAY()),"❗ ","☐ ")))&amp;B315&amp;IF(E315="🔥 Высокий"," 🔥",""))</f>
        <v/>
      </c>
      <c r="L315" s="54">
        <f>IF(OR(B315="",F315="",G315="❌ Отменена"),"",F315&amp;"#"&amp;COUNTIFS($F$5:F315,F315,$B$5:B315,"?*",$G$5:G315,"&lt;&gt;❌ Отменена"))</f>
        <v/>
      </c>
      <c r="M315" s="54">
        <f>IF(AND(B315&lt;&gt;"",F315&lt;&gt;"",F315&lt;TODAY(),AND(G315&lt;&gt;"✅ Выполнена",G315&lt;&gt;"❌ Отменена")),MAX($M$4:M314)+1,"")</f>
        <v/>
      </c>
    </row>
    <row r="316">
      <c r="A316" s="49">
        <f>IF(B316="","",COUNTA($B$5:B316))</f>
        <v/>
      </c>
      <c r="B316" s="50" t="n"/>
      <c r="C316" s="51" t="n"/>
      <c r="D316" s="51" t="n"/>
      <c r="E316" s="52" t="n"/>
      <c r="F316" s="53" t="n"/>
      <c r="G316" s="51" t="n"/>
      <c r="H316" s="53" t="n"/>
      <c r="I316" s="51" t="n"/>
      <c r="J316" s="54">
        <f>IF(OR(B316="",F316="",NOT(AND(G316&lt;&gt;"✅ Выполнена",G316&lt;&gt;"❌ Отменена"))),"",IF(F316&lt;TODAY(),"❗ просрочено "&amp;(TODAY()-F316)&amp;" дн.",IF(F316=TODAY(),"🔥 сегодня",IF(F316-TODAY()&lt;=3,"⏳ через "&amp;(F316-TODAY())&amp;" дн.",""))))</f>
        <v/>
      </c>
      <c r="K316" s="54">
        <f>IF(B316="","",IF(G316="✅ Выполнена","✔ ",IF(G316="❌ Отменена","✖ ",IF(AND(F316&lt;&gt;"",F316&lt;TODAY()),"❗ ","☐ ")))&amp;B316&amp;IF(E316="🔥 Высокий"," 🔥",""))</f>
        <v/>
      </c>
      <c r="L316" s="54">
        <f>IF(OR(B316="",F316="",G316="❌ Отменена"),"",F316&amp;"#"&amp;COUNTIFS($F$5:F316,F316,$B$5:B316,"?*",$G$5:G316,"&lt;&gt;❌ Отменена"))</f>
        <v/>
      </c>
      <c r="M316" s="54">
        <f>IF(AND(B316&lt;&gt;"",F316&lt;&gt;"",F316&lt;TODAY(),AND(G316&lt;&gt;"✅ Выполнена",G316&lt;&gt;"❌ Отменена")),MAX($M$4:M315)+1,"")</f>
        <v/>
      </c>
    </row>
    <row r="317">
      <c r="A317" s="49">
        <f>IF(B317="","",COUNTA($B$5:B317))</f>
        <v/>
      </c>
      <c r="B317" s="50" t="n"/>
      <c r="C317" s="51" t="n"/>
      <c r="D317" s="51" t="n"/>
      <c r="E317" s="52" t="n"/>
      <c r="F317" s="53" t="n"/>
      <c r="G317" s="51" t="n"/>
      <c r="H317" s="53" t="n"/>
      <c r="I317" s="51" t="n"/>
      <c r="J317" s="54">
        <f>IF(OR(B317="",F317="",NOT(AND(G317&lt;&gt;"✅ Выполнена",G317&lt;&gt;"❌ Отменена"))),"",IF(F317&lt;TODAY(),"❗ просрочено "&amp;(TODAY()-F317)&amp;" дн.",IF(F317=TODAY(),"🔥 сегодня",IF(F317-TODAY()&lt;=3,"⏳ через "&amp;(F317-TODAY())&amp;" дн.",""))))</f>
        <v/>
      </c>
      <c r="K317" s="54">
        <f>IF(B317="","",IF(G317="✅ Выполнена","✔ ",IF(G317="❌ Отменена","✖ ",IF(AND(F317&lt;&gt;"",F317&lt;TODAY()),"❗ ","☐ ")))&amp;B317&amp;IF(E317="🔥 Высокий"," 🔥",""))</f>
        <v/>
      </c>
      <c r="L317" s="54">
        <f>IF(OR(B317="",F317="",G317="❌ Отменена"),"",F317&amp;"#"&amp;COUNTIFS($F$5:F317,F317,$B$5:B317,"?*",$G$5:G317,"&lt;&gt;❌ Отменена"))</f>
        <v/>
      </c>
      <c r="M317" s="54">
        <f>IF(AND(B317&lt;&gt;"",F317&lt;&gt;"",F317&lt;TODAY(),AND(G317&lt;&gt;"✅ Выполнена",G317&lt;&gt;"❌ Отменена")),MAX($M$4:M316)+1,"")</f>
        <v/>
      </c>
    </row>
    <row r="318">
      <c r="A318" s="49">
        <f>IF(B318="","",COUNTA($B$5:B318))</f>
        <v/>
      </c>
      <c r="B318" s="50" t="n"/>
      <c r="C318" s="51" t="n"/>
      <c r="D318" s="51" t="n"/>
      <c r="E318" s="52" t="n"/>
      <c r="F318" s="53" t="n"/>
      <c r="G318" s="51" t="n"/>
      <c r="H318" s="53" t="n"/>
      <c r="I318" s="51" t="n"/>
      <c r="J318" s="54">
        <f>IF(OR(B318="",F318="",NOT(AND(G318&lt;&gt;"✅ Выполнена",G318&lt;&gt;"❌ Отменена"))),"",IF(F318&lt;TODAY(),"❗ просрочено "&amp;(TODAY()-F318)&amp;" дн.",IF(F318=TODAY(),"🔥 сегодня",IF(F318-TODAY()&lt;=3,"⏳ через "&amp;(F318-TODAY())&amp;" дн.",""))))</f>
        <v/>
      </c>
      <c r="K318" s="54">
        <f>IF(B318="","",IF(G318="✅ Выполнена","✔ ",IF(G318="❌ Отменена","✖ ",IF(AND(F318&lt;&gt;"",F318&lt;TODAY()),"❗ ","☐ ")))&amp;B318&amp;IF(E318="🔥 Высокий"," 🔥",""))</f>
        <v/>
      </c>
      <c r="L318" s="54">
        <f>IF(OR(B318="",F318="",G318="❌ Отменена"),"",F318&amp;"#"&amp;COUNTIFS($F$5:F318,F318,$B$5:B318,"?*",$G$5:G318,"&lt;&gt;❌ Отменена"))</f>
        <v/>
      </c>
      <c r="M318" s="54">
        <f>IF(AND(B318&lt;&gt;"",F318&lt;&gt;"",F318&lt;TODAY(),AND(G318&lt;&gt;"✅ Выполнена",G318&lt;&gt;"❌ Отменена")),MAX($M$4:M317)+1,"")</f>
        <v/>
      </c>
    </row>
    <row r="319">
      <c r="A319" s="49">
        <f>IF(B319="","",COUNTA($B$5:B319))</f>
        <v/>
      </c>
      <c r="B319" s="50" t="n"/>
      <c r="C319" s="51" t="n"/>
      <c r="D319" s="51" t="n"/>
      <c r="E319" s="52" t="n"/>
      <c r="F319" s="53" t="n"/>
      <c r="G319" s="51" t="n"/>
      <c r="H319" s="53" t="n"/>
      <c r="I319" s="51" t="n"/>
      <c r="J319" s="54">
        <f>IF(OR(B319="",F319="",NOT(AND(G319&lt;&gt;"✅ Выполнена",G319&lt;&gt;"❌ Отменена"))),"",IF(F319&lt;TODAY(),"❗ просрочено "&amp;(TODAY()-F319)&amp;" дн.",IF(F319=TODAY(),"🔥 сегодня",IF(F319-TODAY()&lt;=3,"⏳ через "&amp;(F319-TODAY())&amp;" дн.",""))))</f>
        <v/>
      </c>
      <c r="K319" s="54">
        <f>IF(B319="","",IF(G319="✅ Выполнена","✔ ",IF(G319="❌ Отменена","✖ ",IF(AND(F319&lt;&gt;"",F319&lt;TODAY()),"❗ ","☐ ")))&amp;B319&amp;IF(E319="🔥 Высокий"," 🔥",""))</f>
        <v/>
      </c>
      <c r="L319" s="54">
        <f>IF(OR(B319="",F319="",G319="❌ Отменена"),"",F319&amp;"#"&amp;COUNTIFS($F$5:F319,F319,$B$5:B319,"?*",$G$5:G319,"&lt;&gt;❌ Отменена"))</f>
        <v/>
      </c>
      <c r="M319" s="54">
        <f>IF(AND(B319&lt;&gt;"",F319&lt;&gt;"",F319&lt;TODAY(),AND(G319&lt;&gt;"✅ Выполнена",G319&lt;&gt;"❌ Отменена")),MAX($M$4:M318)+1,"")</f>
        <v/>
      </c>
    </row>
    <row r="320">
      <c r="A320" s="49">
        <f>IF(B320="","",COUNTA($B$5:B320))</f>
        <v/>
      </c>
      <c r="B320" s="50" t="n"/>
      <c r="C320" s="51" t="n"/>
      <c r="D320" s="51" t="n"/>
      <c r="E320" s="52" t="n"/>
      <c r="F320" s="53" t="n"/>
      <c r="G320" s="51" t="n"/>
      <c r="H320" s="53" t="n"/>
      <c r="I320" s="51" t="n"/>
      <c r="J320" s="54">
        <f>IF(OR(B320="",F320="",NOT(AND(G320&lt;&gt;"✅ Выполнена",G320&lt;&gt;"❌ Отменена"))),"",IF(F320&lt;TODAY(),"❗ просрочено "&amp;(TODAY()-F320)&amp;" дн.",IF(F320=TODAY(),"🔥 сегодня",IF(F320-TODAY()&lt;=3,"⏳ через "&amp;(F320-TODAY())&amp;" дн.",""))))</f>
        <v/>
      </c>
      <c r="K320" s="54">
        <f>IF(B320="","",IF(G320="✅ Выполнена","✔ ",IF(G320="❌ Отменена","✖ ",IF(AND(F320&lt;&gt;"",F320&lt;TODAY()),"❗ ","☐ ")))&amp;B320&amp;IF(E320="🔥 Высокий"," 🔥",""))</f>
        <v/>
      </c>
      <c r="L320" s="54">
        <f>IF(OR(B320="",F320="",G320="❌ Отменена"),"",F320&amp;"#"&amp;COUNTIFS($F$5:F320,F320,$B$5:B320,"?*",$G$5:G320,"&lt;&gt;❌ Отменена"))</f>
        <v/>
      </c>
      <c r="M320" s="54">
        <f>IF(AND(B320&lt;&gt;"",F320&lt;&gt;"",F320&lt;TODAY(),AND(G320&lt;&gt;"✅ Выполнена",G320&lt;&gt;"❌ Отменена")),MAX($M$4:M319)+1,"")</f>
        <v/>
      </c>
    </row>
    <row r="321">
      <c r="A321" s="49">
        <f>IF(B321="","",COUNTA($B$5:B321))</f>
        <v/>
      </c>
      <c r="B321" s="50" t="n"/>
      <c r="C321" s="51" t="n"/>
      <c r="D321" s="51" t="n"/>
      <c r="E321" s="52" t="n"/>
      <c r="F321" s="53" t="n"/>
      <c r="G321" s="51" t="n"/>
      <c r="H321" s="53" t="n"/>
      <c r="I321" s="51" t="n"/>
      <c r="J321" s="54">
        <f>IF(OR(B321="",F321="",NOT(AND(G321&lt;&gt;"✅ Выполнена",G321&lt;&gt;"❌ Отменена"))),"",IF(F321&lt;TODAY(),"❗ просрочено "&amp;(TODAY()-F321)&amp;" дн.",IF(F321=TODAY(),"🔥 сегодня",IF(F321-TODAY()&lt;=3,"⏳ через "&amp;(F321-TODAY())&amp;" дн.",""))))</f>
        <v/>
      </c>
      <c r="K321" s="54">
        <f>IF(B321="","",IF(G321="✅ Выполнена","✔ ",IF(G321="❌ Отменена","✖ ",IF(AND(F321&lt;&gt;"",F321&lt;TODAY()),"❗ ","☐ ")))&amp;B321&amp;IF(E321="🔥 Высокий"," 🔥",""))</f>
        <v/>
      </c>
      <c r="L321" s="54">
        <f>IF(OR(B321="",F321="",G321="❌ Отменена"),"",F321&amp;"#"&amp;COUNTIFS($F$5:F321,F321,$B$5:B321,"?*",$G$5:G321,"&lt;&gt;❌ Отменена"))</f>
        <v/>
      </c>
      <c r="M321" s="54">
        <f>IF(AND(B321&lt;&gt;"",F321&lt;&gt;"",F321&lt;TODAY(),AND(G321&lt;&gt;"✅ Выполнена",G321&lt;&gt;"❌ Отменена")),MAX($M$4:M320)+1,"")</f>
        <v/>
      </c>
    </row>
    <row r="322">
      <c r="A322" s="49">
        <f>IF(B322="","",COUNTA($B$5:B322))</f>
        <v/>
      </c>
      <c r="B322" s="50" t="n"/>
      <c r="C322" s="51" t="n"/>
      <c r="D322" s="51" t="n"/>
      <c r="E322" s="52" t="n"/>
      <c r="F322" s="53" t="n"/>
      <c r="G322" s="51" t="n"/>
      <c r="H322" s="53" t="n"/>
      <c r="I322" s="51" t="n"/>
      <c r="J322" s="54">
        <f>IF(OR(B322="",F322="",NOT(AND(G322&lt;&gt;"✅ Выполнена",G322&lt;&gt;"❌ Отменена"))),"",IF(F322&lt;TODAY(),"❗ просрочено "&amp;(TODAY()-F322)&amp;" дн.",IF(F322=TODAY(),"🔥 сегодня",IF(F322-TODAY()&lt;=3,"⏳ через "&amp;(F322-TODAY())&amp;" дн.",""))))</f>
        <v/>
      </c>
      <c r="K322" s="54">
        <f>IF(B322="","",IF(G322="✅ Выполнена","✔ ",IF(G322="❌ Отменена","✖ ",IF(AND(F322&lt;&gt;"",F322&lt;TODAY()),"❗ ","☐ ")))&amp;B322&amp;IF(E322="🔥 Высокий"," 🔥",""))</f>
        <v/>
      </c>
      <c r="L322" s="54">
        <f>IF(OR(B322="",F322="",G322="❌ Отменена"),"",F322&amp;"#"&amp;COUNTIFS($F$5:F322,F322,$B$5:B322,"?*",$G$5:G322,"&lt;&gt;❌ Отменена"))</f>
        <v/>
      </c>
      <c r="M322" s="54">
        <f>IF(AND(B322&lt;&gt;"",F322&lt;&gt;"",F322&lt;TODAY(),AND(G322&lt;&gt;"✅ Выполнена",G322&lt;&gt;"❌ Отменена")),MAX($M$4:M321)+1,"")</f>
        <v/>
      </c>
    </row>
    <row r="323">
      <c r="A323" s="49">
        <f>IF(B323="","",COUNTA($B$5:B323))</f>
        <v/>
      </c>
      <c r="B323" s="50" t="n"/>
      <c r="C323" s="51" t="n"/>
      <c r="D323" s="51" t="n"/>
      <c r="E323" s="52" t="n"/>
      <c r="F323" s="53" t="n"/>
      <c r="G323" s="51" t="n"/>
      <c r="H323" s="53" t="n"/>
      <c r="I323" s="51" t="n"/>
      <c r="J323" s="54">
        <f>IF(OR(B323="",F323="",NOT(AND(G323&lt;&gt;"✅ Выполнена",G323&lt;&gt;"❌ Отменена"))),"",IF(F323&lt;TODAY(),"❗ просрочено "&amp;(TODAY()-F323)&amp;" дн.",IF(F323=TODAY(),"🔥 сегодня",IF(F323-TODAY()&lt;=3,"⏳ через "&amp;(F323-TODAY())&amp;" дн.",""))))</f>
        <v/>
      </c>
      <c r="K323" s="54">
        <f>IF(B323="","",IF(G323="✅ Выполнена","✔ ",IF(G323="❌ Отменена","✖ ",IF(AND(F323&lt;&gt;"",F323&lt;TODAY()),"❗ ","☐ ")))&amp;B323&amp;IF(E323="🔥 Высокий"," 🔥",""))</f>
        <v/>
      </c>
      <c r="L323" s="54">
        <f>IF(OR(B323="",F323="",G323="❌ Отменена"),"",F323&amp;"#"&amp;COUNTIFS($F$5:F323,F323,$B$5:B323,"?*",$G$5:G323,"&lt;&gt;❌ Отменена"))</f>
        <v/>
      </c>
      <c r="M323" s="54">
        <f>IF(AND(B323&lt;&gt;"",F323&lt;&gt;"",F323&lt;TODAY(),AND(G323&lt;&gt;"✅ Выполнена",G323&lt;&gt;"❌ Отменена")),MAX($M$4:M322)+1,"")</f>
        <v/>
      </c>
    </row>
    <row r="324">
      <c r="A324" s="49">
        <f>IF(B324="","",COUNTA($B$5:B324))</f>
        <v/>
      </c>
      <c r="B324" s="50" t="n"/>
      <c r="C324" s="51" t="n"/>
      <c r="D324" s="51" t="n"/>
      <c r="E324" s="52" t="n"/>
      <c r="F324" s="53" t="n"/>
      <c r="G324" s="51" t="n"/>
      <c r="H324" s="53" t="n"/>
      <c r="I324" s="51" t="n"/>
      <c r="J324" s="54">
        <f>IF(OR(B324="",F324="",NOT(AND(G324&lt;&gt;"✅ Выполнена",G324&lt;&gt;"❌ Отменена"))),"",IF(F324&lt;TODAY(),"❗ просрочено "&amp;(TODAY()-F324)&amp;" дн.",IF(F324=TODAY(),"🔥 сегодня",IF(F324-TODAY()&lt;=3,"⏳ через "&amp;(F324-TODAY())&amp;" дн.",""))))</f>
        <v/>
      </c>
      <c r="K324" s="54">
        <f>IF(B324="","",IF(G324="✅ Выполнена","✔ ",IF(G324="❌ Отменена","✖ ",IF(AND(F324&lt;&gt;"",F324&lt;TODAY()),"❗ ","☐ ")))&amp;B324&amp;IF(E324="🔥 Высокий"," 🔥",""))</f>
        <v/>
      </c>
      <c r="L324" s="54">
        <f>IF(OR(B324="",F324="",G324="❌ Отменена"),"",F324&amp;"#"&amp;COUNTIFS($F$5:F324,F324,$B$5:B324,"?*",$G$5:G324,"&lt;&gt;❌ Отменена"))</f>
        <v/>
      </c>
      <c r="M324" s="54">
        <f>IF(AND(B324&lt;&gt;"",F324&lt;&gt;"",F324&lt;TODAY(),AND(G324&lt;&gt;"✅ Выполнена",G324&lt;&gt;"❌ Отменена")),MAX($M$4:M323)+1,"")</f>
        <v/>
      </c>
    </row>
    <row r="325">
      <c r="A325" s="49">
        <f>IF(B325="","",COUNTA($B$5:B325))</f>
        <v/>
      </c>
      <c r="B325" s="50" t="n"/>
      <c r="C325" s="51" t="n"/>
      <c r="D325" s="51" t="n"/>
      <c r="E325" s="52" t="n"/>
      <c r="F325" s="53" t="n"/>
      <c r="G325" s="51" t="n"/>
      <c r="H325" s="53" t="n"/>
      <c r="I325" s="51" t="n"/>
      <c r="J325" s="54">
        <f>IF(OR(B325="",F325="",NOT(AND(G325&lt;&gt;"✅ Выполнена",G325&lt;&gt;"❌ Отменена"))),"",IF(F325&lt;TODAY(),"❗ просрочено "&amp;(TODAY()-F325)&amp;" дн.",IF(F325=TODAY(),"🔥 сегодня",IF(F325-TODAY()&lt;=3,"⏳ через "&amp;(F325-TODAY())&amp;" дн.",""))))</f>
        <v/>
      </c>
      <c r="K325" s="54">
        <f>IF(B325="","",IF(G325="✅ Выполнена","✔ ",IF(G325="❌ Отменена","✖ ",IF(AND(F325&lt;&gt;"",F325&lt;TODAY()),"❗ ","☐ ")))&amp;B325&amp;IF(E325="🔥 Высокий"," 🔥",""))</f>
        <v/>
      </c>
      <c r="L325" s="54">
        <f>IF(OR(B325="",F325="",G325="❌ Отменена"),"",F325&amp;"#"&amp;COUNTIFS($F$5:F325,F325,$B$5:B325,"?*",$G$5:G325,"&lt;&gt;❌ Отменена"))</f>
        <v/>
      </c>
      <c r="M325" s="54">
        <f>IF(AND(B325&lt;&gt;"",F325&lt;&gt;"",F325&lt;TODAY(),AND(G325&lt;&gt;"✅ Выполнена",G325&lt;&gt;"❌ Отменена")),MAX($M$4:M324)+1,"")</f>
        <v/>
      </c>
    </row>
    <row r="326">
      <c r="A326" s="49">
        <f>IF(B326="","",COUNTA($B$5:B326))</f>
        <v/>
      </c>
      <c r="B326" s="50" t="n"/>
      <c r="C326" s="51" t="n"/>
      <c r="D326" s="51" t="n"/>
      <c r="E326" s="52" t="n"/>
      <c r="F326" s="53" t="n"/>
      <c r="G326" s="51" t="n"/>
      <c r="H326" s="53" t="n"/>
      <c r="I326" s="51" t="n"/>
      <c r="J326" s="54">
        <f>IF(OR(B326="",F326="",NOT(AND(G326&lt;&gt;"✅ Выполнена",G326&lt;&gt;"❌ Отменена"))),"",IF(F326&lt;TODAY(),"❗ просрочено "&amp;(TODAY()-F326)&amp;" дн.",IF(F326=TODAY(),"🔥 сегодня",IF(F326-TODAY()&lt;=3,"⏳ через "&amp;(F326-TODAY())&amp;" дн.",""))))</f>
        <v/>
      </c>
      <c r="K326" s="54">
        <f>IF(B326="","",IF(G326="✅ Выполнена","✔ ",IF(G326="❌ Отменена","✖ ",IF(AND(F326&lt;&gt;"",F326&lt;TODAY()),"❗ ","☐ ")))&amp;B326&amp;IF(E326="🔥 Высокий"," 🔥",""))</f>
        <v/>
      </c>
      <c r="L326" s="54">
        <f>IF(OR(B326="",F326="",G326="❌ Отменена"),"",F326&amp;"#"&amp;COUNTIFS($F$5:F326,F326,$B$5:B326,"?*",$G$5:G326,"&lt;&gt;❌ Отменена"))</f>
        <v/>
      </c>
      <c r="M326" s="54">
        <f>IF(AND(B326&lt;&gt;"",F326&lt;&gt;"",F326&lt;TODAY(),AND(G326&lt;&gt;"✅ Выполнена",G326&lt;&gt;"❌ Отменена")),MAX($M$4:M325)+1,"")</f>
        <v/>
      </c>
    </row>
    <row r="327">
      <c r="A327" s="49">
        <f>IF(B327="","",COUNTA($B$5:B327))</f>
        <v/>
      </c>
      <c r="B327" s="50" t="n"/>
      <c r="C327" s="51" t="n"/>
      <c r="D327" s="51" t="n"/>
      <c r="E327" s="52" t="n"/>
      <c r="F327" s="53" t="n"/>
      <c r="G327" s="51" t="n"/>
      <c r="H327" s="53" t="n"/>
      <c r="I327" s="51" t="n"/>
      <c r="J327" s="54">
        <f>IF(OR(B327="",F327="",NOT(AND(G327&lt;&gt;"✅ Выполнена",G327&lt;&gt;"❌ Отменена"))),"",IF(F327&lt;TODAY(),"❗ просрочено "&amp;(TODAY()-F327)&amp;" дн.",IF(F327=TODAY(),"🔥 сегодня",IF(F327-TODAY()&lt;=3,"⏳ через "&amp;(F327-TODAY())&amp;" дн.",""))))</f>
        <v/>
      </c>
      <c r="K327" s="54">
        <f>IF(B327="","",IF(G327="✅ Выполнена","✔ ",IF(G327="❌ Отменена","✖ ",IF(AND(F327&lt;&gt;"",F327&lt;TODAY()),"❗ ","☐ ")))&amp;B327&amp;IF(E327="🔥 Высокий"," 🔥",""))</f>
        <v/>
      </c>
      <c r="L327" s="54">
        <f>IF(OR(B327="",F327="",G327="❌ Отменена"),"",F327&amp;"#"&amp;COUNTIFS($F$5:F327,F327,$B$5:B327,"?*",$G$5:G327,"&lt;&gt;❌ Отменена"))</f>
        <v/>
      </c>
      <c r="M327" s="54">
        <f>IF(AND(B327&lt;&gt;"",F327&lt;&gt;"",F327&lt;TODAY(),AND(G327&lt;&gt;"✅ Выполнена",G327&lt;&gt;"❌ Отменена")),MAX($M$4:M326)+1,"")</f>
        <v/>
      </c>
    </row>
    <row r="328">
      <c r="A328" s="49">
        <f>IF(B328="","",COUNTA($B$5:B328))</f>
        <v/>
      </c>
      <c r="B328" s="50" t="n"/>
      <c r="C328" s="51" t="n"/>
      <c r="D328" s="51" t="n"/>
      <c r="E328" s="52" t="n"/>
      <c r="F328" s="53" t="n"/>
      <c r="G328" s="51" t="n"/>
      <c r="H328" s="53" t="n"/>
      <c r="I328" s="51" t="n"/>
      <c r="J328" s="54">
        <f>IF(OR(B328="",F328="",NOT(AND(G328&lt;&gt;"✅ Выполнена",G328&lt;&gt;"❌ Отменена"))),"",IF(F328&lt;TODAY(),"❗ просрочено "&amp;(TODAY()-F328)&amp;" дн.",IF(F328=TODAY(),"🔥 сегодня",IF(F328-TODAY()&lt;=3,"⏳ через "&amp;(F328-TODAY())&amp;" дн.",""))))</f>
        <v/>
      </c>
      <c r="K328" s="54">
        <f>IF(B328="","",IF(G328="✅ Выполнена","✔ ",IF(G328="❌ Отменена","✖ ",IF(AND(F328&lt;&gt;"",F328&lt;TODAY()),"❗ ","☐ ")))&amp;B328&amp;IF(E328="🔥 Высокий"," 🔥",""))</f>
        <v/>
      </c>
      <c r="L328" s="54">
        <f>IF(OR(B328="",F328="",G328="❌ Отменена"),"",F328&amp;"#"&amp;COUNTIFS($F$5:F328,F328,$B$5:B328,"?*",$G$5:G328,"&lt;&gt;❌ Отменена"))</f>
        <v/>
      </c>
      <c r="M328" s="54">
        <f>IF(AND(B328&lt;&gt;"",F328&lt;&gt;"",F328&lt;TODAY(),AND(G328&lt;&gt;"✅ Выполнена",G328&lt;&gt;"❌ Отменена")),MAX($M$4:M327)+1,"")</f>
        <v/>
      </c>
    </row>
    <row r="329">
      <c r="A329" s="49">
        <f>IF(B329="","",COUNTA($B$5:B329))</f>
        <v/>
      </c>
      <c r="B329" s="50" t="n"/>
      <c r="C329" s="51" t="n"/>
      <c r="D329" s="51" t="n"/>
      <c r="E329" s="52" t="n"/>
      <c r="F329" s="53" t="n"/>
      <c r="G329" s="51" t="n"/>
      <c r="H329" s="53" t="n"/>
      <c r="I329" s="51" t="n"/>
      <c r="J329" s="54">
        <f>IF(OR(B329="",F329="",NOT(AND(G329&lt;&gt;"✅ Выполнена",G329&lt;&gt;"❌ Отменена"))),"",IF(F329&lt;TODAY(),"❗ просрочено "&amp;(TODAY()-F329)&amp;" дн.",IF(F329=TODAY(),"🔥 сегодня",IF(F329-TODAY()&lt;=3,"⏳ через "&amp;(F329-TODAY())&amp;" дн.",""))))</f>
        <v/>
      </c>
      <c r="K329" s="54">
        <f>IF(B329="","",IF(G329="✅ Выполнена","✔ ",IF(G329="❌ Отменена","✖ ",IF(AND(F329&lt;&gt;"",F329&lt;TODAY()),"❗ ","☐ ")))&amp;B329&amp;IF(E329="🔥 Высокий"," 🔥",""))</f>
        <v/>
      </c>
      <c r="L329" s="54">
        <f>IF(OR(B329="",F329="",G329="❌ Отменена"),"",F329&amp;"#"&amp;COUNTIFS($F$5:F329,F329,$B$5:B329,"?*",$G$5:G329,"&lt;&gt;❌ Отменена"))</f>
        <v/>
      </c>
      <c r="M329" s="54">
        <f>IF(AND(B329&lt;&gt;"",F329&lt;&gt;"",F329&lt;TODAY(),AND(G329&lt;&gt;"✅ Выполнена",G329&lt;&gt;"❌ Отменена")),MAX($M$4:M328)+1,"")</f>
        <v/>
      </c>
    </row>
    <row r="330">
      <c r="A330" s="49">
        <f>IF(B330="","",COUNTA($B$5:B330))</f>
        <v/>
      </c>
      <c r="B330" s="50" t="n"/>
      <c r="C330" s="51" t="n"/>
      <c r="D330" s="51" t="n"/>
      <c r="E330" s="52" t="n"/>
      <c r="F330" s="53" t="n"/>
      <c r="G330" s="51" t="n"/>
      <c r="H330" s="53" t="n"/>
      <c r="I330" s="51" t="n"/>
      <c r="J330" s="54">
        <f>IF(OR(B330="",F330="",NOT(AND(G330&lt;&gt;"✅ Выполнена",G330&lt;&gt;"❌ Отменена"))),"",IF(F330&lt;TODAY(),"❗ просрочено "&amp;(TODAY()-F330)&amp;" дн.",IF(F330=TODAY(),"🔥 сегодня",IF(F330-TODAY()&lt;=3,"⏳ через "&amp;(F330-TODAY())&amp;" дн.",""))))</f>
        <v/>
      </c>
      <c r="K330" s="54">
        <f>IF(B330="","",IF(G330="✅ Выполнена","✔ ",IF(G330="❌ Отменена","✖ ",IF(AND(F330&lt;&gt;"",F330&lt;TODAY()),"❗ ","☐ ")))&amp;B330&amp;IF(E330="🔥 Высокий"," 🔥",""))</f>
        <v/>
      </c>
      <c r="L330" s="54">
        <f>IF(OR(B330="",F330="",G330="❌ Отменена"),"",F330&amp;"#"&amp;COUNTIFS($F$5:F330,F330,$B$5:B330,"?*",$G$5:G330,"&lt;&gt;❌ Отменена"))</f>
        <v/>
      </c>
      <c r="M330" s="54">
        <f>IF(AND(B330&lt;&gt;"",F330&lt;&gt;"",F330&lt;TODAY(),AND(G330&lt;&gt;"✅ Выполнена",G330&lt;&gt;"❌ Отменена")),MAX($M$4:M329)+1,"")</f>
        <v/>
      </c>
    </row>
    <row r="331">
      <c r="A331" s="49">
        <f>IF(B331="","",COUNTA($B$5:B331))</f>
        <v/>
      </c>
      <c r="B331" s="50" t="n"/>
      <c r="C331" s="51" t="n"/>
      <c r="D331" s="51" t="n"/>
      <c r="E331" s="52" t="n"/>
      <c r="F331" s="53" t="n"/>
      <c r="G331" s="51" t="n"/>
      <c r="H331" s="53" t="n"/>
      <c r="I331" s="51" t="n"/>
      <c r="J331" s="54">
        <f>IF(OR(B331="",F331="",NOT(AND(G331&lt;&gt;"✅ Выполнена",G331&lt;&gt;"❌ Отменена"))),"",IF(F331&lt;TODAY(),"❗ просрочено "&amp;(TODAY()-F331)&amp;" дн.",IF(F331=TODAY(),"🔥 сегодня",IF(F331-TODAY()&lt;=3,"⏳ через "&amp;(F331-TODAY())&amp;" дн.",""))))</f>
        <v/>
      </c>
      <c r="K331" s="54">
        <f>IF(B331="","",IF(G331="✅ Выполнена","✔ ",IF(G331="❌ Отменена","✖ ",IF(AND(F331&lt;&gt;"",F331&lt;TODAY()),"❗ ","☐ ")))&amp;B331&amp;IF(E331="🔥 Высокий"," 🔥",""))</f>
        <v/>
      </c>
      <c r="L331" s="54">
        <f>IF(OR(B331="",F331="",G331="❌ Отменена"),"",F331&amp;"#"&amp;COUNTIFS($F$5:F331,F331,$B$5:B331,"?*",$G$5:G331,"&lt;&gt;❌ Отменена"))</f>
        <v/>
      </c>
      <c r="M331" s="54">
        <f>IF(AND(B331&lt;&gt;"",F331&lt;&gt;"",F331&lt;TODAY(),AND(G331&lt;&gt;"✅ Выполнена",G331&lt;&gt;"❌ Отменена")),MAX($M$4:M330)+1,"")</f>
        <v/>
      </c>
    </row>
    <row r="332">
      <c r="A332" s="49">
        <f>IF(B332="","",COUNTA($B$5:B332))</f>
        <v/>
      </c>
      <c r="B332" s="50" t="n"/>
      <c r="C332" s="51" t="n"/>
      <c r="D332" s="51" t="n"/>
      <c r="E332" s="52" t="n"/>
      <c r="F332" s="53" t="n"/>
      <c r="G332" s="51" t="n"/>
      <c r="H332" s="53" t="n"/>
      <c r="I332" s="51" t="n"/>
      <c r="J332" s="54">
        <f>IF(OR(B332="",F332="",NOT(AND(G332&lt;&gt;"✅ Выполнена",G332&lt;&gt;"❌ Отменена"))),"",IF(F332&lt;TODAY(),"❗ просрочено "&amp;(TODAY()-F332)&amp;" дн.",IF(F332=TODAY(),"🔥 сегодня",IF(F332-TODAY()&lt;=3,"⏳ через "&amp;(F332-TODAY())&amp;" дн.",""))))</f>
        <v/>
      </c>
      <c r="K332" s="54">
        <f>IF(B332="","",IF(G332="✅ Выполнена","✔ ",IF(G332="❌ Отменена","✖ ",IF(AND(F332&lt;&gt;"",F332&lt;TODAY()),"❗ ","☐ ")))&amp;B332&amp;IF(E332="🔥 Высокий"," 🔥",""))</f>
        <v/>
      </c>
      <c r="L332" s="54">
        <f>IF(OR(B332="",F332="",G332="❌ Отменена"),"",F332&amp;"#"&amp;COUNTIFS($F$5:F332,F332,$B$5:B332,"?*",$G$5:G332,"&lt;&gt;❌ Отменена"))</f>
        <v/>
      </c>
      <c r="M332" s="54">
        <f>IF(AND(B332&lt;&gt;"",F332&lt;&gt;"",F332&lt;TODAY(),AND(G332&lt;&gt;"✅ Выполнена",G332&lt;&gt;"❌ Отменена")),MAX($M$4:M331)+1,"")</f>
        <v/>
      </c>
    </row>
    <row r="333">
      <c r="A333" s="49">
        <f>IF(B333="","",COUNTA($B$5:B333))</f>
        <v/>
      </c>
      <c r="B333" s="50" t="n"/>
      <c r="C333" s="51" t="n"/>
      <c r="D333" s="51" t="n"/>
      <c r="E333" s="52" t="n"/>
      <c r="F333" s="53" t="n"/>
      <c r="G333" s="51" t="n"/>
      <c r="H333" s="53" t="n"/>
      <c r="I333" s="51" t="n"/>
      <c r="J333" s="54">
        <f>IF(OR(B333="",F333="",NOT(AND(G333&lt;&gt;"✅ Выполнена",G333&lt;&gt;"❌ Отменена"))),"",IF(F333&lt;TODAY(),"❗ просрочено "&amp;(TODAY()-F333)&amp;" дн.",IF(F333=TODAY(),"🔥 сегодня",IF(F333-TODAY()&lt;=3,"⏳ через "&amp;(F333-TODAY())&amp;" дн.",""))))</f>
        <v/>
      </c>
      <c r="K333" s="54">
        <f>IF(B333="","",IF(G333="✅ Выполнена","✔ ",IF(G333="❌ Отменена","✖ ",IF(AND(F333&lt;&gt;"",F333&lt;TODAY()),"❗ ","☐ ")))&amp;B333&amp;IF(E333="🔥 Высокий"," 🔥",""))</f>
        <v/>
      </c>
      <c r="L333" s="54">
        <f>IF(OR(B333="",F333="",G333="❌ Отменена"),"",F333&amp;"#"&amp;COUNTIFS($F$5:F333,F333,$B$5:B333,"?*",$G$5:G333,"&lt;&gt;❌ Отменена"))</f>
        <v/>
      </c>
      <c r="M333" s="54">
        <f>IF(AND(B333&lt;&gt;"",F333&lt;&gt;"",F333&lt;TODAY(),AND(G333&lt;&gt;"✅ Выполнена",G333&lt;&gt;"❌ Отменена")),MAX($M$4:M332)+1,"")</f>
        <v/>
      </c>
    </row>
    <row r="334">
      <c r="A334" s="49">
        <f>IF(B334="","",COUNTA($B$5:B334))</f>
        <v/>
      </c>
      <c r="B334" s="50" t="n"/>
      <c r="C334" s="51" t="n"/>
      <c r="D334" s="51" t="n"/>
      <c r="E334" s="52" t="n"/>
      <c r="F334" s="53" t="n"/>
      <c r="G334" s="51" t="n"/>
      <c r="H334" s="53" t="n"/>
      <c r="I334" s="51" t="n"/>
      <c r="J334" s="54">
        <f>IF(OR(B334="",F334="",NOT(AND(G334&lt;&gt;"✅ Выполнена",G334&lt;&gt;"❌ Отменена"))),"",IF(F334&lt;TODAY(),"❗ просрочено "&amp;(TODAY()-F334)&amp;" дн.",IF(F334=TODAY(),"🔥 сегодня",IF(F334-TODAY()&lt;=3,"⏳ через "&amp;(F334-TODAY())&amp;" дн.",""))))</f>
        <v/>
      </c>
      <c r="K334" s="54">
        <f>IF(B334="","",IF(G334="✅ Выполнена","✔ ",IF(G334="❌ Отменена","✖ ",IF(AND(F334&lt;&gt;"",F334&lt;TODAY()),"❗ ","☐ ")))&amp;B334&amp;IF(E334="🔥 Высокий"," 🔥",""))</f>
        <v/>
      </c>
      <c r="L334" s="54">
        <f>IF(OR(B334="",F334="",G334="❌ Отменена"),"",F334&amp;"#"&amp;COUNTIFS($F$5:F334,F334,$B$5:B334,"?*",$G$5:G334,"&lt;&gt;❌ Отменена"))</f>
        <v/>
      </c>
      <c r="M334" s="54">
        <f>IF(AND(B334&lt;&gt;"",F334&lt;&gt;"",F334&lt;TODAY(),AND(G334&lt;&gt;"✅ Выполнена",G334&lt;&gt;"❌ Отменена")),MAX($M$4:M333)+1,"")</f>
        <v/>
      </c>
    </row>
    <row r="335">
      <c r="A335" s="49">
        <f>IF(B335="","",COUNTA($B$5:B335))</f>
        <v/>
      </c>
      <c r="B335" s="50" t="n"/>
      <c r="C335" s="51" t="n"/>
      <c r="D335" s="51" t="n"/>
      <c r="E335" s="52" t="n"/>
      <c r="F335" s="53" t="n"/>
      <c r="G335" s="51" t="n"/>
      <c r="H335" s="53" t="n"/>
      <c r="I335" s="51" t="n"/>
      <c r="J335" s="54">
        <f>IF(OR(B335="",F335="",NOT(AND(G335&lt;&gt;"✅ Выполнена",G335&lt;&gt;"❌ Отменена"))),"",IF(F335&lt;TODAY(),"❗ просрочено "&amp;(TODAY()-F335)&amp;" дн.",IF(F335=TODAY(),"🔥 сегодня",IF(F335-TODAY()&lt;=3,"⏳ через "&amp;(F335-TODAY())&amp;" дн.",""))))</f>
        <v/>
      </c>
      <c r="K335" s="54">
        <f>IF(B335="","",IF(G335="✅ Выполнена","✔ ",IF(G335="❌ Отменена","✖ ",IF(AND(F335&lt;&gt;"",F335&lt;TODAY()),"❗ ","☐ ")))&amp;B335&amp;IF(E335="🔥 Высокий"," 🔥",""))</f>
        <v/>
      </c>
      <c r="L335" s="54">
        <f>IF(OR(B335="",F335="",G335="❌ Отменена"),"",F335&amp;"#"&amp;COUNTIFS($F$5:F335,F335,$B$5:B335,"?*",$G$5:G335,"&lt;&gt;❌ Отменена"))</f>
        <v/>
      </c>
      <c r="M335" s="54">
        <f>IF(AND(B335&lt;&gt;"",F335&lt;&gt;"",F335&lt;TODAY(),AND(G335&lt;&gt;"✅ Выполнена",G335&lt;&gt;"❌ Отменена")),MAX($M$4:M334)+1,"")</f>
        <v/>
      </c>
    </row>
    <row r="336">
      <c r="A336" s="49">
        <f>IF(B336="","",COUNTA($B$5:B336))</f>
        <v/>
      </c>
      <c r="B336" s="50" t="n"/>
      <c r="C336" s="51" t="n"/>
      <c r="D336" s="51" t="n"/>
      <c r="E336" s="52" t="n"/>
      <c r="F336" s="53" t="n"/>
      <c r="G336" s="51" t="n"/>
      <c r="H336" s="53" t="n"/>
      <c r="I336" s="51" t="n"/>
      <c r="J336" s="54">
        <f>IF(OR(B336="",F336="",NOT(AND(G336&lt;&gt;"✅ Выполнена",G336&lt;&gt;"❌ Отменена"))),"",IF(F336&lt;TODAY(),"❗ просрочено "&amp;(TODAY()-F336)&amp;" дн.",IF(F336=TODAY(),"🔥 сегодня",IF(F336-TODAY()&lt;=3,"⏳ через "&amp;(F336-TODAY())&amp;" дн.",""))))</f>
        <v/>
      </c>
      <c r="K336" s="54">
        <f>IF(B336="","",IF(G336="✅ Выполнена","✔ ",IF(G336="❌ Отменена","✖ ",IF(AND(F336&lt;&gt;"",F336&lt;TODAY()),"❗ ","☐ ")))&amp;B336&amp;IF(E336="🔥 Высокий"," 🔥",""))</f>
        <v/>
      </c>
      <c r="L336" s="54">
        <f>IF(OR(B336="",F336="",G336="❌ Отменена"),"",F336&amp;"#"&amp;COUNTIFS($F$5:F336,F336,$B$5:B336,"?*",$G$5:G336,"&lt;&gt;❌ Отменена"))</f>
        <v/>
      </c>
      <c r="M336" s="54">
        <f>IF(AND(B336&lt;&gt;"",F336&lt;&gt;"",F336&lt;TODAY(),AND(G336&lt;&gt;"✅ Выполнена",G336&lt;&gt;"❌ Отменена")),MAX($M$4:M335)+1,"")</f>
        <v/>
      </c>
    </row>
    <row r="337">
      <c r="A337" s="49">
        <f>IF(B337="","",COUNTA($B$5:B337))</f>
        <v/>
      </c>
      <c r="B337" s="50" t="n"/>
      <c r="C337" s="51" t="n"/>
      <c r="D337" s="51" t="n"/>
      <c r="E337" s="52" t="n"/>
      <c r="F337" s="53" t="n"/>
      <c r="G337" s="51" t="n"/>
      <c r="H337" s="53" t="n"/>
      <c r="I337" s="51" t="n"/>
      <c r="J337" s="54">
        <f>IF(OR(B337="",F337="",NOT(AND(G337&lt;&gt;"✅ Выполнена",G337&lt;&gt;"❌ Отменена"))),"",IF(F337&lt;TODAY(),"❗ просрочено "&amp;(TODAY()-F337)&amp;" дн.",IF(F337=TODAY(),"🔥 сегодня",IF(F337-TODAY()&lt;=3,"⏳ через "&amp;(F337-TODAY())&amp;" дн.",""))))</f>
        <v/>
      </c>
      <c r="K337" s="54">
        <f>IF(B337="","",IF(G337="✅ Выполнена","✔ ",IF(G337="❌ Отменена","✖ ",IF(AND(F337&lt;&gt;"",F337&lt;TODAY()),"❗ ","☐ ")))&amp;B337&amp;IF(E337="🔥 Высокий"," 🔥",""))</f>
        <v/>
      </c>
      <c r="L337" s="54">
        <f>IF(OR(B337="",F337="",G337="❌ Отменена"),"",F337&amp;"#"&amp;COUNTIFS($F$5:F337,F337,$B$5:B337,"?*",$G$5:G337,"&lt;&gt;❌ Отменена"))</f>
        <v/>
      </c>
      <c r="M337" s="54">
        <f>IF(AND(B337&lt;&gt;"",F337&lt;&gt;"",F337&lt;TODAY(),AND(G337&lt;&gt;"✅ Выполнена",G337&lt;&gt;"❌ Отменена")),MAX($M$4:M336)+1,"")</f>
        <v/>
      </c>
    </row>
    <row r="338">
      <c r="A338" s="49">
        <f>IF(B338="","",COUNTA($B$5:B338))</f>
        <v/>
      </c>
      <c r="B338" s="50" t="n"/>
      <c r="C338" s="51" t="n"/>
      <c r="D338" s="51" t="n"/>
      <c r="E338" s="52" t="n"/>
      <c r="F338" s="53" t="n"/>
      <c r="G338" s="51" t="n"/>
      <c r="H338" s="53" t="n"/>
      <c r="I338" s="51" t="n"/>
      <c r="J338" s="54">
        <f>IF(OR(B338="",F338="",NOT(AND(G338&lt;&gt;"✅ Выполнена",G338&lt;&gt;"❌ Отменена"))),"",IF(F338&lt;TODAY(),"❗ просрочено "&amp;(TODAY()-F338)&amp;" дн.",IF(F338=TODAY(),"🔥 сегодня",IF(F338-TODAY()&lt;=3,"⏳ через "&amp;(F338-TODAY())&amp;" дн.",""))))</f>
        <v/>
      </c>
      <c r="K338" s="54">
        <f>IF(B338="","",IF(G338="✅ Выполнена","✔ ",IF(G338="❌ Отменена","✖ ",IF(AND(F338&lt;&gt;"",F338&lt;TODAY()),"❗ ","☐ ")))&amp;B338&amp;IF(E338="🔥 Высокий"," 🔥",""))</f>
        <v/>
      </c>
      <c r="L338" s="54">
        <f>IF(OR(B338="",F338="",G338="❌ Отменена"),"",F338&amp;"#"&amp;COUNTIFS($F$5:F338,F338,$B$5:B338,"?*",$G$5:G338,"&lt;&gt;❌ Отменена"))</f>
        <v/>
      </c>
      <c r="M338" s="54">
        <f>IF(AND(B338&lt;&gt;"",F338&lt;&gt;"",F338&lt;TODAY(),AND(G338&lt;&gt;"✅ Выполнена",G338&lt;&gt;"❌ Отменена")),MAX($M$4:M337)+1,"")</f>
        <v/>
      </c>
    </row>
    <row r="339">
      <c r="A339" s="49">
        <f>IF(B339="","",COUNTA($B$5:B339))</f>
        <v/>
      </c>
      <c r="B339" s="50" t="n"/>
      <c r="C339" s="51" t="n"/>
      <c r="D339" s="51" t="n"/>
      <c r="E339" s="52" t="n"/>
      <c r="F339" s="53" t="n"/>
      <c r="G339" s="51" t="n"/>
      <c r="H339" s="53" t="n"/>
      <c r="I339" s="51" t="n"/>
      <c r="J339" s="54">
        <f>IF(OR(B339="",F339="",NOT(AND(G339&lt;&gt;"✅ Выполнена",G339&lt;&gt;"❌ Отменена"))),"",IF(F339&lt;TODAY(),"❗ просрочено "&amp;(TODAY()-F339)&amp;" дн.",IF(F339=TODAY(),"🔥 сегодня",IF(F339-TODAY()&lt;=3,"⏳ через "&amp;(F339-TODAY())&amp;" дн.",""))))</f>
        <v/>
      </c>
      <c r="K339" s="54">
        <f>IF(B339="","",IF(G339="✅ Выполнена","✔ ",IF(G339="❌ Отменена","✖ ",IF(AND(F339&lt;&gt;"",F339&lt;TODAY()),"❗ ","☐ ")))&amp;B339&amp;IF(E339="🔥 Высокий"," 🔥",""))</f>
        <v/>
      </c>
      <c r="L339" s="54">
        <f>IF(OR(B339="",F339="",G339="❌ Отменена"),"",F339&amp;"#"&amp;COUNTIFS($F$5:F339,F339,$B$5:B339,"?*",$G$5:G339,"&lt;&gt;❌ Отменена"))</f>
        <v/>
      </c>
      <c r="M339" s="54">
        <f>IF(AND(B339&lt;&gt;"",F339&lt;&gt;"",F339&lt;TODAY(),AND(G339&lt;&gt;"✅ Выполнена",G339&lt;&gt;"❌ Отменена")),MAX($M$4:M338)+1,"")</f>
        <v/>
      </c>
    </row>
    <row r="340">
      <c r="A340" s="49">
        <f>IF(B340="","",COUNTA($B$5:B340))</f>
        <v/>
      </c>
      <c r="B340" s="50" t="n"/>
      <c r="C340" s="51" t="n"/>
      <c r="D340" s="51" t="n"/>
      <c r="E340" s="52" t="n"/>
      <c r="F340" s="53" t="n"/>
      <c r="G340" s="51" t="n"/>
      <c r="H340" s="53" t="n"/>
      <c r="I340" s="51" t="n"/>
      <c r="J340" s="54">
        <f>IF(OR(B340="",F340="",NOT(AND(G340&lt;&gt;"✅ Выполнена",G340&lt;&gt;"❌ Отменена"))),"",IF(F340&lt;TODAY(),"❗ просрочено "&amp;(TODAY()-F340)&amp;" дн.",IF(F340=TODAY(),"🔥 сегодня",IF(F340-TODAY()&lt;=3,"⏳ через "&amp;(F340-TODAY())&amp;" дн.",""))))</f>
        <v/>
      </c>
      <c r="K340" s="54">
        <f>IF(B340="","",IF(G340="✅ Выполнена","✔ ",IF(G340="❌ Отменена","✖ ",IF(AND(F340&lt;&gt;"",F340&lt;TODAY()),"❗ ","☐ ")))&amp;B340&amp;IF(E340="🔥 Высокий"," 🔥",""))</f>
        <v/>
      </c>
      <c r="L340" s="54">
        <f>IF(OR(B340="",F340="",G340="❌ Отменена"),"",F340&amp;"#"&amp;COUNTIFS($F$5:F340,F340,$B$5:B340,"?*",$G$5:G340,"&lt;&gt;❌ Отменена"))</f>
        <v/>
      </c>
      <c r="M340" s="54">
        <f>IF(AND(B340&lt;&gt;"",F340&lt;&gt;"",F340&lt;TODAY(),AND(G340&lt;&gt;"✅ Выполнена",G340&lt;&gt;"❌ Отменена")),MAX($M$4:M339)+1,"")</f>
        <v/>
      </c>
    </row>
    <row r="341">
      <c r="A341" s="49">
        <f>IF(B341="","",COUNTA($B$5:B341))</f>
        <v/>
      </c>
      <c r="B341" s="50" t="n"/>
      <c r="C341" s="51" t="n"/>
      <c r="D341" s="51" t="n"/>
      <c r="E341" s="52" t="n"/>
      <c r="F341" s="53" t="n"/>
      <c r="G341" s="51" t="n"/>
      <c r="H341" s="53" t="n"/>
      <c r="I341" s="51" t="n"/>
      <c r="J341" s="54">
        <f>IF(OR(B341="",F341="",NOT(AND(G341&lt;&gt;"✅ Выполнена",G341&lt;&gt;"❌ Отменена"))),"",IF(F341&lt;TODAY(),"❗ просрочено "&amp;(TODAY()-F341)&amp;" дн.",IF(F341=TODAY(),"🔥 сегодня",IF(F341-TODAY()&lt;=3,"⏳ через "&amp;(F341-TODAY())&amp;" дн.",""))))</f>
        <v/>
      </c>
      <c r="K341" s="54">
        <f>IF(B341="","",IF(G341="✅ Выполнена","✔ ",IF(G341="❌ Отменена","✖ ",IF(AND(F341&lt;&gt;"",F341&lt;TODAY()),"❗ ","☐ ")))&amp;B341&amp;IF(E341="🔥 Высокий"," 🔥",""))</f>
        <v/>
      </c>
      <c r="L341" s="54">
        <f>IF(OR(B341="",F341="",G341="❌ Отменена"),"",F341&amp;"#"&amp;COUNTIFS($F$5:F341,F341,$B$5:B341,"?*",$G$5:G341,"&lt;&gt;❌ Отменена"))</f>
        <v/>
      </c>
      <c r="M341" s="54">
        <f>IF(AND(B341&lt;&gt;"",F341&lt;&gt;"",F341&lt;TODAY(),AND(G341&lt;&gt;"✅ Выполнена",G341&lt;&gt;"❌ Отменена")),MAX($M$4:M340)+1,"")</f>
        <v/>
      </c>
    </row>
    <row r="342">
      <c r="A342" s="49">
        <f>IF(B342="","",COUNTA($B$5:B342))</f>
        <v/>
      </c>
      <c r="B342" s="50" t="n"/>
      <c r="C342" s="51" t="n"/>
      <c r="D342" s="51" t="n"/>
      <c r="E342" s="52" t="n"/>
      <c r="F342" s="53" t="n"/>
      <c r="G342" s="51" t="n"/>
      <c r="H342" s="53" t="n"/>
      <c r="I342" s="51" t="n"/>
      <c r="J342" s="54">
        <f>IF(OR(B342="",F342="",NOT(AND(G342&lt;&gt;"✅ Выполнена",G342&lt;&gt;"❌ Отменена"))),"",IF(F342&lt;TODAY(),"❗ просрочено "&amp;(TODAY()-F342)&amp;" дн.",IF(F342=TODAY(),"🔥 сегодня",IF(F342-TODAY()&lt;=3,"⏳ через "&amp;(F342-TODAY())&amp;" дн.",""))))</f>
        <v/>
      </c>
      <c r="K342" s="54">
        <f>IF(B342="","",IF(G342="✅ Выполнена","✔ ",IF(G342="❌ Отменена","✖ ",IF(AND(F342&lt;&gt;"",F342&lt;TODAY()),"❗ ","☐ ")))&amp;B342&amp;IF(E342="🔥 Высокий"," 🔥",""))</f>
        <v/>
      </c>
      <c r="L342" s="54">
        <f>IF(OR(B342="",F342="",G342="❌ Отменена"),"",F342&amp;"#"&amp;COUNTIFS($F$5:F342,F342,$B$5:B342,"?*",$G$5:G342,"&lt;&gt;❌ Отменена"))</f>
        <v/>
      </c>
      <c r="M342" s="54">
        <f>IF(AND(B342&lt;&gt;"",F342&lt;&gt;"",F342&lt;TODAY(),AND(G342&lt;&gt;"✅ Выполнена",G342&lt;&gt;"❌ Отменена")),MAX($M$4:M341)+1,"")</f>
        <v/>
      </c>
    </row>
    <row r="343">
      <c r="A343" s="49">
        <f>IF(B343="","",COUNTA($B$5:B343))</f>
        <v/>
      </c>
      <c r="B343" s="50" t="n"/>
      <c r="C343" s="51" t="n"/>
      <c r="D343" s="51" t="n"/>
      <c r="E343" s="52" t="n"/>
      <c r="F343" s="53" t="n"/>
      <c r="G343" s="51" t="n"/>
      <c r="H343" s="53" t="n"/>
      <c r="I343" s="51" t="n"/>
      <c r="J343" s="54">
        <f>IF(OR(B343="",F343="",NOT(AND(G343&lt;&gt;"✅ Выполнена",G343&lt;&gt;"❌ Отменена"))),"",IF(F343&lt;TODAY(),"❗ просрочено "&amp;(TODAY()-F343)&amp;" дн.",IF(F343=TODAY(),"🔥 сегодня",IF(F343-TODAY()&lt;=3,"⏳ через "&amp;(F343-TODAY())&amp;" дн.",""))))</f>
        <v/>
      </c>
      <c r="K343" s="54">
        <f>IF(B343="","",IF(G343="✅ Выполнена","✔ ",IF(G343="❌ Отменена","✖ ",IF(AND(F343&lt;&gt;"",F343&lt;TODAY()),"❗ ","☐ ")))&amp;B343&amp;IF(E343="🔥 Высокий"," 🔥",""))</f>
        <v/>
      </c>
      <c r="L343" s="54">
        <f>IF(OR(B343="",F343="",G343="❌ Отменена"),"",F343&amp;"#"&amp;COUNTIFS($F$5:F343,F343,$B$5:B343,"?*",$G$5:G343,"&lt;&gt;❌ Отменена"))</f>
        <v/>
      </c>
      <c r="M343" s="54">
        <f>IF(AND(B343&lt;&gt;"",F343&lt;&gt;"",F343&lt;TODAY(),AND(G343&lt;&gt;"✅ Выполнена",G343&lt;&gt;"❌ Отменена")),MAX($M$4:M342)+1,"")</f>
        <v/>
      </c>
    </row>
    <row r="344">
      <c r="A344" s="49">
        <f>IF(B344="","",COUNTA($B$5:B344))</f>
        <v/>
      </c>
      <c r="B344" s="50" t="n"/>
      <c r="C344" s="51" t="n"/>
      <c r="D344" s="51" t="n"/>
      <c r="E344" s="52" t="n"/>
      <c r="F344" s="53" t="n"/>
      <c r="G344" s="51" t="n"/>
      <c r="H344" s="53" t="n"/>
      <c r="I344" s="51" t="n"/>
      <c r="J344" s="54">
        <f>IF(OR(B344="",F344="",NOT(AND(G344&lt;&gt;"✅ Выполнена",G344&lt;&gt;"❌ Отменена"))),"",IF(F344&lt;TODAY(),"❗ просрочено "&amp;(TODAY()-F344)&amp;" дн.",IF(F344=TODAY(),"🔥 сегодня",IF(F344-TODAY()&lt;=3,"⏳ через "&amp;(F344-TODAY())&amp;" дн.",""))))</f>
        <v/>
      </c>
      <c r="K344" s="54">
        <f>IF(B344="","",IF(G344="✅ Выполнена","✔ ",IF(G344="❌ Отменена","✖ ",IF(AND(F344&lt;&gt;"",F344&lt;TODAY()),"❗ ","☐ ")))&amp;B344&amp;IF(E344="🔥 Высокий"," 🔥",""))</f>
        <v/>
      </c>
      <c r="L344" s="54">
        <f>IF(OR(B344="",F344="",G344="❌ Отменена"),"",F344&amp;"#"&amp;COUNTIFS($F$5:F344,F344,$B$5:B344,"?*",$G$5:G344,"&lt;&gt;❌ Отменена"))</f>
        <v/>
      </c>
      <c r="M344" s="54">
        <f>IF(AND(B344&lt;&gt;"",F344&lt;&gt;"",F344&lt;TODAY(),AND(G344&lt;&gt;"✅ Выполнена",G344&lt;&gt;"❌ Отменена")),MAX($M$4:M343)+1,"")</f>
        <v/>
      </c>
    </row>
    <row r="345">
      <c r="A345" s="49">
        <f>IF(B345="","",COUNTA($B$5:B345))</f>
        <v/>
      </c>
      <c r="B345" s="50" t="n"/>
      <c r="C345" s="51" t="n"/>
      <c r="D345" s="51" t="n"/>
      <c r="E345" s="52" t="n"/>
      <c r="F345" s="53" t="n"/>
      <c r="G345" s="51" t="n"/>
      <c r="H345" s="53" t="n"/>
      <c r="I345" s="51" t="n"/>
      <c r="J345" s="54">
        <f>IF(OR(B345="",F345="",NOT(AND(G345&lt;&gt;"✅ Выполнена",G345&lt;&gt;"❌ Отменена"))),"",IF(F345&lt;TODAY(),"❗ просрочено "&amp;(TODAY()-F345)&amp;" дн.",IF(F345=TODAY(),"🔥 сегодня",IF(F345-TODAY()&lt;=3,"⏳ через "&amp;(F345-TODAY())&amp;" дн.",""))))</f>
        <v/>
      </c>
      <c r="K345" s="54">
        <f>IF(B345="","",IF(G345="✅ Выполнена","✔ ",IF(G345="❌ Отменена","✖ ",IF(AND(F345&lt;&gt;"",F345&lt;TODAY()),"❗ ","☐ ")))&amp;B345&amp;IF(E345="🔥 Высокий"," 🔥",""))</f>
        <v/>
      </c>
      <c r="L345" s="54">
        <f>IF(OR(B345="",F345="",G345="❌ Отменена"),"",F345&amp;"#"&amp;COUNTIFS($F$5:F345,F345,$B$5:B345,"?*",$G$5:G345,"&lt;&gt;❌ Отменена"))</f>
        <v/>
      </c>
      <c r="M345" s="54">
        <f>IF(AND(B345&lt;&gt;"",F345&lt;&gt;"",F345&lt;TODAY(),AND(G345&lt;&gt;"✅ Выполнена",G345&lt;&gt;"❌ Отменена")),MAX($M$4:M344)+1,"")</f>
        <v/>
      </c>
    </row>
    <row r="346">
      <c r="A346" s="49">
        <f>IF(B346="","",COUNTA($B$5:B346))</f>
        <v/>
      </c>
      <c r="B346" s="50" t="n"/>
      <c r="C346" s="51" t="n"/>
      <c r="D346" s="51" t="n"/>
      <c r="E346" s="52" t="n"/>
      <c r="F346" s="53" t="n"/>
      <c r="G346" s="51" t="n"/>
      <c r="H346" s="53" t="n"/>
      <c r="I346" s="51" t="n"/>
      <c r="J346" s="54">
        <f>IF(OR(B346="",F346="",NOT(AND(G346&lt;&gt;"✅ Выполнена",G346&lt;&gt;"❌ Отменена"))),"",IF(F346&lt;TODAY(),"❗ просрочено "&amp;(TODAY()-F346)&amp;" дн.",IF(F346=TODAY(),"🔥 сегодня",IF(F346-TODAY()&lt;=3,"⏳ через "&amp;(F346-TODAY())&amp;" дн.",""))))</f>
        <v/>
      </c>
      <c r="K346" s="54">
        <f>IF(B346="","",IF(G346="✅ Выполнена","✔ ",IF(G346="❌ Отменена","✖ ",IF(AND(F346&lt;&gt;"",F346&lt;TODAY()),"❗ ","☐ ")))&amp;B346&amp;IF(E346="🔥 Высокий"," 🔥",""))</f>
        <v/>
      </c>
      <c r="L346" s="54">
        <f>IF(OR(B346="",F346="",G346="❌ Отменена"),"",F346&amp;"#"&amp;COUNTIFS($F$5:F346,F346,$B$5:B346,"?*",$G$5:G346,"&lt;&gt;❌ Отменена"))</f>
        <v/>
      </c>
      <c r="M346" s="54">
        <f>IF(AND(B346&lt;&gt;"",F346&lt;&gt;"",F346&lt;TODAY(),AND(G346&lt;&gt;"✅ Выполнена",G346&lt;&gt;"❌ Отменена")),MAX($M$4:M345)+1,"")</f>
        <v/>
      </c>
    </row>
    <row r="347">
      <c r="A347" s="49">
        <f>IF(B347="","",COUNTA($B$5:B347))</f>
        <v/>
      </c>
      <c r="B347" s="50" t="n"/>
      <c r="C347" s="51" t="n"/>
      <c r="D347" s="51" t="n"/>
      <c r="E347" s="52" t="n"/>
      <c r="F347" s="53" t="n"/>
      <c r="G347" s="51" t="n"/>
      <c r="H347" s="53" t="n"/>
      <c r="I347" s="51" t="n"/>
      <c r="J347" s="54">
        <f>IF(OR(B347="",F347="",NOT(AND(G347&lt;&gt;"✅ Выполнена",G347&lt;&gt;"❌ Отменена"))),"",IF(F347&lt;TODAY(),"❗ просрочено "&amp;(TODAY()-F347)&amp;" дн.",IF(F347=TODAY(),"🔥 сегодня",IF(F347-TODAY()&lt;=3,"⏳ через "&amp;(F347-TODAY())&amp;" дн.",""))))</f>
        <v/>
      </c>
      <c r="K347" s="54">
        <f>IF(B347="","",IF(G347="✅ Выполнена","✔ ",IF(G347="❌ Отменена","✖ ",IF(AND(F347&lt;&gt;"",F347&lt;TODAY()),"❗ ","☐ ")))&amp;B347&amp;IF(E347="🔥 Высокий"," 🔥",""))</f>
        <v/>
      </c>
      <c r="L347" s="54">
        <f>IF(OR(B347="",F347="",G347="❌ Отменена"),"",F347&amp;"#"&amp;COUNTIFS($F$5:F347,F347,$B$5:B347,"?*",$G$5:G347,"&lt;&gt;❌ Отменена"))</f>
        <v/>
      </c>
      <c r="M347" s="54">
        <f>IF(AND(B347&lt;&gt;"",F347&lt;&gt;"",F347&lt;TODAY(),AND(G347&lt;&gt;"✅ Выполнена",G347&lt;&gt;"❌ Отменена")),MAX($M$4:M346)+1,"")</f>
        <v/>
      </c>
    </row>
    <row r="348">
      <c r="A348" s="49">
        <f>IF(B348="","",COUNTA($B$5:B348))</f>
        <v/>
      </c>
      <c r="B348" s="50" t="n"/>
      <c r="C348" s="51" t="n"/>
      <c r="D348" s="51" t="n"/>
      <c r="E348" s="52" t="n"/>
      <c r="F348" s="53" t="n"/>
      <c r="G348" s="51" t="n"/>
      <c r="H348" s="53" t="n"/>
      <c r="I348" s="51" t="n"/>
      <c r="J348" s="54">
        <f>IF(OR(B348="",F348="",NOT(AND(G348&lt;&gt;"✅ Выполнена",G348&lt;&gt;"❌ Отменена"))),"",IF(F348&lt;TODAY(),"❗ просрочено "&amp;(TODAY()-F348)&amp;" дн.",IF(F348=TODAY(),"🔥 сегодня",IF(F348-TODAY()&lt;=3,"⏳ через "&amp;(F348-TODAY())&amp;" дн.",""))))</f>
        <v/>
      </c>
      <c r="K348" s="54">
        <f>IF(B348="","",IF(G348="✅ Выполнена","✔ ",IF(G348="❌ Отменена","✖ ",IF(AND(F348&lt;&gt;"",F348&lt;TODAY()),"❗ ","☐ ")))&amp;B348&amp;IF(E348="🔥 Высокий"," 🔥",""))</f>
        <v/>
      </c>
      <c r="L348" s="54">
        <f>IF(OR(B348="",F348="",G348="❌ Отменена"),"",F348&amp;"#"&amp;COUNTIFS($F$5:F348,F348,$B$5:B348,"?*",$G$5:G348,"&lt;&gt;❌ Отменена"))</f>
        <v/>
      </c>
      <c r="M348" s="54">
        <f>IF(AND(B348&lt;&gt;"",F348&lt;&gt;"",F348&lt;TODAY(),AND(G348&lt;&gt;"✅ Выполнена",G348&lt;&gt;"❌ Отменена")),MAX($M$4:M347)+1,"")</f>
        <v/>
      </c>
    </row>
    <row r="349">
      <c r="A349" s="49">
        <f>IF(B349="","",COUNTA($B$5:B349))</f>
        <v/>
      </c>
      <c r="B349" s="50" t="n"/>
      <c r="C349" s="51" t="n"/>
      <c r="D349" s="51" t="n"/>
      <c r="E349" s="52" t="n"/>
      <c r="F349" s="53" t="n"/>
      <c r="G349" s="51" t="n"/>
      <c r="H349" s="53" t="n"/>
      <c r="I349" s="51" t="n"/>
      <c r="J349" s="54">
        <f>IF(OR(B349="",F349="",NOT(AND(G349&lt;&gt;"✅ Выполнена",G349&lt;&gt;"❌ Отменена"))),"",IF(F349&lt;TODAY(),"❗ просрочено "&amp;(TODAY()-F349)&amp;" дн.",IF(F349=TODAY(),"🔥 сегодня",IF(F349-TODAY()&lt;=3,"⏳ через "&amp;(F349-TODAY())&amp;" дн.",""))))</f>
        <v/>
      </c>
      <c r="K349" s="54">
        <f>IF(B349="","",IF(G349="✅ Выполнена","✔ ",IF(G349="❌ Отменена","✖ ",IF(AND(F349&lt;&gt;"",F349&lt;TODAY()),"❗ ","☐ ")))&amp;B349&amp;IF(E349="🔥 Высокий"," 🔥",""))</f>
        <v/>
      </c>
      <c r="L349" s="54">
        <f>IF(OR(B349="",F349="",G349="❌ Отменена"),"",F349&amp;"#"&amp;COUNTIFS($F$5:F349,F349,$B$5:B349,"?*",$G$5:G349,"&lt;&gt;❌ Отменена"))</f>
        <v/>
      </c>
      <c r="M349" s="54">
        <f>IF(AND(B349&lt;&gt;"",F349&lt;&gt;"",F349&lt;TODAY(),AND(G349&lt;&gt;"✅ Выполнена",G349&lt;&gt;"❌ Отменена")),MAX($M$4:M348)+1,"")</f>
        <v/>
      </c>
    </row>
    <row r="350">
      <c r="A350" s="49">
        <f>IF(B350="","",COUNTA($B$5:B350))</f>
        <v/>
      </c>
      <c r="B350" s="50" t="n"/>
      <c r="C350" s="51" t="n"/>
      <c r="D350" s="51" t="n"/>
      <c r="E350" s="52" t="n"/>
      <c r="F350" s="53" t="n"/>
      <c r="G350" s="51" t="n"/>
      <c r="H350" s="53" t="n"/>
      <c r="I350" s="51" t="n"/>
      <c r="J350" s="54">
        <f>IF(OR(B350="",F350="",NOT(AND(G350&lt;&gt;"✅ Выполнена",G350&lt;&gt;"❌ Отменена"))),"",IF(F350&lt;TODAY(),"❗ просрочено "&amp;(TODAY()-F350)&amp;" дн.",IF(F350=TODAY(),"🔥 сегодня",IF(F350-TODAY()&lt;=3,"⏳ через "&amp;(F350-TODAY())&amp;" дн.",""))))</f>
        <v/>
      </c>
      <c r="K350" s="54">
        <f>IF(B350="","",IF(G350="✅ Выполнена","✔ ",IF(G350="❌ Отменена","✖ ",IF(AND(F350&lt;&gt;"",F350&lt;TODAY()),"❗ ","☐ ")))&amp;B350&amp;IF(E350="🔥 Высокий"," 🔥",""))</f>
        <v/>
      </c>
      <c r="L350" s="54">
        <f>IF(OR(B350="",F350="",G350="❌ Отменена"),"",F350&amp;"#"&amp;COUNTIFS($F$5:F350,F350,$B$5:B350,"?*",$G$5:G350,"&lt;&gt;❌ Отменена"))</f>
        <v/>
      </c>
      <c r="M350" s="54">
        <f>IF(AND(B350&lt;&gt;"",F350&lt;&gt;"",F350&lt;TODAY(),AND(G350&lt;&gt;"✅ Выполнена",G350&lt;&gt;"❌ Отменена")),MAX($M$4:M349)+1,"")</f>
        <v/>
      </c>
    </row>
    <row r="351">
      <c r="A351" s="49">
        <f>IF(B351="","",COUNTA($B$5:B351))</f>
        <v/>
      </c>
      <c r="B351" s="50" t="n"/>
      <c r="C351" s="51" t="n"/>
      <c r="D351" s="51" t="n"/>
      <c r="E351" s="52" t="n"/>
      <c r="F351" s="53" t="n"/>
      <c r="G351" s="51" t="n"/>
      <c r="H351" s="53" t="n"/>
      <c r="I351" s="51" t="n"/>
      <c r="J351" s="54">
        <f>IF(OR(B351="",F351="",NOT(AND(G351&lt;&gt;"✅ Выполнена",G351&lt;&gt;"❌ Отменена"))),"",IF(F351&lt;TODAY(),"❗ просрочено "&amp;(TODAY()-F351)&amp;" дн.",IF(F351=TODAY(),"🔥 сегодня",IF(F351-TODAY()&lt;=3,"⏳ через "&amp;(F351-TODAY())&amp;" дн.",""))))</f>
        <v/>
      </c>
      <c r="K351" s="54">
        <f>IF(B351="","",IF(G351="✅ Выполнена","✔ ",IF(G351="❌ Отменена","✖ ",IF(AND(F351&lt;&gt;"",F351&lt;TODAY()),"❗ ","☐ ")))&amp;B351&amp;IF(E351="🔥 Высокий"," 🔥",""))</f>
        <v/>
      </c>
      <c r="L351" s="54">
        <f>IF(OR(B351="",F351="",G351="❌ Отменена"),"",F351&amp;"#"&amp;COUNTIFS($F$5:F351,F351,$B$5:B351,"?*",$G$5:G351,"&lt;&gt;❌ Отменена"))</f>
        <v/>
      </c>
      <c r="M351" s="54">
        <f>IF(AND(B351&lt;&gt;"",F351&lt;&gt;"",F351&lt;TODAY(),AND(G351&lt;&gt;"✅ Выполнена",G351&lt;&gt;"❌ Отменена")),MAX($M$4:M350)+1,"")</f>
        <v/>
      </c>
    </row>
    <row r="352">
      <c r="A352" s="49">
        <f>IF(B352="","",COUNTA($B$5:B352))</f>
        <v/>
      </c>
      <c r="B352" s="50" t="n"/>
      <c r="C352" s="51" t="n"/>
      <c r="D352" s="51" t="n"/>
      <c r="E352" s="52" t="n"/>
      <c r="F352" s="53" t="n"/>
      <c r="G352" s="51" t="n"/>
      <c r="H352" s="53" t="n"/>
      <c r="I352" s="51" t="n"/>
      <c r="J352" s="54">
        <f>IF(OR(B352="",F352="",NOT(AND(G352&lt;&gt;"✅ Выполнена",G352&lt;&gt;"❌ Отменена"))),"",IF(F352&lt;TODAY(),"❗ просрочено "&amp;(TODAY()-F352)&amp;" дн.",IF(F352=TODAY(),"🔥 сегодня",IF(F352-TODAY()&lt;=3,"⏳ через "&amp;(F352-TODAY())&amp;" дн.",""))))</f>
        <v/>
      </c>
      <c r="K352" s="54">
        <f>IF(B352="","",IF(G352="✅ Выполнена","✔ ",IF(G352="❌ Отменена","✖ ",IF(AND(F352&lt;&gt;"",F352&lt;TODAY()),"❗ ","☐ ")))&amp;B352&amp;IF(E352="🔥 Высокий"," 🔥",""))</f>
        <v/>
      </c>
      <c r="L352" s="54">
        <f>IF(OR(B352="",F352="",G352="❌ Отменена"),"",F352&amp;"#"&amp;COUNTIFS($F$5:F352,F352,$B$5:B352,"?*",$G$5:G352,"&lt;&gt;❌ Отменена"))</f>
        <v/>
      </c>
      <c r="M352" s="54">
        <f>IF(AND(B352&lt;&gt;"",F352&lt;&gt;"",F352&lt;TODAY(),AND(G352&lt;&gt;"✅ Выполнена",G352&lt;&gt;"❌ Отменена")),MAX($M$4:M351)+1,"")</f>
        <v/>
      </c>
    </row>
    <row r="353">
      <c r="A353" s="49">
        <f>IF(B353="","",COUNTA($B$5:B353))</f>
        <v/>
      </c>
      <c r="B353" s="50" t="n"/>
      <c r="C353" s="51" t="n"/>
      <c r="D353" s="51" t="n"/>
      <c r="E353" s="52" t="n"/>
      <c r="F353" s="53" t="n"/>
      <c r="G353" s="51" t="n"/>
      <c r="H353" s="53" t="n"/>
      <c r="I353" s="51" t="n"/>
      <c r="J353" s="54">
        <f>IF(OR(B353="",F353="",NOT(AND(G353&lt;&gt;"✅ Выполнена",G353&lt;&gt;"❌ Отменена"))),"",IF(F353&lt;TODAY(),"❗ просрочено "&amp;(TODAY()-F353)&amp;" дн.",IF(F353=TODAY(),"🔥 сегодня",IF(F353-TODAY()&lt;=3,"⏳ через "&amp;(F353-TODAY())&amp;" дн.",""))))</f>
        <v/>
      </c>
      <c r="K353" s="54">
        <f>IF(B353="","",IF(G353="✅ Выполнена","✔ ",IF(G353="❌ Отменена","✖ ",IF(AND(F353&lt;&gt;"",F353&lt;TODAY()),"❗ ","☐ ")))&amp;B353&amp;IF(E353="🔥 Высокий"," 🔥",""))</f>
        <v/>
      </c>
      <c r="L353" s="54">
        <f>IF(OR(B353="",F353="",G353="❌ Отменена"),"",F353&amp;"#"&amp;COUNTIFS($F$5:F353,F353,$B$5:B353,"?*",$G$5:G353,"&lt;&gt;❌ Отменена"))</f>
        <v/>
      </c>
      <c r="M353" s="54">
        <f>IF(AND(B353&lt;&gt;"",F353&lt;&gt;"",F353&lt;TODAY(),AND(G353&lt;&gt;"✅ Выполнена",G353&lt;&gt;"❌ Отменена")),MAX($M$4:M352)+1,"")</f>
        <v/>
      </c>
    </row>
    <row r="354">
      <c r="A354" s="49">
        <f>IF(B354="","",COUNTA($B$5:B354))</f>
        <v/>
      </c>
      <c r="B354" s="50" t="n"/>
      <c r="C354" s="51" t="n"/>
      <c r="D354" s="51" t="n"/>
      <c r="E354" s="52" t="n"/>
      <c r="F354" s="53" t="n"/>
      <c r="G354" s="51" t="n"/>
      <c r="H354" s="53" t="n"/>
      <c r="I354" s="51" t="n"/>
      <c r="J354" s="54">
        <f>IF(OR(B354="",F354="",NOT(AND(G354&lt;&gt;"✅ Выполнена",G354&lt;&gt;"❌ Отменена"))),"",IF(F354&lt;TODAY(),"❗ просрочено "&amp;(TODAY()-F354)&amp;" дн.",IF(F354=TODAY(),"🔥 сегодня",IF(F354-TODAY()&lt;=3,"⏳ через "&amp;(F354-TODAY())&amp;" дн.",""))))</f>
        <v/>
      </c>
      <c r="K354" s="54">
        <f>IF(B354="","",IF(G354="✅ Выполнена","✔ ",IF(G354="❌ Отменена","✖ ",IF(AND(F354&lt;&gt;"",F354&lt;TODAY()),"❗ ","☐ ")))&amp;B354&amp;IF(E354="🔥 Высокий"," 🔥",""))</f>
        <v/>
      </c>
      <c r="L354" s="54">
        <f>IF(OR(B354="",F354="",G354="❌ Отменена"),"",F354&amp;"#"&amp;COUNTIFS($F$5:F354,F354,$B$5:B354,"?*",$G$5:G354,"&lt;&gt;❌ Отменена"))</f>
        <v/>
      </c>
      <c r="M354" s="54">
        <f>IF(AND(B354&lt;&gt;"",F354&lt;&gt;"",F354&lt;TODAY(),AND(G354&lt;&gt;"✅ Выполнена",G354&lt;&gt;"❌ Отменена")),MAX($M$4:M353)+1,"")</f>
        <v/>
      </c>
    </row>
    <row r="355">
      <c r="A355" s="49">
        <f>IF(B355="","",COUNTA($B$5:B355))</f>
        <v/>
      </c>
      <c r="B355" s="50" t="n"/>
      <c r="C355" s="51" t="n"/>
      <c r="D355" s="51" t="n"/>
      <c r="E355" s="52" t="n"/>
      <c r="F355" s="53" t="n"/>
      <c r="G355" s="51" t="n"/>
      <c r="H355" s="53" t="n"/>
      <c r="I355" s="51" t="n"/>
      <c r="J355" s="54">
        <f>IF(OR(B355="",F355="",NOT(AND(G355&lt;&gt;"✅ Выполнена",G355&lt;&gt;"❌ Отменена"))),"",IF(F355&lt;TODAY(),"❗ просрочено "&amp;(TODAY()-F355)&amp;" дн.",IF(F355=TODAY(),"🔥 сегодня",IF(F355-TODAY()&lt;=3,"⏳ через "&amp;(F355-TODAY())&amp;" дн.",""))))</f>
        <v/>
      </c>
      <c r="K355" s="54">
        <f>IF(B355="","",IF(G355="✅ Выполнена","✔ ",IF(G355="❌ Отменена","✖ ",IF(AND(F355&lt;&gt;"",F355&lt;TODAY()),"❗ ","☐ ")))&amp;B355&amp;IF(E355="🔥 Высокий"," 🔥",""))</f>
        <v/>
      </c>
      <c r="L355" s="54">
        <f>IF(OR(B355="",F355="",G355="❌ Отменена"),"",F355&amp;"#"&amp;COUNTIFS($F$5:F355,F355,$B$5:B355,"?*",$G$5:G355,"&lt;&gt;❌ Отменена"))</f>
        <v/>
      </c>
      <c r="M355" s="54">
        <f>IF(AND(B355&lt;&gt;"",F355&lt;&gt;"",F355&lt;TODAY(),AND(G355&lt;&gt;"✅ Выполнена",G355&lt;&gt;"❌ Отменена")),MAX($M$4:M354)+1,"")</f>
        <v/>
      </c>
    </row>
    <row r="356">
      <c r="A356" s="49">
        <f>IF(B356="","",COUNTA($B$5:B356))</f>
        <v/>
      </c>
      <c r="B356" s="50" t="n"/>
      <c r="C356" s="51" t="n"/>
      <c r="D356" s="51" t="n"/>
      <c r="E356" s="52" t="n"/>
      <c r="F356" s="53" t="n"/>
      <c r="G356" s="51" t="n"/>
      <c r="H356" s="53" t="n"/>
      <c r="I356" s="51" t="n"/>
      <c r="J356" s="54">
        <f>IF(OR(B356="",F356="",NOT(AND(G356&lt;&gt;"✅ Выполнена",G356&lt;&gt;"❌ Отменена"))),"",IF(F356&lt;TODAY(),"❗ просрочено "&amp;(TODAY()-F356)&amp;" дн.",IF(F356=TODAY(),"🔥 сегодня",IF(F356-TODAY()&lt;=3,"⏳ через "&amp;(F356-TODAY())&amp;" дн.",""))))</f>
        <v/>
      </c>
      <c r="K356" s="54">
        <f>IF(B356="","",IF(G356="✅ Выполнена","✔ ",IF(G356="❌ Отменена","✖ ",IF(AND(F356&lt;&gt;"",F356&lt;TODAY()),"❗ ","☐ ")))&amp;B356&amp;IF(E356="🔥 Высокий"," 🔥",""))</f>
        <v/>
      </c>
      <c r="L356" s="54">
        <f>IF(OR(B356="",F356="",G356="❌ Отменена"),"",F356&amp;"#"&amp;COUNTIFS($F$5:F356,F356,$B$5:B356,"?*",$G$5:G356,"&lt;&gt;❌ Отменена"))</f>
        <v/>
      </c>
      <c r="M356" s="54">
        <f>IF(AND(B356&lt;&gt;"",F356&lt;&gt;"",F356&lt;TODAY(),AND(G356&lt;&gt;"✅ Выполнена",G356&lt;&gt;"❌ Отменена")),MAX($M$4:M355)+1,"")</f>
        <v/>
      </c>
    </row>
    <row r="357">
      <c r="A357" s="49">
        <f>IF(B357="","",COUNTA($B$5:B357))</f>
        <v/>
      </c>
      <c r="B357" s="50" t="n"/>
      <c r="C357" s="51" t="n"/>
      <c r="D357" s="51" t="n"/>
      <c r="E357" s="52" t="n"/>
      <c r="F357" s="53" t="n"/>
      <c r="G357" s="51" t="n"/>
      <c r="H357" s="53" t="n"/>
      <c r="I357" s="51" t="n"/>
      <c r="J357" s="54">
        <f>IF(OR(B357="",F357="",NOT(AND(G357&lt;&gt;"✅ Выполнена",G357&lt;&gt;"❌ Отменена"))),"",IF(F357&lt;TODAY(),"❗ просрочено "&amp;(TODAY()-F357)&amp;" дн.",IF(F357=TODAY(),"🔥 сегодня",IF(F357-TODAY()&lt;=3,"⏳ через "&amp;(F357-TODAY())&amp;" дн.",""))))</f>
        <v/>
      </c>
      <c r="K357" s="54">
        <f>IF(B357="","",IF(G357="✅ Выполнена","✔ ",IF(G357="❌ Отменена","✖ ",IF(AND(F357&lt;&gt;"",F357&lt;TODAY()),"❗ ","☐ ")))&amp;B357&amp;IF(E357="🔥 Высокий"," 🔥",""))</f>
        <v/>
      </c>
      <c r="L357" s="54">
        <f>IF(OR(B357="",F357="",G357="❌ Отменена"),"",F357&amp;"#"&amp;COUNTIFS($F$5:F357,F357,$B$5:B357,"?*",$G$5:G357,"&lt;&gt;❌ Отменена"))</f>
        <v/>
      </c>
      <c r="M357" s="54">
        <f>IF(AND(B357&lt;&gt;"",F357&lt;&gt;"",F357&lt;TODAY(),AND(G357&lt;&gt;"✅ Выполнена",G357&lt;&gt;"❌ Отменена")),MAX($M$4:M356)+1,"")</f>
        <v/>
      </c>
    </row>
    <row r="358">
      <c r="A358" s="49">
        <f>IF(B358="","",COUNTA($B$5:B358))</f>
        <v/>
      </c>
      <c r="B358" s="50" t="n"/>
      <c r="C358" s="51" t="n"/>
      <c r="D358" s="51" t="n"/>
      <c r="E358" s="52" t="n"/>
      <c r="F358" s="53" t="n"/>
      <c r="G358" s="51" t="n"/>
      <c r="H358" s="53" t="n"/>
      <c r="I358" s="51" t="n"/>
      <c r="J358" s="54">
        <f>IF(OR(B358="",F358="",NOT(AND(G358&lt;&gt;"✅ Выполнена",G358&lt;&gt;"❌ Отменена"))),"",IF(F358&lt;TODAY(),"❗ просрочено "&amp;(TODAY()-F358)&amp;" дн.",IF(F358=TODAY(),"🔥 сегодня",IF(F358-TODAY()&lt;=3,"⏳ через "&amp;(F358-TODAY())&amp;" дн.",""))))</f>
        <v/>
      </c>
      <c r="K358" s="54">
        <f>IF(B358="","",IF(G358="✅ Выполнена","✔ ",IF(G358="❌ Отменена","✖ ",IF(AND(F358&lt;&gt;"",F358&lt;TODAY()),"❗ ","☐ ")))&amp;B358&amp;IF(E358="🔥 Высокий"," 🔥",""))</f>
        <v/>
      </c>
      <c r="L358" s="54">
        <f>IF(OR(B358="",F358="",G358="❌ Отменена"),"",F358&amp;"#"&amp;COUNTIFS($F$5:F358,F358,$B$5:B358,"?*",$G$5:G358,"&lt;&gt;❌ Отменена"))</f>
        <v/>
      </c>
      <c r="M358" s="54">
        <f>IF(AND(B358&lt;&gt;"",F358&lt;&gt;"",F358&lt;TODAY(),AND(G358&lt;&gt;"✅ Выполнена",G358&lt;&gt;"❌ Отменена")),MAX($M$4:M357)+1,"")</f>
        <v/>
      </c>
    </row>
    <row r="359">
      <c r="A359" s="49">
        <f>IF(B359="","",COUNTA($B$5:B359))</f>
        <v/>
      </c>
      <c r="B359" s="50" t="n"/>
      <c r="C359" s="51" t="n"/>
      <c r="D359" s="51" t="n"/>
      <c r="E359" s="52" t="n"/>
      <c r="F359" s="53" t="n"/>
      <c r="G359" s="51" t="n"/>
      <c r="H359" s="53" t="n"/>
      <c r="I359" s="51" t="n"/>
      <c r="J359" s="54">
        <f>IF(OR(B359="",F359="",NOT(AND(G359&lt;&gt;"✅ Выполнена",G359&lt;&gt;"❌ Отменена"))),"",IF(F359&lt;TODAY(),"❗ просрочено "&amp;(TODAY()-F359)&amp;" дн.",IF(F359=TODAY(),"🔥 сегодня",IF(F359-TODAY()&lt;=3,"⏳ через "&amp;(F359-TODAY())&amp;" дн.",""))))</f>
        <v/>
      </c>
      <c r="K359" s="54">
        <f>IF(B359="","",IF(G359="✅ Выполнена","✔ ",IF(G359="❌ Отменена","✖ ",IF(AND(F359&lt;&gt;"",F359&lt;TODAY()),"❗ ","☐ ")))&amp;B359&amp;IF(E359="🔥 Высокий"," 🔥",""))</f>
        <v/>
      </c>
      <c r="L359" s="54">
        <f>IF(OR(B359="",F359="",G359="❌ Отменена"),"",F359&amp;"#"&amp;COUNTIFS($F$5:F359,F359,$B$5:B359,"?*",$G$5:G359,"&lt;&gt;❌ Отменена"))</f>
        <v/>
      </c>
      <c r="M359" s="54">
        <f>IF(AND(B359&lt;&gt;"",F359&lt;&gt;"",F359&lt;TODAY(),AND(G359&lt;&gt;"✅ Выполнена",G359&lt;&gt;"❌ Отменена")),MAX($M$4:M358)+1,"")</f>
        <v/>
      </c>
    </row>
    <row r="360">
      <c r="A360" s="49">
        <f>IF(B360="","",COUNTA($B$5:B360))</f>
        <v/>
      </c>
      <c r="B360" s="50" t="n"/>
      <c r="C360" s="51" t="n"/>
      <c r="D360" s="51" t="n"/>
      <c r="E360" s="52" t="n"/>
      <c r="F360" s="53" t="n"/>
      <c r="G360" s="51" t="n"/>
      <c r="H360" s="53" t="n"/>
      <c r="I360" s="51" t="n"/>
      <c r="J360" s="54">
        <f>IF(OR(B360="",F360="",NOT(AND(G360&lt;&gt;"✅ Выполнена",G360&lt;&gt;"❌ Отменена"))),"",IF(F360&lt;TODAY(),"❗ просрочено "&amp;(TODAY()-F360)&amp;" дн.",IF(F360=TODAY(),"🔥 сегодня",IF(F360-TODAY()&lt;=3,"⏳ через "&amp;(F360-TODAY())&amp;" дн.",""))))</f>
        <v/>
      </c>
      <c r="K360" s="54">
        <f>IF(B360="","",IF(G360="✅ Выполнена","✔ ",IF(G360="❌ Отменена","✖ ",IF(AND(F360&lt;&gt;"",F360&lt;TODAY()),"❗ ","☐ ")))&amp;B360&amp;IF(E360="🔥 Высокий"," 🔥",""))</f>
        <v/>
      </c>
      <c r="L360" s="54">
        <f>IF(OR(B360="",F360="",G360="❌ Отменена"),"",F360&amp;"#"&amp;COUNTIFS($F$5:F360,F360,$B$5:B360,"?*",$G$5:G360,"&lt;&gt;❌ Отменена"))</f>
        <v/>
      </c>
      <c r="M360" s="54">
        <f>IF(AND(B360&lt;&gt;"",F360&lt;&gt;"",F360&lt;TODAY(),AND(G360&lt;&gt;"✅ Выполнена",G360&lt;&gt;"❌ Отменена")),MAX($M$4:M359)+1,"")</f>
        <v/>
      </c>
    </row>
    <row r="361">
      <c r="A361" s="49">
        <f>IF(B361="","",COUNTA($B$5:B361))</f>
        <v/>
      </c>
      <c r="B361" s="50" t="n"/>
      <c r="C361" s="51" t="n"/>
      <c r="D361" s="51" t="n"/>
      <c r="E361" s="52" t="n"/>
      <c r="F361" s="53" t="n"/>
      <c r="G361" s="51" t="n"/>
      <c r="H361" s="53" t="n"/>
      <c r="I361" s="51" t="n"/>
      <c r="J361" s="54">
        <f>IF(OR(B361="",F361="",NOT(AND(G361&lt;&gt;"✅ Выполнена",G361&lt;&gt;"❌ Отменена"))),"",IF(F361&lt;TODAY(),"❗ просрочено "&amp;(TODAY()-F361)&amp;" дн.",IF(F361=TODAY(),"🔥 сегодня",IF(F361-TODAY()&lt;=3,"⏳ через "&amp;(F361-TODAY())&amp;" дн.",""))))</f>
        <v/>
      </c>
      <c r="K361" s="54">
        <f>IF(B361="","",IF(G361="✅ Выполнена","✔ ",IF(G361="❌ Отменена","✖ ",IF(AND(F361&lt;&gt;"",F361&lt;TODAY()),"❗ ","☐ ")))&amp;B361&amp;IF(E361="🔥 Высокий"," 🔥",""))</f>
        <v/>
      </c>
      <c r="L361" s="54">
        <f>IF(OR(B361="",F361="",G361="❌ Отменена"),"",F361&amp;"#"&amp;COUNTIFS($F$5:F361,F361,$B$5:B361,"?*",$G$5:G361,"&lt;&gt;❌ Отменена"))</f>
        <v/>
      </c>
      <c r="M361" s="54">
        <f>IF(AND(B361&lt;&gt;"",F361&lt;&gt;"",F361&lt;TODAY(),AND(G361&lt;&gt;"✅ Выполнена",G361&lt;&gt;"❌ Отменена")),MAX($M$4:M360)+1,"")</f>
        <v/>
      </c>
    </row>
    <row r="362">
      <c r="A362" s="49">
        <f>IF(B362="","",COUNTA($B$5:B362))</f>
        <v/>
      </c>
      <c r="B362" s="50" t="n"/>
      <c r="C362" s="51" t="n"/>
      <c r="D362" s="51" t="n"/>
      <c r="E362" s="52" t="n"/>
      <c r="F362" s="53" t="n"/>
      <c r="G362" s="51" t="n"/>
      <c r="H362" s="53" t="n"/>
      <c r="I362" s="51" t="n"/>
      <c r="J362" s="54">
        <f>IF(OR(B362="",F362="",NOT(AND(G362&lt;&gt;"✅ Выполнена",G362&lt;&gt;"❌ Отменена"))),"",IF(F362&lt;TODAY(),"❗ просрочено "&amp;(TODAY()-F362)&amp;" дн.",IF(F362=TODAY(),"🔥 сегодня",IF(F362-TODAY()&lt;=3,"⏳ через "&amp;(F362-TODAY())&amp;" дн.",""))))</f>
        <v/>
      </c>
      <c r="K362" s="54">
        <f>IF(B362="","",IF(G362="✅ Выполнена","✔ ",IF(G362="❌ Отменена","✖ ",IF(AND(F362&lt;&gt;"",F362&lt;TODAY()),"❗ ","☐ ")))&amp;B362&amp;IF(E362="🔥 Высокий"," 🔥",""))</f>
        <v/>
      </c>
      <c r="L362" s="54">
        <f>IF(OR(B362="",F362="",G362="❌ Отменена"),"",F362&amp;"#"&amp;COUNTIFS($F$5:F362,F362,$B$5:B362,"?*",$G$5:G362,"&lt;&gt;❌ Отменена"))</f>
        <v/>
      </c>
      <c r="M362" s="54">
        <f>IF(AND(B362&lt;&gt;"",F362&lt;&gt;"",F362&lt;TODAY(),AND(G362&lt;&gt;"✅ Выполнена",G362&lt;&gt;"❌ Отменена")),MAX($M$4:M361)+1,"")</f>
        <v/>
      </c>
    </row>
    <row r="363">
      <c r="A363" s="49">
        <f>IF(B363="","",COUNTA($B$5:B363))</f>
        <v/>
      </c>
      <c r="B363" s="50" t="n"/>
      <c r="C363" s="51" t="n"/>
      <c r="D363" s="51" t="n"/>
      <c r="E363" s="52" t="n"/>
      <c r="F363" s="53" t="n"/>
      <c r="G363" s="51" t="n"/>
      <c r="H363" s="53" t="n"/>
      <c r="I363" s="51" t="n"/>
      <c r="J363" s="54">
        <f>IF(OR(B363="",F363="",NOT(AND(G363&lt;&gt;"✅ Выполнена",G363&lt;&gt;"❌ Отменена"))),"",IF(F363&lt;TODAY(),"❗ просрочено "&amp;(TODAY()-F363)&amp;" дн.",IF(F363=TODAY(),"🔥 сегодня",IF(F363-TODAY()&lt;=3,"⏳ через "&amp;(F363-TODAY())&amp;" дн.",""))))</f>
        <v/>
      </c>
      <c r="K363" s="54">
        <f>IF(B363="","",IF(G363="✅ Выполнена","✔ ",IF(G363="❌ Отменена","✖ ",IF(AND(F363&lt;&gt;"",F363&lt;TODAY()),"❗ ","☐ ")))&amp;B363&amp;IF(E363="🔥 Высокий"," 🔥",""))</f>
        <v/>
      </c>
      <c r="L363" s="54">
        <f>IF(OR(B363="",F363="",G363="❌ Отменена"),"",F363&amp;"#"&amp;COUNTIFS($F$5:F363,F363,$B$5:B363,"?*",$G$5:G363,"&lt;&gt;❌ Отменена"))</f>
        <v/>
      </c>
      <c r="M363" s="54">
        <f>IF(AND(B363&lt;&gt;"",F363&lt;&gt;"",F363&lt;TODAY(),AND(G363&lt;&gt;"✅ Выполнена",G363&lt;&gt;"❌ Отменена")),MAX($M$4:M362)+1,"")</f>
        <v/>
      </c>
    </row>
    <row r="364">
      <c r="A364" s="49">
        <f>IF(B364="","",COUNTA($B$5:B364))</f>
        <v/>
      </c>
      <c r="B364" s="50" t="n"/>
      <c r="C364" s="51" t="n"/>
      <c r="D364" s="51" t="n"/>
      <c r="E364" s="52" t="n"/>
      <c r="F364" s="53" t="n"/>
      <c r="G364" s="51" t="n"/>
      <c r="H364" s="53" t="n"/>
      <c r="I364" s="51" t="n"/>
      <c r="J364" s="54">
        <f>IF(OR(B364="",F364="",NOT(AND(G364&lt;&gt;"✅ Выполнена",G364&lt;&gt;"❌ Отменена"))),"",IF(F364&lt;TODAY(),"❗ просрочено "&amp;(TODAY()-F364)&amp;" дн.",IF(F364=TODAY(),"🔥 сегодня",IF(F364-TODAY()&lt;=3,"⏳ через "&amp;(F364-TODAY())&amp;" дн.",""))))</f>
        <v/>
      </c>
      <c r="K364" s="54">
        <f>IF(B364="","",IF(G364="✅ Выполнена","✔ ",IF(G364="❌ Отменена","✖ ",IF(AND(F364&lt;&gt;"",F364&lt;TODAY()),"❗ ","☐ ")))&amp;B364&amp;IF(E364="🔥 Высокий"," 🔥",""))</f>
        <v/>
      </c>
      <c r="L364" s="54">
        <f>IF(OR(B364="",F364="",G364="❌ Отменена"),"",F364&amp;"#"&amp;COUNTIFS($F$5:F364,F364,$B$5:B364,"?*",$G$5:G364,"&lt;&gt;❌ Отменена"))</f>
        <v/>
      </c>
      <c r="M364" s="54">
        <f>IF(AND(B364&lt;&gt;"",F364&lt;&gt;"",F364&lt;TODAY(),AND(G364&lt;&gt;"✅ Выполнена",G364&lt;&gt;"❌ Отменена")),MAX($M$4:M363)+1,"")</f>
        <v/>
      </c>
    </row>
    <row r="365">
      <c r="A365" s="49">
        <f>IF(B365="","",COUNTA($B$5:B365))</f>
        <v/>
      </c>
      <c r="B365" s="50" t="n"/>
      <c r="C365" s="51" t="n"/>
      <c r="D365" s="51" t="n"/>
      <c r="E365" s="52" t="n"/>
      <c r="F365" s="53" t="n"/>
      <c r="G365" s="51" t="n"/>
      <c r="H365" s="53" t="n"/>
      <c r="I365" s="51" t="n"/>
      <c r="J365" s="54">
        <f>IF(OR(B365="",F365="",NOT(AND(G365&lt;&gt;"✅ Выполнена",G365&lt;&gt;"❌ Отменена"))),"",IF(F365&lt;TODAY(),"❗ просрочено "&amp;(TODAY()-F365)&amp;" дн.",IF(F365=TODAY(),"🔥 сегодня",IF(F365-TODAY()&lt;=3,"⏳ через "&amp;(F365-TODAY())&amp;" дн.",""))))</f>
        <v/>
      </c>
      <c r="K365" s="54">
        <f>IF(B365="","",IF(G365="✅ Выполнена","✔ ",IF(G365="❌ Отменена","✖ ",IF(AND(F365&lt;&gt;"",F365&lt;TODAY()),"❗ ","☐ ")))&amp;B365&amp;IF(E365="🔥 Высокий"," 🔥",""))</f>
        <v/>
      </c>
      <c r="L365" s="54">
        <f>IF(OR(B365="",F365="",G365="❌ Отменена"),"",F365&amp;"#"&amp;COUNTIFS($F$5:F365,F365,$B$5:B365,"?*",$G$5:G365,"&lt;&gt;❌ Отменена"))</f>
        <v/>
      </c>
      <c r="M365" s="54">
        <f>IF(AND(B365&lt;&gt;"",F365&lt;&gt;"",F365&lt;TODAY(),AND(G365&lt;&gt;"✅ Выполнена",G365&lt;&gt;"❌ Отменена")),MAX($M$4:M364)+1,"")</f>
        <v/>
      </c>
    </row>
    <row r="366">
      <c r="A366" s="49">
        <f>IF(B366="","",COUNTA($B$5:B366))</f>
        <v/>
      </c>
      <c r="B366" s="50" t="n"/>
      <c r="C366" s="51" t="n"/>
      <c r="D366" s="51" t="n"/>
      <c r="E366" s="52" t="n"/>
      <c r="F366" s="53" t="n"/>
      <c r="G366" s="51" t="n"/>
      <c r="H366" s="53" t="n"/>
      <c r="I366" s="51" t="n"/>
      <c r="J366" s="54">
        <f>IF(OR(B366="",F366="",NOT(AND(G366&lt;&gt;"✅ Выполнена",G366&lt;&gt;"❌ Отменена"))),"",IF(F366&lt;TODAY(),"❗ просрочено "&amp;(TODAY()-F366)&amp;" дн.",IF(F366=TODAY(),"🔥 сегодня",IF(F366-TODAY()&lt;=3,"⏳ через "&amp;(F366-TODAY())&amp;" дн.",""))))</f>
        <v/>
      </c>
      <c r="K366" s="54">
        <f>IF(B366="","",IF(G366="✅ Выполнена","✔ ",IF(G366="❌ Отменена","✖ ",IF(AND(F366&lt;&gt;"",F366&lt;TODAY()),"❗ ","☐ ")))&amp;B366&amp;IF(E366="🔥 Высокий"," 🔥",""))</f>
        <v/>
      </c>
      <c r="L366" s="54">
        <f>IF(OR(B366="",F366="",G366="❌ Отменена"),"",F366&amp;"#"&amp;COUNTIFS($F$5:F366,F366,$B$5:B366,"?*",$G$5:G366,"&lt;&gt;❌ Отменена"))</f>
        <v/>
      </c>
      <c r="M366" s="54">
        <f>IF(AND(B366&lt;&gt;"",F366&lt;&gt;"",F366&lt;TODAY(),AND(G366&lt;&gt;"✅ Выполнена",G366&lt;&gt;"❌ Отменена")),MAX($M$4:M365)+1,"")</f>
        <v/>
      </c>
    </row>
    <row r="367">
      <c r="A367" s="49">
        <f>IF(B367="","",COUNTA($B$5:B367))</f>
        <v/>
      </c>
      <c r="B367" s="50" t="n"/>
      <c r="C367" s="51" t="n"/>
      <c r="D367" s="51" t="n"/>
      <c r="E367" s="52" t="n"/>
      <c r="F367" s="53" t="n"/>
      <c r="G367" s="51" t="n"/>
      <c r="H367" s="53" t="n"/>
      <c r="I367" s="51" t="n"/>
      <c r="J367" s="54">
        <f>IF(OR(B367="",F367="",NOT(AND(G367&lt;&gt;"✅ Выполнена",G367&lt;&gt;"❌ Отменена"))),"",IF(F367&lt;TODAY(),"❗ просрочено "&amp;(TODAY()-F367)&amp;" дн.",IF(F367=TODAY(),"🔥 сегодня",IF(F367-TODAY()&lt;=3,"⏳ через "&amp;(F367-TODAY())&amp;" дн.",""))))</f>
        <v/>
      </c>
      <c r="K367" s="54">
        <f>IF(B367="","",IF(G367="✅ Выполнена","✔ ",IF(G367="❌ Отменена","✖ ",IF(AND(F367&lt;&gt;"",F367&lt;TODAY()),"❗ ","☐ ")))&amp;B367&amp;IF(E367="🔥 Высокий"," 🔥",""))</f>
        <v/>
      </c>
      <c r="L367" s="54">
        <f>IF(OR(B367="",F367="",G367="❌ Отменена"),"",F367&amp;"#"&amp;COUNTIFS($F$5:F367,F367,$B$5:B367,"?*",$G$5:G367,"&lt;&gt;❌ Отменена"))</f>
        <v/>
      </c>
      <c r="M367" s="54">
        <f>IF(AND(B367&lt;&gt;"",F367&lt;&gt;"",F367&lt;TODAY(),AND(G367&lt;&gt;"✅ Выполнена",G367&lt;&gt;"❌ Отменена")),MAX($M$4:M366)+1,"")</f>
        <v/>
      </c>
    </row>
    <row r="368">
      <c r="A368" s="49">
        <f>IF(B368="","",COUNTA($B$5:B368))</f>
        <v/>
      </c>
      <c r="B368" s="50" t="n"/>
      <c r="C368" s="51" t="n"/>
      <c r="D368" s="51" t="n"/>
      <c r="E368" s="52" t="n"/>
      <c r="F368" s="53" t="n"/>
      <c r="G368" s="51" t="n"/>
      <c r="H368" s="53" t="n"/>
      <c r="I368" s="51" t="n"/>
      <c r="J368" s="54">
        <f>IF(OR(B368="",F368="",NOT(AND(G368&lt;&gt;"✅ Выполнена",G368&lt;&gt;"❌ Отменена"))),"",IF(F368&lt;TODAY(),"❗ просрочено "&amp;(TODAY()-F368)&amp;" дн.",IF(F368=TODAY(),"🔥 сегодня",IF(F368-TODAY()&lt;=3,"⏳ через "&amp;(F368-TODAY())&amp;" дн.",""))))</f>
        <v/>
      </c>
      <c r="K368" s="54">
        <f>IF(B368="","",IF(G368="✅ Выполнена","✔ ",IF(G368="❌ Отменена","✖ ",IF(AND(F368&lt;&gt;"",F368&lt;TODAY()),"❗ ","☐ ")))&amp;B368&amp;IF(E368="🔥 Высокий"," 🔥",""))</f>
        <v/>
      </c>
      <c r="L368" s="54">
        <f>IF(OR(B368="",F368="",G368="❌ Отменена"),"",F368&amp;"#"&amp;COUNTIFS($F$5:F368,F368,$B$5:B368,"?*",$G$5:G368,"&lt;&gt;❌ Отменена"))</f>
        <v/>
      </c>
      <c r="M368" s="54">
        <f>IF(AND(B368&lt;&gt;"",F368&lt;&gt;"",F368&lt;TODAY(),AND(G368&lt;&gt;"✅ Выполнена",G368&lt;&gt;"❌ Отменена")),MAX($M$4:M367)+1,"")</f>
        <v/>
      </c>
    </row>
    <row r="369">
      <c r="A369" s="49">
        <f>IF(B369="","",COUNTA($B$5:B369))</f>
        <v/>
      </c>
      <c r="B369" s="50" t="n"/>
      <c r="C369" s="51" t="n"/>
      <c r="D369" s="51" t="n"/>
      <c r="E369" s="52" t="n"/>
      <c r="F369" s="53" t="n"/>
      <c r="G369" s="51" t="n"/>
      <c r="H369" s="53" t="n"/>
      <c r="I369" s="51" t="n"/>
      <c r="J369" s="54">
        <f>IF(OR(B369="",F369="",NOT(AND(G369&lt;&gt;"✅ Выполнена",G369&lt;&gt;"❌ Отменена"))),"",IF(F369&lt;TODAY(),"❗ просрочено "&amp;(TODAY()-F369)&amp;" дн.",IF(F369=TODAY(),"🔥 сегодня",IF(F369-TODAY()&lt;=3,"⏳ через "&amp;(F369-TODAY())&amp;" дн.",""))))</f>
        <v/>
      </c>
      <c r="K369" s="54">
        <f>IF(B369="","",IF(G369="✅ Выполнена","✔ ",IF(G369="❌ Отменена","✖ ",IF(AND(F369&lt;&gt;"",F369&lt;TODAY()),"❗ ","☐ ")))&amp;B369&amp;IF(E369="🔥 Высокий"," 🔥",""))</f>
        <v/>
      </c>
      <c r="L369" s="54">
        <f>IF(OR(B369="",F369="",G369="❌ Отменена"),"",F369&amp;"#"&amp;COUNTIFS($F$5:F369,F369,$B$5:B369,"?*",$G$5:G369,"&lt;&gt;❌ Отменена"))</f>
        <v/>
      </c>
      <c r="M369" s="54">
        <f>IF(AND(B369&lt;&gt;"",F369&lt;&gt;"",F369&lt;TODAY(),AND(G369&lt;&gt;"✅ Выполнена",G369&lt;&gt;"❌ Отменена")),MAX($M$4:M368)+1,"")</f>
        <v/>
      </c>
    </row>
    <row r="370">
      <c r="A370" s="49">
        <f>IF(B370="","",COUNTA($B$5:B370))</f>
        <v/>
      </c>
      <c r="B370" s="50" t="n"/>
      <c r="C370" s="51" t="n"/>
      <c r="D370" s="51" t="n"/>
      <c r="E370" s="52" t="n"/>
      <c r="F370" s="53" t="n"/>
      <c r="G370" s="51" t="n"/>
      <c r="H370" s="53" t="n"/>
      <c r="I370" s="51" t="n"/>
      <c r="J370" s="54">
        <f>IF(OR(B370="",F370="",NOT(AND(G370&lt;&gt;"✅ Выполнена",G370&lt;&gt;"❌ Отменена"))),"",IF(F370&lt;TODAY(),"❗ просрочено "&amp;(TODAY()-F370)&amp;" дн.",IF(F370=TODAY(),"🔥 сегодня",IF(F370-TODAY()&lt;=3,"⏳ через "&amp;(F370-TODAY())&amp;" дн.",""))))</f>
        <v/>
      </c>
      <c r="K370" s="54">
        <f>IF(B370="","",IF(G370="✅ Выполнена","✔ ",IF(G370="❌ Отменена","✖ ",IF(AND(F370&lt;&gt;"",F370&lt;TODAY()),"❗ ","☐ ")))&amp;B370&amp;IF(E370="🔥 Высокий"," 🔥",""))</f>
        <v/>
      </c>
      <c r="L370" s="54">
        <f>IF(OR(B370="",F370="",G370="❌ Отменена"),"",F370&amp;"#"&amp;COUNTIFS($F$5:F370,F370,$B$5:B370,"?*",$G$5:G370,"&lt;&gt;❌ Отменена"))</f>
        <v/>
      </c>
      <c r="M370" s="54">
        <f>IF(AND(B370&lt;&gt;"",F370&lt;&gt;"",F370&lt;TODAY(),AND(G370&lt;&gt;"✅ Выполнена",G370&lt;&gt;"❌ Отменена")),MAX($M$4:M369)+1,"")</f>
        <v/>
      </c>
    </row>
    <row r="371">
      <c r="A371" s="49">
        <f>IF(B371="","",COUNTA($B$5:B371))</f>
        <v/>
      </c>
      <c r="B371" s="50" t="n"/>
      <c r="C371" s="51" t="n"/>
      <c r="D371" s="51" t="n"/>
      <c r="E371" s="52" t="n"/>
      <c r="F371" s="53" t="n"/>
      <c r="G371" s="51" t="n"/>
      <c r="H371" s="53" t="n"/>
      <c r="I371" s="51" t="n"/>
      <c r="J371" s="54">
        <f>IF(OR(B371="",F371="",NOT(AND(G371&lt;&gt;"✅ Выполнена",G371&lt;&gt;"❌ Отменена"))),"",IF(F371&lt;TODAY(),"❗ просрочено "&amp;(TODAY()-F371)&amp;" дн.",IF(F371=TODAY(),"🔥 сегодня",IF(F371-TODAY()&lt;=3,"⏳ через "&amp;(F371-TODAY())&amp;" дн.",""))))</f>
        <v/>
      </c>
      <c r="K371" s="54">
        <f>IF(B371="","",IF(G371="✅ Выполнена","✔ ",IF(G371="❌ Отменена","✖ ",IF(AND(F371&lt;&gt;"",F371&lt;TODAY()),"❗ ","☐ ")))&amp;B371&amp;IF(E371="🔥 Высокий"," 🔥",""))</f>
        <v/>
      </c>
      <c r="L371" s="54">
        <f>IF(OR(B371="",F371="",G371="❌ Отменена"),"",F371&amp;"#"&amp;COUNTIFS($F$5:F371,F371,$B$5:B371,"?*",$G$5:G371,"&lt;&gt;❌ Отменена"))</f>
        <v/>
      </c>
      <c r="M371" s="54">
        <f>IF(AND(B371&lt;&gt;"",F371&lt;&gt;"",F371&lt;TODAY(),AND(G371&lt;&gt;"✅ Выполнена",G371&lt;&gt;"❌ Отменена")),MAX($M$4:M370)+1,"")</f>
        <v/>
      </c>
    </row>
    <row r="372">
      <c r="A372" s="49">
        <f>IF(B372="","",COUNTA($B$5:B372))</f>
        <v/>
      </c>
      <c r="B372" s="50" t="n"/>
      <c r="C372" s="51" t="n"/>
      <c r="D372" s="51" t="n"/>
      <c r="E372" s="52" t="n"/>
      <c r="F372" s="53" t="n"/>
      <c r="G372" s="51" t="n"/>
      <c r="H372" s="53" t="n"/>
      <c r="I372" s="51" t="n"/>
      <c r="J372" s="54">
        <f>IF(OR(B372="",F372="",NOT(AND(G372&lt;&gt;"✅ Выполнена",G372&lt;&gt;"❌ Отменена"))),"",IF(F372&lt;TODAY(),"❗ просрочено "&amp;(TODAY()-F372)&amp;" дн.",IF(F372=TODAY(),"🔥 сегодня",IF(F372-TODAY()&lt;=3,"⏳ через "&amp;(F372-TODAY())&amp;" дн.",""))))</f>
        <v/>
      </c>
      <c r="K372" s="54">
        <f>IF(B372="","",IF(G372="✅ Выполнена","✔ ",IF(G372="❌ Отменена","✖ ",IF(AND(F372&lt;&gt;"",F372&lt;TODAY()),"❗ ","☐ ")))&amp;B372&amp;IF(E372="🔥 Высокий"," 🔥",""))</f>
        <v/>
      </c>
      <c r="L372" s="54">
        <f>IF(OR(B372="",F372="",G372="❌ Отменена"),"",F372&amp;"#"&amp;COUNTIFS($F$5:F372,F372,$B$5:B372,"?*",$G$5:G372,"&lt;&gt;❌ Отменена"))</f>
        <v/>
      </c>
      <c r="M372" s="54">
        <f>IF(AND(B372&lt;&gt;"",F372&lt;&gt;"",F372&lt;TODAY(),AND(G372&lt;&gt;"✅ Выполнена",G372&lt;&gt;"❌ Отменена")),MAX($M$4:M371)+1,"")</f>
        <v/>
      </c>
    </row>
    <row r="373">
      <c r="A373" s="49">
        <f>IF(B373="","",COUNTA($B$5:B373))</f>
        <v/>
      </c>
      <c r="B373" s="50" t="n"/>
      <c r="C373" s="51" t="n"/>
      <c r="D373" s="51" t="n"/>
      <c r="E373" s="52" t="n"/>
      <c r="F373" s="53" t="n"/>
      <c r="G373" s="51" t="n"/>
      <c r="H373" s="53" t="n"/>
      <c r="I373" s="51" t="n"/>
      <c r="J373" s="54">
        <f>IF(OR(B373="",F373="",NOT(AND(G373&lt;&gt;"✅ Выполнена",G373&lt;&gt;"❌ Отменена"))),"",IF(F373&lt;TODAY(),"❗ просрочено "&amp;(TODAY()-F373)&amp;" дн.",IF(F373=TODAY(),"🔥 сегодня",IF(F373-TODAY()&lt;=3,"⏳ через "&amp;(F373-TODAY())&amp;" дн.",""))))</f>
        <v/>
      </c>
      <c r="K373" s="54">
        <f>IF(B373="","",IF(G373="✅ Выполнена","✔ ",IF(G373="❌ Отменена","✖ ",IF(AND(F373&lt;&gt;"",F373&lt;TODAY()),"❗ ","☐ ")))&amp;B373&amp;IF(E373="🔥 Высокий"," 🔥",""))</f>
        <v/>
      </c>
      <c r="L373" s="54">
        <f>IF(OR(B373="",F373="",G373="❌ Отменена"),"",F373&amp;"#"&amp;COUNTIFS($F$5:F373,F373,$B$5:B373,"?*",$G$5:G373,"&lt;&gt;❌ Отменена"))</f>
        <v/>
      </c>
      <c r="M373" s="54">
        <f>IF(AND(B373&lt;&gt;"",F373&lt;&gt;"",F373&lt;TODAY(),AND(G373&lt;&gt;"✅ Выполнена",G373&lt;&gt;"❌ Отменена")),MAX($M$4:M372)+1,"")</f>
        <v/>
      </c>
    </row>
    <row r="374">
      <c r="A374" s="49">
        <f>IF(B374="","",COUNTA($B$5:B374))</f>
        <v/>
      </c>
      <c r="B374" s="50" t="n"/>
      <c r="C374" s="51" t="n"/>
      <c r="D374" s="51" t="n"/>
      <c r="E374" s="52" t="n"/>
      <c r="F374" s="53" t="n"/>
      <c r="G374" s="51" t="n"/>
      <c r="H374" s="53" t="n"/>
      <c r="I374" s="51" t="n"/>
      <c r="J374" s="54">
        <f>IF(OR(B374="",F374="",NOT(AND(G374&lt;&gt;"✅ Выполнена",G374&lt;&gt;"❌ Отменена"))),"",IF(F374&lt;TODAY(),"❗ просрочено "&amp;(TODAY()-F374)&amp;" дн.",IF(F374=TODAY(),"🔥 сегодня",IF(F374-TODAY()&lt;=3,"⏳ через "&amp;(F374-TODAY())&amp;" дн.",""))))</f>
        <v/>
      </c>
      <c r="K374" s="54">
        <f>IF(B374="","",IF(G374="✅ Выполнена","✔ ",IF(G374="❌ Отменена","✖ ",IF(AND(F374&lt;&gt;"",F374&lt;TODAY()),"❗ ","☐ ")))&amp;B374&amp;IF(E374="🔥 Высокий"," 🔥",""))</f>
        <v/>
      </c>
      <c r="L374" s="54">
        <f>IF(OR(B374="",F374="",G374="❌ Отменена"),"",F374&amp;"#"&amp;COUNTIFS($F$5:F374,F374,$B$5:B374,"?*",$G$5:G374,"&lt;&gt;❌ Отменена"))</f>
        <v/>
      </c>
      <c r="M374" s="54">
        <f>IF(AND(B374&lt;&gt;"",F374&lt;&gt;"",F374&lt;TODAY(),AND(G374&lt;&gt;"✅ Выполнена",G374&lt;&gt;"❌ Отменена")),MAX($M$4:M373)+1,"")</f>
        <v/>
      </c>
    </row>
    <row r="375">
      <c r="A375" s="49">
        <f>IF(B375="","",COUNTA($B$5:B375))</f>
        <v/>
      </c>
      <c r="B375" s="50" t="n"/>
      <c r="C375" s="51" t="n"/>
      <c r="D375" s="51" t="n"/>
      <c r="E375" s="52" t="n"/>
      <c r="F375" s="53" t="n"/>
      <c r="G375" s="51" t="n"/>
      <c r="H375" s="53" t="n"/>
      <c r="I375" s="51" t="n"/>
      <c r="J375" s="54">
        <f>IF(OR(B375="",F375="",NOT(AND(G375&lt;&gt;"✅ Выполнена",G375&lt;&gt;"❌ Отменена"))),"",IF(F375&lt;TODAY(),"❗ просрочено "&amp;(TODAY()-F375)&amp;" дн.",IF(F375=TODAY(),"🔥 сегодня",IF(F375-TODAY()&lt;=3,"⏳ через "&amp;(F375-TODAY())&amp;" дн.",""))))</f>
        <v/>
      </c>
      <c r="K375" s="54">
        <f>IF(B375="","",IF(G375="✅ Выполнена","✔ ",IF(G375="❌ Отменена","✖ ",IF(AND(F375&lt;&gt;"",F375&lt;TODAY()),"❗ ","☐ ")))&amp;B375&amp;IF(E375="🔥 Высокий"," 🔥",""))</f>
        <v/>
      </c>
      <c r="L375" s="54">
        <f>IF(OR(B375="",F375="",G375="❌ Отменена"),"",F375&amp;"#"&amp;COUNTIFS($F$5:F375,F375,$B$5:B375,"?*",$G$5:G375,"&lt;&gt;❌ Отменена"))</f>
        <v/>
      </c>
      <c r="M375" s="54">
        <f>IF(AND(B375&lt;&gt;"",F375&lt;&gt;"",F375&lt;TODAY(),AND(G375&lt;&gt;"✅ Выполнена",G375&lt;&gt;"❌ Отменена")),MAX($M$4:M374)+1,"")</f>
        <v/>
      </c>
    </row>
    <row r="376">
      <c r="A376" s="49">
        <f>IF(B376="","",COUNTA($B$5:B376))</f>
        <v/>
      </c>
      <c r="B376" s="50" t="n"/>
      <c r="C376" s="51" t="n"/>
      <c r="D376" s="51" t="n"/>
      <c r="E376" s="52" t="n"/>
      <c r="F376" s="53" t="n"/>
      <c r="G376" s="51" t="n"/>
      <c r="H376" s="53" t="n"/>
      <c r="I376" s="51" t="n"/>
      <c r="J376" s="54">
        <f>IF(OR(B376="",F376="",NOT(AND(G376&lt;&gt;"✅ Выполнена",G376&lt;&gt;"❌ Отменена"))),"",IF(F376&lt;TODAY(),"❗ просрочено "&amp;(TODAY()-F376)&amp;" дн.",IF(F376=TODAY(),"🔥 сегодня",IF(F376-TODAY()&lt;=3,"⏳ через "&amp;(F376-TODAY())&amp;" дн.",""))))</f>
        <v/>
      </c>
      <c r="K376" s="54">
        <f>IF(B376="","",IF(G376="✅ Выполнена","✔ ",IF(G376="❌ Отменена","✖ ",IF(AND(F376&lt;&gt;"",F376&lt;TODAY()),"❗ ","☐ ")))&amp;B376&amp;IF(E376="🔥 Высокий"," 🔥",""))</f>
        <v/>
      </c>
      <c r="L376" s="54">
        <f>IF(OR(B376="",F376="",G376="❌ Отменена"),"",F376&amp;"#"&amp;COUNTIFS($F$5:F376,F376,$B$5:B376,"?*",$G$5:G376,"&lt;&gt;❌ Отменена"))</f>
        <v/>
      </c>
      <c r="M376" s="54">
        <f>IF(AND(B376&lt;&gt;"",F376&lt;&gt;"",F376&lt;TODAY(),AND(G376&lt;&gt;"✅ Выполнена",G376&lt;&gt;"❌ Отменена")),MAX($M$4:M375)+1,"")</f>
        <v/>
      </c>
    </row>
    <row r="377">
      <c r="A377" s="49">
        <f>IF(B377="","",COUNTA($B$5:B377))</f>
        <v/>
      </c>
      <c r="B377" s="50" t="n"/>
      <c r="C377" s="51" t="n"/>
      <c r="D377" s="51" t="n"/>
      <c r="E377" s="52" t="n"/>
      <c r="F377" s="53" t="n"/>
      <c r="G377" s="51" t="n"/>
      <c r="H377" s="53" t="n"/>
      <c r="I377" s="51" t="n"/>
      <c r="J377" s="54">
        <f>IF(OR(B377="",F377="",NOT(AND(G377&lt;&gt;"✅ Выполнена",G377&lt;&gt;"❌ Отменена"))),"",IF(F377&lt;TODAY(),"❗ просрочено "&amp;(TODAY()-F377)&amp;" дн.",IF(F377=TODAY(),"🔥 сегодня",IF(F377-TODAY()&lt;=3,"⏳ через "&amp;(F377-TODAY())&amp;" дн.",""))))</f>
        <v/>
      </c>
      <c r="K377" s="54">
        <f>IF(B377="","",IF(G377="✅ Выполнена","✔ ",IF(G377="❌ Отменена","✖ ",IF(AND(F377&lt;&gt;"",F377&lt;TODAY()),"❗ ","☐ ")))&amp;B377&amp;IF(E377="🔥 Высокий"," 🔥",""))</f>
        <v/>
      </c>
      <c r="L377" s="54">
        <f>IF(OR(B377="",F377="",G377="❌ Отменена"),"",F377&amp;"#"&amp;COUNTIFS($F$5:F377,F377,$B$5:B377,"?*",$G$5:G377,"&lt;&gt;❌ Отменена"))</f>
        <v/>
      </c>
      <c r="M377" s="54">
        <f>IF(AND(B377&lt;&gt;"",F377&lt;&gt;"",F377&lt;TODAY(),AND(G377&lt;&gt;"✅ Выполнена",G377&lt;&gt;"❌ Отменена")),MAX($M$4:M376)+1,"")</f>
        <v/>
      </c>
    </row>
    <row r="378">
      <c r="A378" s="49">
        <f>IF(B378="","",COUNTA($B$5:B378))</f>
        <v/>
      </c>
      <c r="B378" s="50" t="n"/>
      <c r="C378" s="51" t="n"/>
      <c r="D378" s="51" t="n"/>
      <c r="E378" s="52" t="n"/>
      <c r="F378" s="53" t="n"/>
      <c r="G378" s="51" t="n"/>
      <c r="H378" s="53" t="n"/>
      <c r="I378" s="51" t="n"/>
      <c r="J378" s="54">
        <f>IF(OR(B378="",F378="",NOT(AND(G378&lt;&gt;"✅ Выполнена",G378&lt;&gt;"❌ Отменена"))),"",IF(F378&lt;TODAY(),"❗ просрочено "&amp;(TODAY()-F378)&amp;" дн.",IF(F378=TODAY(),"🔥 сегодня",IF(F378-TODAY()&lt;=3,"⏳ через "&amp;(F378-TODAY())&amp;" дн.",""))))</f>
        <v/>
      </c>
      <c r="K378" s="54">
        <f>IF(B378="","",IF(G378="✅ Выполнена","✔ ",IF(G378="❌ Отменена","✖ ",IF(AND(F378&lt;&gt;"",F378&lt;TODAY()),"❗ ","☐ ")))&amp;B378&amp;IF(E378="🔥 Высокий"," 🔥",""))</f>
        <v/>
      </c>
      <c r="L378" s="54">
        <f>IF(OR(B378="",F378="",G378="❌ Отменена"),"",F378&amp;"#"&amp;COUNTIFS($F$5:F378,F378,$B$5:B378,"?*",$G$5:G378,"&lt;&gt;❌ Отменена"))</f>
        <v/>
      </c>
      <c r="M378" s="54">
        <f>IF(AND(B378&lt;&gt;"",F378&lt;&gt;"",F378&lt;TODAY(),AND(G378&lt;&gt;"✅ Выполнена",G378&lt;&gt;"❌ Отменена")),MAX($M$4:M377)+1,"")</f>
        <v/>
      </c>
    </row>
    <row r="379">
      <c r="A379" s="49">
        <f>IF(B379="","",COUNTA($B$5:B379))</f>
        <v/>
      </c>
      <c r="B379" s="50" t="n"/>
      <c r="C379" s="51" t="n"/>
      <c r="D379" s="51" t="n"/>
      <c r="E379" s="52" t="n"/>
      <c r="F379" s="53" t="n"/>
      <c r="G379" s="51" t="n"/>
      <c r="H379" s="53" t="n"/>
      <c r="I379" s="51" t="n"/>
      <c r="J379" s="54">
        <f>IF(OR(B379="",F379="",NOT(AND(G379&lt;&gt;"✅ Выполнена",G379&lt;&gt;"❌ Отменена"))),"",IF(F379&lt;TODAY(),"❗ просрочено "&amp;(TODAY()-F379)&amp;" дн.",IF(F379=TODAY(),"🔥 сегодня",IF(F379-TODAY()&lt;=3,"⏳ через "&amp;(F379-TODAY())&amp;" дн.",""))))</f>
        <v/>
      </c>
      <c r="K379" s="54">
        <f>IF(B379="","",IF(G379="✅ Выполнена","✔ ",IF(G379="❌ Отменена","✖ ",IF(AND(F379&lt;&gt;"",F379&lt;TODAY()),"❗ ","☐ ")))&amp;B379&amp;IF(E379="🔥 Высокий"," 🔥",""))</f>
        <v/>
      </c>
      <c r="L379" s="54">
        <f>IF(OR(B379="",F379="",G379="❌ Отменена"),"",F379&amp;"#"&amp;COUNTIFS($F$5:F379,F379,$B$5:B379,"?*",$G$5:G379,"&lt;&gt;❌ Отменена"))</f>
        <v/>
      </c>
      <c r="M379" s="54">
        <f>IF(AND(B379&lt;&gt;"",F379&lt;&gt;"",F379&lt;TODAY(),AND(G379&lt;&gt;"✅ Выполнена",G379&lt;&gt;"❌ Отменена")),MAX($M$4:M378)+1,"")</f>
        <v/>
      </c>
    </row>
    <row r="380">
      <c r="A380" s="49">
        <f>IF(B380="","",COUNTA($B$5:B380))</f>
        <v/>
      </c>
      <c r="B380" s="50" t="n"/>
      <c r="C380" s="51" t="n"/>
      <c r="D380" s="51" t="n"/>
      <c r="E380" s="52" t="n"/>
      <c r="F380" s="53" t="n"/>
      <c r="G380" s="51" t="n"/>
      <c r="H380" s="53" t="n"/>
      <c r="I380" s="51" t="n"/>
      <c r="J380" s="54">
        <f>IF(OR(B380="",F380="",NOT(AND(G380&lt;&gt;"✅ Выполнена",G380&lt;&gt;"❌ Отменена"))),"",IF(F380&lt;TODAY(),"❗ просрочено "&amp;(TODAY()-F380)&amp;" дн.",IF(F380=TODAY(),"🔥 сегодня",IF(F380-TODAY()&lt;=3,"⏳ через "&amp;(F380-TODAY())&amp;" дн.",""))))</f>
        <v/>
      </c>
      <c r="K380" s="54">
        <f>IF(B380="","",IF(G380="✅ Выполнена","✔ ",IF(G380="❌ Отменена","✖ ",IF(AND(F380&lt;&gt;"",F380&lt;TODAY()),"❗ ","☐ ")))&amp;B380&amp;IF(E380="🔥 Высокий"," 🔥",""))</f>
        <v/>
      </c>
      <c r="L380" s="54">
        <f>IF(OR(B380="",F380="",G380="❌ Отменена"),"",F380&amp;"#"&amp;COUNTIFS($F$5:F380,F380,$B$5:B380,"?*",$G$5:G380,"&lt;&gt;❌ Отменена"))</f>
        <v/>
      </c>
      <c r="M380" s="54">
        <f>IF(AND(B380&lt;&gt;"",F380&lt;&gt;"",F380&lt;TODAY(),AND(G380&lt;&gt;"✅ Выполнена",G380&lt;&gt;"❌ Отменена")),MAX($M$4:M379)+1,"")</f>
        <v/>
      </c>
    </row>
    <row r="381">
      <c r="A381" s="49">
        <f>IF(B381="","",COUNTA($B$5:B381))</f>
        <v/>
      </c>
      <c r="B381" s="50" t="n"/>
      <c r="C381" s="51" t="n"/>
      <c r="D381" s="51" t="n"/>
      <c r="E381" s="52" t="n"/>
      <c r="F381" s="53" t="n"/>
      <c r="G381" s="51" t="n"/>
      <c r="H381" s="53" t="n"/>
      <c r="I381" s="51" t="n"/>
      <c r="J381" s="54">
        <f>IF(OR(B381="",F381="",NOT(AND(G381&lt;&gt;"✅ Выполнена",G381&lt;&gt;"❌ Отменена"))),"",IF(F381&lt;TODAY(),"❗ просрочено "&amp;(TODAY()-F381)&amp;" дн.",IF(F381=TODAY(),"🔥 сегодня",IF(F381-TODAY()&lt;=3,"⏳ через "&amp;(F381-TODAY())&amp;" дн.",""))))</f>
        <v/>
      </c>
      <c r="K381" s="54">
        <f>IF(B381="","",IF(G381="✅ Выполнена","✔ ",IF(G381="❌ Отменена","✖ ",IF(AND(F381&lt;&gt;"",F381&lt;TODAY()),"❗ ","☐ ")))&amp;B381&amp;IF(E381="🔥 Высокий"," 🔥",""))</f>
        <v/>
      </c>
      <c r="L381" s="54">
        <f>IF(OR(B381="",F381="",G381="❌ Отменена"),"",F381&amp;"#"&amp;COUNTIFS($F$5:F381,F381,$B$5:B381,"?*",$G$5:G381,"&lt;&gt;❌ Отменена"))</f>
        <v/>
      </c>
      <c r="M381" s="54">
        <f>IF(AND(B381&lt;&gt;"",F381&lt;&gt;"",F381&lt;TODAY(),AND(G381&lt;&gt;"✅ Выполнена",G381&lt;&gt;"❌ Отменена")),MAX($M$4:M380)+1,"")</f>
        <v/>
      </c>
    </row>
    <row r="382">
      <c r="A382" s="49">
        <f>IF(B382="","",COUNTA($B$5:B382))</f>
        <v/>
      </c>
      <c r="B382" s="50" t="n"/>
      <c r="C382" s="51" t="n"/>
      <c r="D382" s="51" t="n"/>
      <c r="E382" s="52" t="n"/>
      <c r="F382" s="53" t="n"/>
      <c r="G382" s="51" t="n"/>
      <c r="H382" s="53" t="n"/>
      <c r="I382" s="51" t="n"/>
      <c r="J382" s="54">
        <f>IF(OR(B382="",F382="",NOT(AND(G382&lt;&gt;"✅ Выполнена",G382&lt;&gt;"❌ Отменена"))),"",IF(F382&lt;TODAY(),"❗ просрочено "&amp;(TODAY()-F382)&amp;" дн.",IF(F382=TODAY(),"🔥 сегодня",IF(F382-TODAY()&lt;=3,"⏳ через "&amp;(F382-TODAY())&amp;" дн.",""))))</f>
        <v/>
      </c>
      <c r="K382" s="54">
        <f>IF(B382="","",IF(G382="✅ Выполнена","✔ ",IF(G382="❌ Отменена","✖ ",IF(AND(F382&lt;&gt;"",F382&lt;TODAY()),"❗ ","☐ ")))&amp;B382&amp;IF(E382="🔥 Высокий"," 🔥",""))</f>
        <v/>
      </c>
      <c r="L382" s="54">
        <f>IF(OR(B382="",F382="",G382="❌ Отменена"),"",F382&amp;"#"&amp;COUNTIFS($F$5:F382,F382,$B$5:B382,"?*",$G$5:G382,"&lt;&gt;❌ Отменена"))</f>
        <v/>
      </c>
      <c r="M382" s="54">
        <f>IF(AND(B382&lt;&gt;"",F382&lt;&gt;"",F382&lt;TODAY(),AND(G382&lt;&gt;"✅ Выполнена",G382&lt;&gt;"❌ Отменена")),MAX($M$4:M381)+1,"")</f>
        <v/>
      </c>
    </row>
    <row r="383">
      <c r="A383" s="49">
        <f>IF(B383="","",COUNTA($B$5:B383))</f>
        <v/>
      </c>
      <c r="B383" s="50" t="n"/>
      <c r="C383" s="51" t="n"/>
      <c r="D383" s="51" t="n"/>
      <c r="E383" s="52" t="n"/>
      <c r="F383" s="53" t="n"/>
      <c r="G383" s="51" t="n"/>
      <c r="H383" s="53" t="n"/>
      <c r="I383" s="51" t="n"/>
      <c r="J383" s="54">
        <f>IF(OR(B383="",F383="",NOT(AND(G383&lt;&gt;"✅ Выполнена",G383&lt;&gt;"❌ Отменена"))),"",IF(F383&lt;TODAY(),"❗ просрочено "&amp;(TODAY()-F383)&amp;" дн.",IF(F383=TODAY(),"🔥 сегодня",IF(F383-TODAY()&lt;=3,"⏳ через "&amp;(F383-TODAY())&amp;" дн.",""))))</f>
        <v/>
      </c>
      <c r="K383" s="54">
        <f>IF(B383="","",IF(G383="✅ Выполнена","✔ ",IF(G383="❌ Отменена","✖ ",IF(AND(F383&lt;&gt;"",F383&lt;TODAY()),"❗ ","☐ ")))&amp;B383&amp;IF(E383="🔥 Высокий"," 🔥",""))</f>
        <v/>
      </c>
      <c r="L383" s="54">
        <f>IF(OR(B383="",F383="",G383="❌ Отменена"),"",F383&amp;"#"&amp;COUNTIFS($F$5:F383,F383,$B$5:B383,"?*",$G$5:G383,"&lt;&gt;❌ Отменена"))</f>
        <v/>
      </c>
      <c r="M383" s="54">
        <f>IF(AND(B383&lt;&gt;"",F383&lt;&gt;"",F383&lt;TODAY(),AND(G383&lt;&gt;"✅ Выполнена",G383&lt;&gt;"❌ Отменена")),MAX($M$4:M382)+1,"")</f>
        <v/>
      </c>
    </row>
    <row r="384">
      <c r="A384" s="49">
        <f>IF(B384="","",COUNTA($B$5:B384))</f>
        <v/>
      </c>
      <c r="B384" s="50" t="n"/>
      <c r="C384" s="51" t="n"/>
      <c r="D384" s="51" t="n"/>
      <c r="E384" s="52" t="n"/>
      <c r="F384" s="53" t="n"/>
      <c r="G384" s="51" t="n"/>
      <c r="H384" s="53" t="n"/>
      <c r="I384" s="51" t="n"/>
      <c r="J384" s="54">
        <f>IF(OR(B384="",F384="",NOT(AND(G384&lt;&gt;"✅ Выполнена",G384&lt;&gt;"❌ Отменена"))),"",IF(F384&lt;TODAY(),"❗ просрочено "&amp;(TODAY()-F384)&amp;" дн.",IF(F384=TODAY(),"🔥 сегодня",IF(F384-TODAY()&lt;=3,"⏳ через "&amp;(F384-TODAY())&amp;" дн.",""))))</f>
        <v/>
      </c>
      <c r="K384" s="54">
        <f>IF(B384="","",IF(G384="✅ Выполнена","✔ ",IF(G384="❌ Отменена","✖ ",IF(AND(F384&lt;&gt;"",F384&lt;TODAY()),"❗ ","☐ ")))&amp;B384&amp;IF(E384="🔥 Высокий"," 🔥",""))</f>
        <v/>
      </c>
      <c r="L384" s="54">
        <f>IF(OR(B384="",F384="",G384="❌ Отменена"),"",F384&amp;"#"&amp;COUNTIFS($F$5:F384,F384,$B$5:B384,"?*",$G$5:G384,"&lt;&gt;❌ Отменена"))</f>
        <v/>
      </c>
      <c r="M384" s="54">
        <f>IF(AND(B384&lt;&gt;"",F384&lt;&gt;"",F384&lt;TODAY(),AND(G384&lt;&gt;"✅ Выполнена",G384&lt;&gt;"❌ Отменена")),MAX($M$4:M383)+1,"")</f>
        <v/>
      </c>
    </row>
    <row r="385">
      <c r="A385" s="49">
        <f>IF(B385="","",COUNTA($B$5:B385))</f>
        <v/>
      </c>
      <c r="B385" s="50" t="n"/>
      <c r="C385" s="51" t="n"/>
      <c r="D385" s="51" t="n"/>
      <c r="E385" s="52" t="n"/>
      <c r="F385" s="53" t="n"/>
      <c r="G385" s="51" t="n"/>
      <c r="H385" s="53" t="n"/>
      <c r="I385" s="51" t="n"/>
      <c r="J385" s="54">
        <f>IF(OR(B385="",F385="",NOT(AND(G385&lt;&gt;"✅ Выполнена",G385&lt;&gt;"❌ Отменена"))),"",IF(F385&lt;TODAY(),"❗ просрочено "&amp;(TODAY()-F385)&amp;" дн.",IF(F385=TODAY(),"🔥 сегодня",IF(F385-TODAY()&lt;=3,"⏳ через "&amp;(F385-TODAY())&amp;" дн.",""))))</f>
        <v/>
      </c>
      <c r="K385" s="54">
        <f>IF(B385="","",IF(G385="✅ Выполнена","✔ ",IF(G385="❌ Отменена","✖ ",IF(AND(F385&lt;&gt;"",F385&lt;TODAY()),"❗ ","☐ ")))&amp;B385&amp;IF(E385="🔥 Высокий"," 🔥",""))</f>
        <v/>
      </c>
      <c r="L385" s="54">
        <f>IF(OR(B385="",F385="",G385="❌ Отменена"),"",F385&amp;"#"&amp;COUNTIFS($F$5:F385,F385,$B$5:B385,"?*",$G$5:G385,"&lt;&gt;❌ Отменена"))</f>
        <v/>
      </c>
      <c r="M385" s="54">
        <f>IF(AND(B385&lt;&gt;"",F385&lt;&gt;"",F385&lt;TODAY(),AND(G385&lt;&gt;"✅ Выполнена",G385&lt;&gt;"❌ Отменена")),MAX($M$4:M384)+1,"")</f>
        <v/>
      </c>
    </row>
    <row r="386">
      <c r="A386" s="49">
        <f>IF(B386="","",COUNTA($B$5:B386))</f>
        <v/>
      </c>
      <c r="B386" s="50" t="n"/>
      <c r="C386" s="51" t="n"/>
      <c r="D386" s="51" t="n"/>
      <c r="E386" s="52" t="n"/>
      <c r="F386" s="53" t="n"/>
      <c r="G386" s="51" t="n"/>
      <c r="H386" s="53" t="n"/>
      <c r="I386" s="51" t="n"/>
      <c r="J386" s="54">
        <f>IF(OR(B386="",F386="",NOT(AND(G386&lt;&gt;"✅ Выполнена",G386&lt;&gt;"❌ Отменена"))),"",IF(F386&lt;TODAY(),"❗ просрочено "&amp;(TODAY()-F386)&amp;" дн.",IF(F386=TODAY(),"🔥 сегодня",IF(F386-TODAY()&lt;=3,"⏳ через "&amp;(F386-TODAY())&amp;" дн.",""))))</f>
        <v/>
      </c>
      <c r="K386" s="54">
        <f>IF(B386="","",IF(G386="✅ Выполнена","✔ ",IF(G386="❌ Отменена","✖ ",IF(AND(F386&lt;&gt;"",F386&lt;TODAY()),"❗ ","☐ ")))&amp;B386&amp;IF(E386="🔥 Высокий"," 🔥",""))</f>
        <v/>
      </c>
      <c r="L386" s="54">
        <f>IF(OR(B386="",F386="",G386="❌ Отменена"),"",F386&amp;"#"&amp;COUNTIFS($F$5:F386,F386,$B$5:B386,"?*",$G$5:G386,"&lt;&gt;❌ Отменена"))</f>
        <v/>
      </c>
      <c r="M386" s="54">
        <f>IF(AND(B386&lt;&gt;"",F386&lt;&gt;"",F386&lt;TODAY(),AND(G386&lt;&gt;"✅ Выполнена",G386&lt;&gt;"❌ Отменена")),MAX($M$4:M385)+1,"")</f>
        <v/>
      </c>
    </row>
    <row r="387">
      <c r="A387" s="49">
        <f>IF(B387="","",COUNTA($B$5:B387))</f>
        <v/>
      </c>
      <c r="B387" s="50" t="n"/>
      <c r="C387" s="51" t="n"/>
      <c r="D387" s="51" t="n"/>
      <c r="E387" s="52" t="n"/>
      <c r="F387" s="53" t="n"/>
      <c r="G387" s="51" t="n"/>
      <c r="H387" s="53" t="n"/>
      <c r="I387" s="51" t="n"/>
      <c r="J387" s="54">
        <f>IF(OR(B387="",F387="",NOT(AND(G387&lt;&gt;"✅ Выполнена",G387&lt;&gt;"❌ Отменена"))),"",IF(F387&lt;TODAY(),"❗ просрочено "&amp;(TODAY()-F387)&amp;" дн.",IF(F387=TODAY(),"🔥 сегодня",IF(F387-TODAY()&lt;=3,"⏳ через "&amp;(F387-TODAY())&amp;" дн.",""))))</f>
        <v/>
      </c>
      <c r="K387" s="54">
        <f>IF(B387="","",IF(G387="✅ Выполнена","✔ ",IF(G387="❌ Отменена","✖ ",IF(AND(F387&lt;&gt;"",F387&lt;TODAY()),"❗ ","☐ ")))&amp;B387&amp;IF(E387="🔥 Высокий"," 🔥",""))</f>
        <v/>
      </c>
      <c r="L387" s="54">
        <f>IF(OR(B387="",F387="",G387="❌ Отменена"),"",F387&amp;"#"&amp;COUNTIFS($F$5:F387,F387,$B$5:B387,"?*",$G$5:G387,"&lt;&gt;❌ Отменена"))</f>
        <v/>
      </c>
      <c r="M387" s="54">
        <f>IF(AND(B387&lt;&gt;"",F387&lt;&gt;"",F387&lt;TODAY(),AND(G387&lt;&gt;"✅ Выполнена",G387&lt;&gt;"❌ Отменена")),MAX($M$4:M386)+1,"")</f>
        <v/>
      </c>
    </row>
    <row r="388">
      <c r="A388" s="49">
        <f>IF(B388="","",COUNTA($B$5:B388))</f>
        <v/>
      </c>
      <c r="B388" s="50" t="n"/>
      <c r="C388" s="51" t="n"/>
      <c r="D388" s="51" t="n"/>
      <c r="E388" s="52" t="n"/>
      <c r="F388" s="53" t="n"/>
      <c r="G388" s="51" t="n"/>
      <c r="H388" s="53" t="n"/>
      <c r="I388" s="51" t="n"/>
      <c r="J388" s="54">
        <f>IF(OR(B388="",F388="",NOT(AND(G388&lt;&gt;"✅ Выполнена",G388&lt;&gt;"❌ Отменена"))),"",IF(F388&lt;TODAY(),"❗ просрочено "&amp;(TODAY()-F388)&amp;" дн.",IF(F388=TODAY(),"🔥 сегодня",IF(F388-TODAY()&lt;=3,"⏳ через "&amp;(F388-TODAY())&amp;" дн.",""))))</f>
        <v/>
      </c>
      <c r="K388" s="54">
        <f>IF(B388="","",IF(G388="✅ Выполнена","✔ ",IF(G388="❌ Отменена","✖ ",IF(AND(F388&lt;&gt;"",F388&lt;TODAY()),"❗ ","☐ ")))&amp;B388&amp;IF(E388="🔥 Высокий"," 🔥",""))</f>
        <v/>
      </c>
      <c r="L388" s="54">
        <f>IF(OR(B388="",F388="",G388="❌ Отменена"),"",F388&amp;"#"&amp;COUNTIFS($F$5:F388,F388,$B$5:B388,"?*",$G$5:G388,"&lt;&gt;❌ Отменена"))</f>
        <v/>
      </c>
      <c r="M388" s="54">
        <f>IF(AND(B388&lt;&gt;"",F388&lt;&gt;"",F388&lt;TODAY(),AND(G388&lt;&gt;"✅ Выполнена",G388&lt;&gt;"❌ Отменена")),MAX($M$4:M387)+1,"")</f>
        <v/>
      </c>
    </row>
    <row r="389">
      <c r="A389" s="49">
        <f>IF(B389="","",COUNTA($B$5:B389))</f>
        <v/>
      </c>
      <c r="B389" s="50" t="n"/>
      <c r="C389" s="51" t="n"/>
      <c r="D389" s="51" t="n"/>
      <c r="E389" s="52" t="n"/>
      <c r="F389" s="53" t="n"/>
      <c r="G389" s="51" t="n"/>
      <c r="H389" s="53" t="n"/>
      <c r="I389" s="51" t="n"/>
      <c r="J389" s="54">
        <f>IF(OR(B389="",F389="",NOT(AND(G389&lt;&gt;"✅ Выполнена",G389&lt;&gt;"❌ Отменена"))),"",IF(F389&lt;TODAY(),"❗ просрочено "&amp;(TODAY()-F389)&amp;" дн.",IF(F389=TODAY(),"🔥 сегодня",IF(F389-TODAY()&lt;=3,"⏳ через "&amp;(F389-TODAY())&amp;" дн.",""))))</f>
        <v/>
      </c>
      <c r="K389" s="54">
        <f>IF(B389="","",IF(G389="✅ Выполнена","✔ ",IF(G389="❌ Отменена","✖ ",IF(AND(F389&lt;&gt;"",F389&lt;TODAY()),"❗ ","☐ ")))&amp;B389&amp;IF(E389="🔥 Высокий"," 🔥",""))</f>
        <v/>
      </c>
      <c r="L389" s="54">
        <f>IF(OR(B389="",F389="",G389="❌ Отменена"),"",F389&amp;"#"&amp;COUNTIFS($F$5:F389,F389,$B$5:B389,"?*",$G$5:G389,"&lt;&gt;❌ Отменена"))</f>
        <v/>
      </c>
      <c r="M389" s="54">
        <f>IF(AND(B389&lt;&gt;"",F389&lt;&gt;"",F389&lt;TODAY(),AND(G389&lt;&gt;"✅ Выполнена",G389&lt;&gt;"❌ Отменена")),MAX($M$4:M388)+1,"")</f>
        <v/>
      </c>
    </row>
    <row r="390">
      <c r="A390" s="49">
        <f>IF(B390="","",COUNTA($B$5:B390))</f>
        <v/>
      </c>
      <c r="B390" s="50" t="n"/>
      <c r="C390" s="51" t="n"/>
      <c r="D390" s="51" t="n"/>
      <c r="E390" s="52" t="n"/>
      <c r="F390" s="53" t="n"/>
      <c r="G390" s="51" t="n"/>
      <c r="H390" s="53" t="n"/>
      <c r="I390" s="51" t="n"/>
      <c r="J390" s="54">
        <f>IF(OR(B390="",F390="",NOT(AND(G390&lt;&gt;"✅ Выполнена",G390&lt;&gt;"❌ Отменена"))),"",IF(F390&lt;TODAY(),"❗ просрочено "&amp;(TODAY()-F390)&amp;" дн.",IF(F390=TODAY(),"🔥 сегодня",IF(F390-TODAY()&lt;=3,"⏳ через "&amp;(F390-TODAY())&amp;" дн.",""))))</f>
        <v/>
      </c>
      <c r="K390" s="54">
        <f>IF(B390="","",IF(G390="✅ Выполнена","✔ ",IF(G390="❌ Отменена","✖ ",IF(AND(F390&lt;&gt;"",F390&lt;TODAY()),"❗ ","☐ ")))&amp;B390&amp;IF(E390="🔥 Высокий"," 🔥",""))</f>
        <v/>
      </c>
      <c r="L390" s="54">
        <f>IF(OR(B390="",F390="",G390="❌ Отменена"),"",F390&amp;"#"&amp;COUNTIFS($F$5:F390,F390,$B$5:B390,"?*",$G$5:G390,"&lt;&gt;❌ Отменена"))</f>
        <v/>
      </c>
      <c r="M390" s="54">
        <f>IF(AND(B390&lt;&gt;"",F390&lt;&gt;"",F390&lt;TODAY(),AND(G390&lt;&gt;"✅ Выполнена",G390&lt;&gt;"❌ Отменена")),MAX($M$4:M389)+1,"")</f>
        <v/>
      </c>
    </row>
    <row r="391">
      <c r="A391" s="49">
        <f>IF(B391="","",COUNTA($B$5:B391))</f>
        <v/>
      </c>
      <c r="B391" s="50" t="n"/>
      <c r="C391" s="51" t="n"/>
      <c r="D391" s="51" t="n"/>
      <c r="E391" s="52" t="n"/>
      <c r="F391" s="53" t="n"/>
      <c r="G391" s="51" t="n"/>
      <c r="H391" s="53" t="n"/>
      <c r="I391" s="51" t="n"/>
      <c r="J391" s="54">
        <f>IF(OR(B391="",F391="",NOT(AND(G391&lt;&gt;"✅ Выполнена",G391&lt;&gt;"❌ Отменена"))),"",IF(F391&lt;TODAY(),"❗ просрочено "&amp;(TODAY()-F391)&amp;" дн.",IF(F391=TODAY(),"🔥 сегодня",IF(F391-TODAY()&lt;=3,"⏳ через "&amp;(F391-TODAY())&amp;" дн.",""))))</f>
        <v/>
      </c>
      <c r="K391" s="54">
        <f>IF(B391="","",IF(G391="✅ Выполнена","✔ ",IF(G391="❌ Отменена","✖ ",IF(AND(F391&lt;&gt;"",F391&lt;TODAY()),"❗ ","☐ ")))&amp;B391&amp;IF(E391="🔥 Высокий"," 🔥",""))</f>
        <v/>
      </c>
      <c r="L391" s="54">
        <f>IF(OR(B391="",F391="",G391="❌ Отменена"),"",F391&amp;"#"&amp;COUNTIFS($F$5:F391,F391,$B$5:B391,"?*",$G$5:G391,"&lt;&gt;❌ Отменена"))</f>
        <v/>
      </c>
      <c r="M391" s="54">
        <f>IF(AND(B391&lt;&gt;"",F391&lt;&gt;"",F391&lt;TODAY(),AND(G391&lt;&gt;"✅ Выполнена",G391&lt;&gt;"❌ Отменена")),MAX($M$4:M390)+1,"")</f>
        <v/>
      </c>
    </row>
    <row r="392">
      <c r="A392" s="49">
        <f>IF(B392="","",COUNTA($B$5:B392))</f>
        <v/>
      </c>
      <c r="B392" s="50" t="n"/>
      <c r="C392" s="51" t="n"/>
      <c r="D392" s="51" t="n"/>
      <c r="E392" s="52" t="n"/>
      <c r="F392" s="53" t="n"/>
      <c r="G392" s="51" t="n"/>
      <c r="H392" s="53" t="n"/>
      <c r="I392" s="51" t="n"/>
      <c r="J392" s="54">
        <f>IF(OR(B392="",F392="",NOT(AND(G392&lt;&gt;"✅ Выполнена",G392&lt;&gt;"❌ Отменена"))),"",IF(F392&lt;TODAY(),"❗ просрочено "&amp;(TODAY()-F392)&amp;" дн.",IF(F392=TODAY(),"🔥 сегодня",IF(F392-TODAY()&lt;=3,"⏳ через "&amp;(F392-TODAY())&amp;" дн.",""))))</f>
        <v/>
      </c>
      <c r="K392" s="54">
        <f>IF(B392="","",IF(G392="✅ Выполнена","✔ ",IF(G392="❌ Отменена","✖ ",IF(AND(F392&lt;&gt;"",F392&lt;TODAY()),"❗ ","☐ ")))&amp;B392&amp;IF(E392="🔥 Высокий"," 🔥",""))</f>
        <v/>
      </c>
      <c r="L392" s="54">
        <f>IF(OR(B392="",F392="",G392="❌ Отменена"),"",F392&amp;"#"&amp;COUNTIFS($F$5:F392,F392,$B$5:B392,"?*",$G$5:G392,"&lt;&gt;❌ Отменена"))</f>
        <v/>
      </c>
      <c r="M392" s="54">
        <f>IF(AND(B392&lt;&gt;"",F392&lt;&gt;"",F392&lt;TODAY(),AND(G392&lt;&gt;"✅ Выполнена",G392&lt;&gt;"❌ Отменена")),MAX($M$4:M391)+1,"")</f>
        <v/>
      </c>
    </row>
    <row r="393">
      <c r="A393" s="49">
        <f>IF(B393="","",COUNTA($B$5:B393))</f>
        <v/>
      </c>
      <c r="B393" s="50" t="n"/>
      <c r="C393" s="51" t="n"/>
      <c r="D393" s="51" t="n"/>
      <c r="E393" s="52" t="n"/>
      <c r="F393" s="53" t="n"/>
      <c r="G393" s="51" t="n"/>
      <c r="H393" s="53" t="n"/>
      <c r="I393" s="51" t="n"/>
      <c r="J393" s="54">
        <f>IF(OR(B393="",F393="",NOT(AND(G393&lt;&gt;"✅ Выполнена",G393&lt;&gt;"❌ Отменена"))),"",IF(F393&lt;TODAY(),"❗ просрочено "&amp;(TODAY()-F393)&amp;" дн.",IF(F393=TODAY(),"🔥 сегодня",IF(F393-TODAY()&lt;=3,"⏳ через "&amp;(F393-TODAY())&amp;" дн.",""))))</f>
        <v/>
      </c>
      <c r="K393" s="54">
        <f>IF(B393="","",IF(G393="✅ Выполнена","✔ ",IF(G393="❌ Отменена","✖ ",IF(AND(F393&lt;&gt;"",F393&lt;TODAY()),"❗ ","☐ ")))&amp;B393&amp;IF(E393="🔥 Высокий"," 🔥",""))</f>
        <v/>
      </c>
      <c r="L393" s="54">
        <f>IF(OR(B393="",F393="",G393="❌ Отменена"),"",F393&amp;"#"&amp;COUNTIFS($F$5:F393,F393,$B$5:B393,"?*",$G$5:G393,"&lt;&gt;❌ Отменена"))</f>
        <v/>
      </c>
      <c r="M393" s="54">
        <f>IF(AND(B393&lt;&gt;"",F393&lt;&gt;"",F393&lt;TODAY(),AND(G393&lt;&gt;"✅ Выполнена",G393&lt;&gt;"❌ Отменена")),MAX($M$4:M392)+1,"")</f>
        <v/>
      </c>
    </row>
    <row r="394">
      <c r="A394" s="49">
        <f>IF(B394="","",COUNTA($B$5:B394))</f>
        <v/>
      </c>
      <c r="B394" s="50" t="n"/>
      <c r="C394" s="51" t="n"/>
      <c r="D394" s="51" t="n"/>
      <c r="E394" s="52" t="n"/>
      <c r="F394" s="53" t="n"/>
      <c r="G394" s="51" t="n"/>
      <c r="H394" s="53" t="n"/>
      <c r="I394" s="51" t="n"/>
      <c r="J394" s="54">
        <f>IF(OR(B394="",F394="",NOT(AND(G394&lt;&gt;"✅ Выполнена",G394&lt;&gt;"❌ Отменена"))),"",IF(F394&lt;TODAY(),"❗ просрочено "&amp;(TODAY()-F394)&amp;" дн.",IF(F394=TODAY(),"🔥 сегодня",IF(F394-TODAY()&lt;=3,"⏳ через "&amp;(F394-TODAY())&amp;" дн.",""))))</f>
        <v/>
      </c>
      <c r="K394" s="54">
        <f>IF(B394="","",IF(G394="✅ Выполнена","✔ ",IF(G394="❌ Отменена","✖ ",IF(AND(F394&lt;&gt;"",F394&lt;TODAY()),"❗ ","☐ ")))&amp;B394&amp;IF(E394="🔥 Высокий"," 🔥",""))</f>
        <v/>
      </c>
      <c r="L394" s="54">
        <f>IF(OR(B394="",F394="",G394="❌ Отменена"),"",F394&amp;"#"&amp;COUNTIFS($F$5:F394,F394,$B$5:B394,"?*",$G$5:G394,"&lt;&gt;❌ Отменена"))</f>
        <v/>
      </c>
      <c r="M394" s="54">
        <f>IF(AND(B394&lt;&gt;"",F394&lt;&gt;"",F394&lt;TODAY(),AND(G394&lt;&gt;"✅ Выполнена",G394&lt;&gt;"❌ Отменена")),MAX($M$4:M393)+1,"")</f>
        <v/>
      </c>
    </row>
    <row r="395">
      <c r="A395" s="49">
        <f>IF(B395="","",COUNTA($B$5:B395))</f>
        <v/>
      </c>
      <c r="B395" s="50" t="n"/>
      <c r="C395" s="51" t="n"/>
      <c r="D395" s="51" t="n"/>
      <c r="E395" s="52" t="n"/>
      <c r="F395" s="53" t="n"/>
      <c r="G395" s="51" t="n"/>
      <c r="H395" s="53" t="n"/>
      <c r="I395" s="51" t="n"/>
      <c r="J395" s="54">
        <f>IF(OR(B395="",F395="",NOT(AND(G395&lt;&gt;"✅ Выполнена",G395&lt;&gt;"❌ Отменена"))),"",IF(F395&lt;TODAY(),"❗ просрочено "&amp;(TODAY()-F395)&amp;" дн.",IF(F395=TODAY(),"🔥 сегодня",IF(F395-TODAY()&lt;=3,"⏳ через "&amp;(F395-TODAY())&amp;" дн.",""))))</f>
        <v/>
      </c>
      <c r="K395" s="54">
        <f>IF(B395="","",IF(G395="✅ Выполнена","✔ ",IF(G395="❌ Отменена","✖ ",IF(AND(F395&lt;&gt;"",F395&lt;TODAY()),"❗ ","☐ ")))&amp;B395&amp;IF(E395="🔥 Высокий"," 🔥",""))</f>
        <v/>
      </c>
      <c r="L395" s="54">
        <f>IF(OR(B395="",F395="",G395="❌ Отменена"),"",F395&amp;"#"&amp;COUNTIFS($F$5:F395,F395,$B$5:B395,"?*",$G$5:G395,"&lt;&gt;❌ Отменена"))</f>
        <v/>
      </c>
      <c r="M395" s="54">
        <f>IF(AND(B395&lt;&gt;"",F395&lt;&gt;"",F395&lt;TODAY(),AND(G395&lt;&gt;"✅ Выполнена",G395&lt;&gt;"❌ Отменена")),MAX($M$4:M394)+1,"")</f>
        <v/>
      </c>
    </row>
    <row r="396">
      <c r="A396" s="49">
        <f>IF(B396="","",COUNTA($B$5:B396))</f>
        <v/>
      </c>
      <c r="B396" s="50" t="n"/>
      <c r="C396" s="51" t="n"/>
      <c r="D396" s="51" t="n"/>
      <c r="E396" s="52" t="n"/>
      <c r="F396" s="53" t="n"/>
      <c r="G396" s="51" t="n"/>
      <c r="H396" s="53" t="n"/>
      <c r="I396" s="51" t="n"/>
      <c r="J396" s="54">
        <f>IF(OR(B396="",F396="",NOT(AND(G396&lt;&gt;"✅ Выполнена",G396&lt;&gt;"❌ Отменена"))),"",IF(F396&lt;TODAY(),"❗ просрочено "&amp;(TODAY()-F396)&amp;" дн.",IF(F396=TODAY(),"🔥 сегодня",IF(F396-TODAY()&lt;=3,"⏳ через "&amp;(F396-TODAY())&amp;" дн.",""))))</f>
        <v/>
      </c>
      <c r="K396" s="54">
        <f>IF(B396="","",IF(G396="✅ Выполнена","✔ ",IF(G396="❌ Отменена","✖ ",IF(AND(F396&lt;&gt;"",F396&lt;TODAY()),"❗ ","☐ ")))&amp;B396&amp;IF(E396="🔥 Высокий"," 🔥",""))</f>
        <v/>
      </c>
      <c r="L396" s="54">
        <f>IF(OR(B396="",F396="",G396="❌ Отменена"),"",F396&amp;"#"&amp;COUNTIFS($F$5:F396,F396,$B$5:B396,"?*",$G$5:G396,"&lt;&gt;❌ Отменена"))</f>
        <v/>
      </c>
      <c r="M396" s="54">
        <f>IF(AND(B396&lt;&gt;"",F396&lt;&gt;"",F396&lt;TODAY(),AND(G396&lt;&gt;"✅ Выполнена",G396&lt;&gt;"❌ Отменена")),MAX($M$4:M395)+1,"")</f>
        <v/>
      </c>
    </row>
    <row r="397">
      <c r="A397" s="49">
        <f>IF(B397="","",COUNTA($B$5:B397))</f>
        <v/>
      </c>
      <c r="B397" s="50" t="n"/>
      <c r="C397" s="51" t="n"/>
      <c r="D397" s="51" t="n"/>
      <c r="E397" s="52" t="n"/>
      <c r="F397" s="53" t="n"/>
      <c r="G397" s="51" t="n"/>
      <c r="H397" s="53" t="n"/>
      <c r="I397" s="51" t="n"/>
      <c r="J397" s="54">
        <f>IF(OR(B397="",F397="",NOT(AND(G397&lt;&gt;"✅ Выполнена",G397&lt;&gt;"❌ Отменена"))),"",IF(F397&lt;TODAY(),"❗ просрочено "&amp;(TODAY()-F397)&amp;" дн.",IF(F397=TODAY(),"🔥 сегодня",IF(F397-TODAY()&lt;=3,"⏳ через "&amp;(F397-TODAY())&amp;" дн.",""))))</f>
        <v/>
      </c>
      <c r="K397" s="54">
        <f>IF(B397="","",IF(G397="✅ Выполнена","✔ ",IF(G397="❌ Отменена","✖ ",IF(AND(F397&lt;&gt;"",F397&lt;TODAY()),"❗ ","☐ ")))&amp;B397&amp;IF(E397="🔥 Высокий"," 🔥",""))</f>
        <v/>
      </c>
      <c r="L397" s="54">
        <f>IF(OR(B397="",F397="",G397="❌ Отменена"),"",F397&amp;"#"&amp;COUNTIFS($F$5:F397,F397,$B$5:B397,"?*",$G$5:G397,"&lt;&gt;❌ Отменена"))</f>
        <v/>
      </c>
      <c r="M397" s="54">
        <f>IF(AND(B397&lt;&gt;"",F397&lt;&gt;"",F397&lt;TODAY(),AND(G397&lt;&gt;"✅ Выполнена",G397&lt;&gt;"❌ Отменена")),MAX($M$4:M396)+1,"")</f>
        <v/>
      </c>
    </row>
    <row r="398">
      <c r="A398" s="49">
        <f>IF(B398="","",COUNTA($B$5:B398))</f>
        <v/>
      </c>
      <c r="B398" s="50" t="n"/>
      <c r="C398" s="51" t="n"/>
      <c r="D398" s="51" t="n"/>
      <c r="E398" s="52" t="n"/>
      <c r="F398" s="53" t="n"/>
      <c r="G398" s="51" t="n"/>
      <c r="H398" s="53" t="n"/>
      <c r="I398" s="51" t="n"/>
      <c r="J398" s="54">
        <f>IF(OR(B398="",F398="",NOT(AND(G398&lt;&gt;"✅ Выполнена",G398&lt;&gt;"❌ Отменена"))),"",IF(F398&lt;TODAY(),"❗ просрочено "&amp;(TODAY()-F398)&amp;" дн.",IF(F398=TODAY(),"🔥 сегодня",IF(F398-TODAY()&lt;=3,"⏳ через "&amp;(F398-TODAY())&amp;" дн.",""))))</f>
        <v/>
      </c>
      <c r="K398" s="54">
        <f>IF(B398="","",IF(G398="✅ Выполнена","✔ ",IF(G398="❌ Отменена","✖ ",IF(AND(F398&lt;&gt;"",F398&lt;TODAY()),"❗ ","☐ ")))&amp;B398&amp;IF(E398="🔥 Высокий"," 🔥",""))</f>
        <v/>
      </c>
      <c r="L398" s="54">
        <f>IF(OR(B398="",F398="",G398="❌ Отменена"),"",F398&amp;"#"&amp;COUNTIFS($F$5:F398,F398,$B$5:B398,"?*",$G$5:G398,"&lt;&gt;❌ Отменена"))</f>
        <v/>
      </c>
      <c r="M398" s="54">
        <f>IF(AND(B398&lt;&gt;"",F398&lt;&gt;"",F398&lt;TODAY(),AND(G398&lt;&gt;"✅ Выполнена",G398&lt;&gt;"❌ Отменена")),MAX($M$4:M397)+1,"")</f>
        <v/>
      </c>
    </row>
    <row r="399">
      <c r="A399" s="49">
        <f>IF(B399="","",COUNTA($B$5:B399))</f>
        <v/>
      </c>
      <c r="B399" s="50" t="n"/>
      <c r="C399" s="51" t="n"/>
      <c r="D399" s="51" t="n"/>
      <c r="E399" s="52" t="n"/>
      <c r="F399" s="53" t="n"/>
      <c r="G399" s="51" t="n"/>
      <c r="H399" s="53" t="n"/>
      <c r="I399" s="51" t="n"/>
      <c r="J399" s="54">
        <f>IF(OR(B399="",F399="",NOT(AND(G399&lt;&gt;"✅ Выполнена",G399&lt;&gt;"❌ Отменена"))),"",IF(F399&lt;TODAY(),"❗ просрочено "&amp;(TODAY()-F399)&amp;" дн.",IF(F399=TODAY(),"🔥 сегодня",IF(F399-TODAY()&lt;=3,"⏳ через "&amp;(F399-TODAY())&amp;" дн.",""))))</f>
        <v/>
      </c>
      <c r="K399" s="54">
        <f>IF(B399="","",IF(G399="✅ Выполнена","✔ ",IF(G399="❌ Отменена","✖ ",IF(AND(F399&lt;&gt;"",F399&lt;TODAY()),"❗ ","☐ ")))&amp;B399&amp;IF(E399="🔥 Высокий"," 🔥",""))</f>
        <v/>
      </c>
      <c r="L399" s="54">
        <f>IF(OR(B399="",F399="",G399="❌ Отменена"),"",F399&amp;"#"&amp;COUNTIFS($F$5:F399,F399,$B$5:B399,"?*",$G$5:G399,"&lt;&gt;❌ Отменена"))</f>
        <v/>
      </c>
      <c r="M399" s="54">
        <f>IF(AND(B399&lt;&gt;"",F399&lt;&gt;"",F399&lt;TODAY(),AND(G399&lt;&gt;"✅ Выполнена",G399&lt;&gt;"❌ Отменена")),MAX($M$4:M398)+1,"")</f>
        <v/>
      </c>
    </row>
    <row r="400">
      <c r="A400" s="49">
        <f>IF(B400="","",COUNTA($B$5:B400))</f>
        <v/>
      </c>
      <c r="B400" s="50" t="n"/>
      <c r="C400" s="51" t="n"/>
      <c r="D400" s="51" t="n"/>
      <c r="E400" s="52" t="n"/>
      <c r="F400" s="53" t="n"/>
      <c r="G400" s="51" t="n"/>
      <c r="H400" s="53" t="n"/>
      <c r="I400" s="51" t="n"/>
      <c r="J400" s="54">
        <f>IF(OR(B400="",F400="",NOT(AND(G400&lt;&gt;"✅ Выполнена",G400&lt;&gt;"❌ Отменена"))),"",IF(F400&lt;TODAY(),"❗ просрочено "&amp;(TODAY()-F400)&amp;" дн.",IF(F400=TODAY(),"🔥 сегодня",IF(F400-TODAY()&lt;=3,"⏳ через "&amp;(F400-TODAY())&amp;" дн.",""))))</f>
        <v/>
      </c>
      <c r="K400" s="54">
        <f>IF(B400="","",IF(G400="✅ Выполнена","✔ ",IF(G400="❌ Отменена","✖ ",IF(AND(F400&lt;&gt;"",F400&lt;TODAY()),"❗ ","☐ ")))&amp;B400&amp;IF(E400="🔥 Высокий"," 🔥",""))</f>
        <v/>
      </c>
      <c r="L400" s="54">
        <f>IF(OR(B400="",F400="",G400="❌ Отменена"),"",F400&amp;"#"&amp;COUNTIFS($F$5:F400,F400,$B$5:B400,"?*",$G$5:G400,"&lt;&gt;❌ Отменена"))</f>
        <v/>
      </c>
      <c r="M400" s="54">
        <f>IF(AND(B400&lt;&gt;"",F400&lt;&gt;"",F400&lt;TODAY(),AND(G400&lt;&gt;"✅ Выполнена",G400&lt;&gt;"❌ Отменена")),MAX($M$4:M399)+1,"")</f>
        <v/>
      </c>
    </row>
    <row r="401">
      <c r="A401" s="49">
        <f>IF(B401="","",COUNTA($B$5:B401))</f>
        <v/>
      </c>
      <c r="B401" s="50" t="n"/>
      <c r="C401" s="51" t="n"/>
      <c r="D401" s="51" t="n"/>
      <c r="E401" s="52" t="n"/>
      <c r="F401" s="53" t="n"/>
      <c r="G401" s="51" t="n"/>
      <c r="H401" s="53" t="n"/>
      <c r="I401" s="51" t="n"/>
      <c r="J401" s="54">
        <f>IF(OR(B401="",F401="",NOT(AND(G401&lt;&gt;"✅ Выполнена",G401&lt;&gt;"❌ Отменена"))),"",IF(F401&lt;TODAY(),"❗ просрочено "&amp;(TODAY()-F401)&amp;" дн.",IF(F401=TODAY(),"🔥 сегодня",IF(F401-TODAY()&lt;=3,"⏳ через "&amp;(F401-TODAY())&amp;" дн.",""))))</f>
        <v/>
      </c>
      <c r="K401" s="54">
        <f>IF(B401="","",IF(G401="✅ Выполнена","✔ ",IF(G401="❌ Отменена","✖ ",IF(AND(F401&lt;&gt;"",F401&lt;TODAY()),"❗ ","☐ ")))&amp;B401&amp;IF(E401="🔥 Высокий"," 🔥",""))</f>
        <v/>
      </c>
      <c r="L401" s="54">
        <f>IF(OR(B401="",F401="",G401="❌ Отменена"),"",F401&amp;"#"&amp;COUNTIFS($F$5:F401,F401,$B$5:B401,"?*",$G$5:G401,"&lt;&gt;❌ Отменена"))</f>
        <v/>
      </c>
      <c r="M401" s="54">
        <f>IF(AND(B401&lt;&gt;"",F401&lt;&gt;"",F401&lt;TODAY(),AND(G401&lt;&gt;"✅ Выполнена",G401&lt;&gt;"❌ Отменена")),MAX($M$4:M400)+1,"")</f>
        <v/>
      </c>
    </row>
    <row r="402">
      <c r="A402" s="49">
        <f>IF(B402="","",COUNTA($B$5:B402))</f>
        <v/>
      </c>
      <c r="B402" s="50" t="n"/>
      <c r="C402" s="51" t="n"/>
      <c r="D402" s="51" t="n"/>
      <c r="E402" s="52" t="n"/>
      <c r="F402" s="53" t="n"/>
      <c r="G402" s="51" t="n"/>
      <c r="H402" s="53" t="n"/>
      <c r="I402" s="51" t="n"/>
      <c r="J402" s="54">
        <f>IF(OR(B402="",F402="",NOT(AND(G402&lt;&gt;"✅ Выполнена",G402&lt;&gt;"❌ Отменена"))),"",IF(F402&lt;TODAY(),"❗ просрочено "&amp;(TODAY()-F402)&amp;" дн.",IF(F402=TODAY(),"🔥 сегодня",IF(F402-TODAY()&lt;=3,"⏳ через "&amp;(F402-TODAY())&amp;" дн.",""))))</f>
        <v/>
      </c>
      <c r="K402" s="54">
        <f>IF(B402="","",IF(G402="✅ Выполнена","✔ ",IF(G402="❌ Отменена","✖ ",IF(AND(F402&lt;&gt;"",F402&lt;TODAY()),"❗ ","☐ ")))&amp;B402&amp;IF(E402="🔥 Высокий"," 🔥",""))</f>
        <v/>
      </c>
      <c r="L402" s="54">
        <f>IF(OR(B402="",F402="",G402="❌ Отменена"),"",F402&amp;"#"&amp;COUNTIFS($F$5:F402,F402,$B$5:B402,"?*",$G$5:G402,"&lt;&gt;❌ Отменена"))</f>
        <v/>
      </c>
      <c r="M402" s="54">
        <f>IF(AND(B402&lt;&gt;"",F402&lt;&gt;"",F402&lt;TODAY(),AND(G402&lt;&gt;"✅ Выполнена",G402&lt;&gt;"❌ Отменена")),MAX($M$4:M401)+1,"")</f>
        <v/>
      </c>
    </row>
    <row r="403">
      <c r="A403" s="49">
        <f>IF(B403="","",COUNTA($B$5:B403))</f>
        <v/>
      </c>
      <c r="B403" s="50" t="n"/>
      <c r="C403" s="51" t="n"/>
      <c r="D403" s="51" t="n"/>
      <c r="E403" s="52" t="n"/>
      <c r="F403" s="53" t="n"/>
      <c r="G403" s="51" t="n"/>
      <c r="H403" s="53" t="n"/>
      <c r="I403" s="51" t="n"/>
      <c r="J403" s="54">
        <f>IF(OR(B403="",F403="",NOT(AND(G403&lt;&gt;"✅ Выполнена",G403&lt;&gt;"❌ Отменена"))),"",IF(F403&lt;TODAY(),"❗ просрочено "&amp;(TODAY()-F403)&amp;" дн.",IF(F403=TODAY(),"🔥 сегодня",IF(F403-TODAY()&lt;=3,"⏳ через "&amp;(F403-TODAY())&amp;" дн.",""))))</f>
        <v/>
      </c>
      <c r="K403" s="54">
        <f>IF(B403="","",IF(G403="✅ Выполнена","✔ ",IF(G403="❌ Отменена","✖ ",IF(AND(F403&lt;&gt;"",F403&lt;TODAY()),"❗ ","☐ ")))&amp;B403&amp;IF(E403="🔥 Высокий"," 🔥",""))</f>
        <v/>
      </c>
      <c r="L403" s="54">
        <f>IF(OR(B403="",F403="",G403="❌ Отменена"),"",F403&amp;"#"&amp;COUNTIFS($F$5:F403,F403,$B$5:B403,"?*",$G$5:G403,"&lt;&gt;❌ Отменена"))</f>
        <v/>
      </c>
      <c r="M403" s="54">
        <f>IF(AND(B403&lt;&gt;"",F403&lt;&gt;"",F403&lt;TODAY(),AND(G403&lt;&gt;"✅ Выполнена",G403&lt;&gt;"❌ Отменена")),MAX($M$4:M402)+1,"")</f>
        <v/>
      </c>
    </row>
    <row r="404">
      <c r="A404" s="49">
        <f>IF(B404="","",COUNTA($B$5:B404))</f>
        <v/>
      </c>
      <c r="B404" s="50" t="n"/>
      <c r="C404" s="51" t="n"/>
      <c r="D404" s="51" t="n"/>
      <c r="E404" s="52" t="n"/>
      <c r="F404" s="53" t="n"/>
      <c r="G404" s="51" t="n"/>
      <c r="H404" s="53" t="n"/>
      <c r="I404" s="51" t="n"/>
      <c r="J404" s="54">
        <f>IF(OR(B404="",F404="",NOT(AND(G404&lt;&gt;"✅ Выполнена",G404&lt;&gt;"❌ Отменена"))),"",IF(F404&lt;TODAY(),"❗ просрочено "&amp;(TODAY()-F404)&amp;" дн.",IF(F404=TODAY(),"🔥 сегодня",IF(F404-TODAY()&lt;=3,"⏳ через "&amp;(F404-TODAY())&amp;" дн.",""))))</f>
        <v/>
      </c>
      <c r="K404" s="54">
        <f>IF(B404="","",IF(G404="✅ Выполнена","✔ ",IF(G404="❌ Отменена","✖ ",IF(AND(F404&lt;&gt;"",F404&lt;TODAY()),"❗ ","☐ ")))&amp;B404&amp;IF(E404="🔥 Высокий"," 🔥",""))</f>
        <v/>
      </c>
      <c r="L404" s="54">
        <f>IF(OR(B404="",F404="",G404="❌ Отменена"),"",F404&amp;"#"&amp;COUNTIFS($F$5:F404,F404,$B$5:B404,"?*",$G$5:G404,"&lt;&gt;❌ Отменена"))</f>
        <v/>
      </c>
      <c r="M404" s="54">
        <f>IF(AND(B404&lt;&gt;"",F404&lt;&gt;"",F404&lt;TODAY(),AND(G404&lt;&gt;"✅ Выполнена",G404&lt;&gt;"❌ Отменена")),MAX($M$4:M403)+1,"")</f>
        <v/>
      </c>
    </row>
    <row r="405">
      <c r="A405" s="49">
        <f>IF(B405="","",COUNTA($B$5:B405))</f>
        <v/>
      </c>
      <c r="B405" s="50" t="n"/>
      <c r="C405" s="51" t="n"/>
      <c r="D405" s="51" t="n"/>
      <c r="E405" s="52" t="n"/>
      <c r="F405" s="53" t="n"/>
      <c r="G405" s="51" t="n"/>
      <c r="H405" s="53" t="n"/>
      <c r="I405" s="51" t="n"/>
      <c r="J405" s="54">
        <f>IF(OR(B405="",F405="",NOT(AND(G405&lt;&gt;"✅ Выполнена",G405&lt;&gt;"❌ Отменена"))),"",IF(F405&lt;TODAY(),"❗ просрочено "&amp;(TODAY()-F405)&amp;" дн.",IF(F405=TODAY(),"🔥 сегодня",IF(F405-TODAY()&lt;=3,"⏳ через "&amp;(F405-TODAY())&amp;" дн.",""))))</f>
        <v/>
      </c>
      <c r="K405" s="54">
        <f>IF(B405="","",IF(G405="✅ Выполнена","✔ ",IF(G405="❌ Отменена","✖ ",IF(AND(F405&lt;&gt;"",F405&lt;TODAY()),"❗ ","☐ ")))&amp;B405&amp;IF(E405="🔥 Высокий"," 🔥",""))</f>
        <v/>
      </c>
      <c r="L405" s="54">
        <f>IF(OR(B405="",F405="",G405="❌ Отменена"),"",F405&amp;"#"&amp;COUNTIFS($F$5:F405,F405,$B$5:B405,"?*",$G$5:G405,"&lt;&gt;❌ Отменена"))</f>
        <v/>
      </c>
      <c r="M405" s="54">
        <f>IF(AND(B405&lt;&gt;"",F405&lt;&gt;"",F405&lt;TODAY(),AND(G405&lt;&gt;"✅ Выполнена",G405&lt;&gt;"❌ Отменена")),MAX($M$4:M404)+1,"")</f>
        <v/>
      </c>
    </row>
    <row r="406">
      <c r="A406" s="49">
        <f>IF(B406="","",COUNTA($B$5:B406))</f>
        <v/>
      </c>
      <c r="B406" s="50" t="n"/>
      <c r="C406" s="51" t="n"/>
      <c r="D406" s="51" t="n"/>
      <c r="E406" s="52" t="n"/>
      <c r="F406" s="53" t="n"/>
      <c r="G406" s="51" t="n"/>
      <c r="H406" s="53" t="n"/>
      <c r="I406" s="51" t="n"/>
      <c r="J406" s="54">
        <f>IF(OR(B406="",F406="",NOT(AND(G406&lt;&gt;"✅ Выполнена",G406&lt;&gt;"❌ Отменена"))),"",IF(F406&lt;TODAY(),"❗ просрочено "&amp;(TODAY()-F406)&amp;" дн.",IF(F406=TODAY(),"🔥 сегодня",IF(F406-TODAY()&lt;=3,"⏳ через "&amp;(F406-TODAY())&amp;" дн.",""))))</f>
        <v/>
      </c>
      <c r="K406" s="54">
        <f>IF(B406="","",IF(G406="✅ Выполнена","✔ ",IF(G406="❌ Отменена","✖ ",IF(AND(F406&lt;&gt;"",F406&lt;TODAY()),"❗ ","☐ ")))&amp;B406&amp;IF(E406="🔥 Высокий"," 🔥",""))</f>
        <v/>
      </c>
      <c r="L406" s="54">
        <f>IF(OR(B406="",F406="",G406="❌ Отменена"),"",F406&amp;"#"&amp;COUNTIFS($F$5:F406,F406,$B$5:B406,"?*",$G$5:G406,"&lt;&gt;❌ Отменена"))</f>
        <v/>
      </c>
      <c r="M406" s="54">
        <f>IF(AND(B406&lt;&gt;"",F406&lt;&gt;"",F406&lt;TODAY(),AND(G406&lt;&gt;"✅ Выполнена",G406&lt;&gt;"❌ Отменена")),MAX($M$4:M405)+1,"")</f>
        <v/>
      </c>
    </row>
    <row r="407">
      <c r="A407" s="49">
        <f>IF(B407="","",COUNTA($B$5:B407))</f>
        <v/>
      </c>
      <c r="B407" s="50" t="n"/>
      <c r="C407" s="51" t="n"/>
      <c r="D407" s="51" t="n"/>
      <c r="E407" s="52" t="n"/>
      <c r="F407" s="53" t="n"/>
      <c r="G407" s="51" t="n"/>
      <c r="H407" s="53" t="n"/>
      <c r="I407" s="51" t="n"/>
      <c r="J407" s="54">
        <f>IF(OR(B407="",F407="",NOT(AND(G407&lt;&gt;"✅ Выполнена",G407&lt;&gt;"❌ Отменена"))),"",IF(F407&lt;TODAY(),"❗ просрочено "&amp;(TODAY()-F407)&amp;" дн.",IF(F407=TODAY(),"🔥 сегодня",IF(F407-TODAY()&lt;=3,"⏳ через "&amp;(F407-TODAY())&amp;" дн.",""))))</f>
        <v/>
      </c>
      <c r="K407" s="54">
        <f>IF(B407="","",IF(G407="✅ Выполнена","✔ ",IF(G407="❌ Отменена","✖ ",IF(AND(F407&lt;&gt;"",F407&lt;TODAY()),"❗ ","☐ ")))&amp;B407&amp;IF(E407="🔥 Высокий"," 🔥",""))</f>
        <v/>
      </c>
      <c r="L407" s="54">
        <f>IF(OR(B407="",F407="",G407="❌ Отменена"),"",F407&amp;"#"&amp;COUNTIFS($F$5:F407,F407,$B$5:B407,"?*",$G$5:G407,"&lt;&gt;❌ Отменена"))</f>
        <v/>
      </c>
      <c r="M407" s="54">
        <f>IF(AND(B407&lt;&gt;"",F407&lt;&gt;"",F407&lt;TODAY(),AND(G407&lt;&gt;"✅ Выполнена",G407&lt;&gt;"❌ Отменена")),MAX($M$4:M406)+1,"")</f>
        <v/>
      </c>
    </row>
    <row r="408">
      <c r="A408" s="49">
        <f>IF(B408="","",COUNTA($B$5:B408))</f>
        <v/>
      </c>
      <c r="B408" s="50" t="n"/>
      <c r="C408" s="51" t="n"/>
      <c r="D408" s="51" t="n"/>
      <c r="E408" s="52" t="n"/>
      <c r="F408" s="53" t="n"/>
      <c r="G408" s="51" t="n"/>
      <c r="H408" s="53" t="n"/>
      <c r="I408" s="51" t="n"/>
      <c r="J408" s="54">
        <f>IF(OR(B408="",F408="",NOT(AND(G408&lt;&gt;"✅ Выполнена",G408&lt;&gt;"❌ Отменена"))),"",IF(F408&lt;TODAY(),"❗ просрочено "&amp;(TODAY()-F408)&amp;" дн.",IF(F408=TODAY(),"🔥 сегодня",IF(F408-TODAY()&lt;=3,"⏳ через "&amp;(F408-TODAY())&amp;" дн.",""))))</f>
        <v/>
      </c>
      <c r="K408" s="54">
        <f>IF(B408="","",IF(G408="✅ Выполнена","✔ ",IF(G408="❌ Отменена","✖ ",IF(AND(F408&lt;&gt;"",F408&lt;TODAY()),"❗ ","☐ ")))&amp;B408&amp;IF(E408="🔥 Высокий"," 🔥",""))</f>
        <v/>
      </c>
      <c r="L408" s="54">
        <f>IF(OR(B408="",F408="",G408="❌ Отменена"),"",F408&amp;"#"&amp;COUNTIFS($F$5:F408,F408,$B$5:B408,"?*",$G$5:G408,"&lt;&gt;❌ Отменена"))</f>
        <v/>
      </c>
      <c r="M408" s="54">
        <f>IF(AND(B408&lt;&gt;"",F408&lt;&gt;"",F408&lt;TODAY(),AND(G408&lt;&gt;"✅ Выполнена",G408&lt;&gt;"❌ Отменена")),MAX($M$4:M407)+1,"")</f>
        <v/>
      </c>
    </row>
    <row r="409">
      <c r="A409" s="49">
        <f>IF(B409="","",COUNTA($B$5:B409))</f>
        <v/>
      </c>
      <c r="B409" s="50" t="n"/>
      <c r="C409" s="51" t="n"/>
      <c r="D409" s="51" t="n"/>
      <c r="E409" s="52" t="n"/>
      <c r="F409" s="53" t="n"/>
      <c r="G409" s="51" t="n"/>
      <c r="H409" s="53" t="n"/>
      <c r="I409" s="51" t="n"/>
      <c r="J409" s="54">
        <f>IF(OR(B409="",F409="",NOT(AND(G409&lt;&gt;"✅ Выполнена",G409&lt;&gt;"❌ Отменена"))),"",IF(F409&lt;TODAY(),"❗ просрочено "&amp;(TODAY()-F409)&amp;" дн.",IF(F409=TODAY(),"🔥 сегодня",IF(F409-TODAY()&lt;=3,"⏳ через "&amp;(F409-TODAY())&amp;" дн.",""))))</f>
        <v/>
      </c>
      <c r="K409" s="54">
        <f>IF(B409="","",IF(G409="✅ Выполнена","✔ ",IF(G409="❌ Отменена","✖ ",IF(AND(F409&lt;&gt;"",F409&lt;TODAY()),"❗ ","☐ ")))&amp;B409&amp;IF(E409="🔥 Высокий"," 🔥",""))</f>
        <v/>
      </c>
      <c r="L409" s="54">
        <f>IF(OR(B409="",F409="",G409="❌ Отменена"),"",F409&amp;"#"&amp;COUNTIFS($F$5:F409,F409,$B$5:B409,"?*",$G$5:G409,"&lt;&gt;❌ Отменена"))</f>
        <v/>
      </c>
      <c r="M409" s="54">
        <f>IF(AND(B409&lt;&gt;"",F409&lt;&gt;"",F409&lt;TODAY(),AND(G409&lt;&gt;"✅ Выполнена",G409&lt;&gt;"❌ Отменена")),MAX($M$4:M408)+1,"")</f>
        <v/>
      </c>
    </row>
    <row r="410">
      <c r="A410" s="49">
        <f>IF(B410="","",COUNTA($B$5:B410))</f>
        <v/>
      </c>
      <c r="B410" s="50" t="n"/>
      <c r="C410" s="51" t="n"/>
      <c r="D410" s="51" t="n"/>
      <c r="E410" s="52" t="n"/>
      <c r="F410" s="53" t="n"/>
      <c r="G410" s="51" t="n"/>
      <c r="H410" s="53" t="n"/>
      <c r="I410" s="51" t="n"/>
      <c r="J410" s="54">
        <f>IF(OR(B410="",F410="",NOT(AND(G410&lt;&gt;"✅ Выполнена",G410&lt;&gt;"❌ Отменена"))),"",IF(F410&lt;TODAY(),"❗ просрочено "&amp;(TODAY()-F410)&amp;" дн.",IF(F410=TODAY(),"🔥 сегодня",IF(F410-TODAY()&lt;=3,"⏳ через "&amp;(F410-TODAY())&amp;" дн.",""))))</f>
        <v/>
      </c>
      <c r="K410" s="54">
        <f>IF(B410="","",IF(G410="✅ Выполнена","✔ ",IF(G410="❌ Отменена","✖ ",IF(AND(F410&lt;&gt;"",F410&lt;TODAY()),"❗ ","☐ ")))&amp;B410&amp;IF(E410="🔥 Высокий"," 🔥",""))</f>
        <v/>
      </c>
      <c r="L410" s="54">
        <f>IF(OR(B410="",F410="",G410="❌ Отменена"),"",F410&amp;"#"&amp;COUNTIFS($F$5:F410,F410,$B$5:B410,"?*",$G$5:G410,"&lt;&gt;❌ Отменена"))</f>
        <v/>
      </c>
      <c r="M410" s="54">
        <f>IF(AND(B410&lt;&gt;"",F410&lt;&gt;"",F410&lt;TODAY(),AND(G410&lt;&gt;"✅ Выполнена",G410&lt;&gt;"❌ Отменена")),MAX($M$4:M409)+1,"")</f>
        <v/>
      </c>
    </row>
    <row r="411">
      <c r="A411" s="49">
        <f>IF(B411="","",COUNTA($B$5:B411))</f>
        <v/>
      </c>
      <c r="B411" s="50" t="n"/>
      <c r="C411" s="51" t="n"/>
      <c r="D411" s="51" t="n"/>
      <c r="E411" s="52" t="n"/>
      <c r="F411" s="53" t="n"/>
      <c r="G411" s="51" t="n"/>
      <c r="H411" s="53" t="n"/>
      <c r="I411" s="51" t="n"/>
      <c r="J411" s="54">
        <f>IF(OR(B411="",F411="",NOT(AND(G411&lt;&gt;"✅ Выполнена",G411&lt;&gt;"❌ Отменена"))),"",IF(F411&lt;TODAY(),"❗ просрочено "&amp;(TODAY()-F411)&amp;" дн.",IF(F411=TODAY(),"🔥 сегодня",IF(F411-TODAY()&lt;=3,"⏳ через "&amp;(F411-TODAY())&amp;" дн.",""))))</f>
        <v/>
      </c>
      <c r="K411" s="54">
        <f>IF(B411="","",IF(G411="✅ Выполнена","✔ ",IF(G411="❌ Отменена","✖ ",IF(AND(F411&lt;&gt;"",F411&lt;TODAY()),"❗ ","☐ ")))&amp;B411&amp;IF(E411="🔥 Высокий"," 🔥",""))</f>
        <v/>
      </c>
      <c r="L411" s="54">
        <f>IF(OR(B411="",F411="",G411="❌ Отменена"),"",F411&amp;"#"&amp;COUNTIFS($F$5:F411,F411,$B$5:B411,"?*",$G$5:G411,"&lt;&gt;❌ Отменена"))</f>
        <v/>
      </c>
      <c r="M411" s="54">
        <f>IF(AND(B411&lt;&gt;"",F411&lt;&gt;"",F411&lt;TODAY(),AND(G411&lt;&gt;"✅ Выполнена",G411&lt;&gt;"❌ Отменена")),MAX($M$4:M410)+1,"")</f>
        <v/>
      </c>
    </row>
    <row r="412">
      <c r="A412" s="49">
        <f>IF(B412="","",COUNTA($B$5:B412))</f>
        <v/>
      </c>
      <c r="B412" s="50" t="n"/>
      <c r="C412" s="51" t="n"/>
      <c r="D412" s="51" t="n"/>
      <c r="E412" s="52" t="n"/>
      <c r="F412" s="53" t="n"/>
      <c r="G412" s="51" t="n"/>
      <c r="H412" s="53" t="n"/>
      <c r="I412" s="51" t="n"/>
      <c r="J412" s="54">
        <f>IF(OR(B412="",F412="",NOT(AND(G412&lt;&gt;"✅ Выполнена",G412&lt;&gt;"❌ Отменена"))),"",IF(F412&lt;TODAY(),"❗ просрочено "&amp;(TODAY()-F412)&amp;" дн.",IF(F412=TODAY(),"🔥 сегодня",IF(F412-TODAY()&lt;=3,"⏳ через "&amp;(F412-TODAY())&amp;" дн.",""))))</f>
        <v/>
      </c>
      <c r="K412" s="54">
        <f>IF(B412="","",IF(G412="✅ Выполнена","✔ ",IF(G412="❌ Отменена","✖ ",IF(AND(F412&lt;&gt;"",F412&lt;TODAY()),"❗ ","☐ ")))&amp;B412&amp;IF(E412="🔥 Высокий"," 🔥",""))</f>
        <v/>
      </c>
      <c r="L412" s="54">
        <f>IF(OR(B412="",F412="",G412="❌ Отменена"),"",F412&amp;"#"&amp;COUNTIFS($F$5:F412,F412,$B$5:B412,"?*",$G$5:G412,"&lt;&gt;❌ Отменена"))</f>
        <v/>
      </c>
      <c r="M412" s="54">
        <f>IF(AND(B412&lt;&gt;"",F412&lt;&gt;"",F412&lt;TODAY(),AND(G412&lt;&gt;"✅ Выполнена",G412&lt;&gt;"❌ Отменена")),MAX($M$4:M411)+1,"")</f>
        <v/>
      </c>
    </row>
    <row r="413">
      <c r="A413" s="49">
        <f>IF(B413="","",COUNTA($B$5:B413))</f>
        <v/>
      </c>
      <c r="B413" s="50" t="n"/>
      <c r="C413" s="51" t="n"/>
      <c r="D413" s="51" t="n"/>
      <c r="E413" s="52" t="n"/>
      <c r="F413" s="53" t="n"/>
      <c r="G413" s="51" t="n"/>
      <c r="H413" s="53" t="n"/>
      <c r="I413" s="51" t="n"/>
      <c r="J413" s="54">
        <f>IF(OR(B413="",F413="",NOT(AND(G413&lt;&gt;"✅ Выполнена",G413&lt;&gt;"❌ Отменена"))),"",IF(F413&lt;TODAY(),"❗ просрочено "&amp;(TODAY()-F413)&amp;" дн.",IF(F413=TODAY(),"🔥 сегодня",IF(F413-TODAY()&lt;=3,"⏳ через "&amp;(F413-TODAY())&amp;" дн.",""))))</f>
        <v/>
      </c>
      <c r="K413" s="54">
        <f>IF(B413="","",IF(G413="✅ Выполнена","✔ ",IF(G413="❌ Отменена","✖ ",IF(AND(F413&lt;&gt;"",F413&lt;TODAY()),"❗ ","☐ ")))&amp;B413&amp;IF(E413="🔥 Высокий"," 🔥",""))</f>
        <v/>
      </c>
      <c r="L413" s="54">
        <f>IF(OR(B413="",F413="",G413="❌ Отменена"),"",F413&amp;"#"&amp;COUNTIFS($F$5:F413,F413,$B$5:B413,"?*",$G$5:G413,"&lt;&gt;❌ Отменена"))</f>
        <v/>
      </c>
      <c r="M413" s="54">
        <f>IF(AND(B413&lt;&gt;"",F413&lt;&gt;"",F413&lt;TODAY(),AND(G413&lt;&gt;"✅ Выполнена",G413&lt;&gt;"❌ Отменена")),MAX($M$4:M412)+1,"")</f>
        <v/>
      </c>
    </row>
    <row r="414">
      <c r="A414" s="49">
        <f>IF(B414="","",COUNTA($B$5:B414))</f>
        <v/>
      </c>
      <c r="B414" s="50" t="n"/>
      <c r="C414" s="51" t="n"/>
      <c r="D414" s="51" t="n"/>
      <c r="E414" s="52" t="n"/>
      <c r="F414" s="53" t="n"/>
      <c r="G414" s="51" t="n"/>
      <c r="H414" s="53" t="n"/>
      <c r="I414" s="51" t="n"/>
      <c r="J414" s="54">
        <f>IF(OR(B414="",F414="",NOT(AND(G414&lt;&gt;"✅ Выполнена",G414&lt;&gt;"❌ Отменена"))),"",IF(F414&lt;TODAY(),"❗ просрочено "&amp;(TODAY()-F414)&amp;" дн.",IF(F414=TODAY(),"🔥 сегодня",IF(F414-TODAY()&lt;=3,"⏳ через "&amp;(F414-TODAY())&amp;" дн.",""))))</f>
        <v/>
      </c>
      <c r="K414" s="54">
        <f>IF(B414="","",IF(G414="✅ Выполнена","✔ ",IF(G414="❌ Отменена","✖ ",IF(AND(F414&lt;&gt;"",F414&lt;TODAY()),"❗ ","☐ ")))&amp;B414&amp;IF(E414="🔥 Высокий"," 🔥",""))</f>
        <v/>
      </c>
      <c r="L414" s="54">
        <f>IF(OR(B414="",F414="",G414="❌ Отменена"),"",F414&amp;"#"&amp;COUNTIFS($F$5:F414,F414,$B$5:B414,"?*",$G$5:G414,"&lt;&gt;❌ Отменена"))</f>
        <v/>
      </c>
      <c r="M414" s="54">
        <f>IF(AND(B414&lt;&gt;"",F414&lt;&gt;"",F414&lt;TODAY(),AND(G414&lt;&gt;"✅ Выполнена",G414&lt;&gt;"❌ Отменена")),MAX($M$4:M413)+1,"")</f>
        <v/>
      </c>
    </row>
    <row r="415">
      <c r="A415" s="49">
        <f>IF(B415="","",COUNTA($B$5:B415))</f>
        <v/>
      </c>
      <c r="B415" s="50" t="n"/>
      <c r="C415" s="51" t="n"/>
      <c r="D415" s="51" t="n"/>
      <c r="E415" s="52" t="n"/>
      <c r="F415" s="53" t="n"/>
      <c r="G415" s="51" t="n"/>
      <c r="H415" s="53" t="n"/>
      <c r="I415" s="51" t="n"/>
      <c r="J415" s="54">
        <f>IF(OR(B415="",F415="",NOT(AND(G415&lt;&gt;"✅ Выполнена",G415&lt;&gt;"❌ Отменена"))),"",IF(F415&lt;TODAY(),"❗ просрочено "&amp;(TODAY()-F415)&amp;" дн.",IF(F415=TODAY(),"🔥 сегодня",IF(F415-TODAY()&lt;=3,"⏳ через "&amp;(F415-TODAY())&amp;" дн.",""))))</f>
        <v/>
      </c>
      <c r="K415" s="54">
        <f>IF(B415="","",IF(G415="✅ Выполнена","✔ ",IF(G415="❌ Отменена","✖ ",IF(AND(F415&lt;&gt;"",F415&lt;TODAY()),"❗ ","☐ ")))&amp;B415&amp;IF(E415="🔥 Высокий"," 🔥",""))</f>
        <v/>
      </c>
      <c r="L415" s="54">
        <f>IF(OR(B415="",F415="",G415="❌ Отменена"),"",F415&amp;"#"&amp;COUNTIFS($F$5:F415,F415,$B$5:B415,"?*",$G$5:G415,"&lt;&gt;❌ Отменена"))</f>
        <v/>
      </c>
      <c r="M415" s="54">
        <f>IF(AND(B415&lt;&gt;"",F415&lt;&gt;"",F415&lt;TODAY(),AND(G415&lt;&gt;"✅ Выполнена",G415&lt;&gt;"❌ Отменена")),MAX($M$4:M414)+1,"")</f>
        <v/>
      </c>
    </row>
    <row r="416">
      <c r="A416" s="49">
        <f>IF(B416="","",COUNTA($B$5:B416))</f>
        <v/>
      </c>
      <c r="B416" s="50" t="n"/>
      <c r="C416" s="51" t="n"/>
      <c r="D416" s="51" t="n"/>
      <c r="E416" s="52" t="n"/>
      <c r="F416" s="53" t="n"/>
      <c r="G416" s="51" t="n"/>
      <c r="H416" s="53" t="n"/>
      <c r="I416" s="51" t="n"/>
      <c r="J416" s="54">
        <f>IF(OR(B416="",F416="",NOT(AND(G416&lt;&gt;"✅ Выполнена",G416&lt;&gt;"❌ Отменена"))),"",IF(F416&lt;TODAY(),"❗ просрочено "&amp;(TODAY()-F416)&amp;" дн.",IF(F416=TODAY(),"🔥 сегодня",IF(F416-TODAY()&lt;=3,"⏳ через "&amp;(F416-TODAY())&amp;" дн.",""))))</f>
        <v/>
      </c>
      <c r="K416" s="54">
        <f>IF(B416="","",IF(G416="✅ Выполнена","✔ ",IF(G416="❌ Отменена","✖ ",IF(AND(F416&lt;&gt;"",F416&lt;TODAY()),"❗ ","☐ ")))&amp;B416&amp;IF(E416="🔥 Высокий"," 🔥",""))</f>
        <v/>
      </c>
      <c r="L416" s="54">
        <f>IF(OR(B416="",F416="",G416="❌ Отменена"),"",F416&amp;"#"&amp;COUNTIFS($F$5:F416,F416,$B$5:B416,"?*",$G$5:G416,"&lt;&gt;❌ Отменена"))</f>
        <v/>
      </c>
      <c r="M416" s="54">
        <f>IF(AND(B416&lt;&gt;"",F416&lt;&gt;"",F416&lt;TODAY(),AND(G416&lt;&gt;"✅ Выполнена",G416&lt;&gt;"❌ Отменена")),MAX($M$4:M415)+1,"")</f>
        <v/>
      </c>
    </row>
    <row r="417">
      <c r="A417" s="49">
        <f>IF(B417="","",COUNTA($B$5:B417))</f>
        <v/>
      </c>
      <c r="B417" s="50" t="n"/>
      <c r="C417" s="51" t="n"/>
      <c r="D417" s="51" t="n"/>
      <c r="E417" s="52" t="n"/>
      <c r="F417" s="53" t="n"/>
      <c r="G417" s="51" t="n"/>
      <c r="H417" s="53" t="n"/>
      <c r="I417" s="51" t="n"/>
      <c r="J417" s="54">
        <f>IF(OR(B417="",F417="",NOT(AND(G417&lt;&gt;"✅ Выполнена",G417&lt;&gt;"❌ Отменена"))),"",IF(F417&lt;TODAY(),"❗ просрочено "&amp;(TODAY()-F417)&amp;" дн.",IF(F417=TODAY(),"🔥 сегодня",IF(F417-TODAY()&lt;=3,"⏳ через "&amp;(F417-TODAY())&amp;" дн.",""))))</f>
        <v/>
      </c>
      <c r="K417" s="54">
        <f>IF(B417="","",IF(G417="✅ Выполнена","✔ ",IF(G417="❌ Отменена","✖ ",IF(AND(F417&lt;&gt;"",F417&lt;TODAY()),"❗ ","☐ ")))&amp;B417&amp;IF(E417="🔥 Высокий"," 🔥",""))</f>
        <v/>
      </c>
      <c r="L417" s="54">
        <f>IF(OR(B417="",F417="",G417="❌ Отменена"),"",F417&amp;"#"&amp;COUNTIFS($F$5:F417,F417,$B$5:B417,"?*",$G$5:G417,"&lt;&gt;❌ Отменена"))</f>
        <v/>
      </c>
      <c r="M417" s="54">
        <f>IF(AND(B417&lt;&gt;"",F417&lt;&gt;"",F417&lt;TODAY(),AND(G417&lt;&gt;"✅ Выполнена",G417&lt;&gt;"❌ Отменена")),MAX($M$4:M416)+1,"")</f>
        <v/>
      </c>
    </row>
    <row r="418">
      <c r="A418" s="49">
        <f>IF(B418="","",COUNTA($B$5:B418))</f>
        <v/>
      </c>
      <c r="B418" s="50" t="n"/>
      <c r="C418" s="51" t="n"/>
      <c r="D418" s="51" t="n"/>
      <c r="E418" s="52" t="n"/>
      <c r="F418" s="53" t="n"/>
      <c r="G418" s="51" t="n"/>
      <c r="H418" s="53" t="n"/>
      <c r="I418" s="51" t="n"/>
      <c r="J418" s="54">
        <f>IF(OR(B418="",F418="",NOT(AND(G418&lt;&gt;"✅ Выполнена",G418&lt;&gt;"❌ Отменена"))),"",IF(F418&lt;TODAY(),"❗ просрочено "&amp;(TODAY()-F418)&amp;" дн.",IF(F418=TODAY(),"🔥 сегодня",IF(F418-TODAY()&lt;=3,"⏳ через "&amp;(F418-TODAY())&amp;" дн.",""))))</f>
        <v/>
      </c>
      <c r="K418" s="54">
        <f>IF(B418="","",IF(G418="✅ Выполнена","✔ ",IF(G418="❌ Отменена","✖ ",IF(AND(F418&lt;&gt;"",F418&lt;TODAY()),"❗ ","☐ ")))&amp;B418&amp;IF(E418="🔥 Высокий"," 🔥",""))</f>
        <v/>
      </c>
      <c r="L418" s="54">
        <f>IF(OR(B418="",F418="",G418="❌ Отменена"),"",F418&amp;"#"&amp;COUNTIFS($F$5:F418,F418,$B$5:B418,"?*",$G$5:G418,"&lt;&gt;❌ Отменена"))</f>
        <v/>
      </c>
      <c r="M418" s="54">
        <f>IF(AND(B418&lt;&gt;"",F418&lt;&gt;"",F418&lt;TODAY(),AND(G418&lt;&gt;"✅ Выполнена",G418&lt;&gt;"❌ Отменена")),MAX($M$4:M417)+1,"")</f>
        <v/>
      </c>
    </row>
    <row r="419">
      <c r="A419" s="49">
        <f>IF(B419="","",COUNTA($B$5:B419))</f>
        <v/>
      </c>
      <c r="B419" s="50" t="n"/>
      <c r="C419" s="51" t="n"/>
      <c r="D419" s="51" t="n"/>
      <c r="E419" s="52" t="n"/>
      <c r="F419" s="53" t="n"/>
      <c r="G419" s="51" t="n"/>
      <c r="H419" s="53" t="n"/>
      <c r="I419" s="51" t="n"/>
      <c r="J419" s="54">
        <f>IF(OR(B419="",F419="",NOT(AND(G419&lt;&gt;"✅ Выполнена",G419&lt;&gt;"❌ Отменена"))),"",IF(F419&lt;TODAY(),"❗ просрочено "&amp;(TODAY()-F419)&amp;" дн.",IF(F419=TODAY(),"🔥 сегодня",IF(F419-TODAY()&lt;=3,"⏳ через "&amp;(F419-TODAY())&amp;" дн.",""))))</f>
        <v/>
      </c>
      <c r="K419" s="54">
        <f>IF(B419="","",IF(G419="✅ Выполнена","✔ ",IF(G419="❌ Отменена","✖ ",IF(AND(F419&lt;&gt;"",F419&lt;TODAY()),"❗ ","☐ ")))&amp;B419&amp;IF(E419="🔥 Высокий"," 🔥",""))</f>
        <v/>
      </c>
      <c r="L419" s="54">
        <f>IF(OR(B419="",F419="",G419="❌ Отменена"),"",F419&amp;"#"&amp;COUNTIFS($F$5:F419,F419,$B$5:B419,"?*",$G$5:G419,"&lt;&gt;❌ Отменена"))</f>
        <v/>
      </c>
      <c r="M419" s="54">
        <f>IF(AND(B419&lt;&gt;"",F419&lt;&gt;"",F419&lt;TODAY(),AND(G419&lt;&gt;"✅ Выполнена",G419&lt;&gt;"❌ Отменена")),MAX($M$4:M418)+1,"")</f>
        <v/>
      </c>
    </row>
    <row r="420">
      <c r="A420" s="49">
        <f>IF(B420="","",COUNTA($B$5:B420))</f>
        <v/>
      </c>
      <c r="B420" s="50" t="n"/>
      <c r="C420" s="51" t="n"/>
      <c r="D420" s="51" t="n"/>
      <c r="E420" s="52" t="n"/>
      <c r="F420" s="53" t="n"/>
      <c r="G420" s="51" t="n"/>
      <c r="H420" s="53" t="n"/>
      <c r="I420" s="51" t="n"/>
      <c r="J420" s="54">
        <f>IF(OR(B420="",F420="",NOT(AND(G420&lt;&gt;"✅ Выполнена",G420&lt;&gt;"❌ Отменена"))),"",IF(F420&lt;TODAY(),"❗ просрочено "&amp;(TODAY()-F420)&amp;" дн.",IF(F420=TODAY(),"🔥 сегодня",IF(F420-TODAY()&lt;=3,"⏳ через "&amp;(F420-TODAY())&amp;" дн.",""))))</f>
        <v/>
      </c>
      <c r="K420" s="54">
        <f>IF(B420="","",IF(G420="✅ Выполнена","✔ ",IF(G420="❌ Отменена","✖ ",IF(AND(F420&lt;&gt;"",F420&lt;TODAY()),"❗ ","☐ ")))&amp;B420&amp;IF(E420="🔥 Высокий"," 🔥",""))</f>
        <v/>
      </c>
      <c r="L420" s="54">
        <f>IF(OR(B420="",F420="",G420="❌ Отменена"),"",F420&amp;"#"&amp;COUNTIFS($F$5:F420,F420,$B$5:B420,"?*",$G$5:G420,"&lt;&gt;❌ Отменена"))</f>
        <v/>
      </c>
      <c r="M420" s="54">
        <f>IF(AND(B420&lt;&gt;"",F420&lt;&gt;"",F420&lt;TODAY(),AND(G420&lt;&gt;"✅ Выполнена",G420&lt;&gt;"❌ Отменена")),MAX($M$4:M419)+1,"")</f>
        <v/>
      </c>
    </row>
    <row r="421">
      <c r="A421" s="49">
        <f>IF(B421="","",COUNTA($B$5:B421))</f>
        <v/>
      </c>
      <c r="B421" s="50" t="n"/>
      <c r="C421" s="51" t="n"/>
      <c r="D421" s="51" t="n"/>
      <c r="E421" s="52" t="n"/>
      <c r="F421" s="53" t="n"/>
      <c r="G421" s="51" t="n"/>
      <c r="H421" s="53" t="n"/>
      <c r="I421" s="51" t="n"/>
      <c r="J421" s="54">
        <f>IF(OR(B421="",F421="",NOT(AND(G421&lt;&gt;"✅ Выполнена",G421&lt;&gt;"❌ Отменена"))),"",IF(F421&lt;TODAY(),"❗ просрочено "&amp;(TODAY()-F421)&amp;" дн.",IF(F421=TODAY(),"🔥 сегодня",IF(F421-TODAY()&lt;=3,"⏳ через "&amp;(F421-TODAY())&amp;" дн.",""))))</f>
        <v/>
      </c>
      <c r="K421" s="54">
        <f>IF(B421="","",IF(G421="✅ Выполнена","✔ ",IF(G421="❌ Отменена","✖ ",IF(AND(F421&lt;&gt;"",F421&lt;TODAY()),"❗ ","☐ ")))&amp;B421&amp;IF(E421="🔥 Высокий"," 🔥",""))</f>
        <v/>
      </c>
      <c r="L421" s="54">
        <f>IF(OR(B421="",F421="",G421="❌ Отменена"),"",F421&amp;"#"&amp;COUNTIFS($F$5:F421,F421,$B$5:B421,"?*",$G$5:G421,"&lt;&gt;❌ Отменена"))</f>
        <v/>
      </c>
      <c r="M421" s="54">
        <f>IF(AND(B421&lt;&gt;"",F421&lt;&gt;"",F421&lt;TODAY(),AND(G421&lt;&gt;"✅ Выполнена",G421&lt;&gt;"❌ Отменена")),MAX($M$4:M420)+1,"")</f>
        <v/>
      </c>
    </row>
    <row r="422">
      <c r="A422" s="49">
        <f>IF(B422="","",COUNTA($B$5:B422))</f>
        <v/>
      </c>
      <c r="B422" s="50" t="n"/>
      <c r="C422" s="51" t="n"/>
      <c r="D422" s="51" t="n"/>
      <c r="E422" s="52" t="n"/>
      <c r="F422" s="53" t="n"/>
      <c r="G422" s="51" t="n"/>
      <c r="H422" s="53" t="n"/>
      <c r="I422" s="51" t="n"/>
      <c r="J422" s="54">
        <f>IF(OR(B422="",F422="",NOT(AND(G422&lt;&gt;"✅ Выполнена",G422&lt;&gt;"❌ Отменена"))),"",IF(F422&lt;TODAY(),"❗ просрочено "&amp;(TODAY()-F422)&amp;" дн.",IF(F422=TODAY(),"🔥 сегодня",IF(F422-TODAY()&lt;=3,"⏳ через "&amp;(F422-TODAY())&amp;" дн.",""))))</f>
        <v/>
      </c>
      <c r="K422" s="54">
        <f>IF(B422="","",IF(G422="✅ Выполнена","✔ ",IF(G422="❌ Отменена","✖ ",IF(AND(F422&lt;&gt;"",F422&lt;TODAY()),"❗ ","☐ ")))&amp;B422&amp;IF(E422="🔥 Высокий"," 🔥",""))</f>
        <v/>
      </c>
      <c r="L422" s="54">
        <f>IF(OR(B422="",F422="",G422="❌ Отменена"),"",F422&amp;"#"&amp;COUNTIFS($F$5:F422,F422,$B$5:B422,"?*",$G$5:G422,"&lt;&gt;❌ Отменена"))</f>
        <v/>
      </c>
      <c r="M422" s="54">
        <f>IF(AND(B422&lt;&gt;"",F422&lt;&gt;"",F422&lt;TODAY(),AND(G422&lt;&gt;"✅ Выполнена",G422&lt;&gt;"❌ Отменена")),MAX($M$4:M421)+1,"")</f>
        <v/>
      </c>
    </row>
    <row r="423">
      <c r="A423" s="49">
        <f>IF(B423="","",COUNTA($B$5:B423))</f>
        <v/>
      </c>
      <c r="B423" s="50" t="n"/>
      <c r="C423" s="51" t="n"/>
      <c r="D423" s="51" t="n"/>
      <c r="E423" s="52" t="n"/>
      <c r="F423" s="53" t="n"/>
      <c r="G423" s="51" t="n"/>
      <c r="H423" s="53" t="n"/>
      <c r="I423" s="51" t="n"/>
      <c r="J423" s="54">
        <f>IF(OR(B423="",F423="",NOT(AND(G423&lt;&gt;"✅ Выполнена",G423&lt;&gt;"❌ Отменена"))),"",IF(F423&lt;TODAY(),"❗ просрочено "&amp;(TODAY()-F423)&amp;" дн.",IF(F423=TODAY(),"🔥 сегодня",IF(F423-TODAY()&lt;=3,"⏳ через "&amp;(F423-TODAY())&amp;" дн.",""))))</f>
        <v/>
      </c>
      <c r="K423" s="54">
        <f>IF(B423="","",IF(G423="✅ Выполнена","✔ ",IF(G423="❌ Отменена","✖ ",IF(AND(F423&lt;&gt;"",F423&lt;TODAY()),"❗ ","☐ ")))&amp;B423&amp;IF(E423="🔥 Высокий"," 🔥",""))</f>
        <v/>
      </c>
      <c r="L423" s="54">
        <f>IF(OR(B423="",F423="",G423="❌ Отменена"),"",F423&amp;"#"&amp;COUNTIFS($F$5:F423,F423,$B$5:B423,"?*",$G$5:G423,"&lt;&gt;❌ Отменена"))</f>
        <v/>
      </c>
      <c r="M423" s="54">
        <f>IF(AND(B423&lt;&gt;"",F423&lt;&gt;"",F423&lt;TODAY(),AND(G423&lt;&gt;"✅ Выполнена",G423&lt;&gt;"❌ Отменена")),MAX($M$4:M422)+1,"")</f>
        <v/>
      </c>
    </row>
    <row r="424">
      <c r="A424" s="49">
        <f>IF(B424="","",COUNTA($B$5:B424))</f>
        <v/>
      </c>
      <c r="B424" s="50" t="n"/>
      <c r="C424" s="51" t="n"/>
      <c r="D424" s="51" t="n"/>
      <c r="E424" s="52" t="n"/>
      <c r="F424" s="53" t="n"/>
      <c r="G424" s="51" t="n"/>
      <c r="H424" s="53" t="n"/>
      <c r="I424" s="51" t="n"/>
      <c r="J424" s="54">
        <f>IF(OR(B424="",F424="",NOT(AND(G424&lt;&gt;"✅ Выполнена",G424&lt;&gt;"❌ Отменена"))),"",IF(F424&lt;TODAY(),"❗ просрочено "&amp;(TODAY()-F424)&amp;" дн.",IF(F424=TODAY(),"🔥 сегодня",IF(F424-TODAY()&lt;=3,"⏳ через "&amp;(F424-TODAY())&amp;" дн.",""))))</f>
        <v/>
      </c>
      <c r="K424" s="54">
        <f>IF(B424="","",IF(G424="✅ Выполнена","✔ ",IF(G424="❌ Отменена","✖ ",IF(AND(F424&lt;&gt;"",F424&lt;TODAY()),"❗ ","☐ ")))&amp;B424&amp;IF(E424="🔥 Высокий"," 🔥",""))</f>
        <v/>
      </c>
      <c r="L424" s="54">
        <f>IF(OR(B424="",F424="",G424="❌ Отменена"),"",F424&amp;"#"&amp;COUNTIFS($F$5:F424,F424,$B$5:B424,"?*",$G$5:G424,"&lt;&gt;❌ Отменена"))</f>
        <v/>
      </c>
      <c r="M424" s="54">
        <f>IF(AND(B424&lt;&gt;"",F424&lt;&gt;"",F424&lt;TODAY(),AND(G424&lt;&gt;"✅ Выполнена",G424&lt;&gt;"❌ Отменена")),MAX($M$4:M423)+1,"")</f>
        <v/>
      </c>
    </row>
    <row r="425">
      <c r="A425" s="49">
        <f>IF(B425="","",COUNTA($B$5:B425))</f>
        <v/>
      </c>
      <c r="B425" s="50" t="n"/>
      <c r="C425" s="51" t="n"/>
      <c r="D425" s="51" t="n"/>
      <c r="E425" s="52" t="n"/>
      <c r="F425" s="53" t="n"/>
      <c r="G425" s="51" t="n"/>
      <c r="H425" s="53" t="n"/>
      <c r="I425" s="51" t="n"/>
      <c r="J425" s="54">
        <f>IF(OR(B425="",F425="",NOT(AND(G425&lt;&gt;"✅ Выполнена",G425&lt;&gt;"❌ Отменена"))),"",IF(F425&lt;TODAY(),"❗ просрочено "&amp;(TODAY()-F425)&amp;" дн.",IF(F425=TODAY(),"🔥 сегодня",IF(F425-TODAY()&lt;=3,"⏳ через "&amp;(F425-TODAY())&amp;" дн.",""))))</f>
        <v/>
      </c>
      <c r="K425" s="54">
        <f>IF(B425="","",IF(G425="✅ Выполнена","✔ ",IF(G425="❌ Отменена","✖ ",IF(AND(F425&lt;&gt;"",F425&lt;TODAY()),"❗ ","☐ ")))&amp;B425&amp;IF(E425="🔥 Высокий"," 🔥",""))</f>
        <v/>
      </c>
      <c r="L425" s="54">
        <f>IF(OR(B425="",F425="",G425="❌ Отменена"),"",F425&amp;"#"&amp;COUNTIFS($F$5:F425,F425,$B$5:B425,"?*",$G$5:G425,"&lt;&gt;❌ Отменена"))</f>
        <v/>
      </c>
      <c r="M425" s="54">
        <f>IF(AND(B425&lt;&gt;"",F425&lt;&gt;"",F425&lt;TODAY(),AND(G425&lt;&gt;"✅ Выполнена",G425&lt;&gt;"❌ Отменена")),MAX($M$4:M424)+1,"")</f>
        <v/>
      </c>
    </row>
    <row r="426">
      <c r="A426" s="49">
        <f>IF(B426="","",COUNTA($B$5:B426))</f>
        <v/>
      </c>
      <c r="B426" s="50" t="n"/>
      <c r="C426" s="51" t="n"/>
      <c r="D426" s="51" t="n"/>
      <c r="E426" s="52" t="n"/>
      <c r="F426" s="53" t="n"/>
      <c r="G426" s="51" t="n"/>
      <c r="H426" s="53" t="n"/>
      <c r="I426" s="51" t="n"/>
      <c r="J426" s="54">
        <f>IF(OR(B426="",F426="",NOT(AND(G426&lt;&gt;"✅ Выполнена",G426&lt;&gt;"❌ Отменена"))),"",IF(F426&lt;TODAY(),"❗ просрочено "&amp;(TODAY()-F426)&amp;" дн.",IF(F426=TODAY(),"🔥 сегодня",IF(F426-TODAY()&lt;=3,"⏳ через "&amp;(F426-TODAY())&amp;" дн.",""))))</f>
        <v/>
      </c>
      <c r="K426" s="54">
        <f>IF(B426="","",IF(G426="✅ Выполнена","✔ ",IF(G426="❌ Отменена","✖ ",IF(AND(F426&lt;&gt;"",F426&lt;TODAY()),"❗ ","☐ ")))&amp;B426&amp;IF(E426="🔥 Высокий"," 🔥",""))</f>
        <v/>
      </c>
      <c r="L426" s="54">
        <f>IF(OR(B426="",F426="",G426="❌ Отменена"),"",F426&amp;"#"&amp;COUNTIFS($F$5:F426,F426,$B$5:B426,"?*",$G$5:G426,"&lt;&gt;❌ Отменена"))</f>
        <v/>
      </c>
      <c r="M426" s="54">
        <f>IF(AND(B426&lt;&gt;"",F426&lt;&gt;"",F426&lt;TODAY(),AND(G426&lt;&gt;"✅ Выполнена",G426&lt;&gt;"❌ Отменена")),MAX($M$4:M425)+1,"")</f>
        <v/>
      </c>
    </row>
    <row r="427">
      <c r="A427" s="49">
        <f>IF(B427="","",COUNTA($B$5:B427))</f>
        <v/>
      </c>
      <c r="B427" s="50" t="n"/>
      <c r="C427" s="51" t="n"/>
      <c r="D427" s="51" t="n"/>
      <c r="E427" s="52" t="n"/>
      <c r="F427" s="53" t="n"/>
      <c r="G427" s="51" t="n"/>
      <c r="H427" s="53" t="n"/>
      <c r="I427" s="51" t="n"/>
      <c r="J427" s="54">
        <f>IF(OR(B427="",F427="",NOT(AND(G427&lt;&gt;"✅ Выполнена",G427&lt;&gt;"❌ Отменена"))),"",IF(F427&lt;TODAY(),"❗ просрочено "&amp;(TODAY()-F427)&amp;" дн.",IF(F427=TODAY(),"🔥 сегодня",IF(F427-TODAY()&lt;=3,"⏳ через "&amp;(F427-TODAY())&amp;" дн.",""))))</f>
        <v/>
      </c>
      <c r="K427" s="54">
        <f>IF(B427="","",IF(G427="✅ Выполнена","✔ ",IF(G427="❌ Отменена","✖ ",IF(AND(F427&lt;&gt;"",F427&lt;TODAY()),"❗ ","☐ ")))&amp;B427&amp;IF(E427="🔥 Высокий"," 🔥",""))</f>
        <v/>
      </c>
      <c r="L427" s="54">
        <f>IF(OR(B427="",F427="",G427="❌ Отменена"),"",F427&amp;"#"&amp;COUNTIFS($F$5:F427,F427,$B$5:B427,"?*",$G$5:G427,"&lt;&gt;❌ Отменена"))</f>
        <v/>
      </c>
      <c r="M427" s="54">
        <f>IF(AND(B427&lt;&gt;"",F427&lt;&gt;"",F427&lt;TODAY(),AND(G427&lt;&gt;"✅ Выполнена",G427&lt;&gt;"❌ Отменена")),MAX($M$4:M426)+1,"")</f>
        <v/>
      </c>
    </row>
    <row r="428">
      <c r="A428" s="49">
        <f>IF(B428="","",COUNTA($B$5:B428))</f>
        <v/>
      </c>
      <c r="B428" s="50" t="n"/>
      <c r="C428" s="51" t="n"/>
      <c r="D428" s="51" t="n"/>
      <c r="E428" s="52" t="n"/>
      <c r="F428" s="53" t="n"/>
      <c r="G428" s="51" t="n"/>
      <c r="H428" s="53" t="n"/>
      <c r="I428" s="51" t="n"/>
      <c r="J428" s="54">
        <f>IF(OR(B428="",F428="",NOT(AND(G428&lt;&gt;"✅ Выполнена",G428&lt;&gt;"❌ Отменена"))),"",IF(F428&lt;TODAY(),"❗ просрочено "&amp;(TODAY()-F428)&amp;" дн.",IF(F428=TODAY(),"🔥 сегодня",IF(F428-TODAY()&lt;=3,"⏳ через "&amp;(F428-TODAY())&amp;" дн.",""))))</f>
        <v/>
      </c>
      <c r="K428" s="54">
        <f>IF(B428="","",IF(G428="✅ Выполнена","✔ ",IF(G428="❌ Отменена","✖ ",IF(AND(F428&lt;&gt;"",F428&lt;TODAY()),"❗ ","☐ ")))&amp;B428&amp;IF(E428="🔥 Высокий"," 🔥",""))</f>
        <v/>
      </c>
      <c r="L428" s="54">
        <f>IF(OR(B428="",F428="",G428="❌ Отменена"),"",F428&amp;"#"&amp;COUNTIFS($F$5:F428,F428,$B$5:B428,"?*",$G$5:G428,"&lt;&gt;❌ Отменена"))</f>
        <v/>
      </c>
      <c r="M428" s="54">
        <f>IF(AND(B428&lt;&gt;"",F428&lt;&gt;"",F428&lt;TODAY(),AND(G428&lt;&gt;"✅ Выполнена",G428&lt;&gt;"❌ Отменена")),MAX($M$4:M427)+1,"")</f>
        <v/>
      </c>
    </row>
    <row r="429">
      <c r="A429" s="49">
        <f>IF(B429="","",COUNTA($B$5:B429))</f>
        <v/>
      </c>
      <c r="B429" s="50" t="n"/>
      <c r="C429" s="51" t="n"/>
      <c r="D429" s="51" t="n"/>
      <c r="E429" s="52" t="n"/>
      <c r="F429" s="53" t="n"/>
      <c r="G429" s="51" t="n"/>
      <c r="H429" s="53" t="n"/>
      <c r="I429" s="51" t="n"/>
      <c r="J429" s="54">
        <f>IF(OR(B429="",F429="",NOT(AND(G429&lt;&gt;"✅ Выполнена",G429&lt;&gt;"❌ Отменена"))),"",IF(F429&lt;TODAY(),"❗ просрочено "&amp;(TODAY()-F429)&amp;" дн.",IF(F429=TODAY(),"🔥 сегодня",IF(F429-TODAY()&lt;=3,"⏳ через "&amp;(F429-TODAY())&amp;" дн.",""))))</f>
        <v/>
      </c>
      <c r="K429" s="54">
        <f>IF(B429="","",IF(G429="✅ Выполнена","✔ ",IF(G429="❌ Отменена","✖ ",IF(AND(F429&lt;&gt;"",F429&lt;TODAY()),"❗ ","☐ ")))&amp;B429&amp;IF(E429="🔥 Высокий"," 🔥",""))</f>
        <v/>
      </c>
      <c r="L429" s="54">
        <f>IF(OR(B429="",F429="",G429="❌ Отменена"),"",F429&amp;"#"&amp;COUNTIFS($F$5:F429,F429,$B$5:B429,"?*",$G$5:G429,"&lt;&gt;❌ Отменена"))</f>
        <v/>
      </c>
      <c r="M429" s="54">
        <f>IF(AND(B429&lt;&gt;"",F429&lt;&gt;"",F429&lt;TODAY(),AND(G429&lt;&gt;"✅ Выполнена",G429&lt;&gt;"❌ Отменена")),MAX($M$4:M428)+1,"")</f>
        <v/>
      </c>
    </row>
    <row r="430">
      <c r="A430" s="49">
        <f>IF(B430="","",COUNTA($B$5:B430))</f>
        <v/>
      </c>
      <c r="B430" s="50" t="n"/>
      <c r="C430" s="51" t="n"/>
      <c r="D430" s="51" t="n"/>
      <c r="E430" s="52" t="n"/>
      <c r="F430" s="53" t="n"/>
      <c r="G430" s="51" t="n"/>
      <c r="H430" s="53" t="n"/>
      <c r="I430" s="51" t="n"/>
      <c r="J430" s="54">
        <f>IF(OR(B430="",F430="",NOT(AND(G430&lt;&gt;"✅ Выполнена",G430&lt;&gt;"❌ Отменена"))),"",IF(F430&lt;TODAY(),"❗ просрочено "&amp;(TODAY()-F430)&amp;" дн.",IF(F430=TODAY(),"🔥 сегодня",IF(F430-TODAY()&lt;=3,"⏳ через "&amp;(F430-TODAY())&amp;" дн.",""))))</f>
        <v/>
      </c>
      <c r="K430" s="54">
        <f>IF(B430="","",IF(G430="✅ Выполнена","✔ ",IF(G430="❌ Отменена","✖ ",IF(AND(F430&lt;&gt;"",F430&lt;TODAY()),"❗ ","☐ ")))&amp;B430&amp;IF(E430="🔥 Высокий"," 🔥",""))</f>
        <v/>
      </c>
      <c r="L430" s="54">
        <f>IF(OR(B430="",F430="",G430="❌ Отменена"),"",F430&amp;"#"&amp;COUNTIFS($F$5:F430,F430,$B$5:B430,"?*",$G$5:G430,"&lt;&gt;❌ Отменена"))</f>
        <v/>
      </c>
      <c r="M430" s="54">
        <f>IF(AND(B430&lt;&gt;"",F430&lt;&gt;"",F430&lt;TODAY(),AND(G430&lt;&gt;"✅ Выполнена",G430&lt;&gt;"❌ Отменена")),MAX($M$4:M429)+1,"")</f>
        <v/>
      </c>
    </row>
    <row r="431">
      <c r="A431" s="49">
        <f>IF(B431="","",COUNTA($B$5:B431))</f>
        <v/>
      </c>
      <c r="B431" s="50" t="n"/>
      <c r="C431" s="51" t="n"/>
      <c r="D431" s="51" t="n"/>
      <c r="E431" s="52" t="n"/>
      <c r="F431" s="53" t="n"/>
      <c r="G431" s="51" t="n"/>
      <c r="H431" s="53" t="n"/>
      <c r="I431" s="51" t="n"/>
      <c r="J431" s="54">
        <f>IF(OR(B431="",F431="",NOT(AND(G431&lt;&gt;"✅ Выполнена",G431&lt;&gt;"❌ Отменена"))),"",IF(F431&lt;TODAY(),"❗ просрочено "&amp;(TODAY()-F431)&amp;" дн.",IF(F431=TODAY(),"🔥 сегодня",IF(F431-TODAY()&lt;=3,"⏳ через "&amp;(F431-TODAY())&amp;" дн.",""))))</f>
        <v/>
      </c>
      <c r="K431" s="54">
        <f>IF(B431="","",IF(G431="✅ Выполнена","✔ ",IF(G431="❌ Отменена","✖ ",IF(AND(F431&lt;&gt;"",F431&lt;TODAY()),"❗ ","☐ ")))&amp;B431&amp;IF(E431="🔥 Высокий"," 🔥",""))</f>
        <v/>
      </c>
      <c r="L431" s="54">
        <f>IF(OR(B431="",F431="",G431="❌ Отменена"),"",F431&amp;"#"&amp;COUNTIFS($F$5:F431,F431,$B$5:B431,"?*",$G$5:G431,"&lt;&gt;❌ Отменена"))</f>
        <v/>
      </c>
      <c r="M431" s="54">
        <f>IF(AND(B431&lt;&gt;"",F431&lt;&gt;"",F431&lt;TODAY(),AND(G431&lt;&gt;"✅ Выполнена",G431&lt;&gt;"❌ Отменена")),MAX($M$4:M430)+1,"")</f>
        <v/>
      </c>
    </row>
    <row r="432">
      <c r="A432" s="49">
        <f>IF(B432="","",COUNTA($B$5:B432))</f>
        <v/>
      </c>
      <c r="B432" s="50" t="n"/>
      <c r="C432" s="51" t="n"/>
      <c r="D432" s="51" t="n"/>
      <c r="E432" s="52" t="n"/>
      <c r="F432" s="53" t="n"/>
      <c r="G432" s="51" t="n"/>
      <c r="H432" s="53" t="n"/>
      <c r="I432" s="51" t="n"/>
      <c r="J432" s="54">
        <f>IF(OR(B432="",F432="",NOT(AND(G432&lt;&gt;"✅ Выполнена",G432&lt;&gt;"❌ Отменена"))),"",IF(F432&lt;TODAY(),"❗ просрочено "&amp;(TODAY()-F432)&amp;" дн.",IF(F432=TODAY(),"🔥 сегодня",IF(F432-TODAY()&lt;=3,"⏳ через "&amp;(F432-TODAY())&amp;" дн.",""))))</f>
        <v/>
      </c>
      <c r="K432" s="54">
        <f>IF(B432="","",IF(G432="✅ Выполнена","✔ ",IF(G432="❌ Отменена","✖ ",IF(AND(F432&lt;&gt;"",F432&lt;TODAY()),"❗ ","☐ ")))&amp;B432&amp;IF(E432="🔥 Высокий"," 🔥",""))</f>
        <v/>
      </c>
      <c r="L432" s="54">
        <f>IF(OR(B432="",F432="",G432="❌ Отменена"),"",F432&amp;"#"&amp;COUNTIFS($F$5:F432,F432,$B$5:B432,"?*",$G$5:G432,"&lt;&gt;❌ Отменена"))</f>
        <v/>
      </c>
      <c r="M432" s="54">
        <f>IF(AND(B432&lt;&gt;"",F432&lt;&gt;"",F432&lt;TODAY(),AND(G432&lt;&gt;"✅ Выполнена",G432&lt;&gt;"❌ Отменена")),MAX($M$4:M431)+1,"")</f>
        <v/>
      </c>
    </row>
    <row r="433">
      <c r="A433" s="49">
        <f>IF(B433="","",COUNTA($B$5:B433))</f>
        <v/>
      </c>
      <c r="B433" s="50" t="n"/>
      <c r="C433" s="51" t="n"/>
      <c r="D433" s="51" t="n"/>
      <c r="E433" s="52" t="n"/>
      <c r="F433" s="53" t="n"/>
      <c r="G433" s="51" t="n"/>
      <c r="H433" s="53" t="n"/>
      <c r="I433" s="51" t="n"/>
      <c r="J433" s="54">
        <f>IF(OR(B433="",F433="",NOT(AND(G433&lt;&gt;"✅ Выполнена",G433&lt;&gt;"❌ Отменена"))),"",IF(F433&lt;TODAY(),"❗ просрочено "&amp;(TODAY()-F433)&amp;" дн.",IF(F433=TODAY(),"🔥 сегодня",IF(F433-TODAY()&lt;=3,"⏳ через "&amp;(F433-TODAY())&amp;" дн.",""))))</f>
        <v/>
      </c>
      <c r="K433" s="54">
        <f>IF(B433="","",IF(G433="✅ Выполнена","✔ ",IF(G433="❌ Отменена","✖ ",IF(AND(F433&lt;&gt;"",F433&lt;TODAY()),"❗ ","☐ ")))&amp;B433&amp;IF(E433="🔥 Высокий"," 🔥",""))</f>
        <v/>
      </c>
      <c r="L433" s="54">
        <f>IF(OR(B433="",F433="",G433="❌ Отменена"),"",F433&amp;"#"&amp;COUNTIFS($F$5:F433,F433,$B$5:B433,"?*",$G$5:G433,"&lt;&gt;❌ Отменена"))</f>
        <v/>
      </c>
      <c r="M433" s="54">
        <f>IF(AND(B433&lt;&gt;"",F433&lt;&gt;"",F433&lt;TODAY(),AND(G433&lt;&gt;"✅ Выполнена",G433&lt;&gt;"❌ Отменена")),MAX($M$4:M432)+1,"")</f>
        <v/>
      </c>
    </row>
    <row r="434">
      <c r="A434" s="49">
        <f>IF(B434="","",COUNTA($B$5:B434))</f>
        <v/>
      </c>
      <c r="B434" s="50" t="n"/>
      <c r="C434" s="51" t="n"/>
      <c r="D434" s="51" t="n"/>
      <c r="E434" s="52" t="n"/>
      <c r="F434" s="53" t="n"/>
      <c r="G434" s="51" t="n"/>
      <c r="H434" s="53" t="n"/>
      <c r="I434" s="51" t="n"/>
      <c r="J434" s="54">
        <f>IF(OR(B434="",F434="",NOT(AND(G434&lt;&gt;"✅ Выполнена",G434&lt;&gt;"❌ Отменена"))),"",IF(F434&lt;TODAY(),"❗ просрочено "&amp;(TODAY()-F434)&amp;" дн.",IF(F434=TODAY(),"🔥 сегодня",IF(F434-TODAY()&lt;=3,"⏳ через "&amp;(F434-TODAY())&amp;" дн.",""))))</f>
        <v/>
      </c>
      <c r="K434" s="54">
        <f>IF(B434="","",IF(G434="✅ Выполнена","✔ ",IF(G434="❌ Отменена","✖ ",IF(AND(F434&lt;&gt;"",F434&lt;TODAY()),"❗ ","☐ ")))&amp;B434&amp;IF(E434="🔥 Высокий"," 🔥",""))</f>
        <v/>
      </c>
      <c r="L434" s="54">
        <f>IF(OR(B434="",F434="",G434="❌ Отменена"),"",F434&amp;"#"&amp;COUNTIFS($F$5:F434,F434,$B$5:B434,"?*",$G$5:G434,"&lt;&gt;❌ Отменена"))</f>
        <v/>
      </c>
      <c r="M434" s="54">
        <f>IF(AND(B434&lt;&gt;"",F434&lt;&gt;"",F434&lt;TODAY(),AND(G434&lt;&gt;"✅ Выполнена",G434&lt;&gt;"❌ Отменена")),MAX($M$4:M433)+1,"")</f>
        <v/>
      </c>
    </row>
    <row r="435">
      <c r="A435" s="49">
        <f>IF(B435="","",COUNTA($B$5:B435))</f>
        <v/>
      </c>
      <c r="B435" s="50" t="n"/>
      <c r="C435" s="51" t="n"/>
      <c r="D435" s="51" t="n"/>
      <c r="E435" s="52" t="n"/>
      <c r="F435" s="53" t="n"/>
      <c r="G435" s="51" t="n"/>
      <c r="H435" s="53" t="n"/>
      <c r="I435" s="51" t="n"/>
      <c r="J435" s="54">
        <f>IF(OR(B435="",F435="",NOT(AND(G435&lt;&gt;"✅ Выполнена",G435&lt;&gt;"❌ Отменена"))),"",IF(F435&lt;TODAY(),"❗ просрочено "&amp;(TODAY()-F435)&amp;" дн.",IF(F435=TODAY(),"🔥 сегодня",IF(F435-TODAY()&lt;=3,"⏳ через "&amp;(F435-TODAY())&amp;" дн.",""))))</f>
        <v/>
      </c>
      <c r="K435" s="54">
        <f>IF(B435="","",IF(G435="✅ Выполнена","✔ ",IF(G435="❌ Отменена","✖ ",IF(AND(F435&lt;&gt;"",F435&lt;TODAY()),"❗ ","☐ ")))&amp;B435&amp;IF(E435="🔥 Высокий"," 🔥",""))</f>
        <v/>
      </c>
      <c r="L435" s="54">
        <f>IF(OR(B435="",F435="",G435="❌ Отменена"),"",F435&amp;"#"&amp;COUNTIFS($F$5:F435,F435,$B$5:B435,"?*",$G$5:G435,"&lt;&gt;❌ Отменена"))</f>
        <v/>
      </c>
      <c r="M435" s="54">
        <f>IF(AND(B435&lt;&gt;"",F435&lt;&gt;"",F435&lt;TODAY(),AND(G435&lt;&gt;"✅ Выполнена",G435&lt;&gt;"❌ Отменена")),MAX($M$4:M434)+1,"")</f>
        <v/>
      </c>
    </row>
    <row r="436">
      <c r="A436" s="49">
        <f>IF(B436="","",COUNTA($B$5:B436))</f>
        <v/>
      </c>
      <c r="B436" s="50" t="n"/>
      <c r="C436" s="51" t="n"/>
      <c r="D436" s="51" t="n"/>
      <c r="E436" s="52" t="n"/>
      <c r="F436" s="53" t="n"/>
      <c r="G436" s="51" t="n"/>
      <c r="H436" s="53" t="n"/>
      <c r="I436" s="51" t="n"/>
      <c r="J436" s="54">
        <f>IF(OR(B436="",F436="",NOT(AND(G436&lt;&gt;"✅ Выполнена",G436&lt;&gt;"❌ Отменена"))),"",IF(F436&lt;TODAY(),"❗ просрочено "&amp;(TODAY()-F436)&amp;" дн.",IF(F436=TODAY(),"🔥 сегодня",IF(F436-TODAY()&lt;=3,"⏳ через "&amp;(F436-TODAY())&amp;" дн.",""))))</f>
        <v/>
      </c>
      <c r="K436" s="54">
        <f>IF(B436="","",IF(G436="✅ Выполнена","✔ ",IF(G436="❌ Отменена","✖ ",IF(AND(F436&lt;&gt;"",F436&lt;TODAY()),"❗ ","☐ ")))&amp;B436&amp;IF(E436="🔥 Высокий"," 🔥",""))</f>
        <v/>
      </c>
      <c r="L436" s="54">
        <f>IF(OR(B436="",F436="",G436="❌ Отменена"),"",F436&amp;"#"&amp;COUNTIFS($F$5:F436,F436,$B$5:B436,"?*",$G$5:G436,"&lt;&gt;❌ Отменена"))</f>
        <v/>
      </c>
      <c r="M436" s="54">
        <f>IF(AND(B436&lt;&gt;"",F436&lt;&gt;"",F436&lt;TODAY(),AND(G436&lt;&gt;"✅ Выполнена",G436&lt;&gt;"❌ Отменена")),MAX($M$4:M435)+1,"")</f>
        <v/>
      </c>
    </row>
    <row r="437">
      <c r="A437" s="49">
        <f>IF(B437="","",COUNTA($B$5:B437))</f>
        <v/>
      </c>
      <c r="B437" s="50" t="n"/>
      <c r="C437" s="51" t="n"/>
      <c r="D437" s="51" t="n"/>
      <c r="E437" s="52" t="n"/>
      <c r="F437" s="53" t="n"/>
      <c r="G437" s="51" t="n"/>
      <c r="H437" s="53" t="n"/>
      <c r="I437" s="51" t="n"/>
      <c r="J437" s="54">
        <f>IF(OR(B437="",F437="",NOT(AND(G437&lt;&gt;"✅ Выполнена",G437&lt;&gt;"❌ Отменена"))),"",IF(F437&lt;TODAY(),"❗ просрочено "&amp;(TODAY()-F437)&amp;" дн.",IF(F437=TODAY(),"🔥 сегодня",IF(F437-TODAY()&lt;=3,"⏳ через "&amp;(F437-TODAY())&amp;" дн.",""))))</f>
        <v/>
      </c>
      <c r="K437" s="54">
        <f>IF(B437="","",IF(G437="✅ Выполнена","✔ ",IF(G437="❌ Отменена","✖ ",IF(AND(F437&lt;&gt;"",F437&lt;TODAY()),"❗ ","☐ ")))&amp;B437&amp;IF(E437="🔥 Высокий"," 🔥",""))</f>
        <v/>
      </c>
      <c r="L437" s="54">
        <f>IF(OR(B437="",F437="",G437="❌ Отменена"),"",F437&amp;"#"&amp;COUNTIFS($F$5:F437,F437,$B$5:B437,"?*",$G$5:G437,"&lt;&gt;❌ Отменена"))</f>
        <v/>
      </c>
      <c r="M437" s="54">
        <f>IF(AND(B437&lt;&gt;"",F437&lt;&gt;"",F437&lt;TODAY(),AND(G437&lt;&gt;"✅ Выполнена",G437&lt;&gt;"❌ Отменена")),MAX($M$4:M436)+1,"")</f>
        <v/>
      </c>
    </row>
    <row r="438">
      <c r="A438" s="49">
        <f>IF(B438="","",COUNTA($B$5:B438))</f>
        <v/>
      </c>
      <c r="B438" s="50" t="n"/>
      <c r="C438" s="51" t="n"/>
      <c r="D438" s="51" t="n"/>
      <c r="E438" s="52" t="n"/>
      <c r="F438" s="53" t="n"/>
      <c r="G438" s="51" t="n"/>
      <c r="H438" s="53" t="n"/>
      <c r="I438" s="51" t="n"/>
      <c r="J438" s="54">
        <f>IF(OR(B438="",F438="",NOT(AND(G438&lt;&gt;"✅ Выполнена",G438&lt;&gt;"❌ Отменена"))),"",IF(F438&lt;TODAY(),"❗ просрочено "&amp;(TODAY()-F438)&amp;" дн.",IF(F438=TODAY(),"🔥 сегодня",IF(F438-TODAY()&lt;=3,"⏳ через "&amp;(F438-TODAY())&amp;" дн.",""))))</f>
        <v/>
      </c>
      <c r="K438" s="54">
        <f>IF(B438="","",IF(G438="✅ Выполнена","✔ ",IF(G438="❌ Отменена","✖ ",IF(AND(F438&lt;&gt;"",F438&lt;TODAY()),"❗ ","☐ ")))&amp;B438&amp;IF(E438="🔥 Высокий"," 🔥",""))</f>
        <v/>
      </c>
      <c r="L438" s="54">
        <f>IF(OR(B438="",F438="",G438="❌ Отменена"),"",F438&amp;"#"&amp;COUNTIFS($F$5:F438,F438,$B$5:B438,"?*",$G$5:G438,"&lt;&gt;❌ Отменена"))</f>
        <v/>
      </c>
      <c r="M438" s="54">
        <f>IF(AND(B438&lt;&gt;"",F438&lt;&gt;"",F438&lt;TODAY(),AND(G438&lt;&gt;"✅ Выполнена",G438&lt;&gt;"❌ Отменена")),MAX($M$4:M437)+1,"")</f>
        <v/>
      </c>
    </row>
    <row r="439">
      <c r="A439" s="49">
        <f>IF(B439="","",COUNTA($B$5:B439))</f>
        <v/>
      </c>
      <c r="B439" s="50" t="n"/>
      <c r="C439" s="51" t="n"/>
      <c r="D439" s="51" t="n"/>
      <c r="E439" s="52" t="n"/>
      <c r="F439" s="53" t="n"/>
      <c r="G439" s="51" t="n"/>
      <c r="H439" s="53" t="n"/>
      <c r="I439" s="51" t="n"/>
      <c r="J439" s="54">
        <f>IF(OR(B439="",F439="",NOT(AND(G439&lt;&gt;"✅ Выполнена",G439&lt;&gt;"❌ Отменена"))),"",IF(F439&lt;TODAY(),"❗ просрочено "&amp;(TODAY()-F439)&amp;" дн.",IF(F439=TODAY(),"🔥 сегодня",IF(F439-TODAY()&lt;=3,"⏳ через "&amp;(F439-TODAY())&amp;" дн.",""))))</f>
        <v/>
      </c>
      <c r="K439" s="54">
        <f>IF(B439="","",IF(G439="✅ Выполнена","✔ ",IF(G439="❌ Отменена","✖ ",IF(AND(F439&lt;&gt;"",F439&lt;TODAY()),"❗ ","☐ ")))&amp;B439&amp;IF(E439="🔥 Высокий"," 🔥",""))</f>
        <v/>
      </c>
      <c r="L439" s="54">
        <f>IF(OR(B439="",F439="",G439="❌ Отменена"),"",F439&amp;"#"&amp;COUNTIFS($F$5:F439,F439,$B$5:B439,"?*",$G$5:G439,"&lt;&gt;❌ Отменена"))</f>
        <v/>
      </c>
      <c r="M439" s="54">
        <f>IF(AND(B439&lt;&gt;"",F439&lt;&gt;"",F439&lt;TODAY(),AND(G439&lt;&gt;"✅ Выполнена",G439&lt;&gt;"❌ Отменена")),MAX($M$4:M438)+1,"")</f>
        <v/>
      </c>
    </row>
    <row r="440">
      <c r="A440" s="49">
        <f>IF(B440="","",COUNTA($B$5:B440))</f>
        <v/>
      </c>
      <c r="B440" s="50" t="n"/>
      <c r="C440" s="51" t="n"/>
      <c r="D440" s="51" t="n"/>
      <c r="E440" s="52" t="n"/>
      <c r="F440" s="53" t="n"/>
      <c r="G440" s="51" t="n"/>
      <c r="H440" s="53" t="n"/>
      <c r="I440" s="51" t="n"/>
      <c r="J440" s="54">
        <f>IF(OR(B440="",F440="",NOT(AND(G440&lt;&gt;"✅ Выполнена",G440&lt;&gt;"❌ Отменена"))),"",IF(F440&lt;TODAY(),"❗ просрочено "&amp;(TODAY()-F440)&amp;" дн.",IF(F440=TODAY(),"🔥 сегодня",IF(F440-TODAY()&lt;=3,"⏳ через "&amp;(F440-TODAY())&amp;" дн.",""))))</f>
        <v/>
      </c>
      <c r="K440" s="54">
        <f>IF(B440="","",IF(G440="✅ Выполнена","✔ ",IF(G440="❌ Отменена","✖ ",IF(AND(F440&lt;&gt;"",F440&lt;TODAY()),"❗ ","☐ ")))&amp;B440&amp;IF(E440="🔥 Высокий"," 🔥",""))</f>
        <v/>
      </c>
      <c r="L440" s="54">
        <f>IF(OR(B440="",F440="",G440="❌ Отменена"),"",F440&amp;"#"&amp;COUNTIFS($F$5:F440,F440,$B$5:B440,"?*",$G$5:G440,"&lt;&gt;❌ Отменена"))</f>
        <v/>
      </c>
      <c r="M440" s="54">
        <f>IF(AND(B440&lt;&gt;"",F440&lt;&gt;"",F440&lt;TODAY(),AND(G440&lt;&gt;"✅ Выполнена",G440&lt;&gt;"❌ Отменена")),MAX($M$4:M439)+1,"")</f>
        <v/>
      </c>
    </row>
    <row r="441">
      <c r="A441" s="49">
        <f>IF(B441="","",COUNTA($B$5:B441))</f>
        <v/>
      </c>
      <c r="B441" s="50" t="n"/>
      <c r="C441" s="51" t="n"/>
      <c r="D441" s="51" t="n"/>
      <c r="E441" s="52" t="n"/>
      <c r="F441" s="53" t="n"/>
      <c r="G441" s="51" t="n"/>
      <c r="H441" s="53" t="n"/>
      <c r="I441" s="51" t="n"/>
      <c r="J441" s="54">
        <f>IF(OR(B441="",F441="",NOT(AND(G441&lt;&gt;"✅ Выполнена",G441&lt;&gt;"❌ Отменена"))),"",IF(F441&lt;TODAY(),"❗ просрочено "&amp;(TODAY()-F441)&amp;" дн.",IF(F441=TODAY(),"🔥 сегодня",IF(F441-TODAY()&lt;=3,"⏳ через "&amp;(F441-TODAY())&amp;" дн.",""))))</f>
        <v/>
      </c>
      <c r="K441" s="54">
        <f>IF(B441="","",IF(G441="✅ Выполнена","✔ ",IF(G441="❌ Отменена","✖ ",IF(AND(F441&lt;&gt;"",F441&lt;TODAY()),"❗ ","☐ ")))&amp;B441&amp;IF(E441="🔥 Высокий"," 🔥",""))</f>
        <v/>
      </c>
      <c r="L441" s="54">
        <f>IF(OR(B441="",F441="",G441="❌ Отменена"),"",F441&amp;"#"&amp;COUNTIFS($F$5:F441,F441,$B$5:B441,"?*",$G$5:G441,"&lt;&gt;❌ Отменена"))</f>
        <v/>
      </c>
      <c r="M441" s="54">
        <f>IF(AND(B441&lt;&gt;"",F441&lt;&gt;"",F441&lt;TODAY(),AND(G441&lt;&gt;"✅ Выполнена",G441&lt;&gt;"❌ Отменена")),MAX($M$4:M440)+1,"")</f>
        <v/>
      </c>
    </row>
    <row r="442">
      <c r="A442" s="49">
        <f>IF(B442="","",COUNTA($B$5:B442))</f>
        <v/>
      </c>
      <c r="B442" s="50" t="n"/>
      <c r="C442" s="51" t="n"/>
      <c r="D442" s="51" t="n"/>
      <c r="E442" s="52" t="n"/>
      <c r="F442" s="53" t="n"/>
      <c r="G442" s="51" t="n"/>
      <c r="H442" s="53" t="n"/>
      <c r="I442" s="51" t="n"/>
      <c r="J442" s="54">
        <f>IF(OR(B442="",F442="",NOT(AND(G442&lt;&gt;"✅ Выполнена",G442&lt;&gt;"❌ Отменена"))),"",IF(F442&lt;TODAY(),"❗ просрочено "&amp;(TODAY()-F442)&amp;" дн.",IF(F442=TODAY(),"🔥 сегодня",IF(F442-TODAY()&lt;=3,"⏳ через "&amp;(F442-TODAY())&amp;" дн.",""))))</f>
        <v/>
      </c>
      <c r="K442" s="54">
        <f>IF(B442="","",IF(G442="✅ Выполнена","✔ ",IF(G442="❌ Отменена","✖ ",IF(AND(F442&lt;&gt;"",F442&lt;TODAY()),"❗ ","☐ ")))&amp;B442&amp;IF(E442="🔥 Высокий"," 🔥",""))</f>
        <v/>
      </c>
      <c r="L442" s="54">
        <f>IF(OR(B442="",F442="",G442="❌ Отменена"),"",F442&amp;"#"&amp;COUNTIFS($F$5:F442,F442,$B$5:B442,"?*",$G$5:G442,"&lt;&gt;❌ Отменена"))</f>
        <v/>
      </c>
      <c r="M442" s="54">
        <f>IF(AND(B442&lt;&gt;"",F442&lt;&gt;"",F442&lt;TODAY(),AND(G442&lt;&gt;"✅ Выполнена",G442&lt;&gt;"❌ Отменена")),MAX($M$4:M441)+1,"")</f>
        <v/>
      </c>
    </row>
    <row r="443">
      <c r="A443" s="49">
        <f>IF(B443="","",COUNTA($B$5:B443))</f>
        <v/>
      </c>
      <c r="B443" s="50" t="n"/>
      <c r="C443" s="51" t="n"/>
      <c r="D443" s="51" t="n"/>
      <c r="E443" s="52" t="n"/>
      <c r="F443" s="53" t="n"/>
      <c r="G443" s="51" t="n"/>
      <c r="H443" s="53" t="n"/>
      <c r="I443" s="51" t="n"/>
      <c r="J443" s="54">
        <f>IF(OR(B443="",F443="",NOT(AND(G443&lt;&gt;"✅ Выполнена",G443&lt;&gt;"❌ Отменена"))),"",IF(F443&lt;TODAY(),"❗ просрочено "&amp;(TODAY()-F443)&amp;" дн.",IF(F443=TODAY(),"🔥 сегодня",IF(F443-TODAY()&lt;=3,"⏳ через "&amp;(F443-TODAY())&amp;" дн.",""))))</f>
        <v/>
      </c>
      <c r="K443" s="54">
        <f>IF(B443="","",IF(G443="✅ Выполнена","✔ ",IF(G443="❌ Отменена","✖ ",IF(AND(F443&lt;&gt;"",F443&lt;TODAY()),"❗ ","☐ ")))&amp;B443&amp;IF(E443="🔥 Высокий"," 🔥",""))</f>
        <v/>
      </c>
      <c r="L443" s="54">
        <f>IF(OR(B443="",F443="",G443="❌ Отменена"),"",F443&amp;"#"&amp;COUNTIFS($F$5:F443,F443,$B$5:B443,"?*",$G$5:G443,"&lt;&gt;❌ Отменена"))</f>
        <v/>
      </c>
      <c r="M443" s="54">
        <f>IF(AND(B443&lt;&gt;"",F443&lt;&gt;"",F443&lt;TODAY(),AND(G443&lt;&gt;"✅ Выполнена",G443&lt;&gt;"❌ Отменена")),MAX($M$4:M442)+1,"")</f>
        <v/>
      </c>
    </row>
    <row r="444">
      <c r="A444" s="49">
        <f>IF(B444="","",COUNTA($B$5:B444))</f>
        <v/>
      </c>
      <c r="B444" s="50" t="n"/>
      <c r="C444" s="51" t="n"/>
      <c r="D444" s="51" t="n"/>
      <c r="E444" s="52" t="n"/>
      <c r="F444" s="53" t="n"/>
      <c r="G444" s="51" t="n"/>
      <c r="H444" s="53" t="n"/>
      <c r="I444" s="51" t="n"/>
      <c r="J444" s="54">
        <f>IF(OR(B444="",F444="",NOT(AND(G444&lt;&gt;"✅ Выполнена",G444&lt;&gt;"❌ Отменена"))),"",IF(F444&lt;TODAY(),"❗ просрочено "&amp;(TODAY()-F444)&amp;" дн.",IF(F444=TODAY(),"🔥 сегодня",IF(F444-TODAY()&lt;=3,"⏳ через "&amp;(F444-TODAY())&amp;" дн.",""))))</f>
        <v/>
      </c>
      <c r="K444" s="54">
        <f>IF(B444="","",IF(G444="✅ Выполнена","✔ ",IF(G444="❌ Отменена","✖ ",IF(AND(F444&lt;&gt;"",F444&lt;TODAY()),"❗ ","☐ ")))&amp;B444&amp;IF(E444="🔥 Высокий"," 🔥",""))</f>
        <v/>
      </c>
      <c r="L444" s="54">
        <f>IF(OR(B444="",F444="",G444="❌ Отменена"),"",F444&amp;"#"&amp;COUNTIFS($F$5:F444,F444,$B$5:B444,"?*",$G$5:G444,"&lt;&gt;❌ Отменена"))</f>
        <v/>
      </c>
      <c r="M444" s="54">
        <f>IF(AND(B444&lt;&gt;"",F444&lt;&gt;"",F444&lt;TODAY(),AND(G444&lt;&gt;"✅ Выполнена",G444&lt;&gt;"❌ Отменена")),MAX($M$4:M443)+1,"")</f>
        <v/>
      </c>
    </row>
    <row r="445">
      <c r="A445" s="49">
        <f>IF(B445="","",COUNTA($B$5:B445))</f>
        <v/>
      </c>
      <c r="B445" s="50" t="n"/>
      <c r="C445" s="51" t="n"/>
      <c r="D445" s="51" t="n"/>
      <c r="E445" s="52" t="n"/>
      <c r="F445" s="53" t="n"/>
      <c r="G445" s="51" t="n"/>
      <c r="H445" s="53" t="n"/>
      <c r="I445" s="51" t="n"/>
      <c r="J445" s="54">
        <f>IF(OR(B445="",F445="",NOT(AND(G445&lt;&gt;"✅ Выполнена",G445&lt;&gt;"❌ Отменена"))),"",IF(F445&lt;TODAY(),"❗ просрочено "&amp;(TODAY()-F445)&amp;" дн.",IF(F445=TODAY(),"🔥 сегодня",IF(F445-TODAY()&lt;=3,"⏳ через "&amp;(F445-TODAY())&amp;" дн.",""))))</f>
        <v/>
      </c>
      <c r="K445" s="54">
        <f>IF(B445="","",IF(G445="✅ Выполнена","✔ ",IF(G445="❌ Отменена","✖ ",IF(AND(F445&lt;&gt;"",F445&lt;TODAY()),"❗ ","☐ ")))&amp;B445&amp;IF(E445="🔥 Высокий"," 🔥",""))</f>
        <v/>
      </c>
      <c r="L445" s="54">
        <f>IF(OR(B445="",F445="",G445="❌ Отменена"),"",F445&amp;"#"&amp;COUNTIFS($F$5:F445,F445,$B$5:B445,"?*",$G$5:G445,"&lt;&gt;❌ Отменена"))</f>
        <v/>
      </c>
      <c r="M445" s="54">
        <f>IF(AND(B445&lt;&gt;"",F445&lt;&gt;"",F445&lt;TODAY(),AND(G445&lt;&gt;"✅ Выполнена",G445&lt;&gt;"❌ Отменена")),MAX($M$4:M444)+1,"")</f>
        <v/>
      </c>
    </row>
    <row r="446">
      <c r="A446" s="49">
        <f>IF(B446="","",COUNTA($B$5:B446))</f>
        <v/>
      </c>
      <c r="B446" s="50" t="n"/>
      <c r="C446" s="51" t="n"/>
      <c r="D446" s="51" t="n"/>
      <c r="E446" s="52" t="n"/>
      <c r="F446" s="53" t="n"/>
      <c r="G446" s="51" t="n"/>
      <c r="H446" s="53" t="n"/>
      <c r="I446" s="51" t="n"/>
      <c r="J446" s="54">
        <f>IF(OR(B446="",F446="",NOT(AND(G446&lt;&gt;"✅ Выполнена",G446&lt;&gt;"❌ Отменена"))),"",IF(F446&lt;TODAY(),"❗ просрочено "&amp;(TODAY()-F446)&amp;" дн.",IF(F446=TODAY(),"🔥 сегодня",IF(F446-TODAY()&lt;=3,"⏳ через "&amp;(F446-TODAY())&amp;" дн.",""))))</f>
        <v/>
      </c>
      <c r="K446" s="54">
        <f>IF(B446="","",IF(G446="✅ Выполнена","✔ ",IF(G446="❌ Отменена","✖ ",IF(AND(F446&lt;&gt;"",F446&lt;TODAY()),"❗ ","☐ ")))&amp;B446&amp;IF(E446="🔥 Высокий"," 🔥",""))</f>
        <v/>
      </c>
      <c r="L446" s="54">
        <f>IF(OR(B446="",F446="",G446="❌ Отменена"),"",F446&amp;"#"&amp;COUNTIFS($F$5:F446,F446,$B$5:B446,"?*",$G$5:G446,"&lt;&gt;❌ Отменена"))</f>
        <v/>
      </c>
      <c r="M446" s="54">
        <f>IF(AND(B446&lt;&gt;"",F446&lt;&gt;"",F446&lt;TODAY(),AND(G446&lt;&gt;"✅ Выполнена",G446&lt;&gt;"❌ Отменена")),MAX($M$4:M445)+1,"")</f>
        <v/>
      </c>
    </row>
    <row r="447">
      <c r="A447" s="49">
        <f>IF(B447="","",COUNTA($B$5:B447))</f>
        <v/>
      </c>
      <c r="B447" s="50" t="n"/>
      <c r="C447" s="51" t="n"/>
      <c r="D447" s="51" t="n"/>
      <c r="E447" s="52" t="n"/>
      <c r="F447" s="53" t="n"/>
      <c r="G447" s="51" t="n"/>
      <c r="H447" s="53" t="n"/>
      <c r="I447" s="51" t="n"/>
      <c r="J447" s="54">
        <f>IF(OR(B447="",F447="",NOT(AND(G447&lt;&gt;"✅ Выполнена",G447&lt;&gt;"❌ Отменена"))),"",IF(F447&lt;TODAY(),"❗ просрочено "&amp;(TODAY()-F447)&amp;" дн.",IF(F447=TODAY(),"🔥 сегодня",IF(F447-TODAY()&lt;=3,"⏳ через "&amp;(F447-TODAY())&amp;" дн.",""))))</f>
        <v/>
      </c>
      <c r="K447" s="54">
        <f>IF(B447="","",IF(G447="✅ Выполнена","✔ ",IF(G447="❌ Отменена","✖ ",IF(AND(F447&lt;&gt;"",F447&lt;TODAY()),"❗ ","☐ ")))&amp;B447&amp;IF(E447="🔥 Высокий"," 🔥",""))</f>
        <v/>
      </c>
      <c r="L447" s="54">
        <f>IF(OR(B447="",F447="",G447="❌ Отменена"),"",F447&amp;"#"&amp;COUNTIFS($F$5:F447,F447,$B$5:B447,"?*",$G$5:G447,"&lt;&gt;❌ Отменена"))</f>
        <v/>
      </c>
      <c r="M447" s="54">
        <f>IF(AND(B447&lt;&gt;"",F447&lt;&gt;"",F447&lt;TODAY(),AND(G447&lt;&gt;"✅ Выполнена",G447&lt;&gt;"❌ Отменена")),MAX($M$4:M446)+1,"")</f>
        <v/>
      </c>
    </row>
    <row r="448">
      <c r="A448" s="49">
        <f>IF(B448="","",COUNTA($B$5:B448))</f>
        <v/>
      </c>
      <c r="B448" s="50" t="n"/>
      <c r="C448" s="51" t="n"/>
      <c r="D448" s="51" t="n"/>
      <c r="E448" s="52" t="n"/>
      <c r="F448" s="53" t="n"/>
      <c r="G448" s="51" t="n"/>
      <c r="H448" s="53" t="n"/>
      <c r="I448" s="51" t="n"/>
      <c r="J448" s="54">
        <f>IF(OR(B448="",F448="",NOT(AND(G448&lt;&gt;"✅ Выполнена",G448&lt;&gt;"❌ Отменена"))),"",IF(F448&lt;TODAY(),"❗ просрочено "&amp;(TODAY()-F448)&amp;" дн.",IF(F448=TODAY(),"🔥 сегодня",IF(F448-TODAY()&lt;=3,"⏳ через "&amp;(F448-TODAY())&amp;" дн.",""))))</f>
        <v/>
      </c>
      <c r="K448" s="54">
        <f>IF(B448="","",IF(G448="✅ Выполнена","✔ ",IF(G448="❌ Отменена","✖ ",IF(AND(F448&lt;&gt;"",F448&lt;TODAY()),"❗ ","☐ ")))&amp;B448&amp;IF(E448="🔥 Высокий"," 🔥",""))</f>
        <v/>
      </c>
      <c r="L448" s="54">
        <f>IF(OR(B448="",F448="",G448="❌ Отменена"),"",F448&amp;"#"&amp;COUNTIFS($F$5:F448,F448,$B$5:B448,"?*",$G$5:G448,"&lt;&gt;❌ Отменена"))</f>
        <v/>
      </c>
      <c r="M448" s="54">
        <f>IF(AND(B448&lt;&gt;"",F448&lt;&gt;"",F448&lt;TODAY(),AND(G448&lt;&gt;"✅ Выполнена",G448&lt;&gt;"❌ Отменена")),MAX($M$4:M447)+1,"")</f>
        <v/>
      </c>
    </row>
    <row r="449">
      <c r="A449" s="49">
        <f>IF(B449="","",COUNTA($B$5:B449))</f>
        <v/>
      </c>
      <c r="B449" s="50" t="n"/>
      <c r="C449" s="51" t="n"/>
      <c r="D449" s="51" t="n"/>
      <c r="E449" s="52" t="n"/>
      <c r="F449" s="53" t="n"/>
      <c r="G449" s="51" t="n"/>
      <c r="H449" s="53" t="n"/>
      <c r="I449" s="51" t="n"/>
      <c r="J449" s="54">
        <f>IF(OR(B449="",F449="",NOT(AND(G449&lt;&gt;"✅ Выполнена",G449&lt;&gt;"❌ Отменена"))),"",IF(F449&lt;TODAY(),"❗ просрочено "&amp;(TODAY()-F449)&amp;" дн.",IF(F449=TODAY(),"🔥 сегодня",IF(F449-TODAY()&lt;=3,"⏳ через "&amp;(F449-TODAY())&amp;" дн.",""))))</f>
        <v/>
      </c>
      <c r="K449" s="54">
        <f>IF(B449="","",IF(G449="✅ Выполнена","✔ ",IF(G449="❌ Отменена","✖ ",IF(AND(F449&lt;&gt;"",F449&lt;TODAY()),"❗ ","☐ ")))&amp;B449&amp;IF(E449="🔥 Высокий"," 🔥",""))</f>
        <v/>
      </c>
      <c r="L449" s="54">
        <f>IF(OR(B449="",F449="",G449="❌ Отменена"),"",F449&amp;"#"&amp;COUNTIFS($F$5:F449,F449,$B$5:B449,"?*",$G$5:G449,"&lt;&gt;❌ Отменена"))</f>
        <v/>
      </c>
      <c r="M449" s="54">
        <f>IF(AND(B449&lt;&gt;"",F449&lt;&gt;"",F449&lt;TODAY(),AND(G449&lt;&gt;"✅ Выполнена",G449&lt;&gt;"❌ Отменена")),MAX($M$4:M448)+1,"")</f>
        <v/>
      </c>
    </row>
    <row r="450">
      <c r="A450" s="49">
        <f>IF(B450="","",COUNTA($B$5:B450))</f>
        <v/>
      </c>
      <c r="B450" s="50" t="n"/>
      <c r="C450" s="51" t="n"/>
      <c r="D450" s="51" t="n"/>
      <c r="E450" s="52" t="n"/>
      <c r="F450" s="53" t="n"/>
      <c r="G450" s="51" t="n"/>
      <c r="H450" s="53" t="n"/>
      <c r="I450" s="51" t="n"/>
      <c r="J450" s="54">
        <f>IF(OR(B450="",F450="",NOT(AND(G450&lt;&gt;"✅ Выполнена",G450&lt;&gt;"❌ Отменена"))),"",IF(F450&lt;TODAY(),"❗ просрочено "&amp;(TODAY()-F450)&amp;" дн.",IF(F450=TODAY(),"🔥 сегодня",IF(F450-TODAY()&lt;=3,"⏳ через "&amp;(F450-TODAY())&amp;" дн.",""))))</f>
        <v/>
      </c>
      <c r="K450" s="54">
        <f>IF(B450="","",IF(G450="✅ Выполнена","✔ ",IF(G450="❌ Отменена","✖ ",IF(AND(F450&lt;&gt;"",F450&lt;TODAY()),"❗ ","☐ ")))&amp;B450&amp;IF(E450="🔥 Высокий"," 🔥",""))</f>
        <v/>
      </c>
      <c r="L450" s="54">
        <f>IF(OR(B450="",F450="",G450="❌ Отменена"),"",F450&amp;"#"&amp;COUNTIFS($F$5:F450,F450,$B$5:B450,"?*",$G$5:G450,"&lt;&gt;❌ Отменена"))</f>
        <v/>
      </c>
      <c r="M450" s="54">
        <f>IF(AND(B450&lt;&gt;"",F450&lt;&gt;"",F450&lt;TODAY(),AND(G450&lt;&gt;"✅ Выполнена",G450&lt;&gt;"❌ Отменена")),MAX($M$4:M449)+1,"")</f>
        <v/>
      </c>
    </row>
    <row r="451">
      <c r="A451" s="49">
        <f>IF(B451="","",COUNTA($B$5:B451))</f>
        <v/>
      </c>
      <c r="B451" s="50" t="n"/>
      <c r="C451" s="51" t="n"/>
      <c r="D451" s="51" t="n"/>
      <c r="E451" s="52" t="n"/>
      <c r="F451" s="53" t="n"/>
      <c r="G451" s="51" t="n"/>
      <c r="H451" s="53" t="n"/>
      <c r="I451" s="51" t="n"/>
      <c r="J451" s="54">
        <f>IF(OR(B451="",F451="",NOT(AND(G451&lt;&gt;"✅ Выполнена",G451&lt;&gt;"❌ Отменена"))),"",IF(F451&lt;TODAY(),"❗ просрочено "&amp;(TODAY()-F451)&amp;" дн.",IF(F451=TODAY(),"🔥 сегодня",IF(F451-TODAY()&lt;=3,"⏳ через "&amp;(F451-TODAY())&amp;" дн.",""))))</f>
        <v/>
      </c>
      <c r="K451" s="54">
        <f>IF(B451="","",IF(G451="✅ Выполнена","✔ ",IF(G451="❌ Отменена","✖ ",IF(AND(F451&lt;&gt;"",F451&lt;TODAY()),"❗ ","☐ ")))&amp;B451&amp;IF(E451="🔥 Высокий"," 🔥",""))</f>
        <v/>
      </c>
      <c r="L451" s="54">
        <f>IF(OR(B451="",F451="",G451="❌ Отменена"),"",F451&amp;"#"&amp;COUNTIFS($F$5:F451,F451,$B$5:B451,"?*",$G$5:G451,"&lt;&gt;❌ Отменена"))</f>
        <v/>
      </c>
      <c r="M451" s="54">
        <f>IF(AND(B451&lt;&gt;"",F451&lt;&gt;"",F451&lt;TODAY(),AND(G451&lt;&gt;"✅ Выполнена",G451&lt;&gt;"❌ Отменена")),MAX($M$4:M450)+1,"")</f>
        <v/>
      </c>
    </row>
    <row r="452">
      <c r="A452" s="49">
        <f>IF(B452="","",COUNTA($B$5:B452))</f>
        <v/>
      </c>
      <c r="B452" s="50" t="n"/>
      <c r="C452" s="51" t="n"/>
      <c r="D452" s="51" t="n"/>
      <c r="E452" s="52" t="n"/>
      <c r="F452" s="53" t="n"/>
      <c r="G452" s="51" t="n"/>
      <c r="H452" s="53" t="n"/>
      <c r="I452" s="51" t="n"/>
      <c r="J452" s="54">
        <f>IF(OR(B452="",F452="",NOT(AND(G452&lt;&gt;"✅ Выполнена",G452&lt;&gt;"❌ Отменена"))),"",IF(F452&lt;TODAY(),"❗ просрочено "&amp;(TODAY()-F452)&amp;" дн.",IF(F452=TODAY(),"🔥 сегодня",IF(F452-TODAY()&lt;=3,"⏳ через "&amp;(F452-TODAY())&amp;" дн.",""))))</f>
        <v/>
      </c>
      <c r="K452" s="54">
        <f>IF(B452="","",IF(G452="✅ Выполнена","✔ ",IF(G452="❌ Отменена","✖ ",IF(AND(F452&lt;&gt;"",F452&lt;TODAY()),"❗ ","☐ ")))&amp;B452&amp;IF(E452="🔥 Высокий"," 🔥",""))</f>
        <v/>
      </c>
      <c r="L452" s="54">
        <f>IF(OR(B452="",F452="",G452="❌ Отменена"),"",F452&amp;"#"&amp;COUNTIFS($F$5:F452,F452,$B$5:B452,"?*",$G$5:G452,"&lt;&gt;❌ Отменена"))</f>
        <v/>
      </c>
      <c r="M452" s="54">
        <f>IF(AND(B452&lt;&gt;"",F452&lt;&gt;"",F452&lt;TODAY(),AND(G452&lt;&gt;"✅ Выполнена",G452&lt;&gt;"❌ Отменена")),MAX($M$4:M451)+1,"")</f>
        <v/>
      </c>
    </row>
    <row r="453">
      <c r="A453" s="49">
        <f>IF(B453="","",COUNTA($B$5:B453))</f>
        <v/>
      </c>
      <c r="B453" s="50" t="n"/>
      <c r="C453" s="51" t="n"/>
      <c r="D453" s="51" t="n"/>
      <c r="E453" s="52" t="n"/>
      <c r="F453" s="53" t="n"/>
      <c r="G453" s="51" t="n"/>
      <c r="H453" s="53" t="n"/>
      <c r="I453" s="51" t="n"/>
      <c r="J453" s="54">
        <f>IF(OR(B453="",F453="",NOT(AND(G453&lt;&gt;"✅ Выполнена",G453&lt;&gt;"❌ Отменена"))),"",IF(F453&lt;TODAY(),"❗ просрочено "&amp;(TODAY()-F453)&amp;" дн.",IF(F453=TODAY(),"🔥 сегодня",IF(F453-TODAY()&lt;=3,"⏳ через "&amp;(F453-TODAY())&amp;" дн.",""))))</f>
        <v/>
      </c>
      <c r="K453" s="54">
        <f>IF(B453="","",IF(G453="✅ Выполнена","✔ ",IF(G453="❌ Отменена","✖ ",IF(AND(F453&lt;&gt;"",F453&lt;TODAY()),"❗ ","☐ ")))&amp;B453&amp;IF(E453="🔥 Высокий"," 🔥",""))</f>
        <v/>
      </c>
      <c r="L453" s="54">
        <f>IF(OR(B453="",F453="",G453="❌ Отменена"),"",F453&amp;"#"&amp;COUNTIFS($F$5:F453,F453,$B$5:B453,"?*",$G$5:G453,"&lt;&gt;❌ Отменена"))</f>
        <v/>
      </c>
      <c r="M453" s="54">
        <f>IF(AND(B453&lt;&gt;"",F453&lt;&gt;"",F453&lt;TODAY(),AND(G453&lt;&gt;"✅ Выполнена",G453&lt;&gt;"❌ Отменена")),MAX($M$4:M452)+1,"")</f>
        <v/>
      </c>
    </row>
    <row r="454">
      <c r="A454" s="49">
        <f>IF(B454="","",COUNTA($B$5:B454))</f>
        <v/>
      </c>
      <c r="B454" s="50" t="n"/>
      <c r="C454" s="51" t="n"/>
      <c r="D454" s="51" t="n"/>
      <c r="E454" s="52" t="n"/>
      <c r="F454" s="53" t="n"/>
      <c r="G454" s="51" t="n"/>
      <c r="H454" s="53" t="n"/>
      <c r="I454" s="51" t="n"/>
      <c r="J454" s="54">
        <f>IF(OR(B454="",F454="",NOT(AND(G454&lt;&gt;"✅ Выполнена",G454&lt;&gt;"❌ Отменена"))),"",IF(F454&lt;TODAY(),"❗ просрочено "&amp;(TODAY()-F454)&amp;" дн.",IF(F454=TODAY(),"🔥 сегодня",IF(F454-TODAY()&lt;=3,"⏳ через "&amp;(F454-TODAY())&amp;" дн.",""))))</f>
        <v/>
      </c>
      <c r="K454" s="54">
        <f>IF(B454="","",IF(G454="✅ Выполнена","✔ ",IF(G454="❌ Отменена","✖ ",IF(AND(F454&lt;&gt;"",F454&lt;TODAY()),"❗ ","☐ ")))&amp;B454&amp;IF(E454="🔥 Высокий"," 🔥",""))</f>
        <v/>
      </c>
      <c r="L454" s="54">
        <f>IF(OR(B454="",F454="",G454="❌ Отменена"),"",F454&amp;"#"&amp;COUNTIFS($F$5:F454,F454,$B$5:B454,"?*",$G$5:G454,"&lt;&gt;❌ Отменена"))</f>
        <v/>
      </c>
      <c r="M454" s="54">
        <f>IF(AND(B454&lt;&gt;"",F454&lt;&gt;"",F454&lt;TODAY(),AND(G454&lt;&gt;"✅ Выполнена",G454&lt;&gt;"❌ Отменена")),MAX($M$4:M453)+1,"")</f>
        <v/>
      </c>
    </row>
    <row r="455">
      <c r="A455" s="49">
        <f>IF(B455="","",COUNTA($B$5:B455))</f>
        <v/>
      </c>
      <c r="B455" s="50" t="n"/>
      <c r="C455" s="51" t="n"/>
      <c r="D455" s="51" t="n"/>
      <c r="E455" s="52" t="n"/>
      <c r="F455" s="53" t="n"/>
      <c r="G455" s="51" t="n"/>
      <c r="H455" s="53" t="n"/>
      <c r="I455" s="51" t="n"/>
      <c r="J455" s="54">
        <f>IF(OR(B455="",F455="",NOT(AND(G455&lt;&gt;"✅ Выполнена",G455&lt;&gt;"❌ Отменена"))),"",IF(F455&lt;TODAY(),"❗ просрочено "&amp;(TODAY()-F455)&amp;" дн.",IF(F455=TODAY(),"🔥 сегодня",IF(F455-TODAY()&lt;=3,"⏳ через "&amp;(F455-TODAY())&amp;" дн.",""))))</f>
        <v/>
      </c>
      <c r="K455" s="54">
        <f>IF(B455="","",IF(G455="✅ Выполнена","✔ ",IF(G455="❌ Отменена","✖ ",IF(AND(F455&lt;&gt;"",F455&lt;TODAY()),"❗ ","☐ ")))&amp;B455&amp;IF(E455="🔥 Высокий"," 🔥",""))</f>
        <v/>
      </c>
      <c r="L455" s="54">
        <f>IF(OR(B455="",F455="",G455="❌ Отменена"),"",F455&amp;"#"&amp;COUNTIFS($F$5:F455,F455,$B$5:B455,"?*",$G$5:G455,"&lt;&gt;❌ Отменена"))</f>
        <v/>
      </c>
      <c r="M455" s="54">
        <f>IF(AND(B455&lt;&gt;"",F455&lt;&gt;"",F455&lt;TODAY(),AND(G455&lt;&gt;"✅ Выполнена",G455&lt;&gt;"❌ Отменена")),MAX($M$4:M454)+1,"")</f>
        <v/>
      </c>
    </row>
    <row r="456">
      <c r="A456" s="49">
        <f>IF(B456="","",COUNTA($B$5:B456))</f>
        <v/>
      </c>
      <c r="B456" s="50" t="n"/>
      <c r="C456" s="51" t="n"/>
      <c r="D456" s="51" t="n"/>
      <c r="E456" s="52" t="n"/>
      <c r="F456" s="53" t="n"/>
      <c r="G456" s="51" t="n"/>
      <c r="H456" s="53" t="n"/>
      <c r="I456" s="51" t="n"/>
      <c r="J456" s="54">
        <f>IF(OR(B456="",F456="",NOT(AND(G456&lt;&gt;"✅ Выполнена",G456&lt;&gt;"❌ Отменена"))),"",IF(F456&lt;TODAY(),"❗ просрочено "&amp;(TODAY()-F456)&amp;" дн.",IF(F456=TODAY(),"🔥 сегодня",IF(F456-TODAY()&lt;=3,"⏳ через "&amp;(F456-TODAY())&amp;" дн.",""))))</f>
        <v/>
      </c>
      <c r="K456" s="54">
        <f>IF(B456="","",IF(G456="✅ Выполнена","✔ ",IF(G456="❌ Отменена","✖ ",IF(AND(F456&lt;&gt;"",F456&lt;TODAY()),"❗ ","☐ ")))&amp;B456&amp;IF(E456="🔥 Высокий"," 🔥",""))</f>
        <v/>
      </c>
      <c r="L456" s="54">
        <f>IF(OR(B456="",F456="",G456="❌ Отменена"),"",F456&amp;"#"&amp;COUNTIFS($F$5:F456,F456,$B$5:B456,"?*",$G$5:G456,"&lt;&gt;❌ Отменена"))</f>
        <v/>
      </c>
      <c r="M456" s="54">
        <f>IF(AND(B456&lt;&gt;"",F456&lt;&gt;"",F456&lt;TODAY(),AND(G456&lt;&gt;"✅ Выполнена",G456&lt;&gt;"❌ Отменена")),MAX($M$4:M455)+1,"")</f>
        <v/>
      </c>
    </row>
    <row r="457">
      <c r="A457" s="49">
        <f>IF(B457="","",COUNTA($B$5:B457))</f>
        <v/>
      </c>
      <c r="B457" s="50" t="n"/>
      <c r="C457" s="51" t="n"/>
      <c r="D457" s="51" t="n"/>
      <c r="E457" s="52" t="n"/>
      <c r="F457" s="53" t="n"/>
      <c r="G457" s="51" t="n"/>
      <c r="H457" s="53" t="n"/>
      <c r="I457" s="51" t="n"/>
      <c r="J457" s="54">
        <f>IF(OR(B457="",F457="",NOT(AND(G457&lt;&gt;"✅ Выполнена",G457&lt;&gt;"❌ Отменена"))),"",IF(F457&lt;TODAY(),"❗ просрочено "&amp;(TODAY()-F457)&amp;" дн.",IF(F457=TODAY(),"🔥 сегодня",IF(F457-TODAY()&lt;=3,"⏳ через "&amp;(F457-TODAY())&amp;" дн.",""))))</f>
        <v/>
      </c>
      <c r="K457" s="54">
        <f>IF(B457="","",IF(G457="✅ Выполнена","✔ ",IF(G457="❌ Отменена","✖ ",IF(AND(F457&lt;&gt;"",F457&lt;TODAY()),"❗ ","☐ ")))&amp;B457&amp;IF(E457="🔥 Высокий"," 🔥",""))</f>
        <v/>
      </c>
      <c r="L457" s="54">
        <f>IF(OR(B457="",F457="",G457="❌ Отменена"),"",F457&amp;"#"&amp;COUNTIFS($F$5:F457,F457,$B$5:B457,"?*",$G$5:G457,"&lt;&gt;❌ Отменена"))</f>
        <v/>
      </c>
      <c r="M457" s="54">
        <f>IF(AND(B457&lt;&gt;"",F457&lt;&gt;"",F457&lt;TODAY(),AND(G457&lt;&gt;"✅ Выполнена",G457&lt;&gt;"❌ Отменена")),MAX($M$4:M456)+1,"")</f>
        <v/>
      </c>
    </row>
    <row r="458">
      <c r="A458" s="49">
        <f>IF(B458="","",COUNTA($B$5:B458))</f>
        <v/>
      </c>
      <c r="B458" s="50" t="n"/>
      <c r="C458" s="51" t="n"/>
      <c r="D458" s="51" t="n"/>
      <c r="E458" s="52" t="n"/>
      <c r="F458" s="53" t="n"/>
      <c r="G458" s="51" t="n"/>
      <c r="H458" s="53" t="n"/>
      <c r="I458" s="51" t="n"/>
      <c r="J458" s="54">
        <f>IF(OR(B458="",F458="",NOT(AND(G458&lt;&gt;"✅ Выполнена",G458&lt;&gt;"❌ Отменена"))),"",IF(F458&lt;TODAY(),"❗ просрочено "&amp;(TODAY()-F458)&amp;" дн.",IF(F458=TODAY(),"🔥 сегодня",IF(F458-TODAY()&lt;=3,"⏳ через "&amp;(F458-TODAY())&amp;" дн.",""))))</f>
        <v/>
      </c>
      <c r="K458" s="54">
        <f>IF(B458="","",IF(G458="✅ Выполнена","✔ ",IF(G458="❌ Отменена","✖ ",IF(AND(F458&lt;&gt;"",F458&lt;TODAY()),"❗ ","☐ ")))&amp;B458&amp;IF(E458="🔥 Высокий"," 🔥",""))</f>
        <v/>
      </c>
      <c r="L458" s="54">
        <f>IF(OR(B458="",F458="",G458="❌ Отменена"),"",F458&amp;"#"&amp;COUNTIFS($F$5:F458,F458,$B$5:B458,"?*",$G$5:G458,"&lt;&gt;❌ Отменена"))</f>
        <v/>
      </c>
      <c r="M458" s="54">
        <f>IF(AND(B458&lt;&gt;"",F458&lt;&gt;"",F458&lt;TODAY(),AND(G458&lt;&gt;"✅ Выполнена",G458&lt;&gt;"❌ Отменена")),MAX($M$4:M457)+1,"")</f>
        <v/>
      </c>
    </row>
    <row r="459">
      <c r="A459" s="49">
        <f>IF(B459="","",COUNTA($B$5:B459))</f>
        <v/>
      </c>
      <c r="B459" s="50" t="n"/>
      <c r="C459" s="51" t="n"/>
      <c r="D459" s="51" t="n"/>
      <c r="E459" s="52" t="n"/>
      <c r="F459" s="53" t="n"/>
      <c r="G459" s="51" t="n"/>
      <c r="H459" s="53" t="n"/>
      <c r="I459" s="51" t="n"/>
      <c r="J459" s="54">
        <f>IF(OR(B459="",F459="",NOT(AND(G459&lt;&gt;"✅ Выполнена",G459&lt;&gt;"❌ Отменена"))),"",IF(F459&lt;TODAY(),"❗ просрочено "&amp;(TODAY()-F459)&amp;" дн.",IF(F459=TODAY(),"🔥 сегодня",IF(F459-TODAY()&lt;=3,"⏳ через "&amp;(F459-TODAY())&amp;" дн.",""))))</f>
        <v/>
      </c>
      <c r="K459" s="54">
        <f>IF(B459="","",IF(G459="✅ Выполнена","✔ ",IF(G459="❌ Отменена","✖ ",IF(AND(F459&lt;&gt;"",F459&lt;TODAY()),"❗ ","☐ ")))&amp;B459&amp;IF(E459="🔥 Высокий"," 🔥",""))</f>
        <v/>
      </c>
      <c r="L459" s="54">
        <f>IF(OR(B459="",F459="",G459="❌ Отменена"),"",F459&amp;"#"&amp;COUNTIFS($F$5:F459,F459,$B$5:B459,"?*",$G$5:G459,"&lt;&gt;❌ Отменена"))</f>
        <v/>
      </c>
      <c r="M459" s="54">
        <f>IF(AND(B459&lt;&gt;"",F459&lt;&gt;"",F459&lt;TODAY(),AND(G459&lt;&gt;"✅ Выполнена",G459&lt;&gt;"❌ Отменена")),MAX($M$4:M458)+1,"")</f>
        <v/>
      </c>
    </row>
    <row r="460">
      <c r="A460" s="49">
        <f>IF(B460="","",COUNTA($B$5:B460))</f>
        <v/>
      </c>
      <c r="B460" s="50" t="n"/>
      <c r="C460" s="51" t="n"/>
      <c r="D460" s="51" t="n"/>
      <c r="E460" s="52" t="n"/>
      <c r="F460" s="53" t="n"/>
      <c r="G460" s="51" t="n"/>
      <c r="H460" s="53" t="n"/>
      <c r="I460" s="51" t="n"/>
      <c r="J460" s="54">
        <f>IF(OR(B460="",F460="",NOT(AND(G460&lt;&gt;"✅ Выполнена",G460&lt;&gt;"❌ Отменена"))),"",IF(F460&lt;TODAY(),"❗ просрочено "&amp;(TODAY()-F460)&amp;" дн.",IF(F460=TODAY(),"🔥 сегодня",IF(F460-TODAY()&lt;=3,"⏳ через "&amp;(F460-TODAY())&amp;" дн.",""))))</f>
        <v/>
      </c>
      <c r="K460" s="54">
        <f>IF(B460="","",IF(G460="✅ Выполнена","✔ ",IF(G460="❌ Отменена","✖ ",IF(AND(F460&lt;&gt;"",F460&lt;TODAY()),"❗ ","☐ ")))&amp;B460&amp;IF(E460="🔥 Высокий"," 🔥",""))</f>
        <v/>
      </c>
      <c r="L460" s="54">
        <f>IF(OR(B460="",F460="",G460="❌ Отменена"),"",F460&amp;"#"&amp;COUNTIFS($F$5:F460,F460,$B$5:B460,"?*",$G$5:G460,"&lt;&gt;❌ Отменена"))</f>
        <v/>
      </c>
      <c r="M460" s="54">
        <f>IF(AND(B460&lt;&gt;"",F460&lt;&gt;"",F460&lt;TODAY(),AND(G460&lt;&gt;"✅ Выполнена",G460&lt;&gt;"❌ Отменена")),MAX($M$4:M459)+1,"")</f>
        <v/>
      </c>
    </row>
    <row r="461">
      <c r="A461" s="49">
        <f>IF(B461="","",COUNTA($B$5:B461))</f>
        <v/>
      </c>
      <c r="B461" s="50" t="n"/>
      <c r="C461" s="51" t="n"/>
      <c r="D461" s="51" t="n"/>
      <c r="E461" s="52" t="n"/>
      <c r="F461" s="53" t="n"/>
      <c r="G461" s="51" t="n"/>
      <c r="H461" s="53" t="n"/>
      <c r="I461" s="51" t="n"/>
      <c r="J461" s="54">
        <f>IF(OR(B461="",F461="",NOT(AND(G461&lt;&gt;"✅ Выполнена",G461&lt;&gt;"❌ Отменена"))),"",IF(F461&lt;TODAY(),"❗ просрочено "&amp;(TODAY()-F461)&amp;" дн.",IF(F461=TODAY(),"🔥 сегодня",IF(F461-TODAY()&lt;=3,"⏳ через "&amp;(F461-TODAY())&amp;" дн.",""))))</f>
        <v/>
      </c>
      <c r="K461" s="54">
        <f>IF(B461="","",IF(G461="✅ Выполнена","✔ ",IF(G461="❌ Отменена","✖ ",IF(AND(F461&lt;&gt;"",F461&lt;TODAY()),"❗ ","☐ ")))&amp;B461&amp;IF(E461="🔥 Высокий"," 🔥",""))</f>
        <v/>
      </c>
      <c r="L461" s="54">
        <f>IF(OR(B461="",F461="",G461="❌ Отменена"),"",F461&amp;"#"&amp;COUNTIFS($F$5:F461,F461,$B$5:B461,"?*",$G$5:G461,"&lt;&gt;❌ Отменена"))</f>
        <v/>
      </c>
      <c r="M461" s="54">
        <f>IF(AND(B461&lt;&gt;"",F461&lt;&gt;"",F461&lt;TODAY(),AND(G461&lt;&gt;"✅ Выполнена",G461&lt;&gt;"❌ Отменена")),MAX($M$4:M460)+1,"")</f>
        <v/>
      </c>
    </row>
    <row r="462">
      <c r="A462" s="49">
        <f>IF(B462="","",COUNTA($B$5:B462))</f>
        <v/>
      </c>
      <c r="B462" s="50" t="n"/>
      <c r="C462" s="51" t="n"/>
      <c r="D462" s="51" t="n"/>
      <c r="E462" s="52" t="n"/>
      <c r="F462" s="53" t="n"/>
      <c r="G462" s="51" t="n"/>
      <c r="H462" s="53" t="n"/>
      <c r="I462" s="51" t="n"/>
      <c r="J462" s="54">
        <f>IF(OR(B462="",F462="",NOT(AND(G462&lt;&gt;"✅ Выполнена",G462&lt;&gt;"❌ Отменена"))),"",IF(F462&lt;TODAY(),"❗ просрочено "&amp;(TODAY()-F462)&amp;" дн.",IF(F462=TODAY(),"🔥 сегодня",IF(F462-TODAY()&lt;=3,"⏳ через "&amp;(F462-TODAY())&amp;" дн.",""))))</f>
        <v/>
      </c>
      <c r="K462" s="54">
        <f>IF(B462="","",IF(G462="✅ Выполнена","✔ ",IF(G462="❌ Отменена","✖ ",IF(AND(F462&lt;&gt;"",F462&lt;TODAY()),"❗ ","☐ ")))&amp;B462&amp;IF(E462="🔥 Высокий"," 🔥",""))</f>
        <v/>
      </c>
      <c r="L462" s="54">
        <f>IF(OR(B462="",F462="",G462="❌ Отменена"),"",F462&amp;"#"&amp;COUNTIFS($F$5:F462,F462,$B$5:B462,"?*",$G$5:G462,"&lt;&gt;❌ Отменена"))</f>
        <v/>
      </c>
      <c r="M462" s="54">
        <f>IF(AND(B462&lt;&gt;"",F462&lt;&gt;"",F462&lt;TODAY(),AND(G462&lt;&gt;"✅ Выполнена",G462&lt;&gt;"❌ Отменена")),MAX($M$4:M461)+1,"")</f>
        <v/>
      </c>
    </row>
    <row r="463">
      <c r="A463" s="49">
        <f>IF(B463="","",COUNTA($B$5:B463))</f>
        <v/>
      </c>
      <c r="B463" s="50" t="n"/>
      <c r="C463" s="51" t="n"/>
      <c r="D463" s="51" t="n"/>
      <c r="E463" s="52" t="n"/>
      <c r="F463" s="53" t="n"/>
      <c r="G463" s="51" t="n"/>
      <c r="H463" s="53" t="n"/>
      <c r="I463" s="51" t="n"/>
      <c r="J463" s="54">
        <f>IF(OR(B463="",F463="",NOT(AND(G463&lt;&gt;"✅ Выполнена",G463&lt;&gt;"❌ Отменена"))),"",IF(F463&lt;TODAY(),"❗ просрочено "&amp;(TODAY()-F463)&amp;" дн.",IF(F463=TODAY(),"🔥 сегодня",IF(F463-TODAY()&lt;=3,"⏳ через "&amp;(F463-TODAY())&amp;" дн.",""))))</f>
        <v/>
      </c>
      <c r="K463" s="54">
        <f>IF(B463="","",IF(G463="✅ Выполнена","✔ ",IF(G463="❌ Отменена","✖ ",IF(AND(F463&lt;&gt;"",F463&lt;TODAY()),"❗ ","☐ ")))&amp;B463&amp;IF(E463="🔥 Высокий"," 🔥",""))</f>
        <v/>
      </c>
      <c r="L463" s="54">
        <f>IF(OR(B463="",F463="",G463="❌ Отменена"),"",F463&amp;"#"&amp;COUNTIFS($F$5:F463,F463,$B$5:B463,"?*",$G$5:G463,"&lt;&gt;❌ Отменена"))</f>
        <v/>
      </c>
      <c r="M463" s="54">
        <f>IF(AND(B463&lt;&gt;"",F463&lt;&gt;"",F463&lt;TODAY(),AND(G463&lt;&gt;"✅ Выполнена",G463&lt;&gt;"❌ Отменена")),MAX($M$4:M462)+1,"")</f>
        <v/>
      </c>
    </row>
    <row r="464">
      <c r="A464" s="49">
        <f>IF(B464="","",COUNTA($B$5:B464))</f>
        <v/>
      </c>
      <c r="B464" s="50" t="n"/>
      <c r="C464" s="51" t="n"/>
      <c r="D464" s="51" t="n"/>
      <c r="E464" s="52" t="n"/>
      <c r="F464" s="53" t="n"/>
      <c r="G464" s="51" t="n"/>
      <c r="H464" s="53" t="n"/>
      <c r="I464" s="51" t="n"/>
      <c r="J464" s="54">
        <f>IF(OR(B464="",F464="",NOT(AND(G464&lt;&gt;"✅ Выполнена",G464&lt;&gt;"❌ Отменена"))),"",IF(F464&lt;TODAY(),"❗ просрочено "&amp;(TODAY()-F464)&amp;" дн.",IF(F464=TODAY(),"🔥 сегодня",IF(F464-TODAY()&lt;=3,"⏳ через "&amp;(F464-TODAY())&amp;" дн.",""))))</f>
        <v/>
      </c>
      <c r="K464" s="54">
        <f>IF(B464="","",IF(G464="✅ Выполнена","✔ ",IF(G464="❌ Отменена","✖ ",IF(AND(F464&lt;&gt;"",F464&lt;TODAY()),"❗ ","☐ ")))&amp;B464&amp;IF(E464="🔥 Высокий"," 🔥",""))</f>
        <v/>
      </c>
      <c r="L464" s="54">
        <f>IF(OR(B464="",F464="",G464="❌ Отменена"),"",F464&amp;"#"&amp;COUNTIFS($F$5:F464,F464,$B$5:B464,"?*",$G$5:G464,"&lt;&gt;❌ Отменена"))</f>
        <v/>
      </c>
      <c r="M464" s="54">
        <f>IF(AND(B464&lt;&gt;"",F464&lt;&gt;"",F464&lt;TODAY(),AND(G464&lt;&gt;"✅ Выполнена",G464&lt;&gt;"❌ Отменена")),MAX($M$4:M463)+1,"")</f>
        <v/>
      </c>
    </row>
    <row r="465">
      <c r="A465" s="49">
        <f>IF(B465="","",COUNTA($B$5:B465))</f>
        <v/>
      </c>
      <c r="B465" s="50" t="n"/>
      <c r="C465" s="51" t="n"/>
      <c r="D465" s="51" t="n"/>
      <c r="E465" s="52" t="n"/>
      <c r="F465" s="53" t="n"/>
      <c r="G465" s="51" t="n"/>
      <c r="H465" s="53" t="n"/>
      <c r="I465" s="51" t="n"/>
      <c r="J465" s="54">
        <f>IF(OR(B465="",F465="",NOT(AND(G465&lt;&gt;"✅ Выполнена",G465&lt;&gt;"❌ Отменена"))),"",IF(F465&lt;TODAY(),"❗ просрочено "&amp;(TODAY()-F465)&amp;" дн.",IF(F465=TODAY(),"🔥 сегодня",IF(F465-TODAY()&lt;=3,"⏳ через "&amp;(F465-TODAY())&amp;" дн.",""))))</f>
        <v/>
      </c>
      <c r="K465" s="54">
        <f>IF(B465="","",IF(G465="✅ Выполнена","✔ ",IF(G465="❌ Отменена","✖ ",IF(AND(F465&lt;&gt;"",F465&lt;TODAY()),"❗ ","☐ ")))&amp;B465&amp;IF(E465="🔥 Высокий"," 🔥",""))</f>
        <v/>
      </c>
      <c r="L465" s="54">
        <f>IF(OR(B465="",F465="",G465="❌ Отменена"),"",F465&amp;"#"&amp;COUNTIFS($F$5:F465,F465,$B$5:B465,"?*",$G$5:G465,"&lt;&gt;❌ Отменена"))</f>
        <v/>
      </c>
      <c r="M465" s="54">
        <f>IF(AND(B465&lt;&gt;"",F465&lt;&gt;"",F465&lt;TODAY(),AND(G465&lt;&gt;"✅ Выполнена",G465&lt;&gt;"❌ Отменена")),MAX($M$4:M464)+1,"")</f>
        <v/>
      </c>
    </row>
    <row r="466">
      <c r="A466" s="49">
        <f>IF(B466="","",COUNTA($B$5:B466))</f>
        <v/>
      </c>
      <c r="B466" s="50" t="n"/>
      <c r="C466" s="51" t="n"/>
      <c r="D466" s="51" t="n"/>
      <c r="E466" s="52" t="n"/>
      <c r="F466" s="53" t="n"/>
      <c r="G466" s="51" t="n"/>
      <c r="H466" s="53" t="n"/>
      <c r="I466" s="51" t="n"/>
      <c r="J466" s="54">
        <f>IF(OR(B466="",F466="",NOT(AND(G466&lt;&gt;"✅ Выполнена",G466&lt;&gt;"❌ Отменена"))),"",IF(F466&lt;TODAY(),"❗ просрочено "&amp;(TODAY()-F466)&amp;" дн.",IF(F466=TODAY(),"🔥 сегодня",IF(F466-TODAY()&lt;=3,"⏳ через "&amp;(F466-TODAY())&amp;" дн.",""))))</f>
        <v/>
      </c>
      <c r="K466" s="54">
        <f>IF(B466="","",IF(G466="✅ Выполнена","✔ ",IF(G466="❌ Отменена","✖ ",IF(AND(F466&lt;&gt;"",F466&lt;TODAY()),"❗ ","☐ ")))&amp;B466&amp;IF(E466="🔥 Высокий"," 🔥",""))</f>
        <v/>
      </c>
      <c r="L466" s="54">
        <f>IF(OR(B466="",F466="",G466="❌ Отменена"),"",F466&amp;"#"&amp;COUNTIFS($F$5:F466,F466,$B$5:B466,"?*",$G$5:G466,"&lt;&gt;❌ Отменена"))</f>
        <v/>
      </c>
      <c r="M466" s="54">
        <f>IF(AND(B466&lt;&gt;"",F466&lt;&gt;"",F466&lt;TODAY(),AND(G466&lt;&gt;"✅ Выполнена",G466&lt;&gt;"❌ Отменена")),MAX($M$4:M465)+1,"")</f>
        <v/>
      </c>
    </row>
    <row r="467">
      <c r="A467" s="49">
        <f>IF(B467="","",COUNTA($B$5:B467))</f>
        <v/>
      </c>
      <c r="B467" s="50" t="n"/>
      <c r="C467" s="51" t="n"/>
      <c r="D467" s="51" t="n"/>
      <c r="E467" s="52" t="n"/>
      <c r="F467" s="53" t="n"/>
      <c r="G467" s="51" t="n"/>
      <c r="H467" s="53" t="n"/>
      <c r="I467" s="51" t="n"/>
      <c r="J467" s="54">
        <f>IF(OR(B467="",F467="",NOT(AND(G467&lt;&gt;"✅ Выполнена",G467&lt;&gt;"❌ Отменена"))),"",IF(F467&lt;TODAY(),"❗ просрочено "&amp;(TODAY()-F467)&amp;" дн.",IF(F467=TODAY(),"🔥 сегодня",IF(F467-TODAY()&lt;=3,"⏳ через "&amp;(F467-TODAY())&amp;" дн.",""))))</f>
        <v/>
      </c>
      <c r="K467" s="54">
        <f>IF(B467="","",IF(G467="✅ Выполнена","✔ ",IF(G467="❌ Отменена","✖ ",IF(AND(F467&lt;&gt;"",F467&lt;TODAY()),"❗ ","☐ ")))&amp;B467&amp;IF(E467="🔥 Высокий"," 🔥",""))</f>
        <v/>
      </c>
      <c r="L467" s="54">
        <f>IF(OR(B467="",F467="",G467="❌ Отменена"),"",F467&amp;"#"&amp;COUNTIFS($F$5:F467,F467,$B$5:B467,"?*",$G$5:G467,"&lt;&gt;❌ Отменена"))</f>
        <v/>
      </c>
      <c r="M467" s="54">
        <f>IF(AND(B467&lt;&gt;"",F467&lt;&gt;"",F467&lt;TODAY(),AND(G467&lt;&gt;"✅ Выполнена",G467&lt;&gt;"❌ Отменена")),MAX($M$4:M466)+1,"")</f>
        <v/>
      </c>
    </row>
    <row r="468">
      <c r="A468" s="49">
        <f>IF(B468="","",COUNTA($B$5:B468))</f>
        <v/>
      </c>
      <c r="B468" s="50" t="n"/>
      <c r="C468" s="51" t="n"/>
      <c r="D468" s="51" t="n"/>
      <c r="E468" s="52" t="n"/>
      <c r="F468" s="53" t="n"/>
      <c r="G468" s="51" t="n"/>
      <c r="H468" s="53" t="n"/>
      <c r="I468" s="51" t="n"/>
      <c r="J468" s="54">
        <f>IF(OR(B468="",F468="",NOT(AND(G468&lt;&gt;"✅ Выполнена",G468&lt;&gt;"❌ Отменена"))),"",IF(F468&lt;TODAY(),"❗ просрочено "&amp;(TODAY()-F468)&amp;" дн.",IF(F468=TODAY(),"🔥 сегодня",IF(F468-TODAY()&lt;=3,"⏳ через "&amp;(F468-TODAY())&amp;" дн.",""))))</f>
        <v/>
      </c>
      <c r="K468" s="54">
        <f>IF(B468="","",IF(G468="✅ Выполнена","✔ ",IF(G468="❌ Отменена","✖ ",IF(AND(F468&lt;&gt;"",F468&lt;TODAY()),"❗ ","☐ ")))&amp;B468&amp;IF(E468="🔥 Высокий"," 🔥",""))</f>
        <v/>
      </c>
      <c r="L468" s="54">
        <f>IF(OR(B468="",F468="",G468="❌ Отменена"),"",F468&amp;"#"&amp;COUNTIFS($F$5:F468,F468,$B$5:B468,"?*",$G$5:G468,"&lt;&gt;❌ Отменена"))</f>
        <v/>
      </c>
      <c r="M468" s="54">
        <f>IF(AND(B468&lt;&gt;"",F468&lt;&gt;"",F468&lt;TODAY(),AND(G468&lt;&gt;"✅ Выполнена",G468&lt;&gt;"❌ Отменена")),MAX($M$4:M467)+1,"")</f>
        <v/>
      </c>
    </row>
    <row r="469">
      <c r="A469" s="49">
        <f>IF(B469="","",COUNTA($B$5:B469))</f>
        <v/>
      </c>
      <c r="B469" s="50" t="n"/>
      <c r="C469" s="51" t="n"/>
      <c r="D469" s="51" t="n"/>
      <c r="E469" s="52" t="n"/>
      <c r="F469" s="53" t="n"/>
      <c r="G469" s="51" t="n"/>
      <c r="H469" s="53" t="n"/>
      <c r="I469" s="51" t="n"/>
      <c r="J469" s="54">
        <f>IF(OR(B469="",F469="",NOT(AND(G469&lt;&gt;"✅ Выполнена",G469&lt;&gt;"❌ Отменена"))),"",IF(F469&lt;TODAY(),"❗ просрочено "&amp;(TODAY()-F469)&amp;" дн.",IF(F469=TODAY(),"🔥 сегодня",IF(F469-TODAY()&lt;=3,"⏳ через "&amp;(F469-TODAY())&amp;" дн.",""))))</f>
        <v/>
      </c>
      <c r="K469" s="54">
        <f>IF(B469="","",IF(G469="✅ Выполнена","✔ ",IF(G469="❌ Отменена","✖ ",IF(AND(F469&lt;&gt;"",F469&lt;TODAY()),"❗ ","☐ ")))&amp;B469&amp;IF(E469="🔥 Высокий"," 🔥",""))</f>
        <v/>
      </c>
      <c r="L469" s="54">
        <f>IF(OR(B469="",F469="",G469="❌ Отменена"),"",F469&amp;"#"&amp;COUNTIFS($F$5:F469,F469,$B$5:B469,"?*",$G$5:G469,"&lt;&gt;❌ Отменена"))</f>
        <v/>
      </c>
      <c r="M469" s="54">
        <f>IF(AND(B469&lt;&gt;"",F469&lt;&gt;"",F469&lt;TODAY(),AND(G469&lt;&gt;"✅ Выполнена",G469&lt;&gt;"❌ Отменена")),MAX($M$4:M468)+1,"")</f>
        <v/>
      </c>
    </row>
    <row r="470">
      <c r="A470" s="49">
        <f>IF(B470="","",COUNTA($B$5:B470))</f>
        <v/>
      </c>
      <c r="B470" s="50" t="n"/>
      <c r="C470" s="51" t="n"/>
      <c r="D470" s="51" t="n"/>
      <c r="E470" s="52" t="n"/>
      <c r="F470" s="53" t="n"/>
      <c r="G470" s="51" t="n"/>
      <c r="H470" s="53" t="n"/>
      <c r="I470" s="51" t="n"/>
      <c r="J470" s="54">
        <f>IF(OR(B470="",F470="",NOT(AND(G470&lt;&gt;"✅ Выполнена",G470&lt;&gt;"❌ Отменена"))),"",IF(F470&lt;TODAY(),"❗ просрочено "&amp;(TODAY()-F470)&amp;" дн.",IF(F470=TODAY(),"🔥 сегодня",IF(F470-TODAY()&lt;=3,"⏳ через "&amp;(F470-TODAY())&amp;" дн.",""))))</f>
        <v/>
      </c>
      <c r="K470" s="54">
        <f>IF(B470="","",IF(G470="✅ Выполнена","✔ ",IF(G470="❌ Отменена","✖ ",IF(AND(F470&lt;&gt;"",F470&lt;TODAY()),"❗ ","☐ ")))&amp;B470&amp;IF(E470="🔥 Высокий"," 🔥",""))</f>
        <v/>
      </c>
      <c r="L470" s="54">
        <f>IF(OR(B470="",F470="",G470="❌ Отменена"),"",F470&amp;"#"&amp;COUNTIFS($F$5:F470,F470,$B$5:B470,"?*",$G$5:G470,"&lt;&gt;❌ Отменена"))</f>
        <v/>
      </c>
      <c r="M470" s="54">
        <f>IF(AND(B470&lt;&gt;"",F470&lt;&gt;"",F470&lt;TODAY(),AND(G470&lt;&gt;"✅ Выполнена",G470&lt;&gt;"❌ Отменена")),MAX($M$4:M469)+1,"")</f>
        <v/>
      </c>
    </row>
    <row r="471">
      <c r="A471" s="49">
        <f>IF(B471="","",COUNTA($B$5:B471))</f>
        <v/>
      </c>
      <c r="B471" s="50" t="n"/>
      <c r="C471" s="51" t="n"/>
      <c r="D471" s="51" t="n"/>
      <c r="E471" s="52" t="n"/>
      <c r="F471" s="53" t="n"/>
      <c r="G471" s="51" t="n"/>
      <c r="H471" s="53" t="n"/>
      <c r="I471" s="51" t="n"/>
      <c r="J471" s="54">
        <f>IF(OR(B471="",F471="",NOT(AND(G471&lt;&gt;"✅ Выполнена",G471&lt;&gt;"❌ Отменена"))),"",IF(F471&lt;TODAY(),"❗ просрочено "&amp;(TODAY()-F471)&amp;" дн.",IF(F471=TODAY(),"🔥 сегодня",IF(F471-TODAY()&lt;=3,"⏳ через "&amp;(F471-TODAY())&amp;" дн.",""))))</f>
        <v/>
      </c>
      <c r="K471" s="54">
        <f>IF(B471="","",IF(G471="✅ Выполнена","✔ ",IF(G471="❌ Отменена","✖ ",IF(AND(F471&lt;&gt;"",F471&lt;TODAY()),"❗ ","☐ ")))&amp;B471&amp;IF(E471="🔥 Высокий"," 🔥",""))</f>
        <v/>
      </c>
      <c r="L471" s="54">
        <f>IF(OR(B471="",F471="",G471="❌ Отменена"),"",F471&amp;"#"&amp;COUNTIFS($F$5:F471,F471,$B$5:B471,"?*",$G$5:G471,"&lt;&gt;❌ Отменена"))</f>
        <v/>
      </c>
      <c r="M471" s="54">
        <f>IF(AND(B471&lt;&gt;"",F471&lt;&gt;"",F471&lt;TODAY(),AND(G471&lt;&gt;"✅ Выполнена",G471&lt;&gt;"❌ Отменена")),MAX($M$4:M470)+1,"")</f>
        <v/>
      </c>
    </row>
    <row r="472">
      <c r="A472" s="49">
        <f>IF(B472="","",COUNTA($B$5:B472))</f>
        <v/>
      </c>
      <c r="B472" s="50" t="n"/>
      <c r="C472" s="51" t="n"/>
      <c r="D472" s="51" t="n"/>
      <c r="E472" s="52" t="n"/>
      <c r="F472" s="53" t="n"/>
      <c r="G472" s="51" t="n"/>
      <c r="H472" s="53" t="n"/>
      <c r="I472" s="51" t="n"/>
      <c r="J472" s="54">
        <f>IF(OR(B472="",F472="",NOT(AND(G472&lt;&gt;"✅ Выполнена",G472&lt;&gt;"❌ Отменена"))),"",IF(F472&lt;TODAY(),"❗ просрочено "&amp;(TODAY()-F472)&amp;" дн.",IF(F472=TODAY(),"🔥 сегодня",IF(F472-TODAY()&lt;=3,"⏳ через "&amp;(F472-TODAY())&amp;" дн.",""))))</f>
        <v/>
      </c>
      <c r="K472" s="54">
        <f>IF(B472="","",IF(G472="✅ Выполнена","✔ ",IF(G472="❌ Отменена","✖ ",IF(AND(F472&lt;&gt;"",F472&lt;TODAY()),"❗ ","☐ ")))&amp;B472&amp;IF(E472="🔥 Высокий"," 🔥",""))</f>
        <v/>
      </c>
      <c r="L472" s="54">
        <f>IF(OR(B472="",F472="",G472="❌ Отменена"),"",F472&amp;"#"&amp;COUNTIFS($F$5:F472,F472,$B$5:B472,"?*",$G$5:G472,"&lt;&gt;❌ Отменена"))</f>
        <v/>
      </c>
      <c r="M472" s="54">
        <f>IF(AND(B472&lt;&gt;"",F472&lt;&gt;"",F472&lt;TODAY(),AND(G472&lt;&gt;"✅ Выполнена",G472&lt;&gt;"❌ Отменена")),MAX($M$4:M471)+1,"")</f>
        <v/>
      </c>
    </row>
    <row r="473">
      <c r="A473" s="49">
        <f>IF(B473="","",COUNTA($B$5:B473))</f>
        <v/>
      </c>
      <c r="B473" s="50" t="n"/>
      <c r="C473" s="51" t="n"/>
      <c r="D473" s="51" t="n"/>
      <c r="E473" s="52" t="n"/>
      <c r="F473" s="53" t="n"/>
      <c r="G473" s="51" t="n"/>
      <c r="H473" s="53" t="n"/>
      <c r="I473" s="51" t="n"/>
      <c r="J473" s="54">
        <f>IF(OR(B473="",F473="",NOT(AND(G473&lt;&gt;"✅ Выполнена",G473&lt;&gt;"❌ Отменена"))),"",IF(F473&lt;TODAY(),"❗ просрочено "&amp;(TODAY()-F473)&amp;" дн.",IF(F473=TODAY(),"🔥 сегодня",IF(F473-TODAY()&lt;=3,"⏳ через "&amp;(F473-TODAY())&amp;" дн.",""))))</f>
        <v/>
      </c>
      <c r="K473" s="54">
        <f>IF(B473="","",IF(G473="✅ Выполнена","✔ ",IF(G473="❌ Отменена","✖ ",IF(AND(F473&lt;&gt;"",F473&lt;TODAY()),"❗ ","☐ ")))&amp;B473&amp;IF(E473="🔥 Высокий"," 🔥",""))</f>
        <v/>
      </c>
      <c r="L473" s="54">
        <f>IF(OR(B473="",F473="",G473="❌ Отменена"),"",F473&amp;"#"&amp;COUNTIFS($F$5:F473,F473,$B$5:B473,"?*",$G$5:G473,"&lt;&gt;❌ Отменена"))</f>
        <v/>
      </c>
      <c r="M473" s="54">
        <f>IF(AND(B473&lt;&gt;"",F473&lt;&gt;"",F473&lt;TODAY(),AND(G473&lt;&gt;"✅ Выполнена",G473&lt;&gt;"❌ Отменена")),MAX($M$4:M472)+1,"")</f>
        <v/>
      </c>
    </row>
    <row r="474">
      <c r="A474" s="49">
        <f>IF(B474="","",COUNTA($B$5:B474))</f>
        <v/>
      </c>
      <c r="B474" s="50" t="n"/>
      <c r="C474" s="51" t="n"/>
      <c r="D474" s="51" t="n"/>
      <c r="E474" s="52" t="n"/>
      <c r="F474" s="53" t="n"/>
      <c r="G474" s="51" t="n"/>
      <c r="H474" s="53" t="n"/>
      <c r="I474" s="51" t="n"/>
      <c r="J474" s="54">
        <f>IF(OR(B474="",F474="",NOT(AND(G474&lt;&gt;"✅ Выполнена",G474&lt;&gt;"❌ Отменена"))),"",IF(F474&lt;TODAY(),"❗ просрочено "&amp;(TODAY()-F474)&amp;" дн.",IF(F474=TODAY(),"🔥 сегодня",IF(F474-TODAY()&lt;=3,"⏳ через "&amp;(F474-TODAY())&amp;" дн.",""))))</f>
        <v/>
      </c>
      <c r="K474" s="54">
        <f>IF(B474="","",IF(G474="✅ Выполнена","✔ ",IF(G474="❌ Отменена","✖ ",IF(AND(F474&lt;&gt;"",F474&lt;TODAY()),"❗ ","☐ ")))&amp;B474&amp;IF(E474="🔥 Высокий"," 🔥",""))</f>
        <v/>
      </c>
      <c r="L474" s="54">
        <f>IF(OR(B474="",F474="",G474="❌ Отменена"),"",F474&amp;"#"&amp;COUNTIFS($F$5:F474,F474,$B$5:B474,"?*",$G$5:G474,"&lt;&gt;❌ Отменена"))</f>
        <v/>
      </c>
      <c r="M474" s="54">
        <f>IF(AND(B474&lt;&gt;"",F474&lt;&gt;"",F474&lt;TODAY(),AND(G474&lt;&gt;"✅ Выполнена",G474&lt;&gt;"❌ Отменена")),MAX($M$4:M473)+1,"")</f>
        <v/>
      </c>
    </row>
    <row r="475">
      <c r="A475" s="49">
        <f>IF(B475="","",COUNTA($B$5:B475))</f>
        <v/>
      </c>
      <c r="B475" s="50" t="n"/>
      <c r="C475" s="51" t="n"/>
      <c r="D475" s="51" t="n"/>
      <c r="E475" s="52" t="n"/>
      <c r="F475" s="53" t="n"/>
      <c r="G475" s="51" t="n"/>
      <c r="H475" s="53" t="n"/>
      <c r="I475" s="51" t="n"/>
      <c r="J475" s="54">
        <f>IF(OR(B475="",F475="",NOT(AND(G475&lt;&gt;"✅ Выполнена",G475&lt;&gt;"❌ Отменена"))),"",IF(F475&lt;TODAY(),"❗ просрочено "&amp;(TODAY()-F475)&amp;" дн.",IF(F475=TODAY(),"🔥 сегодня",IF(F475-TODAY()&lt;=3,"⏳ через "&amp;(F475-TODAY())&amp;" дн.",""))))</f>
        <v/>
      </c>
      <c r="K475" s="54">
        <f>IF(B475="","",IF(G475="✅ Выполнена","✔ ",IF(G475="❌ Отменена","✖ ",IF(AND(F475&lt;&gt;"",F475&lt;TODAY()),"❗ ","☐ ")))&amp;B475&amp;IF(E475="🔥 Высокий"," 🔥",""))</f>
        <v/>
      </c>
      <c r="L475" s="54">
        <f>IF(OR(B475="",F475="",G475="❌ Отменена"),"",F475&amp;"#"&amp;COUNTIFS($F$5:F475,F475,$B$5:B475,"?*",$G$5:G475,"&lt;&gt;❌ Отменена"))</f>
        <v/>
      </c>
      <c r="M475" s="54">
        <f>IF(AND(B475&lt;&gt;"",F475&lt;&gt;"",F475&lt;TODAY(),AND(G475&lt;&gt;"✅ Выполнена",G475&lt;&gt;"❌ Отменена")),MAX($M$4:M474)+1,"")</f>
        <v/>
      </c>
    </row>
    <row r="476">
      <c r="A476" s="49">
        <f>IF(B476="","",COUNTA($B$5:B476))</f>
        <v/>
      </c>
      <c r="B476" s="50" t="n"/>
      <c r="C476" s="51" t="n"/>
      <c r="D476" s="51" t="n"/>
      <c r="E476" s="52" t="n"/>
      <c r="F476" s="53" t="n"/>
      <c r="G476" s="51" t="n"/>
      <c r="H476" s="53" t="n"/>
      <c r="I476" s="51" t="n"/>
      <c r="J476" s="54">
        <f>IF(OR(B476="",F476="",NOT(AND(G476&lt;&gt;"✅ Выполнена",G476&lt;&gt;"❌ Отменена"))),"",IF(F476&lt;TODAY(),"❗ просрочено "&amp;(TODAY()-F476)&amp;" дн.",IF(F476=TODAY(),"🔥 сегодня",IF(F476-TODAY()&lt;=3,"⏳ через "&amp;(F476-TODAY())&amp;" дн.",""))))</f>
        <v/>
      </c>
      <c r="K476" s="54">
        <f>IF(B476="","",IF(G476="✅ Выполнена","✔ ",IF(G476="❌ Отменена","✖ ",IF(AND(F476&lt;&gt;"",F476&lt;TODAY()),"❗ ","☐ ")))&amp;B476&amp;IF(E476="🔥 Высокий"," 🔥",""))</f>
        <v/>
      </c>
      <c r="L476" s="54">
        <f>IF(OR(B476="",F476="",G476="❌ Отменена"),"",F476&amp;"#"&amp;COUNTIFS($F$5:F476,F476,$B$5:B476,"?*",$G$5:G476,"&lt;&gt;❌ Отменена"))</f>
        <v/>
      </c>
      <c r="M476" s="54">
        <f>IF(AND(B476&lt;&gt;"",F476&lt;&gt;"",F476&lt;TODAY(),AND(G476&lt;&gt;"✅ Выполнена",G476&lt;&gt;"❌ Отменена")),MAX($M$4:M475)+1,"")</f>
        <v/>
      </c>
    </row>
    <row r="477">
      <c r="A477" s="49">
        <f>IF(B477="","",COUNTA($B$5:B477))</f>
        <v/>
      </c>
      <c r="B477" s="50" t="n"/>
      <c r="C477" s="51" t="n"/>
      <c r="D477" s="51" t="n"/>
      <c r="E477" s="52" t="n"/>
      <c r="F477" s="53" t="n"/>
      <c r="G477" s="51" t="n"/>
      <c r="H477" s="53" t="n"/>
      <c r="I477" s="51" t="n"/>
      <c r="J477" s="54">
        <f>IF(OR(B477="",F477="",NOT(AND(G477&lt;&gt;"✅ Выполнена",G477&lt;&gt;"❌ Отменена"))),"",IF(F477&lt;TODAY(),"❗ просрочено "&amp;(TODAY()-F477)&amp;" дн.",IF(F477=TODAY(),"🔥 сегодня",IF(F477-TODAY()&lt;=3,"⏳ через "&amp;(F477-TODAY())&amp;" дн.",""))))</f>
        <v/>
      </c>
      <c r="K477" s="54">
        <f>IF(B477="","",IF(G477="✅ Выполнена","✔ ",IF(G477="❌ Отменена","✖ ",IF(AND(F477&lt;&gt;"",F477&lt;TODAY()),"❗ ","☐ ")))&amp;B477&amp;IF(E477="🔥 Высокий"," 🔥",""))</f>
        <v/>
      </c>
      <c r="L477" s="54">
        <f>IF(OR(B477="",F477="",G477="❌ Отменена"),"",F477&amp;"#"&amp;COUNTIFS($F$5:F477,F477,$B$5:B477,"?*",$G$5:G477,"&lt;&gt;❌ Отменена"))</f>
        <v/>
      </c>
      <c r="M477" s="54">
        <f>IF(AND(B477&lt;&gt;"",F477&lt;&gt;"",F477&lt;TODAY(),AND(G477&lt;&gt;"✅ Выполнена",G477&lt;&gt;"❌ Отменена")),MAX($M$4:M476)+1,"")</f>
        <v/>
      </c>
    </row>
    <row r="478">
      <c r="A478" s="49">
        <f>IF(B478="","",COUNTA($B$5:B478))</f>
        <v/>
      </c>
      <c r="B478" s="50" t="n"/>
      <c r="C478" s="51" t="n"/>
      <c r="D478" s="51" t="n"/>
      <c r="E478" s="52" t="n"/>
      <c r="F478" s="53" t="n"/>
      <c r="G478" s="51" t="n"/>
      <c r="H478" s="53" t="n"/>
      <c r="I478" s="51" t="n"/>
      <c r="J478" s="54">
        <f>IF(OR(B478="",F478="",NOT(AND(G478&lt;&gt;"✅ Выполнена",G478&lt;&gt;"❌ Отменена"))),"",IF(F478&lt;TODAY(),"❗ просрочено "&amp;(TODAY()-F478)&amp;" дн.",IF(F478=TODAY(),"🔥 сегодня",IF(F478-TODAY()&lt;=3,"⏳ через "&amp;(F478-TODAY())&amp;" дн.",""))))</f>
        <v/>
      </c>
      <c r="K478" s="54">
        <f>IF(B478="","",IF(G478="✅ Выполнена","✔ ",IF(G478="❌ Отменена","✖ ",IF(AND(F478&lt;&gt;"",F478&lt;TODAY()),"❗ ","☐ ")))&amp;B478&amp;IF(E478="🔥 Высокий"," 🔥",""))</f>
        <v/>
      </c>
      <c r="L478" s="54">
        <f>IF(OR(B478="",F478="",G478="❌ Отменена"),"",F478&amp;"#"&amp;COUNTIFS($F$5:F478,F478,$B$5:B478,"?*",$G$5:G478,"&lt;&gt;❌ Отменена"))</f>
        <v/>
      </c>
      <c r="M478" s="54">
        <f>IF(AND(B478&lt;&gt;"",F478&lt;&gt;"",F478&lt;TODAY(),AND(G478&lt;&gt;"✅ Выполнена",G478&lt;&gt;"❌ Отменена")),MAX($M$4:M477)+1,"")</f>
        <v/>
      </c>
    </row>
    <row r="479">
      <c r="A479" s="49">
        <f>IF(B479="","",COUNTA($B$5:B479))</f>
        <v/>
      </c>
      <c r="B479" s="50" t="n"/>
      <c r="C479" s="51" t="n"/>
      <c r="D479" s="51" t="n"/>
      <c r="E479" s="52" t="n"/>
      <c r="F479" s="53" t="n"/>
      <c r="G479" s="51" t="n"/>
      <c r="H479" s="53" t="n"/>
      <c r="I479" s="51" t="n"/>
      <c r="J479" s="54">
        <f>IF(OR(B479="",F479="",NOT(AND(G479&lt;&gt;"✅ Выполнена",G479&lt;&gt;"❌ Отменена"))),"",IF(F479&lt;TODAY(),"❗ просрочено "&amp;(TODAY()-F479)&amp;" дн.",IF(F479=TODAY(),"🔥 сегодня",IF(F479-TODAY()&lt;=3,"⏳ через "&amp;(F479-TODAY())&amp;" дн.",""))))</f>
        <v/>
      </c>
      <c r="K479" s="54">
        <f>IF(B479="","",IF(G479="✅ Выполнена","✔ ",IF(G479="❌ Отменена","✖ ",IF(AND(F479&lt;&gt;"",F479&lt;TODAY()),"❗ ","☐ ")))&amp;B479&amp;IF(E479="🔥 Высокий"," 🔥",""))</f>
        <v/>
      </c>
      <c r="L479" s="54">
        <f>IF(OR(B479="",F479="",G479="❌ Отменена"),"",F479&amp;"#"&amp;COUNTIFS($F$5:F479,F479,$B$5:B479,"?*",$G$5:G479,"&lt;&gt;❌ Отменена"))</f>
        <v/>
      </c>
      <c r="M479" s="54">
        <f>IF(AND(B479&lt;&gt;"",F479&lt;&gt;"",F479&lt;TODAY(),AND(G479&lt;&gt;"✅ Выполнена",G479&lt;&gt;"❌ Отменена")),MAX($M$4:M478)+1,"")</f>
        <v/>
      </c>
    </row>
    <row r="480">
      <c r="A480" s="49">
        <f>IF(B480="","",COUNTA($B$5:B480))</f>
        <v/>
      </c>
      <c r="B480" s="50" t="n"/>
      <c r="C480" s="51" t="n"/>
      <c r="D480" s="51" t="n"/>
      <c r="E480" s="52" t="n"/>
      <c r="F480" s="53" t="n"/>
      <c r="G480" s="51" t="n"/>
      <c r="H480" s="53" t="n"/>
      <c r="I480" s="51" t="n"/>
      <c r="J480" s="54">
        <f>IF(OR(B480="",F480="",NOT(AND(G480&lt;&gt;"✅ Выполнена",G480&lt;&gt;"❌ Отменена"))),"",IF(F480&lt;TODAY(),"❗ просрочено "&amp;(TODAY()-F480)&amp;" дн.",IF(F480=TODAY(),"🔥 сегодня",IF(F480-TODAY()&lt;=3,"⏳ через "&amp;(F480-TODAY())&amp;" дн.",""))))</f>
        <v/>
      </c>
      <c r="K480" s="54">
        <f>IF(B480="","",IF(G480="✅ Выполнена","✔ ",IF(G480="❌ Отменена","✖ ",IF(AND(F480&lt;&gt;"",F480&lt;TODAY()),"❗ ","☐ ")))&amp;B480&amp;IF(E480="🔥 Высокий"," 🔥",""))</f>
        <v/>
      </c>
      <c r="L480" s="54">
        <f>IF(OR(B480="",F480="",G480="❌ Отменена"),"",F480&amp;"#"&amp;COUNTIFS($F$5:F480,F480,$B$5:B480,"?*",$G$5:G480,"&lt;&gt;❌ Отменена"))</f>
        <v/>
      </c>
      <c r="M480" s="54">
        <f>IF(AND(B480&lt;&gt;"",F480&lt;&gt;"",F480&lt;TODAY(),AND(G480&lt;&gt;"✅ Выполнена",G480&lt;&gt;"❌ Отменена")),MAX($M$4:M479)+1,"")</f>
        <v/>
      </c>
    </row>
    <row r="481">
      <c r="A481" s="49">
        <f>IF(B481="","",COUNTA($B$5:B481))</f>
        <v/>
      </c>
      <c r="B481" s="50" t="n"/>
      <c r="C481" s="51" t="n"/>
      <c r="D481" s="51" t="n"/>
      <c r="E481" s="52" t="n"/>
      <c r="F481" s="53" t="n"/>
      <c r="G481" s="51" t="n"/>
      <c r="H481" s="53" t="n"/>
      <c r="I481" s="51" t="n"/>
      <c r="J481" s="54">
        <f>IF(OR(B481="",F481="",NOT(AND(G481&lt;&gt;"✅ Выполнена",G481&lt;&gt;"❌ Отменена"))),"",IF(F481&lt;TODAY(),"❗ просрочено "&amp;(TODAY()-F481)&amp;" дн.",IF(F481=TODAY(),"🔥 сегодня",IF(F481-TODAY()&lt;=3,"⏳ через "&amp;(F481-TODAY())&amp;" дн.",""))))</f>
        <v/>
      </c>
      <c r="K481" s="54">
        <f>IF(B481="","",IF(G481="✅ Выполнена","✔ ",IF(G481="❌ Отменена","✖ ",IF(AND(F481&lt;&gt;"",F481&lt;TODAY()),"❗ ","☐ ")))&amp;B481&amp;IF(E481="🔥 Высокий"," 🔥",""))</f>
        <v/>
      </c>
      <c r="L481" s="54">
        <f>IF(OR(B481="",F481="",G481="❌ Отменена"),"",F481&amp;"#"&amp;COUNTIFS($F$5:F481,F481,$B$5:B481,"?*",$G$5:G481,"&lt;&gt;❌ Отменена"))</f>
        <v/>
      </c>
      <c r="M481" s="54">
        <f>IF(AND(B481&lt;&gt;"",F481&lt;&gt;"",F481&lt;TODAY(),AND(G481&lt;&gt;"✅ Выполнена",G481&lt;&gt;"❌ Отменена")),MAX($M$4:M480)+1,"")</f>
        <v/>
      </c>
    </row>
    <row r="482">
      <c r="A482" s="49">
        <f>IF(B482="","",COUNTA($B$5:B482))</f>
        <v/>
      </c>
      <c r="B482" s="50" t="n"/>
      <c r="C482" s="51" t="n"/>
      <c r="D482" s="51" t="n"/>
      <c r="E482" s="52" t="n"/>
      <c r="F482" s="53" t="n"/>
      <c r="G482" s="51" t="n"/>
      <c r="H482" s="53" t="n"/>
      <c r="I482" s="51" t="n"/>
      <c r="J482" s="54">
        <f>IF(OR(B482="",F482="",NOT(AND(G482&lt;&gt;"✅ Выполнена",G482&lt;&gt;"❌ Отменена"))),"",IF(F482&lt;TODAY(),"❗ просрочено "&amp;(TODAY()-F482)&amp;" дн.",IF(F482=TODAY(),"🔥 сегодня",IF(F482-TODAY()&lt;=3,"⏳ через "&amp;(F482-TODAY())&amp;" дн.",""))))</f>
        <v/>
      </c>
      <c r="K482" s="54">
        <f>IF(B482="","",IF(G482="✅ Выполнена","✔ ",IF(G482="❌ Отменена","✖ ",IF(AND(F482&lt;&gt;"",F482&lt;TODAY()),"❗ ","☐ ")))&amp;B482&amp;IF(E482="🔥 Высокий"," 🔥",""))</f>
        <v/>
      </c>
      <c r="L482" s="54">
        <f>IF(OR(B482="",F482="",G482="❌ Отменена"),"",F482&amp;"#"&amp;COUNTIFS($F$5:F482,F482,$B$5:B482,"?*",$G$5:G482,"&lt;&gt;❌ Отменена"))</f>
        <v/>
      </c>
      <c r="M482" s="54">
        <f>IF(AND(B482&lt;&gt;"",F482&lt;&gt;"",F482&lt;TODAY(),AND(G482&lt;&gt;"✅ Выполнена",G482&lt;&gt;"❌ Отменена")),MAX($M$4:M481)+1,"")</f>
        <v/>
      </c>
    </row>
    <row r="483">
      <c r="A483" s="49">
        <f>IF(B483="","",COUNTA($B$5:B483))</f>
        <v/>
      </c>
      <c r="B483" s="50" t="n"/>
      <c r="C483" s="51" t="n"/>
      <c r="D483" s="51" t="n"/>
      <c r="E483" s="52" t="n"/>
      <c r="F483" s="53" t="n"/>
      <c r="G483" s="51" t="n"/>
      <c r="H483" s="53" t="n"/>
      <c r="I483" s="51" t="n"/>
      <c r="J483" s="54">
        <f>IF(OR(B483="",F483="",NOT(AND(G483&lt;&gt;"✅ Выполнена",G483&lt;&gt;"❌ Отменена"))),"",IF(F483&lt;TODAY(),"❗ просрочено "&amp;(TODAY()-F483)&amp;" дн.",IF(F483=TODAY(),"🔥 сегодня",IF(F483-TODAY()&lt;=3,"⏳ через "&amp;(F483-TODAY())&amp;" дн.",""))))</f>
        <v/>
      </c>
      <c r="K483" s="54">
        <f>IF(B483="","",IF(G483="✅ Выполнена","✔ ",IF(G483="❌ Отменена","✖ ",IF(AND(F483&lt;&gt;"",F483&lt;TODAY()),"❗ ","☐ ")))&amp;B483&amp;IF(E483="🔥 Высокий"," 🔥",""))</f>
        <v/>
      </c>
      <c r="L483" s="54">
        <f>IF(OR(B483="",F483="",G483="❌ Отменена"),"",F483&amp;"#"&amp;COUNTIFS($F$5:F483,F483,$B$5:B483,"?*",$G$5:G483,"&lt;&gt;❌ Отменена"))</f>
        <v/>
      </c>
      <c r="M483" s="54">
        <f>IF(AND(B483&lt;&gt;"",F483&lt;&gt;"",F483&lt;TODAY(),AND(G483&lt;&gt;"✅ Выполнена",G483&lt;&gt;"❌ Отменена")),MAX($M$4:M482)+1,"")</f>
        <v/>
      </c>
    </row>
    <row r="484">
      <c r="A484" s="49">
        <f>IF(B484="","",COUNTA($B$5:B484))</f>
        <v/>
      </c>
      <c r="B484" s="50" t="n"/>
      <c r="C484" s="51" t="n"/>
      <c r="D484" s="51" t="n"/>
      <c r="E484" s="52" t="n"/>
      <c r="F484" s="53" t="n"/>
      <c r="G484" s="51" t="n"/>
      <c r="H484" s="53" t="n"/>
      <c r="I484" s="51" t="n"/>
      <c r="J484" s="54">
        <f>IF(OR(B484="",F484="",NOT(AND(G484&lt;&gt;"✅ Выполнена",G484&lt;&gt;"❌ Отменена"))),"",IF(F484&lt;TODAY(),"❗ просрочено "&amp;(TODAY()-F484)&amp;" дн.",IF(F484=TODAY(),"🔥 сегодня",IF(F484-TODAY()&lt;=3,"⏳ через "&amp;(F484-TODAY())&amp;" дн.",""))))</f>
        <v/>
      </c>
      <c r="K484" s="54">
        <f>IF(B484="","",IF(G484="✅ Выполнена","✔ ",IF(G484="❌ Отменена","✖ ",IF(AND(F484&lt;&gt;"",F484&lt;TODAY()),"❗ ","☐ ")))&amp;B484&amp;IF(E484="🔥 Высокий"," 🔥",""))</f>
        <v/>
      </c>
      <c r="L484" s="54">
        <f>IF(OR(B484="",F484="",G484="❌ Отменена"),"",F484&amp;"#"&amp;COUNTIFS($F$5:F484,F484,$B$5:B484,"?*",$G$5:G484,"&lt;&gt;❌ Отменена"))</f>
        <v/>
      </c>
      <c r="M484" s="54">
        <f>IF(AND(B484&lt;&gt;"",F484&lt;&gt;"",F484&lt;TODAY(),AND(G484&lt;&gt;"✅ Выполнена",G484&lt;&gt;"❌ Отменена")),MAX($M$4:M483)+1,"")</f>
        <v/>
      </c>
    </row>
    <row r="485">
      <c r="A485" s="49">
        <f>IF(B485="","",COUNTA($B$5:B485))</f>
        <v/>
      </c>
      <c r="B485" s="50" t="n"/>
      <c r="C485" s="51" t="n"/>
      <c r="D485" s="51" t="n"/>
      <c r="E485" s="52" t="n"/>
      <c r="F485" s="53" t="n"/>
      <c r="G485" s="51" t="n"/>
      <c r="H485" s="53" t="n"/>
      <c r="I485" s="51" t="n"/>
      <c r="J485" s="54">
        <f>IF(OR(B485="",F485="",NOT(AND(G485&lt;&gt;"✅ Выполнена",G485&lt;&gt;"❌ Отменена"))),"",IF(F485&lt;TODAY(),"❗ просрочено "&amp;(TODAY()-F485)&amp;" дн.",IF(F485=TODAY(),"🔥 сегодня",IF(F485-TODAY()&lt;=3,"⏳ через "&amp;(F485-TODAY())&amp;" дн.",""))))</f>
        <v/>
      </c>
      <c r="K485" s="54">
        <f>IF(B485="","",IF(G485="✅ Выполнена","✔ ",IF(G485="❌ Отменена","✖ ",IF(AND(F485&lt;&gt;"",F485&lt;TODAY()),"❗ ","☐ ")))&amp;B485&amp;IF(E485="🔥 Высокий"," 🔥",""))</f>
        <v/>
      </c>
      <c r="L485" s="54">
        <f>IF(OR(B485="",F485="",G485="❌ Отменена"),"",F485&amp;"#"&amp;COUNTIFS($F$5:F485,F485,$B$5:B485,"?*",$G$5:G485,"&lt;&gt;❌ Отменена"))</f>
        <v/>
      </c>
      <c r="M485" s="54">
        <f>IF(AND(B485&lt;&gt;"",F485&lt;&gt;"",F485&lt;TODAY(),AND(G485&lt;&gt;"✅ Выполнена",G485&lt;&gt;"❌ Отменена")),MAX($M$4:M484)+1,"")</f>
        <v/>
      </c>
    </row>
    <row r="486">
      <c r="A486" s="49">
        <f>IF(B486="","",COUNTA($B$5:B486))</f>
        <v/>
      </c>
      <c r="B486" s="50" t="n"/>
      <c r="C486" s="51" t="n"/>
      <c r="D486" s="51" t="n"/>
      <c r="E486" s="52" t="n"/>
      <c r="F486" s="53" t="n"/>
      <c r="G486" s="51" t="n"/>
      <c r="H486" s="53" t="n"/>
      <c r="I486" s="51" t="n"/>
      <c r="J486" s="54">
        <f>IF(OR(B486="",F486="",NOT(AND(G486&lt;&gt;"✅ Выполнена",G486&lt;&gt;"❌ Отменена"))),"",IF(F486&lt;TODAY(),"❗ просрочено "&amp;(TODAY()-F486)&amp;" дн.",IF(F486=TODAY(),"🔥 сегодня",IF(F486-TODAY()&lt;=3,"⏳ через "&amp;(F486-TODAY())&amp;" дн.",""))))</f>
        <v/>
      </c>
      <c r="K486" s="54">
        <f>IF(B486="","",IF(G486="✅ Выполнена","✔ ",IF(G486="❌ Отменена","✖ ",IF(AND(F486&lt;&gt;"",F486&lt;TODAY()),"❗ ","☐ ")))&amp;B486&amp;IF(E486="🔥 Высокий"," 🔥",""))</f>
        <v/>
      </c>
      <c r="L486" s="54">
        <f>IF(OR(B486="",F486="",G486="❌ Отменена"),"",F486&amp;"#"&amp;COUNTIFS($F$5:F486,F486,$B$5:B486,"?*",$G$5:G486,"&lt;&gt;❌ Отменена"))</f>
        <v/>
      </c>
      <c r="M486" s="54">
        <f>IF(AND(B486&lt;&gt;"",F486&lt;&gt;"",F486&lt;TODAY(),AND(G486&lt;&gt;"✅ Выполнена",G486&lt;&gt;"❌ Отменена")),MAX($M$4:M485)+1,"")</f>
        <v/>
      </c>
    </row>
    <row r="487">
      <c r="A487" s="49">
        <f>IF(B487="","",COUNTA($B$5:B487))</f>
        <v/>
      </c>
      <c r="B487" s="50" t="n"/>
      <c r="C487" s="51" t="n"/>
      <c r="D487" s="51" t="n"/>
      <c r="E487" s="52" t="n"/>
      <c r="F487" s="53" t="n"/>
      <c r="G487" s="51" t="n"/>
      <c r="H487" s="53" t="n"/>
      <c r="I487" s="51" t="n"/>
      <c r="J487" s="54">
        <f>IF(OR(B487="",F487="",NOT(AND(G487&lt;&gt;"✅ Выполнена",G487&lt;&gt;"❌ Отменена"))),"",IF(F487&lt;TODAY(),"❗ просрочено "&amp;(TODAY()-F487)&amp;" дн.",IF(F487=TODAY(),"🔥 сегодня",IF(F487-TODAY()&lt;=3,"⏳ через "&amp;(F487-TODAY())&amp;" дн.",""))))</f>
        <v/>
      </c>
      <c r="K487" s="54">
        <f>IF(B487="","",IF(G487="✅ Выполнена","✔ ",IF(G487="❌ Отменена","✖ ",IF(AND(F487&lt;&gt;"",F487&lt;TODAY()),"❗ ","☐ ")))&amp;B487&amp;IF(E487="🔥 Высокий"," 🔥",""))</f>
        <v/>
      </c>
      <c r="L487" s="54">
        <f>IF(OR(B487="",F487="",G487="❌ Отменена"),"",F487&amp;"#"&amp;COUNTIFS($F$5:F487,F487,$B$5:B487,"?*",$G$5:G487,"&lt;&gt;❌ Отменена"))</f>
        <v/>
      </c>
      <c r="M487" s="54">
        <f>IF(AND(B487&lt;&gt;"",F487&lt;&gt;"",F487&lt;TODAY(),AND(G487&lt;&gt;"✅ Выполнена",G487&lt;&gt;"❌ Отменена")),MAX($M$4:M486)+1,"")</f>
        <v/>
      </c>
    </row>
    <row r="488">
      <c r="A488" s="49">
        <f>IF(B488="","",COUNTA($B$5:B488))</f>
        <v/>
      </c>
      <c r="B488" s="50" t="n"/>
      <c r="C488" s="51" t="n"/>
      <c r="D488" s="51" t="n"/>
      <c r="E488" s="52" t="n"/>
      <c r="F488" s="53" t="n"/>
      <c r="G488" s="51" t="n"/>
      <c r="H488" s="53" t="n"/>
      <c r="I488" s="51" t="n"/>
      <c r="J488" s="54">
        <f>IF(OR(B488="",F488="",NOT(AND(G488&lt;&gt;"✅ Выполнена",G488&lt;&gt;"❌ Отменена"))),"",IF(F488&lt;TODAY(),"❗ просрочено "&amp;(TODAY()-F488)&amp;" дн.",IF(F488=TODAY(),"🔥 сегодня",IF(F488-TODAY()&lt;=3,"⏳ через "&amp;(F488-TODAY())&amp;" дн.",""))))</f>
        <v/>
      </c>
      <c r="K488" s="54">
        <f>IF(B488="","",IF(G488="✅ Выполнена","✔ ",IF(G488="❌ Отменена","✖ ",IF(AND(F488&lt;&gt;"",F488&lt;TODAY()),"❗ ","☐ ")))&amp;B488&amp;IF(E488="🔥 Высокий"," 🔥",""))</f>
        <v/>
      </c>
      <c r="L488" s="54">
        <f>IF(OR(B488="",F488="",G488="❌ Отменена"),"",F488&amp;"#"&amp;COUNTIFS($F$5:F488,F488,$B$5:B488,"?*",$G$5:G488,"&lt;&gt;❌ Отменена"))</f>
        <v/>
      </c>
      <c r="M488" s="54">
        <f>IF(AND(B488&lt;&gt;"",F488&lt;&gt;"",F488&lt;TODAY(),AND(G488&lt;&gt;"✅ Выполнена",G488&lt;&gt;"❌ Отменена")),MAX($M$4:M487)+1,"")</f>
        <v/>
      </c>
    </row>
    <row r="489">
      <c r="A489" s="49">
        <f>IF(B489="","",COUNTA($B$5:B489))</f>
        <v/>
      </c>
      <c r="B489" s="50" t="n"/>
      <c r="C489" s="51" t="n"/>
      <c r="D489" s="51" t="n"/>
      <c r="E489" s="52" t="n"/>
      <c r="F489" s="53" t="n"/>
      <c r="G489" s="51" t="n"/>
      <c r="H489" s="53" t="n"/>
      <c r="I489" s="51" t="n"/>
      <c r="J489" s="54">
        <f>IF(OR(B489="",F489="",NOT(AND(G489&lt;&gt;"✅ Выполнена",G489&lt;&gt;"❌ Отменена"))),"",IF(F489&lt;TODAY(),"❗ просрочено "&amp;(TODAY()-F489)&amp;" дн.",IF(F489=TODAY(),"🔥 сегодня",IF(F489-TODAY()&lt;=3,"⏳ через "&amp;(F489-TODAY())&amp;" дн.",""))))</f>
        <v/>
      </c>
      <c r="K489" s="54">
        <f>IF(B489="","",IF(G489="✅ Выполнена","✔ ",IF(G489="❌ Отменена","✖ ",IF(AND(F489&lt;&gt;"",F489&lt;TODAY()),"❗ ","☐ ")))&amp;B489&amp;IF(E489="🔥 Высокий"," 🔥",""))</f>
        <v/>
      </c>
      <c r="L489" s="54">
        <f>IF(OR(B489="",F489="",G489="❌ Отменена"),"",F489&amp;"#"&amp;COUNTIFS($F$5:F489,F489,$B$5:B489,"?*",$G$5:G489,"&lt;&gt;❌ Отменена"))</f>
        <v/>
      </c>
      <c r="M489" s="54">
        <f>IF(AND(B489&lt;&gt;"",F489&lt;&gt;"",F489&lt;TODAY(),AND(G489&lt;&gt;"✅ Выполнена",G489&lt;&gt;"❌ Отменена")),MAX($M$4:M488)+1,"")</f>
        <v/>
      </c>
    </row>
    <row r="490">
      <c r="A490" s="49">
        <f>IF(B490="","",COUNTA($B$5:B490))</f>
        <v/>
      </c>
      <c r="B490" s="50" t="n"/>
      <c r="C490" s="51" t="n"/>
      <c r="D490" s="51" t="n"/>
      <c r="E490" s="52" t="n"/>
      <c r="F490" s="53" t="n"/>
      <c r="G490" s="51" t="n"/>
      <c r="H490" s="53" t="n"/>
      <c r="I490" s="51" t="n"/>
      <c r="J490" s="54">
        <f>IF(OR(B490="",F490="",NOT(AND(G490&lt;&gt;"✅ Выполнена",G490&lt;&gt;"❌ Отменена"))),"",IF(F490&lt;TODAY(),"❗ просрочено "&amp;(TODAY()-F490)&amp;" дн.",IF(F490=TODAY(),"🔥 сегодня",IF(F490-TODAY()&lt;=3,"⏳ через "&amp;(F490-TODAY())&amp;" дн.",""))))</f>
        <v/>
      </c>
      <c r="K490" s="54">
        <f>IF(B490="","",IF(G490="✅ Выполнена","✔ ",IF(G490="❌ Отменена","✖ ",IF(AND(F490&lt;&gt;"",F490&lt;TODAY()),"❗ ","☐ ")))&amp;B490&amp;IF(E490="🔥 Высокий"," 🔥",""))</f>
        <v/>
      </c>
      <c r="L490" s="54">
        <f>IF(OR(B490="",F490="",G490="❌ Отменена"),"",F490&amp;"#"&amp;COUNTIFS($F$5:F490,F490,$B$5:B490,"?*",$G$5:G490,"&lt;&gt;❌ Отменена"))</f>
        <v/>
      </c>
      <c r="M490" s="54">
        <f>IF(AND(B490&lt;&gt;"",F490&lt;&gt;"",F490&lt;TODAY(),AND(G490&lt;&gt;"✅ Выполнена",G490&lt;&gt;"❌ Отменена")),MAX($M$4:M489)+1,"")</f>
        <v/>
      </c>
    </row>
    <row r="491">
      <c r="A491" s="49">
        <f>IF(B491="","",COUNTA($B$5:B491))</f>
        <v/>
      </c>
      <c r="B491" s="50" t="n"/>
      <c r="C491" s="51" t="n"/>
      <c r="D491" s="51" t="n"/>
      <c r="E491" s="52" t="n"/>
      <c r="F491" s="53" t="n"/>
      <c r="G491" s="51" t="n"/>
      <c r="H491" s="53" t="n"/>
      <c r="I491" s="51" t="n"/>
      <c r="J491" s="54">
        <f>IF(OR(B491="",F491="",NOT(AND(G491&lt;&gt;"✅ Выполнена",G491&lt;&gt;"❌ Отменена"))),"",IF(F491&lt;TODAY(),"❗ просрочено "&amp;(TODAY()-F491)&amp;" дн.",IF(F491=TODAY(),"🔥 сегодня",IF(F491-TODAY()&lt;=3,"⏳ через "&amp;(F491-TODAY())&amp;" дн.",""))))</f>
        <v/>
      </c>
      <c r="K491" s="54">
        <f>IF(B491="","",IF(G491="✅ Выполнена","✔ ",IF(G491="❌ Отменена","✖ ",IF(AND(F491&lt;&gt;"",F491&lt;TODAY()),"❗ ","☐ ")))&amp;B491&amp;IF(E491="🔥 Высокий"," 🔥",""))</f>
        <v/>
      </c>
      <c r="L491" s="54">
        <f>IF(OR(B491="",F491="",G491="❌ Отменена"),"",F491&amp;"#"&amp;COUNTIFS($F$5:F491,F491,$B$5:B491,"?*",$G$5:G491,"&lt;&gt;❌ Отменена"))</f>
        <v/>
      </c>
      <c r="M491" s="54">
        <f>IF(AND(B491&lt;&gt;"",F491&lt;&gt;"",F491&lt;TODAY(),AND(G491&lt;&gt;"✅ Выполнена",G491&lt;&gt;"❌ Отменена")),MAX($M$4:M490)+1,"")</f>
        <v/>
      </c>
    </row>
    <row r="492">
      <c r="A492" s="49">
        <f>IF(B492="","",COUNTA($B$5:B492))</f>
        <v/>
      </c>
      <c r="B492" s="50" t="n"/>
      <c r="C492" s="51" t="n"/>
      <c r="D492" s="51" t="n"/>
      <c r="E492" s="52" t="n"/>
      <c r="F492" s="53" t="n"/>
      <c r="G492" s="51" t="n"/>
      <c r="H492" s="53" t="n"/>
      <c r="I492" s="51" t="n"/>
      <c r="J492" s="54">
        <f>IF(OR(B492="",F492="",NOT(AND(G492&lt;&gt;"✅ Выполнена",G492&lt;&gt;"❌ Отменена"))),"",IF(F492&lt;TODAY(),"❗ просрочено "&amp;(TODAY()-F492)&amp;" дн.",IF(F492=TODAY(),"🔥 сегодня",IF(F492-TODAY()&lt;=3,"⏳ через "&amp;(F492-TODAY())&amp;" дн.",""))))</f>
        <v/>
      </c>
      <c r="K492" s="54">
        <f>IF(B492="","",IF(G492="✅ Выполнена","✔ ",IF(G492="❌ Отменена","✖ ",IF(AND(F492&lt;&gt;"",F492&lt;TODAY()),"❗ ","☐ ")))&amp;B492&amp;IF(E492="🔥 Высокий"," 🔥",""))</f>
        <v/>
      </c>
      <c r="L492" s="54">
        <f>IF(OR(B492="",F492="",G492="❌ Отменена"),"",F492&amp;"#"&amp;COUNTIFS($F$5:F492,F492,$B$5:B492,"?*",$G$5:G492,"&lt;&gt;❌ Отменена"))</f>
        <v/>
      </c>
      <c r="M492" s="54">
        <f>IF(AND(B492&lt;&gt;"",F492&lt;&gt;"",F492&lt;TODAY(),AND(G492&lt;&gt;"✅ Выполнена",G492&lt;&gt;"❌ Отменена")),MAX($M$4:M491)+1,"")</f>
        <v/>
      </c>
    </row>
    <row r="493">
      <c r="A493" s="49">
        <f>IF(B493="","",COUNTA($B$5:B493))</f>
        <v/>
      </c>
      <c r="B493" s="50" t="n"/>
      <c r="C493" s="51" t="n"/>
      <c r="D493" s="51" t="n"/>
      <c r="E493" s="52" t="n"/>
      <c r="F493" s="53" t="n"/>
      <c r="G493" s="51" t="n"/>
      <c r="H493" s="53" t="n"/>
      <c r="I493" s="51" t="n"/>
      <c r="J493" s="54">
        <f>IF(OR(B493="",F493="",NOT(AND(G493&lt;&gt;"✅ Выполнена",G493&lt;&gt;"❌ Отменена"))),"",IF(F493&lt;TODAY(),"❗ просрочено "&amp;(TODAY()-F493)&amp;" дн.",IF(F493=TODAY(),"🔥 сегодня",IF(F493-TODAY()&lt;=3,"⏳ через "&amp;(F493-TODAY())&amp;" дн.",""))))</f>
        <v/>
      </c>
      <c r="K493" s="54">
        <f>IF(B493="","",IF(G493="✅ Выполнена","✔ ",IF(G493="❌ Отменена","✖ ",IF(AND(F493&lt;&gt;"",F493&lt;TODAY()),"❗ ","☐ ")))&amp;B493&amp;IF(E493="🔥 Высокий"," 🔥",""))</f>
        <v/>
      </c>
      <c r="L493" s="54">
        <f>IF(OR(B493="",F493="",G493="❌ Отменена"),"",F493&amp;"#"&amp;COUNTIFS($F$5:F493,F493,$B$5:B493,"?*",$G$5:G493,"&lt;&gt;❌ Отменена"))</f>
        <v/>
      </c>
      <c r="M493" s="54">
        <f>IF(AND(B493&lt;&gt;"",F493&lt;&gt;"",F493&lt;TODAY(),AND(G493&lt;&gt;"✅ Выполнена",G493&lt;&gt;"❌ Отменена")),MAX($M$4:M492)+1,"")</f>
        <v/>
      </c>
    </row>
    <row r="494">
      <c r="A494" s="49">
        <f>IF(B494="","",COUNTA($B$5:B494))</f>
        <v/>
      </c>
      <c r="B494" s="50" t="n"/>
      <c r="C494" s="51" t="n"/>
      <c r="D494" s="51" t="n"/>
      <c r="E494" s="52" t="n"/>
      <c r="F494" s="53" t="n"/>
      <c r="G494" s="51" t="n"/>
      <c r="H494" s="53" t="n"/>
      <c r="I494" s="51" t="n"/>
      <c r="J494" s="54">
        <f>IF(OR(B494="",F494="",NOT(AND(G494&lt;&gt;"✅ Выполнена",G494&lt;&gt;"❌ Отменена"))),"",IF(F494&lt;TODAY(),"❗ просрочено "&amp;(TODAY()-F494)&amp;" дн.",IF(F494=TODAY(),"🔥 сегодня",IF(F494-TODAY()&lt;=3,"⏳ через "&amp;(F494-TODAY())&amp;" дн.",""))))</f>
        <v/>
      </c>
      <c r="K494" s="54">
        <f>IF(B494="","",IF(G494="✅ Выполнена","✔ ",IF(G494="❌ Отменена","✖ ",IF(AND(F494&lt;&gt;"",F494&lt;TODAY()),"❗ ","☐ ")))&amp;B494&amp;IF(E494="🔥 Высокий"," 🔥",""))</f>
        <v/>
      </c>
      <c r="L494" s="54">
        <f>IF(OR(B494="",F494="",G494="❌ Отменена"),"",F494&amp;"#"&amp;COUNTIFS($F$5:F494,F494,$B$5:B494,"?*",$G$5:G494,"&lt;&gt;❌ Отменена"))</f>
        <v/>
      </c>
      <c r="M494" s="54">
        <f>IF(AND(B494&lt;&gt;"",F494&lt;&gt;"",F494&lt;TODAY(),AND(G494&lt;&gt;"✅ Выполнена",G494&lt;&gt;"❌ Отменена")),MAX($M$4:M493)+1,"")</f>
        <v/>
      </c>
    </row>
    <row r="495">
      <c r="A495" s="49">
        <f>IF(B495="","",COUNTA($B$5:B495))</f>
        <v/>
      </c>
      <c r="B495" s="50" t="n"/>
      <c r="C495" s="51" t="n"/>
      <c r="D495" s="51" t="n"/>
      <c r="E495" s="52" t="n"/>
      <c r="F495" s="53" t="n"/>
      <c r="G495" s="51" t="n"/>
      <c r="H495" s="53" t="n"/>
      <c r="I495" s="51" t="n"/>
      <c r="J495" s="54">
        <f>IF(OR(B495="",F495="",NOT(AND(G495&lt;&gt;"✅ Выполнена",G495&lt;&gt;"❌ Отменена"))),"",IF(F495&lt;TODAY(),"❗ просрочено "&amp;(TODAY()-F495)&amp;" дн.",IF(F495=TODAY(),"🔥 сегодня",IF(F495-TODAY()&lt;=3,"⏳ через "&amp;(F495-TODAY())&amp;" дн.",""))))</f>
        <v/>
      </c>
      <c r="K495" s="54">
        <f>IF(B495="","",IF(G495="✅ Выполнена","✔ ",IF(G495="❌ Отменена","✖ ",IF(AND(F495&lt;&gt;"",F495&lt;TODAY()),"❗ ","☐ ")))&amp;B495&amp;IF(E495="🔥 Высокий"," 🔥",""))</f>
        <v/>
      </c>
      <c r="L495" s="54">
        <f>IF(OR(B495="",F495="",G495="❌ Отменена"),"",F495&amp;"#"&amp;COUNTIFS($F$5:F495,F495,$B$5:B495,"?*",$G$5:G495,"&lt;&gt;❌ Отменена"))</f>
        <v/>
      </c>
      <c r="M495" s="54">
        <f>IF(AND(B495&lt;&gt;"",F495&lt;&gt;"",F495&lt;TODAY(),AND(G495&lt;&gt;"✅ Выполнена",G495&lt;&gt;"❌ Отменена")),MAX($M$4:M494)+1,"")</f>
        <v/>
      </c>
    </row>
    <row r="496">
      <c r="A496" s="49">
        <f>IF(B496="","",COUNTA($B$5:B496))</f>
        <v/>
      </c>
      <c r="B496" s="50" t="n"/>
      <c r="C496" s="51" t="n"/>
      <c r="D496" s="51" t="n"/>
      <c r="E496" s="52" t="n"/>
      <c r="F496" s="53" t="n"/>
      <c r="G496" s="51" t="n"/>
      <c r="H496" s="53" t="n"/>
      <c r="I496" s="51" t="n"/>
      <c r="J496" s="54">
        <f>IF(OR(B496="",F496="",NOT(AND(G496&lt;&gt;"✅ Выполнена",G496&lt;&gt;"❌ Отменена"))),"",IF(F496&lt;TODAY(),"❗ просрочено "&amp;(TODAY()-F496)&amp;" дн.",IF(F496=TODAY(),"🔥 сегодня",IF(F496-TODAY()&lt;=3,"⏳ через "&amp;(F496-TODAY())&amp;" дн.",""))))</f>
        <v/>
      </c>
      <c r="K496" s="54">
        <f>IF(B496="","",IF(G496="✅ Выполнена","✔ ",IF(G496="❌ Отменена","✖ ",IF(AND(F496&lt;&gt;"",F496&lt;TODAY()),"❗ ","☐ ")))&amp;B496&amp;IF(E496="🔥 Высокий"," 🔥",""))</f>
        <v/>
      </c>
      <c r="L496" s="54">
        <f>IF(OR(B496="",F496="",G496="❌ Отменена"),"",F496&amp;"#"&amp;COUNTIFS($F$5:F496,F496,$B$5:B496,"?*",$G$5:G496,"&lt;&gt;❌ Отменена"))</f>
        <v/>
      </c>
      <c r="M496" s="54">
        <f>IF(AND(B496&lt;&gt;"",F496&lt;&gt;"",F496&lt;TODAY(),AND(G496&lt;&gt;"✅ Выполнена",G496&lt;&gt;"❌ Отменена")),MAX($M$4:M495)+1,"")</f>
        <v/>
      </c>
    </row>
    <row r="497">
      <c r="A497" s="49">
        <f>IF(B497="","",COUNTA($B$5:B497))</f>
        <v/>
      </c>
      <c r="B497" s="50" t="n"/>
      <c r="C497" s="51" t="n"/>
      <c r="D497" s="51" t="n"/>
      <c r="E497" s="52" t="n"/>
      <c r="F497" s="53" t="n"/>
      <c r="G497" s="51" t="n"/>
      <c r="H497" s="53" t="n"/>
      <c r="I497" s="51" t="n"/>
      <c r="J497" s="54">
        <f>IF(OR(B497="",F497="",NOT(AND(G497&lt;&gt;"✅ Выполнена",G497&lt;&gt;"❌ Отменена"))),"",IF(F497&lt;TODAY(),"❗ просрочено "&amp;(TODAY()-F497)&amp;" дн.",IF(F497=TODAY(),"🔥 сегодня",IF(F497-TODAY()&lt;=3,"⏳ через "&amp;(F497-TODAY())&amp;" дн.",""))))</f>
        <v/>
      </c>
      <c r="K497" s="54">
        <f>IF(B497="","",IF(G497="✅ Выполнена","✔ ",IF(G497="❌ Отменена","✖ ",IF(AND(F497&lt;&gt;"",F497&lt;TODAY()),"❗ ","☐ ")))&amp;B497&amp;IF(E497="🔥 Высокий"," 🔥",""))</f>
        <v/>
      </c>
      <c r="L497" s="54">
        <f>IF(OR(B497="",F497="",G497="❌ Отменена"),"",F497&amp;"#"&amp;COUNTIFS($F$5:F497,F497,$B$5:B497,"?*",$G$5:G497,"&lt;&gt;❌ Отменена"))</f>
        <v/>
      </c>
      <c r="M497" s="54">
        <f>IF(AND(B497&lt;&gt;"",F497&lt;&gt;"",F497&lt;TODAY(),AND(G497&lt;&gt;"✅ Выполнена",G497&lt;&gt;"❌ Отменена")),MAX($M$4:M496)+1,"")</f>
        <v/>
      </c>
    </row>
    <row r="498">
      <c r="A498" s="49">
        <f>IF(B498="","",COUNTA($B$5:B498))</f>
        <v/>
      </c>
      <c r="B498" s="50" t="n"/>
      <c r="C498" s="51" t="n"/>
      <c r="D498" s="51" t="n"/>
      <c r="E498" s="52" t="n"/>
      <c r="F498" s="53" t="n"/>
      <c r="G498" s="51" t="n"/>
      <c r="H498" s="53" t="n"/>
      <c r="I498" s="51" t="n"/>
      <c r="J498" s="54">
        <f>IF(OR(B498="",F498="",NOT(AND(G498&lt;&gt;"✅ Выполнена",G498&lt;&gt;"❌ Отменена"))),"",IF(F498&lt;TODAY(),"❗ просрочено "&amp;(TODAY()-F498)&amp;" дн.",IF(F498=TODAY(),"🔥 сегодня",IF(F498-TODAY()&lt;=3,"⏳ через "&amp;(F498-TODAY())&amp;" дн.",""))))</f>
        <v/>
      </c>
      <c r="K498" s="54">
        <f>IF(B498="","",IF(G498="✅ Выполнена","✔ ",IF(G498="❌ Отменена","✖ ",IF(AND(F498&lt;&gt;"",F498&lt;TODAY()),"❗ ","☐ ")))&amp;B498&amp;IF(E498="🔥 Высокий"," 🔥",""))</f>
        <v/>
      </c>
      <c r="L498" s="54">
        <f>IF(OR(B498="",F498="",G498="❌ Отменена"),"",F498&amp;"#"&amp;COUNTIFS($F$5:F498,F498,$B$5:B498,"?*",$G$5:G498,"&lt;&gt;❌ Отменена"))</f>
        <v/>
      </c>
      <c r="M498" s="54">
        <f>IF(AND(B498&lt;&gt;"",F498&lt;&gt;"",F498&lt;TODAY(),AND(G498&lt;&gt;"✅ Выполнена",G498&lt;&gt;"❌ Отменена")),MAX($M$4:M497)+1,"")</f>
        <v/>
      </c>
    </row>
    <row r="499">
      <c r="A499" s="49">
        <f>IF(B499="","",COUNTA($B$5:B499))</f>
        <v/>
      </c>
      <c r="B499" s="50" t="n"/>
      <c r="C499" s="51" t="n"/>
      <c r="D499" s="51" t="n"/>
      <c r="E499" s="52" t="n"/>
      <c r="F499" s="53" t="n"/>
      <c r="G499" s="51" t="n"/>
      <c r="H499" s="53" t="n"/>
      <c r="I499" s="51" t="n"/>
      <c r="J499" s="54">
        <f>IF(OR(B499="",F499="",NOT(AND(G499&lt;&gt;"✅ Выполнена",G499&lt;&gt;"❌ Отменена"))),"",IF(F499&lt;TODAY(),"❗ просрочено "&amp;(TODAY()-F499)&amp;" дн.",IF(F499=TODAY(),"🔥 сегодня",IF(F499-TODAY()&lt;=3,"⏳ через "&amp;(F499-TODAY())&amp;" дн.",""))))</f>
        <v/>
      </c>
      <c r="K499" s="54">
        <f>IF(B499="","",IF(G499="✅ Выполнена","✔ ",IF(G499="❌ Отменена","✖ ",IF(AND(F499&lt;&gt;"",F499&lt;TODAY()),"❗ ","☐ ")))&amp;B499&amp;IF(E499="🔥 Высокий"," 🔥",""))</f>
        <v/>
      </c>
      <c r="L499" s="54">
        <f>IF(OR(B499="",F499="",G499="❌ Отменена"),"",F499&amp;"#"&amp;COUNTIFS($F$5:F499,F499,$B$5:B499,"?*",$G$5:G499,"&lt;&gt;❌ Отменена"))</f>
        <v/>
      </c>
      <c r="M499" s="54">
        <f>IF(AND(B499&lt;&gt;"",F499&lt;&gt;"",F499&lt;TODAY(),AND(G499&lt;&gt;"✅ Выполнена",G499&lt;&gt;"❌ Отменена")),MAX($M$4:M498)+1,"")</f>
        <v/>
      </c>
    </row>
    <row r="500">
      <c r="A500" s="49">
        <f>IF(B500="","",COUNTA($B$5:B500))</f>
        <v/>
      </c>
      <c r="B500" s="50" t="n"/>
      <c r="C500" s="51" t="n"/>
      <c r="D500" s="51" t="n"/>
      <c r="E500" s="52" t="n"/>
      <c r="F500" s="53" t="n"/>
      <c r="G500" s="51" t="n"/>
      <c r="H500" s="53" t="n"/>
      <c r="I500" s="51" t="n"/>
      <c r="J500" s="54">
        <f>IF(OR(B500="",F500="",NOT(AND(G500&lt;&gt;"✅ Выполнена",G500&lt;&gt;"❌ Отменена"))),"",IF(F500&lt;TODAY(),"❗ просрочено "&amp;(TODAY()-F500)&amp;" дн.",IF(F500=TODAY(),"🔥 сегодня",IF(F500-TODAY()&lt;=3,"⏳ через "&amp;(F500-TODAY())&amp;" дн.",""))))</f>
        <v/>
      </c>
      <c r="K500" s="54">
        <f>IF(B500="","",IF(G500="✅ Выполнена","✔ ",IF(G500="❌ Отменена","✖ ",IF(AND(F500&lt;&gt;"",F500&lt;TODAY()),"❗ ","☐ ")))&amp;B500&amp;IF(E500="🔥 Высокий"," 🔥",""))</f>
        <v/>
      </c>
      <c r="L500" s="54">
        <f>IF(OR(B500="",F500="",G500="❌ Отменена"),"",F500&amp;"#"&amp;COUNTIFS($F$5:F500,F500,$B$5:B500,"?*",$G$5:G500,"&lt;&gt;❌ Отменена"))</f>
        <v/>
      </c>
      <c r="M500" s="54">
        <f>IF(AND(B500&lt;&gt;"",F500&lt;&gt;"",F500&lt;TODAY(),AND(G500&lt;&gt;"✅ Выполнена",G500&lt;&gt;"❌ Отменена")),MAX($M$4:M499)+1,"")</f>
        <v/>
      </c>
    </row>
    <row r="501">
      <c r="A501" s="49">
        <f>IF(B501="","",COUNTA($B$5:B501))</f>
        <v/>
      </c>
      <c r="B501" s="50" t="n"/>
      <c r="C501" s="51" t="n"/>
      <c r="D501" s="51" t="n"/>
      <c r="E501" s="52" t="n"/>
      <c r="F501" s="53" t="n"/>
      <c r="G501" s="51" t="n"/>
      <c r="H501" s="53" t="n"/>
      <c r="I501" s="51" t="n"/>
      <c r="J501" s="54">
        <f>IF(OR(B501="",F501="",NOT(AND(G501&lt;&gt;"✅ Выполнена",G501&lt;&gt;"❌ Отменена"))),"",IF(F501&lt;TODAY(),"❗ просрочено "&amp;(TODAY()-F501)&amp;" дн.",IF(F501=TODAY(),"🔥 сегодня",IF(F501-TODAY()&lt;=3,"⏳ через "&amp;(F501-TODAY())&amp;" дн.",""))))</f>
        <v/>
      </c>
      <c r="K501" s="54">
        <f>IF(B501="","",IF(G501="✅ Выполнена","✔ ",IF(G501="❌ Отменена","✖ ",IF(AND(F501&lt;&gt;"",F501&lt;TODAY()),"❗ ","☐ ")))&amp;B501&amp;IF(E501="🔥 Высокий"," 🔥",""))</f>
        <v/>
      </c>
      <c r="L501" s="54">
        <f>IF(OR(B501="",F501="",G501="❌ Отменена"),"",F501&amp;"#"&amp;COUNTIFS($F$5:F501,F501,$B$5:B501,"?*",$G$5:G501,"&lt;&gt;❌ Отменена"))</f>
        <v/>
      </c>
      <c r="M501" s="54">
        <f>IF(AND(B501&lt;&gt;"",F501&lt;&gt;"",F501&lt;TODAY(),AND(G501&lt;&gt;"✅ Выполнена",G501&lt;&gt;"❌ Отменена")),MAX($M$4:M500)+1,"")</f>
        <v/>
      </c>
    </row>
    <row r="502">
      <c r="A502" s="49">
        <f>IF(B502="","",COUNTA($B$5:B502))</f>
        <v/>
      </c>
      <c r="B502" s="50" t="n"/>
      <c r="C502" s="51" t="n"/>
      <c r="D502" s="51" t="n"/>
      <c r="E502" s="52" t="n"/>
      <c r="F502" s="53" t="n"/>
      <c r="G502" s="51" t="n"/>
      <c r="H502" s="53" t="n"/>
      <c r="I502" s="51" t="n"/>
      <c r="J502" s="54">
        <f>IF(OR(B502="",F502="",NOT(AND(G502&lt;&gt;"✅ Выполнена",G502&lt;&gt;"❌ Отменена"))),"",IF(F502&lt;TODAY(),"❗ просрочено "&amp;(TODAY()-F502)&amp;" дн.",IF(F502=TODAY(),"🔥 сегодня",IF(F502-TODAY()&lt;=3,"⏳ через "&amp;(F502-TODAY())&amp;" дн.",""))))</f>
        <v/>
      </c>
      <c r="K502" s="54">
        <f>IF(B502="","",IF(G502="✅ Выполнена","✔ ",IF(G502="❌ Отменена","✖ ",IF(AND(F502&lt;&gt;"",F502&lt;TODAY()),"❗ ","☐ ")))&amp;B502&amp;IF(E502="🔥 Высокий"," 🔥",""))</f>
        <v/>
      </c>
      <c r="L502" s="54">
        <f>IF(OR(B502="",F502="",G502="❌ Отменена"),"",F502&amp;"#"&amp;COUNTIFS($F$5:F502,F502,$B$5:B502,"?*",$G$5:G502,"&lt;&gt;❌ Отменена"))</f>
        <v/>
      </c>
      <c r="M502" s="54">
        <f>IF(AND(B502&lt;&gt;"",F502&lt;&gt;"",F502&lt;TODAY(),AND(G502&lt;&gt;"✅ Выполнена",G502&lt;&gt;"❌ Отменена")),MAX($M$4:M501)+1,"")</f>
        <v/>
      </c>
    </row>
    <row r="503">
      <c r="A503" s="49">
        <f>IF(B503="","",COUNTA($B$5:B503))</f>
        <v/>
      </c>
      <c r="B503" s="50" t="n"/>
      <c r="C503" s="51" t="n"/>
      <c r="D503" s="51" t="n"/>
      <c r="E503" s="52" t="n"/>
      <c r="F503" s="53" t="n"/>
      <c r="G503" s="51" t="n"/>
      <c r="H503" s="53" t="n"/>
      <c r="I503" s="51" t="n"/>
      <c r="J503" s="54">
        <f>IF(OR(B503="",F503="",NOT(AND(G503&lt;&gt;"✅ Выполнена",G503&lt;&gt;"❌ Отменена"))),"",IF(F503&lt;TODAY(),"❗ просрочено "&amp;(TODAY()-F503)&amp;" дн.",IF(F503=TODAY(),"🔥 сегодня",IF(F503-TODAY()&lt;=3,"⏳ через "&amp;(F503-TODAY())&amp;" дн.",""))))</f>
        <v/>
      </c>
      <c r="K503" s="54">
        <f>IF(B503="","",IF(G503="✅ Выполнена","✔ ",IF(G503="❌ Отменена","✖ ",IF(AND(F503&lt;&gt;"",F503&lt;TODAY()),"❗ ","☐ ")))&amp;B503&amp;IF(E503="🔥 Высокий"," 🔥",""))</f>
        <v/>
      </c>
      <c r="L503" s="54">
        <f>IF(OR(B503="",F503="",G503="❌ Отменена"),"",F503&amp;"#"&amp;COUNTIFS($F$5:F503,F503,$B$5:B503,"?*",$G$5:G503,"&lt;&gt;❌ Отменена"))</f>
        <v/>
      </c>
      <c r="M503" s="54">
        <f>IF(AND(B503&lt;&gt;"",F503&lt;&gt;"",F503&lt;TODAY(),AND(G503&lt;&gt;"✅ Выполнена",G503&lt;&gt;"❌ Отменена")),MAX($M$4:M502)+1,"")</f>
        <v/>
      </c>
    </row>
    <row r="504">
      <c r="A504" s="49">
        <f>IF(B504="","",COUNTA($B$5:B504))</f>
        <v/>
      </c>
      <c r="B504" s="50" t="n"/>
      <c r="C504" s="51" t="n"/>
      <c r="D504" s="51" t="n"/>
      <c r="E504" s="52" t="n"/>
      <c r="F504" s="53" t="n"/>
      <c r="G504" s="51" t="n"/>
      <c r="H504" s="53" t="n"/>
      <c r="I504" s="51" t="n"/>
      <c r="J504" s="54">
        <f>IF(OR(B504="",F504="",NOT(AND(G504&lt;&gt;"✅ Выполнена",G504&lt;&gt;"❌ Отменена"))),"",IF(F504&lt;TODAY(),"❗ просрочено "&amp;(TODAY()-F504)&amp;" дн.",IF(F504=TODAY(),"🔥 сегодня",IF(F504-TODAY()&lt;=3,"⏳ через "&amp;(F504-TODAY())&amp;" дн.",""))))</f>
        <v/>
      </c>
      <c r="K504" s="54">
        <f>IF(B504="","",IF(G504="✅ Выполнена","✔ ",IF(G504="❌ Отменена","✖ ",IF(AND(F504&lt;&gt;"",F504&lt;TODAY()),"❗ ","☐ ")))&amp;B504&amp;IF(E504="🔥 Высокий"," 🔥",""))</f>
        <v/>
      </c>
      <c r="L504" s="54">
        <f>IF(OR(B504="",F504="",G504="❌ Отменена"),"",F504&amp;"#"&amp;COUNTIFS($F$5:F504,F504,$B$5:B504,"?*",$G$5:G504,"&lt;&gt;❌ Отменена"))</f>
        <v/>
      </c>
      <c r="M504" s="54">
        <f>IF(AND(B504&lt;&gt;"",F504&lt;&gt;"",F504&lt;TODAY(),AND(G504&lt;&gt;"✅ Выполнена",G504&lt;&gt;"❌ Отменена")),MAX($M$4:M503)+1,"")</f>
        <v/>
      </c>
    </row>
    <row r="505">
      <c r="A505" s="49">
        <f>IF(B505="","",COUNTA($B$5:B505))</f>
        <v/>
      </c>
      <c r="B505" s="50" t="n"/>
      <c r="C505" s="51" t="n"/>
      <c r="D505" s="51" t="n"/>
      <c r="E505" s="52" t="n"/>
      <c r="F505" s="53" t="n"/>
      <c r="G505" s="51" t="n"/>
      <c r="H505" s="53" t="n"/>
      <c r="I505" s="51" t="n"/>
      <c r="J505" s="54">
        <f>IF(OR(B505="",F505="",NOT(AND(G505&lt;&gt;"✅ Выполнена",G505&lt;&gt;"❌ Отменена"))),"",IF(F505&lt;TODAY(),"❗ просрочено "&amp;(TODAY()-F505)&amp;" дн.",IF(F505=TODAY(),"🔥 сегодня",IF(F505-TODAY()&lt;=3,"⏳ через "&amp;(F505-TODAY())&amp;" дн.",""))))</f>
        <v/>
      </c>
      <c r="K505" s="54">
        <f>IF(B505="","",IF(G505="✅ Выполнена","✔ ",IF(G505="❌ Отменена","✖ ",IF(AND(F505&lt;&gt;"",F505&lt;TODAY()),"❗ ","☐ ")))&amp;B505&amp;IF(E505="🔥 Высокий"," 🔥",""))</f>
        <v/>
      </c>
      <c r="L505" s="54">
        <f>IF(OR(B505="",F505="",G505="❌ Отменена"),"",F505&amp;"#"&amp;COUNTIFS($F$5:F505,F505,$B$5:B505,"?*",$G$5:G505,"&lt;&gt;❌ Отменена"))</f>
        <v/>
      </c>
      <c r="M505" s="54">
        <f>IF(AND(B505&lt;&gt;"",F505&lt;&gt;"",F505&lt;TODAY(),AND(G505&lt;&gt;"✅ Выполнена",G505&lt;&gt;"❌ Отменена")),MAX($M$4:M504)+1,"")</f>
        <v/>
      </c>
    </row>
    <row r="506">
      <c r="A506" s="49">
        <f>IF(B506="","",COUNTA($B$5:B506))</f>
        <v/>
      </c>
      <c r="B506" s="50" t="n"/>
      <c r="C506" s="51" t="n"/>
      <c r="D506" s="51" t="n"/>
      <c r="E506" s="52" t="n"/>
      <c r="F506" s="53" t="n"/>
      <c r="G506" s="51" t="n"/>
      <c r="H506" s="53" t="n"/>
      <c r="I506" s="51" t="n"/>
      <c r="J506" s="54">
        <f>IF(OR(B506="",F506="",NOT(AND(G506&lt;&gt;"✅ Выполнена",G506&lt;&gt;"❌ Отменена"))),"",IF(F506&lt;TODAY(),"❗ просрочено "&amp;(TODAY()-F506)&amp;" дн.",IF(F506=TODAY(),"🔥 сегодня",IF(F506-TODAY()&lt;=3,"⏳ через "&amp;(F506-TODAY())&amp;" дн.",""))))</f>
        <v/>
      </c>
      <c r="K506" s="54">
        <f>IF(B506="","",IF(G506="✅ Выполнена","✔ ",IF(G506="❌ Отменена","✖ ",IF(AND(F506&lt;&gt;"",F506&lt;TODAY()),"❗ ","☐ ")))&amp;B506&amp;IF(E506="🔥 Высокий"," 🔥",""))</f>
        <v/>
      </c>
      <c r="L506" s="54">
        <f>IF(OR(B506="",F506="",G506="❌ Отменена"),"",F506&amp;"#"&amp;COUNTIFS($F$5:F506,F506,$B$5:B506,"?*",$G$5:G506,"&lt;&gt;❌ Отменена"))</f>
        <v/>
      </c>
      <c r="M506" s="54">
        <f>IF(AND(B506&lt;&gt;"",F506&lt;&gt;"",F506&lt;TODAY(),AND(G506&lt;&gt;"✅ Выполнена",G506&lt;&gt;"❌ Отменена")),MAX($M$4:M505)+1,"")</f>
        <v/>
      </c>
    </row>
    <row r="507">
      <c r="A507" s="49">
        <f>IF(B507="","",COUNTA($B$5:B507))</f>
        <v/>
      </c>
      <c r="B507" s="50" t="n"/>
      <c r="C507" s="51" t="n"/>
      <c r="D507" s="51" t="n"/>
      <c r="E507" s="52" t="n"/>
      <c r="F507" s="53" t="n"/>
      <c r="G507" s="51" t="n"/>
      <c r="H507" s="53" t="n"/>
      <c r="I507" s="51" t="n"/>
      <c r="J507" s="54">
        <f>IF(OR(B507="",F507="",NOT(AND(G507&lt;&gt;"✅ Выполнена",G507&lt;&gt;"❌ Отменена"))),"",IF(F507&lt;TODAY(),"❗ просрочено "&amp;(TODAY()-F507)&amp;" дн.",IF(F507=TODAY(),"🔥 сегодня",IF(F507-TODAY()&lt;=3,"⏳ через "&amp;(F507-TODAY())&amp;" дн.",""))))</f>
        <v/>
      </c>
      <c r="K507" s="54">
        <f>IF(B507="","",IF(G507="✅ Выполнена","✔ ",IF(G507="❌ Отменена","✖ ",IF(AND(F507&lt;&gt;"",F507&lt;TODAY()),"❗ ","☐ ")))&amp;B507&amp;IF(E507="🔥 Высокий"," 🔥",""))</f>
        <v/>
      </c>
      <c r="L507" s="54">
        <f>IF(OR(B507="",F507="",G507="❌ Отменена"),"",F507&amp;"#"&amp;COUNTIFS($F$5:F507,F507,$B$5:B507,"?*",$G$5:G507,"&lt;&gt;❌ Отменена"))</f>
        <v/>
      </c>
      <c r="M507" s="54">
        <f>IF(AND(B507&lt;&gt;"",F507&lt;&gt;"",F507&lt;TODAY(),AND(G507&lt;&gt;"✅ Выполнена",G507&lt;&gt;"❌ Отменена")),MAX($M$4:M506)+1,"")</f>
        <v/>
      </c>
    </row>
    <row r="508">
      <c r="A508" s="49">
        <f>IF(B508="","",COUNTA($B$5:B508))</f>
        <v/>
      </c>
      <c r="B508" s="50" t="n"/>
      <c r="C508" s="51" t="n"/>
      <c r="D508" s="51" t="n"/>
      <c r="E508" s="52" t="n"/>
      <c r="F508" s="53" t="n"/>
      <c r="G508" s="51" t="n"/>
      <c r="H508" s="53" t="n"/>
      <c r="I508" s="51" t="n"/>
      <c r="J508" s="54">
        <f>IF(OR(B508="",F508="",NOT(AND(G508&lt;&gt;"✅ Выполнена",G508&lt;&gt;"❌ Отменена"))),"",IF(F508&lt;TODAY(),"❗ просрочено "&amp;(TODAY()-F508)&amp;" дн.",IF(F508=TODAY(),"🔥 сегодня",IF(F508-TODAY()&lt;=3,"⏳ через "&amp;(F508-TODAY())&amp;" дн.",""))))</f>
        <v/>
      </c>
      <c r="K508" s="54">
        <f>IF(B508="","",IF(G508="✅ Выполнена","✔ ",IF(G508="❌ Отменена","✖ ",IF(AND(F508&lt;&gt;"",F508&lt;TODAY()),"❗ ","☐ ")))&amp;B508&amp;IF(E508="🔥 Высокий"," 🔥",""))</f>
        <v/>
      </c>
      <c r="L508" s="54">
        <f>IF(OR(B508="",F508="",G508="❌ Отменена"),"",F508&amp;"#"&amp;COUNTIFS($F$5:F508,F508,$B$5:B508,"?*",$G$5:G508,"&lt;&gt;❌ Отменена"))</f>
        <v/>
      </c>
      <c r="M508" s="54">
        <f>IF(AND(B508&lt;&gt;"",F508&lt;&gt;"",F508&lt;TODAY(),AND(G508&lt;&gt;"✅ Выполнена",G508&lt;&gt;"❌ Отменена")),MAX($M$4:M507)+1,"")</f>
        <v/>
      </c>
    </row>
    <row r="509">
      <c r="A509" s="49">
        <f>IF(B509="","",COUNTA($B$5:B509))</f>
        <v/>
      </c>
      <c r="B509" s="50" t="n"/>
      <c r="C509" s="51" t="n"/>
      <c r="D509" s="51" t="n"/>
      <c r="E509" s="52" t="n"/>
      <c r="F509" s="53" t="n"/>
      <c r="G509" s="51" t="n"/>
      <c r="H509" s="53" t="n"/>
      <c r="I509" s="51" t="n"/>
      <c r="J509" s="54">
        <f>IF(OR(B509="",F509="",NOT(AND(G509&lt;&gt;"✅ Выполнена",G509&lt;&gt;"❌ Отменена"))),"",IF(F509&lt;TODAY(),"❗ просрочено "&amp;(TODAY()-F509)&amp;" дн.",IF(F509=TODAY(),"🔥 сегодня",IF(F509-TODAY()&lt;=3,"⏳ через "&amp;(F509-TODAY())&amp;" дн.",""))))</f>
        <v/>
      </c>
      <c r="K509" s="54">
        <f>IF(B509="","",IF(G509="✅ Выполнена","✔ ",IF(G509="❌ Отменена","✖ ",IF(AND(F509&lt;&gt;"",F509&lt;TODAY()),"❗ ","☐ ")))&amp;B509&amp;IF(E509="🔥 Высокий"," 🔥",""))</f>
        <v/>
      </c>
      <c r="L509" s="54">
        <f>IF(OR(B509="",F509="",G509="❌ Отменена"),"",F509&amp;"#"&amp;COUNTIFS($F$5:F509,F509,$B$5:B509,"?*",$G$5:G509,"&lt;&gt;❌ Отменена"))</f>
        <v/>
      </c>
      <c r="M509" s="54">
        <f>IF(AND(B509&lt;&gt;"",F509&lt;&gt;"",F509&lt;TODAY(),AND(G509&lt;&gt;"✅ Выполнена",G509&lt;&gt;"❌ Отменена")),MAX($M$4:M508)+1,"")</f>
        <v/>
      </c>
    </row>
    <row r="510">
      <c r="A510" s="49">
        <f>IF(B510="","",COUNTA($B$5:B510))</f>
        <v/>
      </c>
      <c r="B510" s="50" t="n"/>
      <c r="C510" s="51" t="n"/>
      <c r="D510" s="51" t="n"/>
      <c r="E510" s="52" t="n"/>
      <c r="F510" s="53" t="n"/>
      <c r="G510" s="51" t="n"/>
      <c r="H510" s="53" t="n"/>
      <c r="I510" s="51" t="n"/>
      <c r="J510" s="54">
        <f>IF(OR(B510="",F510="",NOT(AND(G510&lt;&gt;"✅ Выполнена",G510&lt;&gt;"❌ Отменена"))),"",IF(F510&lt;TODAY(),"❗ просрочено "&amp;(TODAY()-F510)&amp;" дн.",IF(F510=TODAY(),"🔥 сегодня",IF(F510-TODAY()&lt;=3,"⏳ через "&amp;(F510-TODAY())&amp;" дн.",""))))</f>
        <v/>
      </c>
      <c r="K510" s="54">
        <f>IF(B510="","",IF(G510="✅ Выполнена","✔ ",IF(G510="❌ Отменена","✖ ",IF(AND(F510&lt;&gt;"",F510&lt;TODAY()),"❗ ","☐ ")))&amp;B510&amp;IF(E510="🔥 Высокий"," 🔥",""))</f>
        <v/>
      </c>
      <c r="L510" s="54">
        <f>IF(OR(B510="",F510="",G510="❌ Отменена"),"",F510&amp;"#"&amp;COUNTIFS($F$5:F510,F510,$B$5:B510,"?*",$G$5:G510,"&lt;&gt;❌ Отменена"))</f>
        <v/>
      </c>
      <c r="M510" s="54">
        <f>IF(AND(B510&lt;&gt;"",F510&lt;&gt;"",F510&lt;TODAY(),AND(G510&lt;&gt;"✅ Выполнена",G510&lt;&gt;"❌ Отменена")),MAX($M$4:M509)+1,"")</f>
        <v/>
      </c>
    </row>
    <row r="511">
      <c r="A511" s="49">
        <f>IF(B511="","",COUNTA($B$5:B511))</f>
        <v/>
      </c>
      <c r="B511" s="50" t="n"/>
      <c r="C511" s="51" t="n"/>
      <c r="D511" s="51" t="n"/>
      <c r="E511" s="52" t="n"/>
      <c r="F511" s="53" t="n"/>
      <c r="G511" s="51" t="n"/>
      <c r="H511" s="53" t="n"/>
      <c r="I511" s="51" t="n"/>
      <c r="J511" s="54">
        <f>IF(OR(B511="",F511="",NOT(AND(G511&lt;&gt;"✅ Выполнена",G511&lt;&gt;"❌ Отменена"))),"",IF(F511&lt;TODAY(),"❗ просрочено "&amp;(TODAY()-F511)&amp;" дн.",IF(F511=TODAY(),"🔥 сегодня",IF(F511-TODAY()&lt;=3,"⏳ через "&amp;(F511-TODAY())&amp;" дн.",""))))</f>
        <v/>
      </c>
      <c r="K511" s="54">
        <f>IF(B511="","",IF(G511="✅ Выполнена","✔ ",IF(G511="❌ Отменена","✖ ",IF(AND(F511&lt;&gt;"",F511&lt;TODAY()),"❗ ","☐ ")))&amp;B511&amp;IF(E511="🔥 Высокий"," 🔥",""))</f>
        <v/>
      </c>
      <c r="L511" s="54">
        <f>IF(OR(B511="",F511="",G511="❌ Отменена"),"",F511&amp;"#"&amp;COUNTIFS($F$5:F511,F511,$B$5:B511,"?*",$G$5:G511,"&lt;&gt;❌ Отменена"))</f>
        <v/>
      </c>
      <c r="M511" s="54">
        <f>IF(AND(B511&lt;&gt;"",F511&lt;&gt;"",F511&lt;TODAY(),AND(G511&lt;&gt;"✅ Выполнена",G511&lt;&gt;"❌ Отменена")),MAX($M$4:M510)+1,"")</f>
        <v/>
      </c>
    </row>
    <row r="512">
      <c r="A512" s="49">
        <f>IF(B512="","",COUNTA($B$5:B512))</f>
        <v/>
      </c>
      <c r="B512" s="50" t="n"/>
      <c r="C512" s="51" t="n"/>
      <c r="D512" s="51" t="n"/>
      <c r="E512" s="52" t="n"/>
      <c r="F512" s="53" t="n"/>
      <c r="G512" s="51" t="n"/>
      <c r="H512" s="53" t="n"/>
      <c r="I512" s="51" t="n"/>
      <c r="J512" s="54">
        <f>IF(OR(B512="",F512="",NOT(AND(G512&lt;&gt;"✅ Выполнена",G512&lt;&gt;"❌ Отменена"))),"",IF(F512&lt;TODAY(),"❗ просрочено "&amp;(TODAY()-F512)&amp;" дн.",IF(F512=TODAY(),"🔥 сегодня",IF(F512-TODAY()&lt;=3,"⏳ через "&amp;(F512-TODAY())&amp;" дн.",""))))</f>
        <v/>
      </c>
      <c r="K512" s="54">
        <f>IF(B512="","",IF(G512="✅ Выполнена","✔ ",IF(G512="❌ Отменена","✖ ",IF(AND(F512&lt;&gt;"",F512&lt;TODAY()),"❗ ","☐ ")))&amp;B512&amp;IF(E512="🔥 Высокий"," 🔥",""))</f>
        <v/>
      </c>
      <c r="L512" s="54">
        <f>IF(OR(B512="",F512="",G512="❌ Отменена"),"",F512&amp;"#"&amp;COUNTIFS($F$5:F512,F512,$B$5:B512,"?*",$G$5:G512,"&lt;&gt;❌ Отменена"))</f>
        <v/>
      </c>
      <c r="M512" s="54">
        <f>IF(AND(B512&lt;&gt;"",F512&lt;&gt;"",F512&lt;TODAY(),AND(G512&lt;&gt;"✅ Выполнена",G512&lt;&gt;"❌ Отменена")),MAX($M$4:M511)+1,"")</f>
        <v/>
      </c>
    </row>
    <row r="513">
      <c r="A513" s="49">
        <f>IF(B513="","",COUNTA($B$5:B513))</f>
        <v/>
      </c>
      <c r="B513" s="50" t="n"/>
      <c r="C513" s="51" t="n"/>
      <c r="D513" s="51" t="n"/>
      <c r="E513" s="52" t="n"/>
      <c r="F513" s="53" t="n"/>
      <c r="G513" s="51" t="n"/>
      <c r="H513" s="53" t="n"/>
      <c r="I513" s="51" t="n"/>
      <c r="J513" s="54">
        <f>IF(OR(B513="",F513="",NOT(AND(G513&lt;&gt;"✅ Выполнена",G513&lt;&gt;"❌ Отменена"))),"",IF(F513&lt;TODAY(),"❗ просрочено "&amp;(TODAY()-F513)&amp;" дн.",IF(F513=TODAY(),"🔥 сегодня",IF(F513-TODAY()&lt;=3,"⏳ через "&amp;(F513-TODAY())&amp;" дн.",""))))</f>
        <v/>
      </c>
      <c r="K513" s="54">
        <f>IF(B513="","",IF(G513="✅ Выполнена","✔ ",IF(G513="❌ Отменена","✖ ",IF(AND(F513&lt;&gt;"",F513&lt;TODAY()),"❗ ","☐ ")))&amp;B513&amp;IF(E513="🔥 Высокий"," 🔥",""))</f>
        <v/>
      </c>
      <c r="L513" s="54">
        <f>IF(OR(B513="",F513="",G513="❌ Отменена"),"",F513&amp;"#"&amp;COUNTIFS($F$5:F513,F513,$B$5:B513,"?*",$G$5:G513,"&lt;&gt;❌ Отменена"))</f>
        <v/>
      </c>
      <c r="M513" s="54">
        <f>IF(AND(B513&lt;&gt;"",F513&lt;&gt;"",F513&lt;TODAY(),AND(G513&lt;&gt;"✅ Выполнена",G513&lt;&gt;"❌ Отменена")),MAX($M$4:M512)+1,"")</f>
        <v/>
      </c>
    </row>
    <row r="514">
      <c r="A514" s="49">
        <f>IF(B514="","",COUNTA($B$5:B514))</f>
        <v/>
      </c>
      <c r="B514" s="50" t="n"/>
      <c r="C514" s="51" t="n"/>
      <c r="D514" s="51" t="n"/>
      <c r="E514" s="52" t="n"/>
      <c r="F514" s="53" t="n"/>
      <c r="G514" s="51" t="n"/>
      <c r="H514" s="53" t="n"/>
      <c r="I514" s="51" t="n"/>
      <c r="J514" s="54">
        <f>IF(OR(B514="",F514="",NOT(AND(G514&lt;&gt;"✅ Выполнена",G514&lt;&gt;"❌ Отменена"))),"",IF(F514&lt;TODAY(),"❗ просрочено "&amp;(TODAY()-F514)&amp;" дн.",IF(F514=TODAY(),"🔥 сегодня",IF(F514-TODAY()&lt;=3,"⏳ через "&amp;(F514-TODAY())&amp;" дн.",""))))</f>
        <v/>
      </c>
      <c r="K514" s="54">
        <f>IF(B514="","",IF(G514="✅ Выполнена","✔ ",IF(G514="❌ Отменена","✖ ",IF(AND(F514&lt;&gt;"",F514&lt;TODAY()),"❗ ","☐ ")))&amp;B514&amp;IF(E514="🔥 Высокий"," 🔥",""))</f>
        <v/>
      </c>
      <c r="L514" s="54">
        <f>IF(OR(B514="",F514="",G514="❌ Отменена"),"",F514&amp;"#"&amp;COUNTIFS($F$5:F514,F514,$B$5:B514,"?*",$G$5:G514,"&lt;&gt;❌ Отменена"))</f>
        <v/>
      </c>
      <c r="M514" s="54">
        <f>IF(AND(B514&lt;&gt;"",F514&lt;&gt;"",F514&lt;TODAY(),AND(G514&lt;&gt;"✅ Выполнена",G514&lt;&gt;"❌ Отменена")),MAX($M$4:M513)+1,"")</f>
        <v/>
      </c>
    </row>
    <row r="515">
      <c r="A515" s="49">
        <f>IF(B515="","",COUNTA($B$5:B515))</f>
        <v/>
      </c>
      <c r="B515" s="50" t="n"/>
      <c r="C515" s="51" t="n"/>
      <c r="D515" s="51" t="n"/>
      <c r="E515" s="52" t="n"/>
      <c r="F515" s="53" t="n"/>
      <c r="G515" s="51" t="n"/>
      <c r="H515" s="53" t="n"/>
      <c r="I515" s="51" t="n"/>
      <c r="J515" s="54">
        <f>IF(OR(B515="",F515="",NOT(AND(G515&lt;&gt;"✅ Выполнена",G515&lt;&gt;"❌ Отменена"))),"",IF(F515&lt;TODAY(),"❗ просрочено "&amp;(TODAY()-F515)&amp;" дн.",IF(F515=TODAY(),"🔥 сегодня",IF(F515-TODAY()&lt;=3,"⏳ через "&amp;(F515-TODAY())&amp;" дн.",""))))</f>
        <v/>
      </c>
      <c r="K515" s="54">
        <f>IF(B515="","",IF(G515="✅ Выполнена","✔ ",IF(G515="❌ Отменена","✖ ",IF(AND(F515&lt;&gt;"",F515&lt;TODAY()),"❗ ","☐ ")))&amp;B515&amp;IF(E515="🔥 Высокий"," 🔥",""))</f>
        <v/>
      </c>
      <c r="L515" s="54">
        <f>IF(OR(B515="",F515="",G515="❌ Отменена"),"",F515&amp;"#"&amp;COUNTIFS($F$5:F515,F515,$B$5:B515,"?*",$G$5:G515,"&lt;&gt;❌ Отменена"))</f>
        <v/>
      </c>
      <c r="M515" s="54">
        <f>IF(AND(B515&lt;&gt;"",F515&lt;&gt;"",F515&lt;TODAY(),AND(G515&lt;&gt;"✅ Выполнена",G515&lt;&gt;"❌ Отменена")),MAX($M$4:M514)+1,"")</f>
        <v/>
      </c>
    </row>
    <row r="516">
      <c r="A516" s="49">
        <f>IF(B516="","",COUNTA($B$5:B516))</f>
        <v/>
      </c>
      <c r="B516" s="50" t="n"/>
      <c r="C516" s="51" t="n"/>
      <c r="D516" s="51" t="n"/>
      <c r="E516" s="52" t="n"/>
      <c r="F516" s="53" t="n"/>
      <c r="G516" s="51" t="n"/>
      <c r="H516" s="53" t="n"/>
      <c r="I516" s="51" t="n"/>
      <c r="J516" s="54">
        <f>IF(OR(B516="",F516="",NOT(AND(G516&lt;&gt;"✅ Выполнена",G516&lt;&gt;"❌ Отменена"))),"",IF(F516&lt;TODAY(),"❗ просрочено "&amp;(TODAY()-F516)&amp;" дн.",IF(F516=TODAY(),"🔥 сегодня",IF(F516-TODAY()&lt;=3,"⏳ через "&amp;(F516-TODAY())&amp;" дн.",""))))</f>
        <v/>
      </c>
      <c r="K516" s="54">
        <f>IF(B516="","",IF(G516="✅ Выполнена","✔ ",IF(G516="❌ Отменена","✖ ",IF(AND(F516&lt;&gt;"",F516&lt;TODAY()),"❗ ","☐ ")))&amp;B516&amp;IF(E516="🔥 Высокий"," 🔥",""))</f>
        <v/>
      </c>
      <c r="L516" s="54">
        <f>IF(OR(B516="",F516="",G516="❌ Отменена"),"",F516&amp;"#"&amp;COUNTIFS($F$5:F516,F516,$B$5:B516,"?*",$G$5:G516,"&lt;&gt;❌ Отменена"))</f>
        <v/>
      </c>
      <c r="M516" s="54">
        <f>IF(AND(B516&lt;&gt;"",F516&lt;&gt;"",F516&lt;TODAY(),AND(G516&lt;&gt;"✅ Выполнена",G516&lt;&gt;"❌ Отменена")),MAX($M$4:M515)+1,"")</f>
        <v/>
      </c>
    </row>
    <row r="517">
      <c r="A517" s="49">
        <f>IF(B517="","",COUNTA($B$5:B517))</f>
        <v/>
      </c>
      <c r="B517" s="50" t="n"/>
      <c r="C517" s="51" t="n"/>
      <c r="D517" s="51" t="n"/>
      <c r="E517" s="52" t="n"/>
      <c r="F517" s="53" t="n"/>
      <c r="G517" s="51" t="n"/>
      <c r="H517" s="53" t="n"/>
      <c r="I517" s="51" t="n"/>
      <c r="J517" s="54">
        <f>IF(OR(B517="",F517="",NOT(AND(G517&lt;&gt;"✅ Выполнена",G517&lt;&gt;"❌ Отменена"))),"",IF(F517&lt;TODAY(),"❗ просрочено "&amp;(TODAY()-F517)&amp;" дн.",IF(F517=TODAY(),"🔥 сегодня",IF(F517-TODAY()&lt;=3,"⏳ через "&amp;(F517-TODAY())&amp;" дн.",""))))</f>
        <v/>
      </c>
      <c r="K517" s="54">
        <f>IF(B517="","",IF(G517="✅ Выполнена","✔ ",IF(G517="❌ Отменена","✖ ",IF(AND(F517&lt;&gt;"",F517&lt;TODAY()),"❗ ","☐ ")))&amp;B517&amp;IF(E517="🔥 Высокий"," 🔥",""))</f>
        <v/>
      </c>
      <c r="L517" s="54">
        <f>IF(OR(B517="",F517="",G517="❌ Отменена"),"",F517&amp;"#"&amp;COUNTIFS($F$5:F517,F517,$B$5:B517,"?*",$G$5:G517,"&lt;&gt;❌ Отменена"))</f>
        <v/>
      </c>
      <c r="M517" s="54">
        <f>IF(AND(B517&lt;&gt;"",F517&lt;&gt;"",F517&lt;TODAY(),AND(G517&lt;&gt;"✅ Выполнена",G517&lt;&gt;"❌ Отменена")),MAX($M$4:M516)+1,"")</f>
        <v/>
      </c>
    </row>
    <row r="518">
      <c r="A518" s="49">
        <f>IF(B518="","",COUNTA($B$5:B518))</f>
        <v/>
      </c>
      <c r="B518" s="50" t="n"/>
      <c r="C518" s="51" t="n"/>
      <c r="D518" s="51" t="n"/>
      <c r="E518" s="52" t="n"/>
      <c r="F518" s="53" t="n"/>
      <c r="G518" s="51" t="n"/>
      <c r="H518" s="53" t="n"/>
      <c r="I518" s="51" t="n"/>
      <c r="J518" s="54">
        <f>IF(OR(B518="",F518="",NOT(AND(G518&lt;&gt;"✅ Выполнена",G518&lt;&gt;"❌ Отменена"))),"",IF(F518&lt;TODAY(),"❗ просрочено "&amp;(TODAY()-F518)&amp;" дн.",IF(F518=TODAY(),"🔥 сегодня",IF(F518-TODAY()&lt;=3,"⏳ через "&amp;(F518-TODAY())&amp;" дн.",""))))</f>
        <v/>
      </c>
      <c r="K518" s="54">
        <f>IF(B518="","",IF(G518="✅ Выполнена","✔ ",IF(G518="❌ Отменена","✖ ",IF(AND(F518&lt;&gt;"",F518&lt;TODAY()),"❗ ","☐ ")))&amp;B518&amp;IF(E518="🔥 Высокий"," 🔥",""))</f>
        <v/>
      </c>
      <c r="L518" s="54">
        <f>IF(OR(B518="",F518="",G518="❌ Отменена"),"",F518&amp;"#"&amp;COUNTIFS($F$5:F518,F518,$B$5:B518,"?*",$G$5:G518,"&lt;&gt;❌ Отменена"))</f>
        <v/>
      </c>
      <c r="M518" s="54">
        <f>IF(AND(B518&lt;&gt;"",F518&lt;&gt;"",F518&lt;TODAY(),AND(G518&lt;&gt;"✅ Выполнена",G518&lt;&gt;"❌ Отменена")),MAX($M$4:M517)+1,"")</f>
        <v/>
      </c>
    </row>
    <row r="519">
      <c r="A519" s="49">
        <f>IF(B519="","",COUNTA($B$5:B519))</f>
        <v/>
      </c>
      <c r="B519" s="50" t="n"/>
      <c r="C519" s="51" t="n"/>
      <c r="D519" s="51" t="n"/>
      <c r="E519" s="52" t="n"/>
      <c r="F519" s="53" t="n"/>
      <c r="G519" s="51" t="n"/>
      <c r="H519" s="53" t="n"/>
      <c r="I519" s="51" t="n"/>
      <c r="J519" s="54">
        <f>IF(OR(B519="",F519="",NOT(AND(G519&lt;&gt;"✅ Выполнена",G519&lt;&gt;"❌ Отменена"))),"",IF(F519&lt;TODAY(),"❗ просрочено "&amp;(TODAY()-F519)&amp;" дн.",IF(F519=TODAY(),"🔥 сегодня",IF(F519-TODAY()&lt;=3,"⏳ через "&amp;(F519-TODAY())&amp;" дн.",""))))</f>
        <v/>
      </c>
      <c r="K519" s="54">
        <f>IF(B519="","",IF(G519="✅ Выполнена","✔ ",IF(G519="❌ Отменена","✖ ",IF(AND(F519&lt;&gt;"",F519&lt;TODAY()),"❗ ","☐ ")))&amp;B519&amp;IF(E519="🔥 Высокий"," 🔥",""))</f>
        <v/>
      </c>
      <c r="L519" s="54">
        <f>IF(OR(B519="",F519="",G519="❌ Отменена"),"",F519&amp;"#"&amp;COUNTIFS($F$5:F519,F519,$B$5:B519,"?*",$G$5:G519,"&lt;&gt;❌ Отменена"))</f>
        <v/>
      </c>
      <c r="M519" s="54">
        <f>IF(AND(B519&lt;&gt;"",F519&lt;&gt;"",F519&lt;TODAY(),AND(G519&lt;&gt;"✅ Выполнена",G519&lt;&gt;"❌ Отменена")),MAX($M$4:M518)+1,"")</f>
        <v/>
      </c>
    </row>
    <row r="520">
      <c r="A520" s="49">
        <f>IF(B520="","",COUNTA($B$5:B520))</f>
        <v/>
      </c>
      <c r="B520" s="50" t="n"/>
      <c r="C520" s="51" t="n"/>
      <c r="D520" s="51" t="n"/>
      <c r="E520" s="52" t="n"/>
      <c r="F520" s="53" t="n"/>
      <c r="G520" s="51" t="n"/>
      <c r="H520" s="53" t="n"/>
      <c r="I520" s="51" t="n"/>
      <c r="J520" s="54">
        <f>IF(OR(B520="",F520="",NOT(AND(G520&lt;&gt;"✅ Выполнена",G520&lt;&gt;"❌ Отменена"))),"",IF(F520&lt;TODAY(),"❗ просрочено "&amp;(TODAY()-F520)&amp;" дн.",IF(F520=TODAY(),"🔥 сегодня",IF(F520-TODAY()&lt;=3,"⏳ через "&amp;(F520-TODAY())&amp;" дн.",""))))</f>
        <v/>
      </c>
      <c r="K520" s="54">
        <f>IF(B520="","",IF(G520="✅ Выполнена","✔ ",IF(G520="❌ Отменена","✖ ",IF(AND(F520&lt;&gt;"",F520&lt;TODAY()),"❗ ","☐ ")))&amp;B520&amp;IF(E520="🔥 Высокий"," 🔥",""))</f>
        <v/>
      </c>
      <c r="L520" s="54">
        <f>IF(OR(B520="",F520="",G520="❌ Отменена"),"",F520&amp;"#"&amp;COUNTIFS($F$5:F520,F520,$B$5:B520,"?*",$G$5:G520,"&lt;&gt;❌ Отменена"))</f>
        <v/>
      </c>
      <c r="M520" s="54">
        <f>IF(AND(B520&lt;&gt;"",F520&lt;&gt;"",F520&lt;TODAY(),AND(G520&lt;&gt;"✅ Выполнена",G520&lt;&gt;"❌ Отменена")),MAX($M$4:M519)+1,"")</f>
        <v/>
      </c>
    </row>
    <row r="521">
      <c r="A521" s="49">
        <f>IF(B521="","",COUNTA($B$5:B521))</f>
        <v/>
      </c>
      <c r="B521" s="50" t="n"/>
      <c r="C521" s="51" t="n"/>
      <c r="D521" s="51" t="n"/>
      <c r="E521" s="52" t="n"/>
      <c r="F521" s="53" t="n"/>
      <c r="G521" s="51" t="n"/>
      <c r="H521" s="53" t="n"/>
      <c r="I521" s="51" t="n"/>
      <c r="J521" s="54">
        <f>IF(OR(B521="",F521="",NOT(AND(G521&lt;&gt;"✅ Выполнена",G521&lt;&gt;"❌ Отменена"))),"",IF(F521&lt;TODAY(),"❗ просрочено "&amp;(TODAY()-F521)&amp;" дн.",IF(F521=TODAY(),"🔥 сегодня",IF(F521-TODAY()&lt;=3,"⏳ через "&amp;(F521-TODAY())&amp;" дн.",""))))</f>
        <v/>
      </c>
      <c r="K521" s="54">
        <f>IF(B521="","",IF(G521="✅ Выполнена","✔ ",IF(G521="❌ Отменена","✖ ",IF(AND(F521&lt;&gt;"",F521&lt;TODAY()),"❗ ","☐ ")))&amp;B521&amp;IF(E521="🔥 Высокий"," 🔥",""))</f>
        <v/>
      </c>
      <c r="L521" s="54">
        <f>IF(OR(B521="",F521="",G521="❌ Отменена"),"",F521&amp;"#"&amp;COUNTIFS($F$5:F521,F521,$B$5:B521,"?*",$G$5:G521,"&lt;&gt;❌ Отменена"))</f>
        <v/>
      </c>
      <c r="M521" s="54">
        <f>IF(AND(B521&lt;&gt;"",F521&lt;&gt;"",F521&lt;TODAY(),AND(G521&lt;&gt;"✅ Выполнена",G521&lt;&gt;"❌ Отменена")),MAX($M$4:M520)+1,"")</f>
        <v/>
      </c>
    </row>
    <row r="522">
      <c r="A522" s="49">
        <f>IF(B522="","",COUNTA($B$5:B522))</f>
        <v/>
      </c>
      <c r="B522" s="50" t="n"/>
      <c r="C522" s="51" t="n"/>
      <c r="D522" s="51" t="n"/>
      <c r="E522" s="52" t="n"/>
      <c r="F522" s="53" t="n"/>
      <c r="G522" s="51" t="n"/>
      <c r="H522" s="53" t="n"/>
      <c r="I522" s="51" t="n"/>
      <c r="J522" s="54">
        <f>IF(OR(B522="",F522="",NOT(AND(G522&lt;&gt;"✅ Выполнена",G522&lt;&gt;"❌ Отменена"))),"",IF(F522&lt;TODAY(),"❗ просрочено "&amp;(TODAY()-F522)&amp;" дн.",IF(F522=TODAY(),"🔥 сегодня",IF(F522-TODAY()&lt;=3,"⏳ через "&amp;(F522-TODAY())&amp;" дн.",""))))</f>
        <v/>
      </c>
      <c r="K522" s="54">
        <f>IF(B522="","",IF(G522="✅ Выполнена","✔ ",IF(G522="❌ Отменена","✖ ",IF(AND(F522&lt;&gt;"",F522&lt;TODAY()),"❗ ","☐ ")))&amp;B522&amp;IF(E522="🔥 Высокий"," 🔥",""))</f>
        <v/>
      </c>
      <c r="L522" s="54">
        <f>IF(OR(B522="",F522="",G522="❌ Отменена"),"",F522&amp;"#"&amp;COUNTIFS($F$5:F522,F522,$B$5:B522,"?*",$G$5:G522,"&lt;&gt;❌ Отменена"))</f>
        <v/>
      </c>
      <c r="M522" s="54">
        <f>IF(AND(B522&lt;&gt;"",F522&lt;&gt;"",F522&lt;TODAY(),AND(G522&lt;&gt;"✅ Выполнена",G522&lt;&gt;"❌ Отменена")),MAX($M$4:M521)+1,"")</f>
        <v/>
      </c>
    </row>
    <row r="523">
      <c r="A523" s="49">
        <f>IF(B523="","",COUNTA($B$5:B523))</f>
        <v/>
      </c>
      <c r="B523" s="50" t="n"/>
      <c r="C523" s="51" t="n"/>
      <c r="D523" s="51" t="n"/>
      <c r="E523" s="52" t="n"/>
      <c r="F523" s="53" t="n"/>
      <c r="G523" s="51" t="n"/>
      <c r="H523" s="53" t="n"/>
      <c r="I523" s="51" t="n"/>
      <c r="J523" s="54">
        <f>IF(OR(B523="",F523="",NOT(AND(G523&lt;&gt;"✅ Выполнена",G523&lt;&gt;"❌ Отменена"))),"",IF(F523&lt;TODAY(),"❗ просрочено "&amp;(TODAY()-F523)&amp;" дн.",IF(F523=TODAY(),"🔥 сегодня",IF(F523-TODAY()&lt;=3,"⏳ через "&amp;(F523-TODAY())&amp;" дн.",""))))</f>
        <v/>
      </c>
      <c r="K523" s="54">
        <f>IF(B523="","",IF(G523="✅ Выполнена","✔ ",IF(G523="❌ Отменена","✖ ",IF(AND(F523&lt;&gt;"",F523&lt;TODAY()),"❗ ","☐ ")))&amp;B523&amp;IF(E523="🔥 Высокий"," 🔥",""))</f>
        <v/>
      </c>
      <c r="L523" s="54">
        <f>IF(OR(B523="",F523="",G523="❌ Отменена"),"",F523&amp;"#"&amp;COUNTIFS($F$5:F523,F523,$B$5:B523,"?*",$G$5:G523,"&lt;&gt;❌ Отменена"))</f>
        <v/>
      </c>
      <c r="M523" s="54">
        <f>IF(AND(B523&lt;&gt;"",F523&lt;&gt;"",F523&lt;TODAY(),AND(G523&lt;&gt;"✅ Выполнена",G523&lt;&gt;"❌ Отменена")),MAX($M$4:M522)+1,"")</f>
        <v/>
      </c>
    </row>
    <row r="524">
      <c r="A524" s="49">
        <f>IF(B524="","",COUNTA($B$5:B524))</f>
        <v/>
      </c>
      <c r="B524" s="50" t="n"/>
      <c r="C524" s="51" t="n"/>
      <c r="D524" s="51" t="n"/>
      <c r="E524" s="52" t="n"/>
      <c r="F524" s="53" t="n"/>
      <c r="G524" s="51" t="n"/>
      <c r="H524" s="53" t="n"/>
      <c r="I524" s="51" t="n"/>
      <c r="J524" s="54">
        <f>IF(OR(B524="",F524="",NOT(AND(G524&lt;&gt;"✅ Выполнена",G524&lt;&gt;"❌ Отменена"))),"",IF(F524&lt;TODAY(),"❗ просрочено "&amp;(TODAY()-F524)&amp;" дн.",IF(F524=TODAY(),"🔥 сегодня",IF(F524-TODAY()&lt;=3,"⏳ через "&amp;(F524-TODAY())&amp;" дн.",""))))</f>
        <v/>
      </c>
      <c r="K524" s="54">
        <f>IF(B524="","",IF(G524="✅ Выполнена","✔ ",IF(G524="❌ Отменена","✖ ",IF(AND(F524&lt;&gt;"",F524&lt;TODAY()),"❗ ","☐ ")))&amp;B524&amp;IF(E524="🔥 Высокий"," 🔥",""))</f>
        <v/>
      </c>
      <c r="L524" s="54">
        <f>IF(OR(B524="",F524="",G524="❌ Отменена"),"",F524&amp;"#"&amp;COUNTIFS($F$5:F524,F524,$B$5:B524,"?*",$G$5:G524,"&lt;&gt;❌ Отменена"))</f>
        <v/>
      </c>
      <c r="M524" s="54">
        <f>IF(AND(B524&lt;&gt;"",F524&lt;&gt;"",F524&lt;TODAY(),AND(G524&lt;&gt;"✅ Выполнена",G524&lt;&gt;"❌ Отменена")),MAX($M$4:M523)+1,"")</f>
        <v/>
      </c>
    </row>
    <row r="525">
      <c r="A525" s="49">
        <f>IF(B525="","",COUNTA($B$5:B525))</f>
        <v/>
      </c>
      <c r="B525" s="50" t="n"/>
      <c r="C525" s="51" t="n"/>
      <c r="D525" s="51" t="n"/>
      <c r="E525" s="52" t="n"/>
      <c r="F525" s="53" t="n"/>
      <c r="G525" s="51" t="n"/>
      <c r="H525" s="53" t="n"/>
      <c r="I525" s="51" t="n"/>
      <c r="J525" s="54">
        <f>IF(OR(B525="",F525="",NOT(AND(G525&lt;&gt;"✅ Выполнена",G525&lt;&gt;"❌ Отменена"))),"",IF(F525&lt;TODAY(),"❗ просрочено "&amp;(TODAY()-F525)&amp;" дн.",IF(F525=TODAY(),"🔥 сегодня",IF(F525-TODAY()&lt;=3,"⏳ через "&amp;(F525-TODAY())&amp;" дн.",""))))</f>
        <v/>
      </c>
      <c r="K525" s="54">
        <f>IF(B525="","",IF(G525="✅ Выполнена","✔ ",IF(G525="❌ Отменена","✖ ",IF(AND(F525&lt;&gt;"",F525&lt;TODAY()),"❗ ","☐ ")))&amp;B525&amp;IF(E525="🔥 Высокий"," 🔥",""))</f>
        <v/>
      </c>
      <c r="L525" s="54">
        <f>IF(OR(B525="",F525="",G525="❌ Отменена"),"",F525&amp;"#"&amp;COUNTIFS($F$5:F525,F525,$B$5:B525,"?*",$G$5:G525,"&lt;&gt;❌ Отменена"))</f>
        <v/>
      </c>
      <c r="M525" s="54">
        <f>IF(AND(B525&lt;&gt;"",F525&lt;&gt;"",F525&lt;TODAY(),AND(G525&lt;&gt;"✅ Выполнена",G525&lt;&gt;"❌ Отменена")),MAX($M$4:M524)+1,"")</f>
        <v/>
      </c>
    </row>
    <row r="526">
      <c r="A526" s="49">
        <f>IF(B526="","",COUNTA($B$5:B526))</f>
        <v/>
      </c>
      <c r="B526" s="50" t="n"/>
      <c r="C526" s="51" t="n"/>
      <c r="D526" s="51" t="n"/>
      <c r="E526" s="52" t="n"/>
      <c r="F526" s="53" t="n"/>
      <c r="G526" s="51" t="n"/>
      <c r="H526" s="53" t="n"/>
      <c r="I526" s="51" t="n"/>
      <c r="J526" s="54">
        <f>IF(OR(B526="",F526="",NOT(AND(G526&lt;&gt;"✅ Выполнена",G526&lt;&gt;"❌ Отменена"))),"",IF(F526&lt;TODAY(),"❗ просрочено "&amp;(TODAY()-F526)&amp;" дн.",IF(F526=TODAY(),"🔥 сегодня",IF(F526-TODAY()&lt;=3,"⏳ через "&amp;(F526-TODAY())&amp;" дн.",""))))</f>
        <v/>
      </c>
      <c r="K526" s="54">
        <f>IF(B526="","",IF(G526="✅ Выполнена","✔ ",IF(G526="❌ Отменена","✖ ",IF(AND(F526&lt;&gt;"",F526&lt;TODAY()),"❗ ","☐ ")))&amp;B526&amp;IF(E526="🔥 Высокий"," 🔥",""))</f>
        <v/>
      </c>
      <c r="L526" s="54">
        <f>IF(OR(B526="",F526="",G526="❌ Отменена"),"",F526&amp;"#"&amp;COUNTIFS($F$5:F526,F526,$B$5:B526,"?*",$G$5:G526,"&lt;&gt;❌ Отменена"))</f>
        <v/>
      </c>
      <c r="M526" s="54">
        <f>IF(AND(B526&lt;&gt;"",F526&lt;&gt;"",F526&lt;TODAY(),AND(G526&lt;&gt;"✅ Выполнена",G526&lt;&gt;"❌ Отменена")),MAX($M$4:M525)+1,"")</f>
        <v/>
      </c>
    </row>
    <row r="527">
      <c r="A527" s="49">
        <f>IF(B527="","",COUNTA($B$5:B527))</f>
        <v/>
      </c>
      <c r="B527" s="50" t="n"/>
      <c r="C527" s="51" t="n"/>
      <c r="D527" s="51" t="n"/>
      <c r="E527" s="52" t="n"/>
      <c r="F527" s="53" t="n"/>
      <c r="G527" s="51" t="n"/>
      <c r="H527" s="53" t="n"/>
      <c r="I527" s="51" t="n"/>
      <c r="J527" s="54">
        <f>IF(OR(B527="",F527="",NOT(AND(G527&lt;&gt;"✅ Выполнена",G527&lt;&gt;"❌ Отменена"))),"",IF(F527&lt;TODAY(),"❗ просрочено "&amp;(TODAY()-F527)&amp;" дн.",IF(F527=TODAY(),"🔥 сегодня",IF(F527-TODAY()&lt;=3,"⏳ через "&amp;(F527-TODAY())&amp;" дн.",""))))</f>
        <v/>
      </c>
      <c r="K527" s="54">
        <f>IF(B527="","",IF(G527="✅ Выполнена","✔ ",IF(G527="❌ Отменена","✖ ",IF(AND(F527&lt;&gt;"",F527&lt;TODAY()),"❗ ","☐ ")))&amp;B527&amp;IF(E527="🔥 Высокий"," 🔥",""))</f>
        <v/>
      </c>
      <c r="L527" s="54">
        <f>IF(OR(B527="",F527="",G527="❌ Отменена"),"",F527&amp;"#"&amp;COUNTIFS($F$5:F527,F527,$B$5:B527,"?*",$G$5:G527,"&lt;&gt;❌ Отменена"))</f>
        <v/>
      </c>
      <c r="M527" s="54">
        <f>IF(AND(B527&lt;&gt;"",F527&lt;&gt;"",F527&lt;TODAY(),AND(G527&lt;&gt;"✅ Выполнена",G527&lt;&gt;"❌ Отменена")),MAX($M$4:M526)+1,"")</f>
        <v/>
      </c>
    </row>
    <row r="528">
      <c r="A528" s="49">
        <f>IF(B528="","",COUNTA($B$5:B528))</f>
        <v/>
      </c>
      <c r="B528" s="50" t="n"/>
      <c r="C528" s="51" t="n"/>
      <c r="D528" s="51" t="n"/>
      <c r="E528" s="52" t="n"/>
      <c r="F528" s="53" t="n"/>
      <c r="G528" s="51" t="n"/>
      <c r="H528" s="53" t="n"/>
      <c r="I528" s="51" t="n"/>
      <c r="J528" s="54">
        <f>IF(OR(B528="",F528="",NOT(AND(G528&lt;&gt;"✅ Выполнена",G528&lt;&gt;"❌ Отменена"))),"",IF(F528&lt;TODAY(),"❗ просрочено "&amp;(TODAY()-F528)&amp;" дн.",IF(F528=TODAY(),"🔥 сегодня",IF(F528-TODAY()&lt;=3,"⏳ через "&amp;(F528-TODAY())&amp;" дн.",""))))</f>
        <v/>
      </c>
      <c r="K528" s="54">
        <f>IF(B528="","",IF(G528="✅ Выполнена","✔ ",IF(G528="❌ Отменена","✖ ",IF(AND(F528&lt;&gt;"",F528&lt;TODAY()),"❗ ","☐ ")))&amp;B528&amp;IF(E528="🔥 Высокий"," 🔥",""))</f>
        <v/>
      </c>
      <c r="L528" s="54">
        <f>IF(OR(B528="",F528="",G528="❌ Отменена"),"",F528&amp;"#"&amp;COUNTIFS($F$5:F528,F528,$B$5:B528,"?*",$G$5:G528,"&lt;&gt;❌ Отменена"))</f>
        <v/>
      </c>
      <c r="M528" s="54">
        <f>IF(AND(B528&lt;&gt;"",F528&lt;&gt;"",F528&lt;TODAY(),AND(G528&lt;&gt;"✅ Выполнена",G528&lt;&gt;"❌ Отменена")),MAX($M$4:M527)+1,"")</f>
        <v/>
      </c>
    </row>
    <row r="529">
      <c r="A529" s="49">
        <f>IF(B529="","",COUNTA($B$5:B529))</f>
        <v/>
      </c>
      <c r="B529" s="50" t="n"/>
      <c r="C529" s="51" t="n"/>
      <c r="D529" s="51" t="n"/>
      <c r="E529" s="52" t="n"/>
      <c r="F529" s="53" t="n"/>
      <c r="G529" s="51" t="n"/>
      <c r="H529" s="53" t="n"/>
      <c r="I529" s="51" t="n"/>
      <c r="J529" s="54">
        <f>IF(OR(B529="",F529="",NOT(AND(G529&lt;&gt;"✅ Выполнена",G529&lt;&gt;"❌ Отменена"))),"",IF(F529&lt;TODAY(),"❗ просрочено "&amp;(TODAY()-F529)&amp;" дн.",IF(F529=TODAY(),"🔥 сегодня",IF(F529-TODAY()&lt;=3,"⏳ через "&amp;(F529-TODAY())&amp;" дн.",""))))</f>
        <v/>
      </c>
      <c r="K529" s="54">
        <f>IF(B529="","",IF(G529="✅ Выполнена","✔ ",IF(G529="❌ Отменена","✖ ",IF(AND(F529&lt;&gt;"",F529&lt;TODAY()),"❗ ","☐ ")))&amp;B529&amp;IF(E529="🔥 Высокий"," 🔥",""))</f>
        <v/>
      </c>
      <c r="L529" s="54">
        <f>IF(OR(B529="",F529="",G529="❌ Отменена"),"",F529&amp;"#"&amp;COUNTIFS($F$5:F529,F529,$B$5:B529,"?*",$G$5:G529,"&lt;&gt;❌ Отменена"))</f>
        <v/>
      </c>
      <c r="M529" s="54">
        <f>IF(AND(B529&lt;&gt;"",F529&lt;&gt;"",F529&lt;TODAY(),AND(G529&lt;&gt;"✅ Выполнена",G529&lt;&gt;"❌ Отменена")),MAX($M$4:M528)+1,"")</f>
        <v/>
      </c>
    </row>
    <row r="530">
      <c r="A530" s="49">
        <f>IF(B530="","",COUNTA($B$5:B530))</f>
        <v/>
      </c>
      <c r="B530" s="50" t="n"/>
      <c r="C530" s="51" t="n"/>
      <c r="D530" s="51" t="n"/>
      <c r="E530" s="52" t="n"/>
      <c r="F530" s="53" t="n"/>
      <c r="G530" s="51" t="n"/>
      <c r="H530" s="53" t="n"/>
      <c r="I530" s="51" t="n"/>
      <c r="J530" s="54">
        <f>IF(OR(B530="",F530="",NOT(AND(G530&lt;&gt;"✅ Выполнена",G530&lt;&gt;"❌ Отменена"))),"",IF(F530&lt;TODAY(),"❗ просрочено "&amp;(TODAY()-F530)&amp;" дн.",IF(F530=TODAY(),"🔥 сегодня",IF(F530-TODAY()&lt;=3,"⏳ через "&amp;(F530-TODAY())&amp;" дн.",""))))</f>
        <v/>
      </c>
      <c r="K530" s="54">
        <f>IF(B530="","",IF(G530="✅ Выполнена","✔ ",IF(G530="❌ Отменена","✖ ",IF(AND(F530&lt;&gt;"",F530&lt;TODAY()),"❗ ","☐ ")))&amp;B530&amp;IF(E530="🔥 Высокий"," 🔥",""))</f>
        <v/>
      </c>
      <c r="L530" s="54">
        <f>IF(OR(B530="",F530="",G530="❌ Отменена"),"",F530&amp;"#"&amp;COUNTIFS($F$5:F530,F530,$B$5:B530,"?*",$G$5:G530,"&lt;&gt;❌ Отменена"))</f>
        <v/>
      </c>
      <c r="M530" s="54">
        <f>IF(AND(B530&lt;&gt;"",F530&lt;&gt;"",F530&lt;TODAY(),AND(G530&lt;&gt;"✅ Выполнена",G530&lt;&gt;"❌ Отменена")),MAX($M$4:M529)+1,"")</f>
        <v/>
      </c>
    </row>
    <row r="531">
      <c r="A531" s="49">
        <f>IF(B531="","",COUNTA($B$5:B531))</f>
        <v/>
      </c>
      <c r="B531" s="50" t="n"/>
      <c r="C531" s="51" t="n"/>
      <c r="D531" s="51" t="n"/>
      <c r="E531" s="52" t="n"/>
      <c r="F531" s="53" t="n"/>
      <c r="G531" s="51" t="n"/>
      <c r="H531" s="53" t="n"/>
      <c r="I531" s="51" t="n"/>
      <c r="J531" s="54">
        <f>IF(OR(B531="",F531="",NOT(AND(G531&lt;&gt;"✅ Выполнена",G531&lt;&gt;"❌ Отменена"))),"",IF(F531&lt;TODAY(),"❗ просрочено "&amp;(TODAY()-F531)&amp;" дн.",IF(F531=TODAY(),"🔥 сегодня",IF(F531-TODAY()&lt;=3,"⏳ через "&amp;(F531-TODAY())&amp;" дн.",""))))</f>
        <v/>
      </c>
      <c r="K531" s="54">
        <f>IF(B531="","",IF(G531="✅ Выполнена","✔ ",IF(G531="❌ Отменена","✖ ",IF(AND(F531&lt;&gt;"",F531&lt;TODAY()),"❗ ","☐ ")))&amp;B531&amp;IF(E531="🔥 Высокий"," 🔥",""))</f>
        <v/>
      </c>
      <c r="L531" s="54">
        <f>IF(OR(B531="",F531="",G531="❌ Отменена"),"",F531&amp;"#"&amp;COUNTIFS($F$5:F531,F531,$B$5:B531,"?*",$G$5:G531,"&lt;&gt;❌ Отменена"))</f>
        <v/>
      </c>
      <c r="M531" s="54">
        <f>IF(AND(B531&lt;&gt;"",F531&lt;&gt;"",F531&lt;TODAY(),AND(G531&lt;&gt;"✅ Выполнена",G531&lt;&gt;"❌ Отменена")),MAX($M$4:M530)+1,"")</f>
        <v/>
      </c>
    </row>
    <row r="532">
      <c r="A532" s="49">
        <f>IF(B532="","",COUNTA($B$5:B532))</f>
        <v/>
      </c>
      <c r="B532" s="50" t="n"/>
      <c r="C532" s="51" t="n"/>
      <c r="D532" s="51" t="n"/>
      <c r="E532" s="52" t="n"/>
      <c r="F532" s="53" t="n"/>
      <c r="G532" s="51" t="n"/>
      <c r="H532" s="53" t="n"/>
      <c r="I532" s="51" t="n"/>
      <c r="J532" s="54">
        <f>IF(OR(B532="",F532="",NOT(AND(G532&lt;&gt;"✅ Выполнена",G532&lt;&gt;"❌ Отменена"))),"",IF(F532&lt;TODAY(),"❗ просрочено "&amp;(TODAY()-F532)&amp;" дн.",IF(F532=TODAY(),"🔥 сегодня",IF(F532-TODAY()&lt;=3,"⏳ через "&amp;(F532-TODAY())&amp;" дн.",""))))</f>
        <v/>
      </c>
      <c r="K532" s="54">
        <f>IF(B532="","",IF(G532="✅ Выполнена","✔ ",IF(G532="❌ Отменена","✖ ",IF(AND(F532&lt;&gt;"",F532&lt;TODAY()),"❗ ","☐ ")))&amp;B532&amp;IF(E532="🔥 Высокий"," 🔥",""))</f>
        <v/>
      </c>
      <c r="L532" s="54">
        <f>IF(OR(B532="",F532="",G532="❌ Отменена"),"",F532&amp;"#"&amp;COUNTIFS($F$5:F532,F532,$B$5:B532,"?*",$G$5:G532,"&lt;&gt;❌ Отменена"))</f>
        <v/>
      </c>
      <c r="M532" s="54">
        <f>IF(AND(B532&lt;&gt;"",F532&lt;&gt;"",F532&lt;TODAY(),AND(G532&lt;&gt;"✅ Выполнена",G532&lt;&gt;"❌ Отменена")),MAX($M$4:M531)+1,"")</f>
        <v/>
      </c>
    </row>
    <row r="533">
      <c r="A533" s="49">
        <f>IF(B533="","",COUNTA($B$5:B533))</f>
        <v/>
      </c>
      <c r="B533" s="50" t="n"/>
      <c r="C533" s="51" t="n"/>
      <c r="D533" s="51" t="n"/>
      <c r="E533" s="52" t="n"/>
      <c r="F533" s="53" t="n"/>
      <c r="G533" s="51" t="n"/>
      <c r="H533" s="53" t="n"/>
      <c r="I533" s="51" t="n"/>
      <c r="J533" s="54">
        <f>IF(OR(B533="",F533="",NOT(AND(G533&lt;&gt;"✅ Выполнена",G533&lt;&gt;"❌ Отменена"))),"",IF(F533&lt;TODAY(),"❗ просрочено "&amp;(TODAY()-F533)&amp;" дн.",IF(F533=TODAY(),"🔥 сегодня",IF(F533-TODAY()&lt;=3,"⏳ через "&amp;(F533-TODAY())&amp;" дн.",""))))</f>
        <v/>
      </c>
      <c r="K533" s="54">
        <f>IF(B533="","",IF(G533="✅ Выполнена","✔ ",IF(G533="❌ Отменена","✖ ",IF(AND(F533&lt;&gt;"",F533&lt;TODAY()),"❗ ","☐ ")))&amp;B533&amp;IF(E533="🔥 Высокий"," 🔥",""))</f>
        <v/>
      </c>
      <c r="L533" s="54">
        <f>IF(OR(B533="",F533="",G533="❌ Отменена"),"",F533&amp;"#"&amp;COUNTIFS($F$5:F533,F533,$B$5:B533,"?*",$G$5:G533,"&lt;&gt;❌ Отменена"))</f>
        <v/>
      </c>
      <c r="M533" s="54">
        <f>IF(AND(B533&lt;&gt;"",F533&lt;&gt;"",F533&lt;TODAY(),AND(G533&lt;&gt;"✅ Выполнена",G533&lt;&gt;"❌ Отменена")),MAX($M$4:M532)+1,"")</f>
        <v/>
      </c>
    </row>
    <row r="534">
      <c r="A534" s="49">
        <f>IF(B534="","",COUNTA($B$5:B534))</f>
        <v/>
      </c>
      <c r="B534" s="50" t="n"/>
      <c r="C534" s="51" t="n"/>
      <c r="D534" s="51" t="n"/>
      <c r="E534" s="52" t="n"/>
      <c r="F534" s="53" t="n"/>
      <c r="G534" s="51" t="n"/>
      <c r="H534" s="53" t="n"/>
      <c r="I534" s="51" t="n"/>
      <c r="J534" s="54">
        <f>IF(OR(B534="",F534="",NOT(AND(G534&lt;&gt;"✅ Выполнена",G534&lt;&gt;"❌ Отменена"))),"",IF(F534&lt;TODAY(),"❗ просрочено "&amp;(TODAY()-F534)&amp;" дн.",IF(F534=TODAY(),"🔥 сегодня",IF(F534-TODAY()&lt;=3,"⏳ через "&amp;(F534-TODAY())&amp;" дн.",""))))</f>
        <v/>
      </c>
      <c r="K534" s="54">
        <f>IF(B534="","",IF(G534="✅ Выполнена","✔ ",IF(G534="❌ Отменена","✖ ",IF(AND(F534&lt;&gt;"",F534&lt;TODAY()),"❗ ","☐ ")))&amp;B534&amp;IF(E534="🔥 Высокий"," 🔥",""))</f>
        <v/>
      </c>
      <c r="L534" s="54">
        <f>IF(OR(B534="",F534="",G534="❌ Отменена"),"",F534&amp;"#"&amp;COUNTIFS($F$5:F534,F534,$B$5:B534,"?*",$G$5:G534,"&lt;&gt;❌ Отменена"))</f>
        <v/>
      </c>
      <c r="M534" s="54">
        <f>IF(AND(B534&lt;&gt;"",F534&lt;&gt;"",F534&lt;TODAY(),AND(G534&lt;&gt;"✅ Выполнена",G534&lt;&gt;"❌ Отменена")),MAX($M$4:M533)+1,"")</f>
        <v/>
      </c>
    </row>
    <row r="535">
      <c r="A535" s="49">
        <f>IF(B535="","",COUNTA($B$5:B535))</f>
        <v/>
      </c>
      <c r="B535" s="50" t="n"/>
      <c r="C535" s="51" t="n"/>
      <c r="D535" s="51" t="n"/>
      <c r="E535" s="52" t="n"/>
      <c r="F535" s="53" t="n"/>
      <c r="G535" s="51" t="n"/>
      <c r="H535" s="53" t="n"/>
      <c r="I535" s="51" t="n"/>
      <c r="J535" s="54">
        <f>IF(OR(B535="",F535="",NOT(AND(G535&lt;&gt;"✅ Выполнена",G535&lt;&gt;"❌ Отменена"))),"",IF(F535&lt;TODAY(),"❗ просрочено "&amp;(TODAY()-F535)&amp;" дн.",IF(F535=TODAY(),"🔥 сегодня",IF(F535-TODAY()&lt;=3,"⏳ через "&amp;(F535-TODAY())&amp;" дн.",""))))</f>
        <v/>
      </c>
      <c r="K535" s="54">
        <f>IF(B535="","",IF(G535="✅ Выполнена","✔ ",IF(G535="❌ Отменена","✖ ",IF(AND(F535&lt;&gt;"",F535&lt;TODAY()),"❗ ","☐ ")))&amp;B535&amp;IF(E535="🔥 Высокий"," 🔥",""))</f>
        <v/>
      </c>
      <c r="L535" s="54">
        <f>IF(OR(B535="",F535="",G535="❌ Отменена"),"",F535&amp;"#"&amp;COUNTIFS($F$5:F535,F535,$B$5:B535,"?*",$G$5:G535,"&lt;&gt;❌ Отменена"))</f>
        <v/>
      </c>
      <c r="M535" s="54">
        <f>IF(AND(B535&lt;&gt;"",F535&lt;&gt;"",F535&lt;TODAY(),AND(G535&lt;&gt;"✅ Выполнена",G535&lt;&gt;"❌ Отменена")),MAX($M$4:M534)+1,"")</f>
        <v/>
      </c>
    </row>
    <row r="536">
      <c r="A536" s="49">
        <f>IF(B536="","",COUNTA($B$5:B536))</f>
        <v/>
      </c>
      <c r="B536" s="50" t="n"/>
      <c r="C536" s="51" t="n"/>
      <c r="D536" s="51" t="n"/>
      <c r="E536" s="52" t="n"/>
      <c r="F536" s="53" t="n"/>
      <c r="G536" s="51" t="n"/>
      <c r="H536" s="53" t="n"/>
      <c r="I536" s="51" t="n"/>
      <c r="J536" s="54">
        <f>IF(OR(B536="",F536="",NOT(AND(G536&lt;&gt;"✅ Выполнена",G536&lt;&gt;"❌ Отменена"))),"",IF(F536&lt;TODAY(),"❗ просрочено "&amp;(TODAY()-F536)&amp;" дн.",IF(F536=TODAY(),"🔥 сегодня",IF(F536-TODAY()&lt;=3,"⏳ через "&amp;(F536-TODAY())&amp;" дн.",""))))</f>
        <v/>
      </c>
      <c r="K536" s="54">
        <f>IF(B536="","",IF(G536="✅ Выполнена","✔ ",IF(G536="❌ Отменена","✖ ",IF(AND(F536&lt;&gt;"",F536&lt;TODAY()),"❗ ","☐ ")))&amp;B536&amp;IF(E536="🔥 Высокий"," 🔥",""))</f>
        <v/>
      </c>
      <c r="L536" s="54">
        <f>IF(OR(B536="",F536="",G536="❌ Отменена"),"",F536&amp;"#"&amp;COUNTIFS($F$5:F536,F536,$B$5:B536,"?*",$G$5:G536,"&lt;&gt;❌ Отменена"))</f>
        <v/>
      </c>
      <c r="M536" s="54">
        <f>IF(AND(B536&lt;&gt;"",F536&lt;&gt;"",F536&lt;TODAY(),AND(G536&lt;&gt;"✅ Выполнена",G536&lt;&gt;"❌ Отменена")),MAX($M$4:M535)+1,"")</f>
        <v/>
      </c>
    </row>
    <row r="537">
      <c r="A537" s="49">
        <f>IF(B537="","",COUNTA($B$5:B537))</f>
        <v/>
      </c>
      <c r="B537" s="50" t="n"/>
      <c r="C537" s="51" t="n"/>
      <c r="D537" s="51" t="n"/>
      <c r="E537" s="52" t="n"/>
      <c r="F537" s="53" t="n"/>
      <c r="G537" s="51" t="n"/>
      <c r="H537" s="53" t="n"/>
      <c r="I537" s="51" t="n"/>
      <c r="J537" s="54">
        <f>IF(OR(B537="",F537="",NOT(AND(G537&lt;&gt;"✅ Выполнена",G537&lt;&gt;"❌ Отменена"))),"",IF(F537&lt;TODAY(),"❗ просрочено "&amp;(TODAY()-F537)&amp;" дн.",IF(F537=TODAY(),"🔥 сегодня",IF(F537-TODAY()&lt;=3,"⏳ через "&amp;(F537-TODAY())&amp;" дн.",""))))</f>
        <v/>
      </c>
      <c r="K537" s="54">
        <f>IF(B537="","",IF(G537="✅ Выполнена","✔ ",IF(G537="❌ Отменена","✖ ",IF(AND(F537&lt;&gt;"",F537&lt;TODAY()),"❗ ","☐ ")))&amp;B537&amp;IF(E537="🔥 Высокий"," 🔥",""))</f>
        <v/>
      </c>
      <c r="L537" s="54">
        <f>IF(OR(B537="",F537="",G537="❌ Отменена"),"",F537&amp;"#"&amp;COUNTIFS($F$5:F537,F537,$B$5:B537,"?*",$G$5:G537,"&lt;&gt;❌ Отменена"))</f>
        <v/>
      </c>
      <c r="M537" s="54">
        <f>IF(AND(B537&lt;&gt;"",F537&lt;&gt;"",F537&lt;TODAY(),AND(G537&lt;&gt;"✅ Выполнена",G537&lt;&gt;"❌ Отменена")),MAX($M$4:M536)+1,"")</f>
        <v/>
      </c>
    </row>
    <row r="538">
      <c r="A538" s="49">
        <f>IF(B538="","",COUNTA($B$5:B538))</f>
        <v/>
      </c>
      <c r="B538" s="50" t="n"/>
      <c r="C538" s="51" t="n"/>
      <c r="D538" s="51" t="n"/>
      <c r="E538" s="52" t="n"/>
      <c r="F538" s="53" t="n"/>
      <c r="G538" s="51" t="n"/>
      <c r="H538" s="53" t="n"/>
      <c r="I538" s="51" t="n"/>
      <c r="J538" s="54">
        <f>IF(OR(B538="",F538="",NOT(AND(G538&lt;&gt;"✅ Выполнена",G538&lt;&gt;"❌ Отменена"))),"",IF(F538&lt;TODAY(),"❗ просрочено "&amp;(TODAY()-F538)&amp;" дн.",IF(F538=TODAY(),"🔥 сегодня",IF(F538-TODAY()&lt;=3,"⏳ через "&amp;(F538-TODAY())&amp;" дн.",""))))</f>
        <v/>
      </c>
      <c r="K538" s="54">
        <f>IF(B538="","",IF(G538="✅ Выполнена","✔ ",IF(G538="❌ Отменена","✖ ",IF(AND(F538&lt;&gt;"",F538&lt;TODAY()),"❗ ","☐ ")))&amp;B538&amp;IF(E538="🔥 Высокий"," 🔥",""))</f>
        <v/>
      </c>
      <c r="L538" s="54">
        <f>IF(OR(B538="",F538="",G538="❌ Отменена"),"",F538&amp;"#"&amp;COUNTIFS($F$5:F538,F538,$B$5:B538,"?*",$G$5:G538,"&lt;&gt;❌ Отменена"))</f>
        <v/>
      </c>
      <c r="M538" s="54">
        <f>IF(AND(B538&lt;&gt;"",F538&lt;&gt;"",F538&lt;TODAY(),AND(G538&lt;&gt;"✅ Выполнена",G538&lt;&gt;"❌ Отменена")),MAX($M$4:M537)+1,"")</f>
        <v/>
      </c>
    </row>
    <row r="539">
      <c r="A539" s="49">
        <f>IF(B539="","",COUNTA($B$5:B539))</f>
        <v/>
      </c>
      <c r="B539" s="50" t="n"/>
      <c r="C539" s="51" t="n"/>
      <c r="D539" s="51" t="n"/>
      <c r="E539" s="52" t="n"/>
      <c r="F539" s="53" t="n"/>
      <c r="G539" s="51" t="n"/>
      <c r="H539" s="53" t="n"/>
      <c r="I539" s="51" t="n"/>
      <c r="J539" s="54">
        <f>IF(OR(B539="",F539="",NOT(AND(G539&lt;&gt;"✅ Выполнена",G539&lt;&gt;"❌ Отменена"))),"",IF(F539&lt;TODAY(),"❗ просрочено "&amp;(TODAY()-F539)&amp;" дн.",IF(F539=TODAY(),"🔥 сегодня",IF(F539-TODAY()&lt;=3,"⏳ через "&amp;(F539-TODAY())&amp;" дн.",""))))</f>
        <v/>
      </c>
      <c r="K539" s="54">
        <f>IF(B539="","",IF(G539="✅ Выполнена","✔ ",IF(G539="❌ Отменена","✖ ",IF(AND(F539&lt;&gt;"",F539&lt;TODAY()),"❗ ","☐ ")))&amp;B539&amp;IF(E539="🔥 Высокий"," 🔥",""))</f>
        <v/>
      </c>
      <c r="L539" s="54">
        <f>IF(OR(B539="",F539="",G539="❌ Отменена"),"",F539&amp;"#"&amp;COUNTIFS($F$5:F539,F539,$B$5:B539,"?*",$G$5:G539,"&lt;&gt;❌ Отменена"))</f>
        <v/>
      </c>
      <c r="M539" s="54">
        <f>IF(AND(B539&lt;&gt;"",F539&lt;&gt;"",F539&lt;TODAY(),AND(G539&lt;&gt;"✅ Выполнена",G539&lt;&gt;"❌ Отменена")),MAX($M$4:M538)+1,"")</f>
        <v/>
      </c>
    </row>
    <row r="540">
      <c r="A540" s="49">
        <f>IF(B540="","",COUNTA($B$5:B540))</f>
        <v/>
      </c>
      <c r="B540" s="50" t="n"/>
      <c r="C540" s="51" t="n"/>
      <c r="D540" s="51" t="n"/>
      <c r="E540" s="52" t="n"/>
      <c r="F540" s="53" t="n"/>
      <c r="G540" s="51" t="n"/>
      <c r="H540" s="53" t="n"/>
      <c r="I540" s="51" t="n"/>
      <c r="J540" s="54">
        <f>IF(OR(B540="",F540="",NOT(AND(G540&lt;&gt;"✅ Выполнена",G540&lt;&gt;"❌ Отменена"))),"",IF(F540&lt;TODAY(),"❗ просрочено "&amp;(TODAY()-F540)&amp;" дн.",IF(F540=TODAY(),"🔥 сегодня",IF(F540-TODAY()&lt;=3,"⏳ через "&amp;(F540-TODAY())&amp;" дн.",""))))</f>
        <v/>
      </c>
      <c r="K540" s="54">
        <f>IF(B540="","",IF(G540="✅ Выполнена","✔ ",IF(G540="❌ Отменена","✖ ",IF(AND(F540&lt;&gt;"",F540&lt;TODAY()),"❗ ","☐ ")))&amp;B540&amp;IF(E540="🔥 Высокий"," 🔥",""))</f>
        <v/>
      </c>
      <c r="L540" s="54">
        <f>IF(OR(B540="",F540="",G540="❌ Отменена"),"",F540&amp;"#"&amp;COUNTIFS($F$5:F540,F540,$B$5:B540,"?*",$G$5:G540,"&lt;&gt;❌ Отменена"))</f>
        <v/>
      </c>
      <c r="M540" s="54">
        <f>IF(AND(B540&lt;&gt;"",F540&lt;&gt;"",F540&lt;TODAY(),AND(G540&lt;&gt;"✅ Выполнена",G540&lt;&gt;"❌ Отменена")),MAX($M$4:M539)+1,"")</f>
        <v/>
      </c>
    </row>
    <row r="541">
      <c r="A541" s="49">
        <f>IF(B541="","",COUNTA($B$5:B541))</f>
        <v/>
      </c>
      <c r="B541" s="50" t="n"/>
      <c r="C541" s="51" t="n"/>
      <c r="D541" s="51" t="n"/>
      <c r="E541" s="52" t="n"/>
      <c r="F541" s="53" t="n"/>
      <c r="G541" s="51" t="n"/>
      <c r="H541" s="53" t="n"/>
      <c r="I541" s="51" t="n"/>
      <c r="J541" s="54">
        <f>IF(OR(B541="",F541="",NOT(AND(G541&lt;&gt;"✅ Выполнена",G541&lt;&gt;"❌ Отменена"))),"",IF(F541&lt;TODAY(),"❗ просрочено "&amp;(TODAY()-F541)&amp;" дн.",IF(F541=TODAY(),"🔥 сегодня",IF(F541-TODAY()&lt;=3,"⏳ через "&amp;(F541-TODAY())&amp;" дн.",""))))</f>
        <v/>
      </c>
      <c r="K541" s="54">
        <f>IF(B541="","",IF(G541="✅ Выполнена","✔ ",IF(G541="❌ Отменена","✖ ",IF(AND(F541&lt;&gt;"",F541&lt;TODAY()),"❗ ","☐ ")))&amp;B541&amp;IF(E541="🔥 Высокий"," 🔥",""))</f>
        <v/>
      </c>
      <c r="L541" s="54">
        <f>IF(OR(B541="",F541="",G541="❌ Отменена"),"",F541&amp;"#"&amp;COUNTIFS($F$5:F541,F541,$B$5:B541,"?*",$G$5:G541,"&lt;&gt;❌ Отменена"))</f>
        <v/>
      </c>
      <c r="M541" s="54">
        <f>IF(AND(B541&lt;&gt;"",F541&lt;&gt;"",F541&lt;TODAY(),AND(G541&lt;&gt;"✅ Выполнена",G541&lt;&gt;"❌ Отменена")),MAX($M$4:M540)+1,"")</f>
        <v/>
      </c>
    </row>
    <row r="542">
      <c r="A542" s="49">
        <f>IF(B542="","",COUNTA($B$5:B542))</f>
        <v/>
      </c>
      <c r="B542" s="50" t="n"/>
      <c r="C542" s="51" t="n"/>
      <c r="D542" s="51" t="n"/>
      <c r="E542" s="52" t="n"/>
      <c r="F542" s="53" t="n"/>
      <c r="G542" s="51" t="n"/>
      <c r="H542" s="53" t="n"/>
      <c r="I542" s="51" t="n"/>
      <c r="J542" s="54">
        <f>IF(OR(B542="",F542="",NOT(AND(G542&lt;&gt;"✅ Выполнена",G542&lt;&gt;"❌ Отменена"))),"",IF(F542&lt;TODAY(),"❗ просрочено "&amp;(TODAY()-F542)&amp;" дн.",IF(F542=TODAY(),"🔥 сегодня",IF(F542-TODAY()&lt;=3,"⏳ через "&amp;(F542-TODAY())&amp;" дн.",""))))</f>
        <v/>
      </c>
      <c r="K542" s="54">
        <f>IF(B542="","",IF(G542="✅ Выполнена","✔ ",IF(G542="❌ Отменена","✖ ",IF(AND(F542&lt;&gt;"",F542&lt;TODAY()),"❗ ","☐ ")))&amp;B542&amp;IF(E542="🔥 Высокий"," 🔥",""))</f>
        <v/>
      </c>
      <c r="L542" s="54">
        <f>IF(OR(B542="",F542="",G542="❌ Отменена"),"",F542&amp;"#"&amp;COUNTIFS($F$5:F542,F542,$B$5:B542,"?*",$G$5:G542,"&lt;&gt;❌ Отменена"))</f>
        <v/>
      </c>
      <c r="M542" s="54">
        <f>IF(AND(B542&lt;&gt;"",F542&lt;&gt;"",F542&lt;TODAY(),AND(G542&lt;&gt;"✅ Выполнена",G542&lt;&gt;"❌ Отменена")),MAX($M$4:M541)+1,"")</f>
        <v/>
      </c>
    </row>
    <row r="543">
      <c r="A543" s="49">
        <f>IF(B543="","",COUNTA($B$5:B543))</f>
        <v/>
      </c>
      <c r="B543" s="50" t="n"/>
      <c r="C543" s="51" t="n"/>
      <c r="D543" s="51" t="n"/>
      <c r="E543" s="52" t="n"/>
      <c r="F543" s="53" t="n"/>
      <c r="G543" s="51" t="n"/>
      <c r="H543" s="53" t="n"/>
      <c r="I543" s="51" t="n"/>
      <c r="J543" s="54">
        <f>IF(OR(B543="",F543="",NOT(AND(G543&lt;&gt;"✅ Выполнена",G543&lt;&gt;"❌ Отменена"))),"",IF(F543&lt;TODAY(),"❗ просрочено "&amp;(TODAY()-F543)&amp;" дн.",IF(F543=TODAY(),"🔥 сегодня",IF(F543-TODAY()&lt;=3,"⏳ через "&amp;(F543-TODAY())&amp;" дн.",""))))</f>
        <v/>
      </c>
      <c r="K543" s="54">
        <f>IF(B543="","",IF(G543="✅ Выполнена","✔ ",IF(G543="❌ Отменена","✖ ",IF(AND(F543&lt;&gt;"",F543&lt;TODAY()),"❗ ","☐ ")))&amp;B543&amp;IF(E543="🔥 Высокий"," 🔥",""))</f>
        <v/>
      </c>
      <c r="L543" s="54">
        <f>IF(OR(B543="",F543="",G543="❌ Отменена"),"",F543&amp;"#"&amp;COUNTIFS($F$5:F543,F543,$B$5:B543,"?*",$G$5:G543,"&lt;&gt;❌ Отменена"))</f>
        <v/>
      </c>
      <c r="M543" s="54">
        <f>IF(AND(B543&lt;&gt;"",F543&lt;&gt;"",F543&lt;TODAY(),AND(G543&lt;&gt;"✅ Выполнена",G543&lt;&gt;"❌ Отменена")),MAX($M$4:M542)+1,"")</f>
        <v/>
      </c>
    </row>
    <row r="544">
      <c r="A544" s="49">
        <f>IF(B544="","",COUNTA($B$5:B544))</f>
        <v/>
      </c>
      <c r="B544" s="50" t="n"/>
      <c r="C544" s="51" t="n"/>
      <c r="D544" s="51" t="n"/>
      <c r="E544" s="52" t="n"/>
      <c r="F544" s="53" t="n"/>
      <c r="G544" s="51" t="n"/>
      <c r="H544" s="53" t="n"/>
      <c r="I544" s="51" t="n"/>
      <c r="J544" s="54">
        <f>IF(OR(B544="",F544="",NOT(AND(G544&lt;&gt;"✅ Выполнена",G544&lt;&gt;"❌ Отменена"))),"",IF(F544&lt;TODAY(),"❗ просрочено "&amp;(TODAY()-F544)&amp;" дн.",IF(F544=TODAY(),"🔥 сегодня",IF(F544-TODAY()&lt;=3,"⏳ через "&amp;(F544-TODAY())&amp;" дн.",""))))</f>
        <v/>
      </c>
      <c r="K544" s="54">
        <f>IF(B544="","",IF(G544="✅ Выполнена","✔ ",IF(G544="❌ Отменена","✖ ",IF(AND(F544&lt;&gt;"",F544&lt;TODAY()),"❗ ","☐ ")))&amp;B544&amp;IF(E544="🔥 Высокий"," 🔥",""))</f>
        <v/>
      </c>
      <c r="L544" s="54">
        <f>IF(OR(B544="",F544="",G544="❌ Отменена"),"",F544&amp;"#"&amp;COUNTIFS($F$5:F544,F544,$B$5:B544,"?*",$G$5:G544,"&lt;&gt;❌ Отменена"))</f>
        <v/>
      </c>
      <c r="M544" s="54">
        <f>IF(AND(B544&lt;&gt;"",F544&lt;&gt;"",F544&lt;TODAY(),AND(G544&lt;&gt;"✅ Выполнена",G544&lt;&gt;"❌ Отменена")),MAX($M$4:M543)+1,"")</f>
        <v/>
      </c>
    </row>
    <row r="545">
      <c r="A545" s="49">
        <f>IF(B545="","",COUNTA($B$5:B545))</f>
        <v/>
      </c>
      <c r="B545" s="50" t="n"/>
      <c r="C545" s="51" t="n"/>
      <c r="D545" s="51" t="n"/>
      <c r="E545" s="52" t="n"/>
      <c r="F545" s="53" t="n"/>
      <c r="G545" s="51" t="n"/>
      <c r="H545" s="53" t="n"/>
      <c r="I545" s="51" t="n"/>
      <c r="J545" s="54">
        <f>IF(OR(B545="",F545="",NOT(AND(G545&lt;&gt;"✅ Выполнена",G545&lt;&gt;"❌ Отменена"))),"",IF(F545&lt;TODAY(),"❗ просрочено "&amp;(TODAY()-F545)&amp;" дн.",IF(F545=TODAY(),"🔥 сегодня",IF(F545-TODAY()&lt;=3,"⏳ через "&amp;(F545-TODAY())&amp;" дн.",""))))</f>
        <v/>
      </c>
      <c r="K545" s="54">
        <f>IF(B545="","",IF(G545="✅ Выполнена","✔ ",IF(G545="❌ Отменена","✖ ",IF(AND(F545&lt;&gt;"",F545&lt;TODAY()),"❗ ","☐ ")))&amp;B545&amp;IF(E545="🔥 Высокий"," 🔥",""))</f>
        <v/>
      </c>
      <c r="L545" s="54">
        <f>IF(OR(B545="",F545="",G545="❌ Отменена"),"",F545&amp;"#"&amp;COUNTIFS($F$5:F545,F545,$B$5:B545,"?*",$G$5:G545,"&lt;&gt;❌ Отменена"))</f>
        <v/>
      </c>
      <c r="M545" s="54">
        <f>IF(AND(B545&lt;&gt;"",F545&lt;&gt;"",F545&lt;TODAY(),AND(G545&lt;&gt;"✅ Выполнена",G545&lt;&gt;"❌ Отменена")),MAX($M$4:M544)+1,"")</f>
        <v/>
      </c>
    </row>
    <row r="546">
      <c r="A546" s="49">
        <f>IF(B546="","",COUNTA($B$5:B546))</f>
        <v/>
      </c>
      <c r="B546" s="50" t="n"/>
      <c r="C546" s="51" t="n"/>
      <c r="D546" s="51" t="n"/>
      <c r="E546" s="52" t="n"/>
      <c r="F546" s="53" t="n"/>
      <c r="G546" s="51" t="n"/>
      <c r="H546" s="53" t="n"/>
      <c r="I546" s="51" t="n"/>
      <c r="J546" s="54">
        <f>IF(OR(B546="",F546="",NOT(AND(G546&lt;&gt;"✅ Выполнена",G546&lt;&gt;"❌ Отменена"))),"",IF(F546&lt;TODAY(),"❗ просрочено "&amp;(TODAY()-F546)&amp;" дн.",IF(F546=TODAY(),"🔥 сегодня",IF(F546-TODAY()&lt;=3,"⏳ через "&amp;(F546-TODAY())&amp;" дн.",""))))</f>
        <v/>
      </c>
      <c r="K546" s="54">
        <f>IF(B546="","",IF(G546="✅ Выполнена","✔ ",IF(G546="❌ Отменена","✖ ",IF(AND(F546&lt;&gt;"",F546&lt;TODAY()),"❗ ","☐ ")))&amp;B546&amp;IF(E546="🔥 Высокий"," 🔥",""))</f>
        <v/>
      </c>
      <c r="L546" s="54">
        <f>IF(OR(B546="",F546="",G546="❌ Отменена"),"",F546&amp;"#"&amp;COUNTIFS($F$5:F546,F546,$B$5:B546,"?*",$G$5:G546,"&lt;&gt;❌ Отменена"))</f>
        <v/>
      </c>
      <c r="M546" s="54">
        <f>IF(AND(B546&lt;&gt;"",F546&lt;&gt;"",F546&lt;TODAY(),AND(G546&lt;&gt;"✅ Выполнена",G546&lt;&gt;"❌ Отменена")),MAX($M$4:M545)+1,"")</f>
        <v/>
      </c>
    </row>
    <row r="547">
      <c r="A547" s="49">
        <f>IF(B547="","",COUNTA($B$5:B547))</f>
        <v/>
      </c>
      <c r="B547" s="50" t="n"/>
      <c r="C547" s="51" t="n"/>
      <c r="D547" s="51" t="n"/>
      <c r="E547" s="52" t="n"/>
      <c r="F547" s="53" t="n"/>
      <c r="G547" s="51" t="n"/>
      <c r="H547" s="53" t="n"/>
      <c r="I547" s="51" t="n"/>
      <c r="J547" s="54">
        <f>IF(OR(B547="",F547="",NOT(AND(G547&lt;&gt;"✅ Выполнена",G547&lt;&gt;"❌ Отменена"))),"",IF(F547&lt;TODAY(),"❗ просрочено "&amp;(TODAY()-F547)&amp;" дн.",IF(F547=TODAY(),"🔥 сегодня",IF(F547-TODAY()&lt;=3,"⏳ через "&amp;(F547-TODAY())&amp;" дн.",""))))</f>
        <v/>
      </c>
      <c r="K547" s="54">
        <f>IF(B547="","",IF(G547="✅ Выполнена","✔ ",IF(G547="❌ Отменена","✖ ",IF(AND(F547&lt;&gt;"",F547&lt;TODAY()),"❗ ","☐ ")))&amp;B547&amp;IF(E547="🔥 Высокий"," 🔥",""))</f>
        <v/>
      </c>
      <c r="L547" s="54">
        <f>IF(OR(B547="",F547="",G547="❌ Отменена"),"",F547&amp;"#"&amp;COUNTIFS($F$5:F547,F547,$B$5:B547,"?*",$G$5:G547,"&lt;&gt;❌ Отменена"))</f>
        <v/>
      </c>
      <c r="M547" s="54">
        <f>IF(AND(B547&lt;&gt;"",F547&lt;&gt;"",F547&lt;TODAY(),AND(G547&lt;&gt;"✅ Выполнена",G547&lt;&gt;"❌ Отменена")),MAX($M$4:M546)+1,"")</f>
        <v/>
      </c>
    </row>
    <row r="548">
      <c r="A548" s="49">
        <f>IF(B548="","",COUNTA($B$5:B548))</f>
        <v/>
      </c>
      <c r="B548" s="50" t="n"/>
      <c r="C548" s="51" t="n"/>
      <c r="D548" s="51" t="n"/>
      <c r="E548" s="52" t="n"/>
      <c r="F548" s="53" t="n"/>
      <c r="G548" s="51" t="n"/>
      <c r="H548" s="53" t="n"/>
      <c r="I548" s="51" t="n"/>
      <c r="J548" s="54">
        <f>IF(OR(B548="",F548="",NOT(AND(G548&lt;&gt;"✅ Выполнена",G548&lt;&gt;"❌ Отменена"))),"",IF(F548&lt;TODAY(),"❗ просрочено "&amp;(TODAY()-F548)&amp;" дн.",IF(F548=TODAY(),"🔥 сегодня",IF(F548-TODAY()&lt;=3,"⏳ через "&amp;(F548-TODAY())&amp;" дн.",""))))</f>
        <v/>
      </c>
      <c r="K548" s="54">
        <f>IF(B548="","",IF(G548="✅ Выполнена","✔ ",IF(G548="❌ Отменена","✖ ",IF(AND(F548&lt;&gt;"",F548&lt;TODAY()),"❗ ","☐ ")))&amp;B548&amp;IF(E548="🔥 Высокий"," 🔥",""))</f>
        <v/>
      </c>
      <c r="L548" s="54">
        <f>IF(OR(B548="",F548="",G548="❌ Отменена"),"",F548&amp;"#"&amp;COUNTIFS($F$5:F548,F548,$B$5:B548,"?*",$G$5:G548,"&lt;&gt;❌ Отменена"))</f>
        <v/>
      </c>
      <c r="M548" s="54">
        <f>IF(AND(B548&lt;&gt;"",F548&lt;&gt;"",F548&lt;TODAY(),AND(G548&lt;&gt;"✅ Выполнена",G548&lt;&gt;"❌ Отменена")),MAX($M$4:M547)+1,"")</f>
        <v/>
      </c>
    </row>
    <row r="549">
      <c r="A549" s="49">
        <f>IF(B549="","",COUNTA($B$5:B549))</f>
        <v/>
      </c>
      <c r="B549" s="50" t="n"/>
      <c r="C549" s="51" t="n"/>
      <c r="D549" s="51" t="n"/>
      <c r="E549" s="52" t="n"/>
      <c r="F549" s="53" t="n"/>
      <c r="G549" s="51" t="n"/>
      <c r="H549" s="53" t="n"/>
      <c r="I549" s="51" t="n"/>
      <c r="J549" s="54">
        <f>IF(OR(B549="",F549="",NOT(AND(G549&lt;&gt;"✅ Выполнена",G549&lt;&gt;"❌ Отменена"))),"",IF(F549&lt;TODAY(),"❗ просрочено "&amp;(TODAY()-F549)&amp;" дн.",IF(F549=TODAY(),"🔥 сегодня",IF(F549-TODAY()&lt;=3,"⏳ через "&amp;(F549-TODAY())&amp;" дн.",""))))</f>
        <v/>
      </c>
      <c r="K549" s="54">
        <f>IF(B549="","",IF(G549="✅ Выполнена","✔ ",IF(G549="❌ Отменена","✖ ",IF(AND(F549&lt;&gt;"",F549&lt;TODAY()),"❗ ","☐ ")))&amp;B549&amp;IF(E549="🔥 Высокий"," 🔥",""))</f>
        <v/>
      </c>
      <c r="L549" s="54">
        <f>IF(OR(B549="",F549="",G549="❌ Отменена"),"",F549&amp;"#"&amp;COUNTIFS($F$5:F549,F549,$B$5:B549,"?*",$G$5:G549,"&lt;&gt;❌ Отменена"))</f>
        <v/>
      </c>
      <c r="M549" s="54">
        <f>IF(AND(B549&lt;&gt;"",F549&lt;&gt;"",F549&lt;TODAY(),AND(G549&lt;&gt;"✅ Выполнена",G549&lt;&gt;"❌ Отменена")),MAX($M$4:M548)+1,"")</f>
        <v/>
      </c>
    </row>
    <row r="550">
      <c r="A550" s="49">
        <f>IF(B550="","",COUNTA($B$5:B550))</f>
        <v/>
      </c>
      <c r="B550" s="50" t="n"/>
      <c r="C550" s="51" t="n"/>
      <c r="D550" s="51" t="n"/>
      <c r="E550" s="52" t="n"/>
      <c r="F550" s="53" t="n"/>
      <c r="G550" s="51" t="n"/>
      <c r="H550" s="53" t="n"/>
      <c r="I550" s="51" t="n"/>
      <c r="J550" s="54">
        <f>IF(OR(B550="",F550="",NOT(AND(G550&lt;&gt;"✅ Выполнена",G550&lt;&gt;"❌ Отменена"))),"",IF(F550&lt;TODAY(),"❗ просрочено "&amp;(TODAY()-F550)&amp;" дн.",IF(F550=TODAY(),"🔥 сегодня",IF(F550-TODAY()&lt;=3,"⏳ через "&amp;(F550-TODAY())&amp;" дн.",""))))</f>
        <v/>
      </c>
      <c r="K550" s="54">
        <f>IF(B550="","",IF(G550="✅ Выполнена","✔ ",IF(G550="❌ Отменена","✖ ",IF(AND(F550&lt;&gt;"",F550&lt;TODAY()),"❗ ","☐ ")))&amp;B550&amp;IF(E550="🔥 Высокий"," 🔥",""))</f>
        <v/>
      </c>
      <c r="L550" s="54">
        <f>IF(OR(B550="",F550="",G550="❌ Отменена"),"",F550&amp;"#"&amp;COUNTIFS($F$5:F550,F550,$B$5:B550,"?*",$G$5:G550,"&lt;&gt;❌ Отменена"))</f>
        <v/>
      </c>
      <c r="M550" s="54">
        <f>IF(AND(B550&lt;&gt;"",F550&lt;&gt;"",F550&lt;TODAY(),AND(G550&lt;&gt;"✅ Выполнена",G550&lt;&gt;"❌ Отменена")),MAX($M$4:M549)+1,"")</f>
        <v/>
      </c>
    </row>
    <row r="551">
      <c r="A551" s="49">
        <f>IF(B551="","",COUNTA($B$5:B551))</f>
        <v/>
      </c>
      <c r="B551" s="50" t="n"/>
      <c r="C551" s="51" t="n"/>
      <c r="D551" s="51" t="n"/>
      <c r="E551" s="52" t="n"/>
      <c r="F551" s="53" t="n"/>
      <c r="G551" s="51" t="n"/>
      <c r="H551" s="53" t="n"/>
      <c r="I551" s="51" t="n"/>
      <c r="J551" s="54">
        <f>IF(OR(B551="",F551="",NOT(AND(G551&lt;&gt;"✅ Выполнена",G551&lt;&gt;"❌ Отменена"))),"",IF(F551&lt;TODAY(),"❗ просрочено "&amp;(TODAY()-F551)&amp;" дн.",IF(F551=TODAY(),"🔥 сегодня",IF(F551-TODAY()&lt;=3,"⏳ через "&amp;(F551-TODAY())&amp;" дн.",""))))</f>
        <v/>
      </c>
      <c r="K551" s="54">
        <f>IF(B551="","",IF(G551="✅ Выполнена","✔ ",IF(G551="❌ Отменена","✖ ",IF(AND(F551&lt;&gt;"",F551&lt;TODAY()),"❗ ","☐ ")))&amp;B551&amp;IF(E551="🔥 Высокий"," 🔥",""))</f>
        <v/>
      </c>
      <c r="L551" s="54">
        <f>IF(OR(B551="",F551="",G551="❌ Отменена"),"",F551&amp;"#"&amp;COUNTIFS($F$5:F551,F551,$B$5:B551,"?*",$G$5:G551,"&lt;&gt;❌ Отменена"))</f>
        <v/>
      </c>
      <c r="M551" s="54">
        <f>IF(AND(B551&lt;&gt;"",F551&lt;&gt;"",F551&lt;TODAY(),AND(G551&lt;&gt;"✅ Выполнена",G551&lt;&gt;"❌ Отменена")),MAX($M$4:M550)+1,"")</f>
        <v/>
      </c>
    </row>
    <row r="552">
      <c r="A552" s="49">
        <f>IF(B552="","",COUNTA($B$5:B552))</f>
        <v/>
      </c>
      <c r="B552" s="50" t="n"/>
      <c r="C552" s="51" t="n"/>
      <c r="D552" s="51" t="n"/>
      <c r="E552" s="52" t="n"/>
      <c r="F552" s="53" t="n"/>
      <c r="G552" s="51" t="n"/>
      <c r="H552" s="53" t="n"/>
      <c r="I552" s="51" t="n"/>
      <c r="J552" s="54">
        <f>IF(OR(B552="",F552="",NOT(AND(G552&lt;&gt;"✅ Выполнена",G552&lt;&gt;"❌ Отменена"))),"",IF(F552&lt;TODAY(),"❗ просрочено "&amp;(TODAY()-F552)&amp;" дн.",IF(F552=TODAY(),"🔥 сегодня",IF(F552-TODAY()&lt;=3,"⏳ через "&amp;(F552-TODAY())&amp;" дн.",""))))</f>
        <v/>
      </c>
      <c r="K552" s="54">
        <f>IF(B552="","",IF(G552="✅ Выполнена","✔ ",IF(G552="❌ Отменена","✖ ",IF(AND(F552&lt;&gt;"",F552&lt;TODAY()),"❗ ","☐ ")))&amp;B552&amp;IF(E552="🔥 Высокий"," 🔥",""))</f>
        <v/>
      </c>
      <c r="L552" s="54">
        <f>IF(OR(B552="",F552="",G552="❌ Отменена"),"",F552&amp;"#"&amp;COUNTIFS($F$5:F552,F552,$B$5:B552,"?*",$G$5:G552,"&lt;&gt;❌ Отменена"))</f>
        <v/>
      </c>
      <c r="M552" s="54">
        <f>IF(AND(B552&lt;&gt;"",F552&lt;&gt;"",F552&lt;TODAY(),AND(G552&lt;&gt;"✅ Выполнена",G552&lt;&gt;"❌ Отменена")),MAX($M$4:M551)+1,"")</f>
        <v/>
      </c>
    </row>
    <row r="553">
      <c r="A553" s="49">
        <f>IF(B553="","",COUNTA($B$5:B553))</f>
        <v/>
      </c>
      <c r="B553" s="50" t="n"/>
      <c r="C553" s="51" t="n"/>
      <c r="D553" s="51" t="n"/>
      <c r="E553" s="52" t="n"/>
      <c r="F553" s="53" t="n"/>
      <c r="G553" s="51" t="n"/>
      <c r="H553" s="53" t="n"/>
      <c r="I553" s="51" t="n"/>
      <c r="J553" s="54">
        <f>IF(OR(B553="",F553="",NOT(AND(G553&lt;&gt;"✅ Выполнена",G553&lt;&gt;"❌ Отменена"))),"",IF(F553&lt;TODAY(),"❗ просрочено "&amp;(TODAY()-F553)&amp;" дн.",IF(F553=TODAY(),"🔥 сегодня",IF(F553-TODAY()&lt;=3,"⏳ через "&amp;(F553-TODAY())&amp;" дн.",""))))</f>
        <v/>
      </c>
      <c r="K553" s="54">
        <f>IF(B553="","",IF(G553="✅ Выполнена","✔ ",IF(G553="❌ Отменена","✖ ",IF(AND(F553&lt;&gt;"",F553&lt;TODAY()),"❗ ","☐ ")))&amp;B553&amp;IF(E553="🔥 Высокий"," 🔥",""))</f>
        <v/>
      </c>
      <c r="L553" s="54">
        <f>IF(OR(B553="",F553="",G553="❌ Отменена"),"",F553&amp;"#"&amp;COUNTIFS($F$5:F553,F553,$B$5:B553,"?*",$G$5:G553,"&lt;&gt;❌ Отменена"))</f>
        <v/>
      </c>
      <c r="M553" s="54">
        <f>IF(AND(B553&lt;&gt;"",F553&lt;&gt;"",F553&lt;TODAY(),AND(G553&lt;&gt;"✅ Выполнена",G553&lt;&gt;"❌ Отменена")),MAX($M$4:M552)+1,"")</f>
        <v/>
      </c>
    </row>
    <row r="554">
      <c r="A554" s="49">
        <f>IF(B554="","",COUNTA($B$5:B554))</f>
        <v/>
      </c>
      <c r="B554" s="50" t="n"/>
      <c r="C554" s="51" t="n"/>
      <c r="D554" s="51" t="n"/>
      <c r="E554" s="52" t="n"/>
      <c r="F554" s="53" t="n"/>
      <c r="G554" s="51" t="n"/>
      <c r="H554" s="53" t="n"/>
      <c r="I554" s="51" t="n"/>
      <c r="J554" s="54">
        <f>IF(OR(B554="",F554="",NOT(AND(G554&lt;&gt;"✅ Выполнена",G554&lt;&gt;"❌ Отменена"))),"",IF(F554&lt;TODAY(),"❗ просрочено "&amp;(TODAY()-F554)&amp;" дн.",IF(F554=TODAY(),"🔥 сегодня",IF(F554-TODAY()&lt;=3,"⏳ через "&amp;(F554-TODAY())&amp;" дн.",""))))</f>
        <v/>
      </c>
      <c r="K554" s="54">
        <f>IF(B554="","",IF(G554="✅ Выполнена","✔ ",IF(G554="❌ Отменена","✖ ",IF(AND(F554&lt;&gt;"",F554&lt;TODAY()),"❗ ","☐ ")))&amp;B554&amp;IF(E554="🔥 Высокий"," 🔥",""))</f>
        <v/>
      </c>
      <c r="L554" s="54">
        <f>IF(OR(B554="",F554="",G554="❌ Отменена"),"",F554&amp;"#"&amp;COUNTIFS($F$5:F554,F554,$B$5:B554,"?*",$G$5:G554,"&lt;&gt;❌ Отменена"))</f>
        <v/>
      </c>
      <c r="M554" s="54">
        <f>IF(AND(B554&lt;&gt;"",F554&lt;&gt;"",F554&lt;TODAY(),AND(G554&lt;&gt;"✅ Выполнена",G554&lt;&gt;"❌ Отменена")),MAX($M$4:M553)+1,"")</f>
        <v/>
      </c>
    </row>
    <row r="555">
      <c r="A555" s="49">
        <f>IF(B555="","",COUNTA($B$5:B555))</f>
        <v/>
      </c>
      <c r="B555" s="50" t="n"/>
      <c r="C555" s="51" t="n"/>
      <c r="D555" s="51" t="n"/>
      <c r="E555" s="52" t="n"/>
      <c r="F555" s="53" t="n"/>
      <c r="G555" s="51" t="n"/>
      <c r="H555" s="53" t="n"/>
      <c r="I555" s="51" t="n"/>
      <c r="J555" s="54">
        <f>IF(OR(B555="",F555="",NOT(AND(G555&lt;&gt;"✅ Выполнена",G555&lt;&gt;"❌ Отменена"))),"",IF(F555&lt;TODAY(),"❗ просрочено "&amp;(TODAY()-F555)&amp;" дн.",IF(F555=TODAY(),"🔥 сегодня",IF(F555-TODAY()&lt;=3,"⏳ через "&amp;(F555-TODAY())&amp;" дн.",""))))</f>
        <v/>
      </c>
      <c r="K555" s="54">
        <f>IF(B555="","",IF(G555="✅ Выполнена","✔ ",IF(G555="❌ Отменена","✖ ",IF(AND(F555&lt;&gt;"",F555&lt;TODAY()),"❗ ","☐ ")))&amp;B555&amp;IF(E555="🔥 Высокий"," 🔥",""))</f>
        <v/>
      </c>
      <c r="L555" s="54">
        <f>IF(OR(B555="",F555="",G555="❌ Отменена"),"",F555&amp;"#"&amp;COUNTIFS($F$5:F555,F555,$B$5:B555,"?*",$G$5:G555,"&lt;&gt;❌ Отменена"))</f>
        <v/>
      </c>
      <c r="M555" s="54">
        <f>IF(AND(B555&lt;&gt;"",F555&lt;&gt;"",F555&lt;TODAY(),AND(G555&lt;&gt;"✅ Выполнена",G555&lt;&gt;"❌ Отменена")),MAX($M$4:M554)+1,"")</f>
        <v/>
      </c>
    </row>
    <row r="556">
      <c r="A556" s="49">
        <f>IF(B556="","",COUNTA($B$5:B556))</f>
        <v/>
      </c>
      <c r="B556" s="50" t="n"/>
      <c r="C556" s="51" t="n"/>
      <c r="D556" s="51" t="n"/>
      <c r="E556" s="52" t="n"/>
      <c r="F556" s="53" t="n"/>
      <c r="G556" s="51" t="n"/>
      <c r="H556" s="53" t="n"/>
      <c r="I556" s="51" t="n"/>
      <c r="J556" s="54">
        <f>IF(OR(B556="",F556="",NOT(AND(G556&lt;&gt;"✅ Выполнена",G556&lt;&gt;"❌ Отменена"))),"",IF(F556&lt;TODAY(),"❗ просрочено "&amp;(TODAY()-F556)&amp;" дн.",IF(F556=TODAY(),"🔥 сегодня",IF(F556-TODAY()&lt;=3,"⏳ через "&amp;(F556-TODAY())&amp;" дн.",""))))</f>
        <v/>
      </c>
      <c r="K556" s="54">
        <f>IF(B556="","",IF(G556="✅ Выполнена","✔ ",IF(G556="❌ Отменена","✖ ",IF(AND(F556&lt;&gt;"",F556&lt;TODAY()),"❗ ","☐ ")))&amp;B556&amp;IF(E556="🔥 Высокий"," 🔥",""))</f>
        <v/>
      </c>
      <c r="L556" s="54">
        <f>IF(OR(B556="",F556="",G556="❌ Отменена"),"",F556&amp;"#"&amp;COUNTIFS($F$5:F556,F556,$B$5:B556,"?*",$G$5:G556,"&lt;&gt;❌ Отменена"))</f>
        <v/>
      </c>
      <c r="M556" s="54">
        <f>IF(AND(B556&lt;&gt;"",F556&lt;&gt;"",F556&lt;TODAY(),AND(G556&lt;&gt;"✅ Выполнена",G556&lt;&gt;"❌ Отменена")),MAX($M$4:M555)+1,"")</f>
        <v/>
      </c>
    </row>
    <row r="557">
      <c r="A557" s="49">
        <f>IF(B557="","",COUNTA($B$5:B557))</f>
        <v/>
      </c>
      <c r="B557" s="50" t="n"/>
      <c r="C557" s="51" t="n"/>
      <c r="D557" s="51" t="n"/>
      <c r="E557" s="52" t="n"/>
      <c r="F557" s="53" t="n"/>
      <c r="G557" s="51" t="n"/>
      <c r="H557" s="53" t="n"/>
      <c r="I557" s="51" t="n"/>
      <c r="J557" s="54">
        <f>IF(OR(B557="",F557="",NOT(AND(G557&lt;&gt;"✅ Выполнена",G557&lt;&gt;"❌ Отменена"))),"",IF(F557&lt;TODAY(),"❗ просрочено "&amp;(TODAY()-F557)&amp;" дн.",IF(F557=TODAY(),"🔥 сегодня",IF(F557-TODAY()&lt;=3,"⏳ через "&amp;(F557-TODAY())&amp;" дн.",""))))</f>
        <v/>
      </c>
      <c r="K557" s="54">
        <f>IF(B557="","",IF(G557="✅ Выполнена","✔ ",IF(G557="❌ Отменена","✖ ",IF(AND(F557&lt;&gt;"",F557&lt;TODAY()),"❗ ","☐ ")))&amp;B557&amp;IF(E557="🔥 Высокий"," 🔥",""))</f>
        <v/>
      </c>
      <c r="L557" s="54">
        <f>IF(OR(B557="",F557="",G557="❌ Отменена"),"",F557&amp;"#"&amp;COUNTIFS($F$5:F557,F557,$B$5:B557,"?*",$G$5:G557,"&lt;&gt;❌ Отменена"))</f>
        <v/>
      </c>
      <c r="M557" s="54">
        <f>IF(AND(B557&lt;&gt;"",F557&lt;&gt;"",F557&lt;TODAY(),AND(G557&lt;&gt;"✅ Выполнена",G557&lt;&gt;"❌ Отменена")),MAX($M$4:M556)+1,"")</f>
        <v/>
      </c>
    </row>
    <row r="558">
      <c r="A558" s="49">
        <f>IF(B558="","",COUNTA($B$5:B558))</f>
        <v/>
      </c>
      <c r="B558" s="50" t="n"/>
      <c r="C558" s="51" t="n"/>
      <c r="D558" s="51" t="n"/>
      <c r="E558" s="52" t="n"/>
      <c r="F558" s="53" t="n"/>
      <c r="G558" s="51" t="n"/>
      <c r="H558" s="53" t="n"/>
      <c r="I558" s="51" t="n"/>
      <c r="J558" s="54">
        <f>IF(OR(B558="",F558="",NOT(AND(G558&lt;&gt;"✅ Выполнена",G558&lt;&gt;"❌ Отменена"))),"",IF(F558&lt;TODAY(),"❗ просрочено "&amp;(TODAY()-F558)&amp;" дн.",IF(F558=TODAY(),"🔥 сегодня",IF(F558-TODAY()&lt;=3,"⏳ через "&amp;(F558-TODAY())&amp;" дн.",""))))</f>
        <v/>
      </c>
      <c r="K558" s="54">
        <f>IF(B558="","",IF(G558="✅ Выполнена","✔ ",IF(G558="❌ Отменена","✖ ",IF(AND(F558&lt;&gt;"",F558&lt;TODAY()),"❗ ","☐ ")))&amp;B558&amp;IF(E558="🔥 Высокий"," 🔥",""))</f>
        <v/>
      </c>
      <c r="L558" s="54">
        <f>IF(OR(B558="",F558="",G558="❌ Отменена"),"",F558&amp;"#"&amp;COUNTIFS($F$5:F558,F558,$B$5:B558,"?*",$G$5:G558,"&lt;&gt;❌ Отменена"))</f>
        <v/>
      </c>
      <c r="M558" s="54">
        <f>IF(AND(B558&lt;&gt;"",F558&lt;&gt;"",F558&lt;TODAY(),AND(G558&lt;&gt;"✅ Выполнена",G558&lt;&gt;"❌ Отменена")),MAX($M$4:M557)+1,"")</f>
        <v/>
      </c>
    </row>
    <row r="559">
      <c r="A559" s="49">
        <f>IF(B559="","",COUNTA($B$5:B559))</f>
        <v/>
      </c>
      <c r="B559" s="50" t="n"/>
      <c r="C559" s="51" t="n"/>
      <c r="D559" s="51" t="n"/>
      <c r="E559" s="52" t="n"/>
      <c r="F559" s="53" t="n"/>
      <c r="G559" s="51" t="n"/>
      <c r="H559" s="53" t="n"/>
      <c r="I559" s="51" t="n"/>
      <c r="J559" s="54">
        <f>IF(OR(B559="",F559="",NOT(AND(G559&lt;&gt;"✅ Выполнена",G559&lt;&gt;"❌ Отменена"))),"",IF(F559&lt;TODAY(),"❗ просрочено "&amp;(TODAY()-F559)&amp;" дн.",IF(F559=TODAY(),"🔥 сегодня",IF(F559-TODAY()&lt;=3,"⏳ через "&amp;(F559-TODAY())&amp;" дн.",""))))</f>
        <v/>
      </c>
      <c r="K559" s="54">
        <f>IF(B559="","",IF(G559="✅ Выполнена","✔ ",IF(G559="❌ Отменена","✖ ",IF(AND(F559&lt;&gt;"",F559&lt;TODAY()),"❗ ","☐ ")))&amp;B559&amp;IF(E559="🔥 Высокий"," 🔥",""))</f>
        <v/>
      </c>
      <c r="L559" s="54">
        <f>IF(OR(B559="",F559="",G559="❌ Отменена"),"",F559&amp;"#"&amp;COUNTIFS($F$5:F559,F559,$B$5:B559,"?*",$G$5:G559,"&lt;&gt;❌ Отменена"))</f>
        <v/>
      </c>
      <c r="M559" s="54">
        <f>IF(AND(B559&lt;&gt;"",F559&lt;&gt;"",F559&lt;TODAY(),AND(G559&lt;&gt;"✅ Выполнена",G559&lt;&gt;"❌ Отменена")),MAX($M$4:M558)+1,"")</f>
        <v/>
      </c>
    </row>
    <row r="560">
      <c r="A560" s="49">
        <f>IF(B560="","",COUNTA($B$5:B560))</f>
        <v/>
      </c>
      <c r="B560" s="50" t="n"/>
      <c r="C560" s="51" t="n"/>
      <c r="D560" s="51" t="n"/>
      <c r="E560" s="52" t="n"/>
      <c r="F560" s="53" t="n"/>
      <c r="G560" s="51" t="n"/>
      <c r="H560" s="53" t="n"/>
      <c r="I560" s="51" t="n"/>
      <c r="J560" s="54">
        <f>IF(OR(B560="",F560="",NOT(AND(G560&lt;&gt;"✅ Выполнена",G560&lt;&gt;"❌ Отменена"))),"",IF(F560&lt;TODAY(),"❗ просрочено "&amp;(TODAY()-F560)&amp;" дн.",IF(F560=TODAY(),"🔥 сегодня",IF(F560-TODAY()&lt;=3,"⏳ через "&amp;(F560-TODAY())&amp;" дн.",""))))</f>
        <v/>
      </c>
      <c r="K560" s="54">
        <f>IF(B560="","",IF(G560="✅ Выполнена","✔ ",IF(G560="❌ Отменена","✖ ",IF(AND(F560&lt;&gt;"",F560&lt;TODAY()),"❗ ","☐ ")))&amp;B560&amp;IF(E560="🔥 Высокий"," 🔥",""))</f>
        <v/>
      </c>
      <c r="L560" s="54">
        <f>IF(OR(B560="",F560="",G560="❌ Отменена"),"",F560&amp;"#"&amp;COUNTIFS($F$5:F560,F560,$B$5:B560,"?*",$G$5:G560,"&lt;&gt;❌ Отменена"))</f>
        <v/>
      </c>
      <c r="M560" s="54">
        <f>IF(AND(B560&lt;&gt;"",F560&lt;&gt;"",F560&lt;TODAY(),AND(G560&lt;&gt;"✅ Выполнена",G560&lt;&gt;"❌ Отменена")),MAX($M$4:M559)+1,"")</f>
        <v/>
      </c>
    </row>
    <row r="561">
      <c r="A561" s="49">
        <f>IF(B561="","",COUNTA($B$5:B561))</f>
        <v/>
      </c>
      <c r="B561" s="50" t="n"/>
      <c r="C561" s="51" t="n"/>
      <c r="D561" s="51" t="n"/>
      <c r="E561" s="52" t="n"/>
      <c r="F561" s="53" t="n"/>
      <c r="G561" s="51" t="n"/>
      <c r="H561" s="53" t="n"/>
      <c r="I561" s="51" t="n"/>
      <c r="J561" s="54">
        <f>IF(OR(B561="",F561="",NOT(AND(G561&lt;&gt;"✅ Выполнена",G561&lt;&gt;"❌ Отменена"))),"",IF(F561&lt;TODAY(),"❗ просрочено "&amp;(TODAY()-F561)&amp;" дн.",IF(F561=TODAY(),"🔥 сегодня",IF(F561-TODAY()&lt;=3,"⏳ через "&amp;(F561-TODAY())&amp;" дн.",""))))</f>
        <v/>
      </c>
      <c r="K561" s="54">
        <f>IF(B561="","",IF(G561="✅ Выполнена","✔ ",IF(G561="❌ Отменена","✖ ",IF(AND(F561&lt;&gt;"",F561&lt;TODAY()),"❗ ","☐ ")))&amp;B561&amp;IF(E561="🔥 Высокий"," 🔥",""))</f>
        <v/>
      </c>
      <c r="L561" s="54">
        <f>IF(OR(B561="",F561="",G561="❌ Отменена"),"",F561&amp;"#"&amp;COUNTIFS($F$5:F561,F561,$B$5:B561,"?*",$G$5:G561,"&lt;&gt;❌ Отменена"))</f>
        <v/>
      </c>
      <c r="M561" s="54">
        <f>IF(AND(B561&lt;&gt;"",F561&lt;&gt;"",F561&lt;TODAY(),AND(G561&lt;&gt;"✅ Выполнена",G561&lt;&gt;"❌ Отменена")),MAX($M$4:M560)+1,"")</f>
        <v/>
      </c>
    </row>
    <row r="562">
      <c r="A562" s="49">
        <f>IF(B562="","",COUNTA($B$5:B562))</f>
        <v/>
      </c>
      <c r="B562" s="50" t="n"/>
      <c r="C562" s="51" t="n"/>
      <c r="D562" s="51" t="n"/>
      <c r="E562" s="52" t="n"/>
      <c r="F562" s="53" t="n"/>
      <c r="G562" s="51" t="n"/>
      <c r="H562" s="53" t="n"/>
      <c r="I562" s="51" t="n"/>
      <c r="J562" s="54">
        <f>IF(OR(B562="",F562="",NOT(AND(G562&lt;&gt;"✅ Выполнена",G562&lt;&gt;"❌ Отменена"))),"",IF(F562&lt;TODAY(),"❗ просрочено "&amp;(TODAY()-F562)&amp;" дн.",IF(F562=TODAY(),"🔥 сегодня",IF(F562-TODAY()&lt;=3,"⏳ через "&amp;(F562-TODAY())&amp;" дн.",""))))</f>
        <v/>
      </c>
      <c r="K562" s="54">
        <f>IF(B562="","",IF(G562="✅ Выполнена","✔ ",IF(G562="❌ Отменена","✖ ",IF(AND(F562&lt;&gt;"",F562&lt;TODAY()),"❗ ","☐ ")))&amp;B562&amp;IF(E562="🔥 Высокий"," 🔥",""))</f>
        <v/>
      </c>
      <c r="L562" s="54">
        <f>IF(OR(B562="",F562="",G562="❌ Отменена"),"",F562&amp;"#"&amp;COUNTIFS($F$5:F562,F562,$B$5:B562,"?*",$G$5:G562,"&lt;&gt;❌ Отменена"))</f>
        <v/>
      </c>
      <c r="M562" s="54">
        <f>IF(AND(B562&lt;&gt;"",F562&lt;&gt;"",F562&lt;TODAY(),AND(G562&lt;&gt;"✅ Выполнена",G562&lt;&gt;"❌ Отменена")),MAX($M$4:M561)+1,"")</f>
        <v/>
      </c>
    </row>
    <row r="563">
      <c r="A563" s="49">
        <f>IF(B563="","",COUNTA($B$5:B563))</f>
        <v/>
      </c>
      <c r="B563" s="50" t="n"/>
      <c r="C563" s="51" t="n"/>
      <c r="D563" s="51" t="n"/>
      <c r="E563" s="52" t="n"/>
      <c r="F563" s="53" t="n"/>
      <c r="G563" s="51" t="n"/>
      <c r="H563" s="53" t="n"/>
      <c r="I563" s="51" t="n"/>
      <c r="J563" s="54">
        <f>IF(OR(B563="",F563="",NOT(AND(G563&lt;&gt;"✅ Выполнена",G563&lt;&gt;"❌ Отменена"))),"",IF(F563&lt;TODAY(),"❗ просрочено "&amp;(TODAY()-F563)&amp;" дн.",IF(F563=TODAY(),"🔥 сегодня",IF(F563-TODAY()&lt;=3,"⏳ через "&amp;(F563-TODAY())&amp;" дн.",""))))</f>
        <v/>
      </c>
      <c r="K563" s="54">
        <f>IF(B563="","",IF(G563="✅ Выполнена","✔ ",IF(G563="❌ Отменена","✖ ",IF(AND(F563&lt;&gt;"",F563&lt;TODAY()),"❗ ","☐ ")))&amp;B563&amp;IF(E563="🔥 Высокий"," 🔥",""))</f>
        <v/>
      </c>
      <c r="L563" s="54">
        <f>IF(OR(B563="",F563="",G563="❌ Отменена"),"",F563&amp;"#"&amp;COUNTIFS($F$5:F563,F563,$B$5:B563,"?*",$G$5:G563,"&lt;&gt;❌ Отменена"))</f>
        <v/>
      </c>
      <c r="M563" s="54">
        <f>IF(AND(B563&lt;&gt;"",F563&lt;&gt;"",F563&lt;TODAY(),AND(G563&lt;&gt;"✅ Выполнена",G563&lt;&gt;"❌ Отменена")),MAX($M$4:M562)+1,"")</f>
        <v/>
      </c>
    </row>
    <row r="564">
      <c r="A564" s="49">
        <f>IF(B564="","",COUNTA($B$5:B564))</f>
        <v/>
      </c>
      <c r="B564" s="50" t="n"/>
      <c r="C564" s="51" t="n"/>
      <c r="D564" s="51" t="n"/>
      <c r="E564" s="52" t="n"/>
      <c r="F564" s="53" t="n"/>
      <c r="G564" s="51" t="n"/>
      <c r="H564" s="53" t="n"/>
      <c r="I564" s="51" t="n"/>
      <c r="J564" s="54">
        <f>IF(OR(B564="",F564="",NOT(AND(G564&lt;&gt;"✅ Выполнена",G564&lt;&gt;"❌ Отменена"))),"",IF(F564&lt;TODAY(),"❗ просрочено "&amp;(TODAY()-F564)&amp;" дн.",IF(F564=TODAY(),"🔥 сегодня",IF(F564-TODAY()&lt;=3,"⏳ через "&amp;(F564-TODAY())&amp;" дн.",""))))</f>
        <v/>
      </c>
      <c r="K564" s="54">
        <f>IF(B564="","",IF(G564="✅ Выполнена","✔ ",IF(G564="❌ Отменена","✖ ",IF(AND(F564&lt;&gt;"",F564&lt;TODAY()),"❗ ","☐ ")))&amp;B564&amp;IF(E564="🔥 Высокий"," 🔥",""))</f>
        <v/>
      </c>
      <c r="L564" s="54">
        <f>IF(OR(B564="",F564="",G564="❌ Отменена"),"",F564&amp;"#"&amp;COUNTIFS($F$5:F564,F564,$B$5:B564,"?*",$G$5:G564,"&lt;&gt;❌ Отменена"))</f>
        <v/>
      </c>
      <c r="M564" s="54">
        <f>IF(AND(B564&lt;&gt;"",F564&lt;&gt;"",F564&lt;TODAY(),AND(G564&lt;&gt;"✅ Выполнена",G564&lt;&gt;"❌ Отменена")),MAX($M$4:M563)+1,"")</f>
        <v/>
      </c>
    </row>
    <row r="565">
      <c r="A565" s="49">
        <f>IF(B565="","",COUNTA($B$5:B565))</f>
        <v/>
      </c>
      <c r="B565" s="50" t="n"/>
      <c r="C565" s="51" t="n"/>
      <c r="D565" s="51" t="n"/>
      <c r="E565" s="52" t="n"/>
      <c r="F565" s="53" t="n"/>
      <c r="G565" s="51" t="n"/>
      <c r="H565" s="53" t="n"/>
      <c r="I565" s="51" t="n"/>
      <c r="J565" s="54">
        <f>IF(OR(B565="",F565="",NOT(AND(G565&lt;&gt;"✅ Выполнена",G565&lt;&gt;"❌ Отменена"))),"",IF(F565&lt;TODAY(),"❗ просрочено "&amp;(TODAY()-F565)&amp;" дн.",IF(F565=TODAY(),"🔥 сегодня",IF(F565-TODAY()&lt;=3,"⏳ через "&amp;(F565-TODAY())&amp;" дн.",""))))</f>
        <v/>
      </c>
      <c r="K565" s="54">
        <f>IF(B565="","",IF(G565="✅ Выполнена","✔ ",IF(G565="❌ Отменена","✖ ",IF(AND(F565&lt;&gt;"",F565&lt;TODAY()),"❗ ","☐ ")))&amp;B565&amp;IF(E565="🔥 Высокий"," 🔥",""))</f>
        <v/>
      </c>
      <c r="L565" s="54">
        <f>IF(OR(B565="",F565="",G565="❌ Отменена"),"",F565&amp;"#"&amp;COUNTIFS($F$5:F565,F565,$B$5:B565,"?*",$G$5:G565,"&lt;&gt;❌ Отменена"))</f>
        <v/>
      </c>
      <c r="M565" s="54">
        <f>IF(AND(B565&lt;&gt;"",F565&lt;&gt;"",F565&lt;TODAY(),AND(G565&lt;&gt;"✅ Выполнена",G565&lt;&gt;"❌ Отменена")),MAX($M$4:M564)+1,"")</f>
        <v/>
      </c>
    </row>
    <row r="566">
      <c r="A566" s="49">
        <f>IF(B566="","",COUNTA($B$5:B566))</f>
        <v/>
      </c>
      <c r="B566" s="50" t="n"/>
      <c r="C566" s="51" t="n"/>
      <c r="D566" s="51" t="n"/>
      <c r="E566" s="52" t="n"/>
      <c r="F566" s="53" t="n"/>
      <c r="G566" s="51" t="n"/>
      <c r="H566" s="53" t="n"/>
      <c r="I566" s="51" t="n"/>
      <c r="J566" s="54">
        <f>IF(OR(B566="",F566="",NOT(AND(G566&lt;&gt;"✅ Выполнена",G566&lt;&gt;"❌ Отменена"))),"",IF(F566&lt;TODAY(),"❗ просрочено "&amp;(TODAY()-F566)&amp;" дн.",IF(F566=TODAY(),"🔥 сегодня",IF(F566-TODAY()&lt;=3,"⏳ через "&amp;(F566-TODAY())&amp;" дн.",""))))</f>
        <v/>
      </c>
      <c r="K566" s="54">
        <f>IF(B566="","",IF(G566="✅ Выполнена","✔ ",IF(G566="❌ Отменена","✖ ",IF(AND(F566&lt;&gt;"",F566&lt;TODAY()),"❗ ","☐ ")))&amp;B566&amp;IF(E566="🔥 Высокий"," 🔥",""))</f>
        <v/>
      </c>
      <c r="L566" s="54">
        <f>IF(OR(B566="",F566="",G566="❌ Отменена"),"",F566&amp;"#"&amp;COUNTIFS($F$5:F566,F566,$B$5:B566,"?*",$G$5:G566,"&lt;&gt;❌ Отменена"))</f>
        <v/>
      </c>
      <c r="M566" s="54">
        <f>IF(AND(B566&lt;&gt;"",F566&lt;&gt;"",F566&lt;TODAY(),AND(G566&lt;&gt;"✅ Выполнена",G566&lt;&gt;"❌ Отменена")),MAX($M$4:M565)+1,"")</f>
        <v/>
      </c>
    </row>
    <row r="567">
      <c r="A567" s="49">
        <f>IF(B567="","",COUNTA($B$5:B567))</f>
        <v/>
      </c>
      <c r="B567" s="50" t="n"/>
      <c r="C567" s="51" t="n"/>
      <c r="D567" s="51" t="n"/>
      <c r="E567" s="52" t="n"/>
      <c r="F567" s="53" t="n"/>
      <c r="G567" s="51" t="n"/>
      <c r="H567" s="53" t="n"/>
      <c r="I567" s="51" t="n"/>
      <c r="J567" s="54">
        <f>IF(OR(B567="",F567="",NOT(AND(G567&lt;&gt;"✅ Выполнена",G567&lt;&gt;"❌ Отменена"))),"",IF(F567&lt;TODAY(),"❗ просрочено "&amp;(TODAY()-F567)&amp;" дн.",IF(F567=TODAY(),"🔥 сегодня",IF(F567-TODAY()&lt;=3,"⏳ через "&amp;(F567-TODAY())&amp;" дн.",""))))</f>
        <v/>
      </c>
      <c r="K567" s="54">
        <f>IF(B567="","",IF(G567="✅ Выполнена","✔ ",IF(G567="❌ Отменена","✖ ",IF(AND(F567&lt;&gt;"",F567&lt;TODAY()),"❗ ","☐ ")))&amp;B567&amp;IF(E567="🔥 Высокий"," 🔥",""))</f>
        <v/>
      </c>
      <c r="L567" s="54">
        <f>IF(OR(B567="",F567="",G567="❌ Отменена"),"",F567&amp;"#"&amp;COUNTIFS($F$5:F567,F567,$B$5:B567,"?*",$G$5:G567,"&lt;&gt;❌ Отменена"))</f>
        <v/>
      </c>
      <c r="M567" s="54">
        <f>IF(AND(B567&lt;&gt;"",F567&lt;&gt;"",F567&lt;TODAY(),AND(G567&lt;&gt;"✅ Выполнена",G567&lt;&gt;"❌ Отменена")),MAX($M$4:M566)+1,"")</f>
        <v/>
      </c>
    </row>
    <row r="568">
      <c r="A568" s="49">
        <f>IF(B568="","",COUNTA($B$5:B568))</f>
        <v/>
      </c>
      <c r="B568" s="50" t="n"/>
      <c r="C568" s="51" t="n"/>
      <c r="D568" s="51" t="n"/>
      <c r="E568" s="52" t="n"/>
      <c r="F568" s="53" t="n"/>
      <c r="G568" s="51" t="n"/>
      <c r="H568" s="53" t="n"/>
      <c r="I568" s="51" t="n"/>
      <c r="J568" s="54">
        <f>IF(OR(B568="",F568="",NOT(AND(G568&lt;&gt;"✅ Выполнена",G568&lt;&gt;"❌ Отменена"))),"",IF(F568&lt;TODAY(),"❗ просрочено "&amp;(TODAY()-F568)&amp;" дн.",IF(F568=TODAY(),"🔥 сегодня",IF(F568-TODAY()&lt;=3,"⏳ через "&amp;(F568-TODAY())&amp;" дн.",""))))</f>
        <v/>
      </c>
      <c r="K568" s="54">
        <f>IF(B568="","",IF(G568="✅ Выполнена","✔ ",IF(G568="❌ Отменена","✖ ",IF(AND(F568&lt;&gt;"",F568&lt;TODAY()),"❗ ","☐ ")))&amp;B568&amp;IF(E568="🔥 Высокий"," 🔥",""))</f>
        <v/>
      </c>
      <c r="L568" s="54">
        <f>IF(OR(B568="",F568="",G568="❌ Отменена"),"",F568&amp;"#"&amp;COUNTIFS($F$5:F568,F568,$B$5:B568,"?*",$G$5:G568,"&lt;&gt;❌ Отменена"))</f>
        <v/>
      </c>
      <c r="M568" s="54">
        <f>IF(AND(B568&lt;&gt;"",F568&lt;&gt;"",F568&lt;TODAY(),AND(G568&lt;&gt;"✅ Выполнена",G568&lt;&gt;"❌ Отменена")),MAX($M$4:M567)+1,"")</f>
        <v/>
      </c>
    </row>
    <row r="569">
      <c r="A569" s="49">
        <f>IF(B569="","",COUNTA($B$5:B569))</f>
        <v/>
      </c>
      <c r="B569" s="50" t="n"/>
      <c r="C569" s="51" t="n"/>
      <c r="D569" s="51" t="n"/>
      <c r="E569" s="52" t="n"/>
      <c r="F569" s="53" t="n"/>
      <c r="G569" s="51" t="n"/>
      <c r="H569" s="53" t="n"/>
      <c r="I569" s="51" t="n"/>
      <c r="J569" s="54">
        <f>IF(OR(B569="",F569="",NOT(AND(G569&lt;&gt;"✅ Выполнена",G569&lt;&gt;"❌ Отменена"))),"",IF(F569&lt;TODAY(),"❗ просрочено "&amp;(TODAY()-F569)&amp;" дн.",IF(F569=TODAY(),"🔥 сегодня",IF(F569-TODAY()&lt;=3,"⏳ через "&amp;(F569-TODAY())&amp;" дн.",""))))</f>
        <v/>
      </c>
      <c r="K569" s="54">
        <f>IF(B569="","",IF(G569="✅ Выполнена","✔ ",IF(G569="❌ Отменена","✖ ",IF(AND(F569&lt;&gt;"",F569&lt;TODAY()),"❗ ","☐ ")))&amp;B569&amp;IF(E569="🔥 Высокий"," 🔥",""))</f>
        <v/>
      </c>
      <c r="L569" s="54">
        <f>IF(OR(B569="",F569="",G569="❌ Отменена"),"",F569&amp;"#"&amp;COUNTIFS($F$5:F569,F569,$B$5:B569,"?*",$G$5:G569,"&lt;&gt;❌ Отменена"))</f>
        <v/>
      </c>
      <c r="M569" s="54">
        <f>IF(AND(B569&lt;&gt;"",F569&lt;&gt;"",F569&lt;TODAY(),AND(G569&lt;&gt;"✅ Выполнена",G569&lt;&gt;"❌ Отменена")),MAX($M$4:M568)+1,"")</f>
        <v/>
      </c>
    </row>
    <row r="570">
      <c r="A570" s="49">
        <f>IF(B570="","",COUNTA($B$5:B570))</f>
        <v/>
      </c>
      <c r="B570" s="50" t="n"/>
      <c r="C570" s="51" t="n"/>
      <c r="D570" s="51" t="n"/>
      <c r="E570" s="52" t="n"/>
      <c r="F570" s="53" t="n"/>
      <c r="G570" s="51" t="n"/>
      <c r="H570" s="53" t="n"/>
      <c r="I570" s="51" t="n"/>
      <c r="J570" s="54">
        <f>IF(OR(B570="",F570="",NOT(AND(G570&lt;&gt;"✅ Выполнена",G570&lt;&gt;"❌ Отменена"))),"",IF(F570&lt;TODAY(),"❗ просрочено "&amp;(TODAY()-F570)&amp;" дн.",IF(F570=TODAY(),"🔥 сегодня",IF(F570-TODAY()&lt;=3,"⏳ через "&amp;(F570-TODAY())&amp;" дн.",""))))</f>
        <v/>
      </c>
      <c r="K570" s="54">
        <f>IF(B570="","",IF(G570="✅ Выполнена","✔ ",IF(G570="❌ Отменена","✖ ",IF(AND(F570&lt;&gt;"",F570&lt;TODAY()),"❗ ","☐ ")))&amp;B570&amp;IF(E570="🔥 Высокий"," 🔥",""))</f>
        <v/>
      </c>
      <c r="L570" s="54">
        <f>IF(OR(B570="",F570="",G570="❌ Отменена"),"",F570&amp;"#"&amp;COUNTIFS($F$5:F570,F570,$B$5:B570,"?*",$G$5:G570,"&lt;&gt;❌ Отменена"))</f>
        <v/>
      </c>
      <c r="M570" s="54">
        <f>IF(AND(B570&lt;&gt;"",F570&lt;&gt;"",F570&lt;TODAY(),AND(G570&lt;&gt;"✅ Выполнена",G570&lt;&gt;"❌ Отменена")),MAX($M$4:M569)+1,"")</f>
        <v/>
      </c>
    </row>
    <row r="571">
      <c r="A571" s="49">
        <f>IF(B571="","",COUNTA($B$5:B571))</f>
        <v/>
      </c>
      <c r="B571" s="50" t="n"/>
      <c r="C571" s="51" t="n"/>
      <c r="D571" s="51" t="n"/>
      <c r="E571" s="52" t="n"/>
      <c r="F571" s="53" t="n"/>
      <c r="G571" s="51" t="n"/>
      <c r="H571" s="53" t="n"/>
      <c r="I571" s="51" t="n"/>
      <c r="J571" s="54">
        <f>IF(OR(B571="",F571="",NOT(AND(G571&lt;&gt;"✅ Выполнена",G571&lt;&gt;"❌ Отменена"))),"",IF(F571&lt;TODAY(),"❗ просрочено "&amp;(TODAY()-F571)&amp;" дн.",IF(F571=TODAY(),"🔥 сегодня",IF(F571-TODAY()&lt;=3,"⏳ через "&amp;(F571-TODAY())&amp;" дн.",""))))</f>
        <v/>
      </c>
      <c r="K571" s="54">
        <f>IF(B571="","",IF(G571="✅ Выполнена","✔ ",IF(G571="❌ Отменена","✖ ",IF(AND(F571&lt;&gt;"",F571&lt;TODAY()),"❗ ","☐ ")))&amp;B571&amp;IF(E571="🔥 Высокий"," 🔥",""))</f>
        <v/>
      </c>
      <c r="L571" s="54">
        <f>IF(OR(B571="",F571="",G571="❌ Отменена"),"",F571&amp;"#"&amp;COUNTIFS($F$5:F571,F571,$B$5:B571,"?*",$G$5:G571,"&lt;&gt;❌ Отменена"))</f>
        <v/>
      </c>
      <c r="M571" s="54">
        <f>IF(AND(B571&lt;&gt;"",F571&lt;&gt;"",F571&lt;TODAY(),AND(G571&lt;&gt;"✅ Выполнена",G571&lt;&gt;"❌ Отменена")),MAX($M$4:M570)+1,"")</f>
        <v/>
      </c>
    </row>
    <row r="572">
      <c r="A572" s="49">
        <f>IF(B572="","",COUNTA($B$5:B572))</f>
        <v/>
      </c>
      <c r="B572" s="50" t="n"/>
      <c r="C572" s="51" t="n"/>
      <c r="D572" s="51" t="n"/>
      <c r="E572" s="52" t="n"/>
      <c r="F572" s="53" t="n"/>
      <c r="G572" s="51" t="n"/>
      <c r="H572" s="53" t="n"/>
      <c r="I572" s="51" t="n"/>
      <c r="J572" s="54">
        <f>IF(OR(B572="",F572="",NOT(AND(G572&lt;&gt;"✅ Выполнена",G572&lt;&gt;"❌ Отменена"))),"",IF(F572&lt;TODAY(),"❗ просрочено "&amp;(TODAY()-F572)&amp;" дн.",IF(F572=TODAY(),"🔥 сегодня",IF(F572-TODAY()&lt;=3,"⏳ через "&amp;(F572-TODAY())&amp;" дн.",""))))</f>
        <v/>
      </c>
      <c r="K572" s="54">
        <f>IF(B572="","",IF(G572="✅ Выполнена","✔ ",IF(G572="❌ Отменена","✖ ",IF(AND(F572&lt;&gt;"",F572&lt;TODAY()),"❗ ","☐ ")))&amp;B572&amp;IF(E572="🔥 Высокий"," 🔥",""))</f>
        <v/>
      </c>
      <c r="L572" s="54">
        <f>IF(OR(B572="",F572="",G572="❌ Отменена"),"",F572&amp;"#"&amp;COUNTIFS($F$5:F572,F572,$B$5:B572,"?*",$G$5:G572,"&lt;&gt;❌ Отменена"))</f>
        <v/>
      </c>
      <c r="M572" s="54">
        <f>IF(AND(B572&lt;&gt;"",F572&lt;&gt;"",F572&lt;TODAY(),AND(G572&lt;&gt;"✅ Выполнена",G572&lt;&gt;"❌ Отменена")),MAX($M$4:M571)+1,"")</f>
        <v/>
      </c>
    </row>
    <row r="573">
      <c r="A573" s="49">
        <f>IF(B573="","",COUNTA($B$5:B573))</f>
        <v/>
      </c>
      <c r="B573" s="50" t="n"/>
      <c r="C573" s="51" t="n"/>
      <c r="D573" s="51" t="n"/>
      <c r="E573" s="52" t="n"/>
      <c r="F573" s="53" t="n"/>
      <c r="G573" s="51" t="n"/>
      <c r="H573" s="53" t="n"/>
      <c r="I573" s="51" t="n"/>
      <c r="J573" s="54">
        <f>IF(OR(B573="",F573="",NOT(AND(G573&lt;&gt;"✅ Выполнена",G573&lt;&gt;"❌ Отменена"))),"",IF(F573&lt;TODAY(),"❗ просрочено "&amp;(TODAY()-F573)&amp;" дн.",IF(F573=TODAY(),"🔥 сегодня",IF(F573-TODAY()&lt;=3,"⏳ через "&amp;(F573-TODAY())&amp;" дн.",""))))</f>
        <v/>
      </c>
      <c r="K573" s="54">
        <f>IF(B573="","",IF(G573="✅ Выполнена","✔ ",IF(G573="❌ Отменена","✖ ",IF(AND(F573&lt;&gt;"",F573&lt;TODAY()),"❗ ","☐ ")))&amp;B573&amp;IF(E573="🔥 Высокий"," 🔥",""))</f>
        <v/>
      </c>
      <c r="L573" s="54">
        <f>IF(OR(B573="",F573="",G573="❌ Отменена"),"",F573&amp;"#"&amp;COUNTIFS($F$5:F573,F573,$B$5:B573,"?*",$G$5:G573,"&lt;&gt;❌ Отменена"))</f>
        <v/>
      </c>
      <c r="M573" s="54">
        <f>IF(AND(B573&lt;&gt;"",F573&lt;&gt;"",F573&lt;TODAY(),AND(G573&lt;&gt;"✅ Выполнена",G573&lt;&gt;"❌ Отменена")),MAX($M$4:M572)+1,"")</f>
        <v/>
      </c>
    </row>
    <row r="574">
      <c r="A574" s="49">
        <f>IF(B574="","",COUNTA($B$5:B574))</f>
        <v/>
      </c>
      <c r="B574" s="50" t="n"/>
      <c r="C574" s="51" t="n"/>
      <c r="D574" s="51" t="n"/>
      <c r="E574" s="52" t="n"/>
      <c r="F574" s="53" t="n"/>
      <c r="G574" s="51" t="n"/>
      <c r="H574" s="53" t="n"/>
      <c r="I574" s="51" t="n"/>
      <c r="J574" s="54">
        <f>IF(OR(B574="",F574="",NOT(AND(G574&lt;&gt;"✅ Выполнена",G574&lt;&gt;"❌ Отменена"))),"",IF(F574&lt;TODAY(),"❗ просрочено "&amp;(TODAY()-F574)&amp;" дн.",IF(F574=TODAY(),"🔥 сегодня",IF(F574-TODAY()&lt;=3,"⏳ через "&amp;(F574-TODAY())&amp;" дн.",""))))</f>
        <v/>
      </c>
      <c r="K574" s="54">
        <f>IF(B574="","",IF(G574="✅ Выполнена","✔ ",IF(G574="❌ Отменена","✖ ",IF(AND(F574&lt;&gt;"",F574&lt;TODAY()),"❗ ","☐ ")))&amp;B574&amp;IF(E574="🔥 Высокий"," 🔥",""))</f>
        <v/>
      </c>
      <c r="L574" s="54">
        <f>IF(OR(B574="",F574="",G574="❌ Отменена"),"",F574&amp;"#"&amp;COUNTIFS($F$5:F574,F574,$B$5:B574,"?*",$G$5:G574,"&lt;&gt;❌ Отменена"))</f>
        <v/>
      </c>
      <c r="M574" s="54">
        <f>IF(AND(B574&lt;&gt;"",F574&lt;&gt;"",F574&lt;TODAY(),AND(G574&lt;&gt;"✅ Выполнена",G574&lt;&gt;"❌ Отменена")),MAX($M$4:M573)+1,"")</f>
        <v/>
      </c>
    </row>
    <row r="575">
      <c r="A575" s="49">
        <f>IF(B575="","",COUNTA($B$5:B575))</f>
        <v/>
      </c>
      <c r="B575" s="50" t="n"/>
      <c r="C575" s="51" t="n"/>
      <c r="D575" s="51" t="n"/>
      <c r="E575" s="52" t="n"/>
      <c r="F575" s="53" t="n"/>
      <c r="G575" s="51" t="n"/>
      <c r="H575" s="53" t="n"/>
      <c r="I575" s="51" t="n"/>
      <c r="J575" s="54">
        <f>IF(OR(B575="",F575="",NOT(AND(G575&lt;&gt;"✅ Выполнена",G575&lt;&gt;"❌ Отменена"))),"",IF(F575&lt;TODAY(),"❗ просрочено "&amp;(TODAY()-F575)&amp;" дн.",IF(F575=TODAY(),"🔥 сегодня",IF(F575-TODAY()&lt;=3,"⏳ через "&amp;(F575-TODAY())&amp;" дн.",""))))</f>
        <v/>
      </c>
      <c r="K575" s="54">
        <f>IF(B575="","",IF(G575="✅ Выполнена","✔ ",IF(G575="❌ Отменена","✖ ",IF(AND(F575&lt;&gt;"",F575&lt;TODAY()),"❗ ","☐ ")))&amp;B575&amp;IF(E575="🔥 Высокий"," 🔥",""))</f>
        <v/>
      </c>
      <c r="L575" s="54">
        <f>IF(OR(B575="",F575="",G575="❌ Отменена"),"",F575&amp;"#"&amp;COUNTIFS($F$5:F575,F575,$B$5:B575,"?*",$G$5:G575,"&lt;&gt;❌ Отменена"))</f>
        <v/>
      </c>
      <c r="M575" s="54">
        <f>IF(AND(B575&lt;&gt;"",F575&lt;&gt;"",F575&lt;TODAY(),AND(G575&lt;&gt;"✅ Выполнена",G575&lt;&gt;"❌ Отменена")),MAX($M$4:M574)+1,"")</f>
        <v/>
      </c>
    </row>
    <row r="576">
      <c r="A576" s="49">
        <f>IF(B576="","",COUNTA($B$5:B576))</f>
        <v/>
      </c>
      <c r="B576" s="50" t="n"/>
      <c r="C576" s="51" t="n"/>
      <c r="D576" s="51" t="n"/>
      <c r="E576" s="52" t="n"/>
      <c r="F576" s="53" t="n"/>
      <c r="G576" s="51" t="n"/>
      <c r="H576" s="53" t="n"/>
      <c r="I576" s="51" t="n"/>
      <c r="J576" s="54">
        <f>IF(OR(B576="",F576="",NOT(AND(G576&lt;&gt;"✅ Выполнена",G576&lt;&gt;"❌ Отменена"))),"",IF(F576&lt;TODAY(),"❗ просрочено "&amp;(TODAY()-F576)&amp;" дн.",IF(F576=TODAY(),"🔥 сегодня",IF(F576-TODAY()&lt;=3,"⏳ через "&amp;(F576-TODAY())&amp;" дн.",""))))</f>
        <v/>
      </c>
      <c r="K576" s="54">
        <f>IF(B576="","",IF(G576="✅ Выполнена","✔ ",IF(G576="❌ Отменена","✖ ",IF(AND(F576&lt;&gt;"",F576&lt;TODAY()),"❗ ","☐ ")))&amp;B576&amp;IF(E576="🔥 Высокий"," 🔥",""))</f>
        <v/>
      </c>
      <c r="L576" s="54">
        <f>IF(OR(B576="",F576="",G576="❌ Отменена"),"",F576&amp;"#"&amp;COUNTIFS($F$5:F576,F576,$B$5:B576,"?*",$G$5:G576,"&lt;&gt;❌ Отменена"))</f>
        <v/>
      </c>
      <c r="M576" s="54">
        <f>IF(AND(B576&lt;&gt;"",F576&lt;&gt;"",F576&lt;TODAY(),AND(G576&lt;&gt;"✅ Выполнена",G576&lt;&gt;"❌ Отменена")),MAX($M$4:M575)+1,"")</f>
        <v/>
      </c>
    </row>
    <row r="577">
      <c r="A577" s="49">
        <f>IF(B577="","",COUNTA($B$5:B577))</f>
        <v/>
      </c>
      <c r="B577" s="50" t="n"/>
      <c r="C577" s="51" t="n"/>
      <c r="D577" s="51" t="n"/>
      <c r="E577" s="52" t="n"/>
      <c r="F577" s="53" t="n"/>
      <c r="G577" s="51" t="n"/>
      <c r="H577" s="53" t="n"/>
      <c r="I577" s="51" t="n"/>
      <c r="J577" s="54">
        <f>IF(OR(B577="",F577="",NOT(AND(G577&lt;&gt;"✅ Выполнена",G577&lt;&gt;"❌ Отменена"))),"",IF(F577&lt;TODAY(),"❗ просрочено "&amp;(TODAY()-F577)&amp;" дн.",IF(F577=TODAY(),"🔥 сегодня",IF(F577-TODAY()&lt;=3,"⏳ через "&amp;(F577-TODAY())&amp;" дн.",""))))</f>
        <v/>
      </c>
      <c r="K577" s="54">
        <f>IF(B577="","",IF(G577="✅ Выполнена","✔ ",IF(G577="❌ Отменена","✖ ",IF(AND(F577&lt;&gt;"",F577&lt;TODAY()),"❗ ","☐ ")))&amp;B577&amp;IF(E577="🔥 Высокий"," 🔥",""))</f>
        <v/>
      </c>
      <c r="L577" s="54">
        <f>IF(OR(B577="",F577="",G577="❌ Отменена"),"",F577&amp;"#"&amp;COUNTIFS($F$5:F577,F577,$B$5:B577,"?*",$G$5:G577,"&lt;&gt;❌ Отменена"))</f>
        <v/>
      </c>
      <c r="M577" s="54">
        <f>IF(AND(B577&lt;&gt;"",F577&lt;&gt;"",F577&lt;TODAY(),AND(G577&lt;&gt;"✅ Выполнена",G577&lt;&gt;"❌ Отменена")),MAX($M$4:M576)+1,"")</f>
        <v/>
      </c>
    </row>
    <row r="578">
      <c r="A578" s="49">
        <f>IF(B578="","",COUNTA($B$5:B578))</f>
        <v/>
      </c>
      <c r="B578" s="50" t="n"/>
      <c r="C578" s="51" t="n"/>
      <c r="D578" s="51" t="n"/>
      <c r="E578" s="52" t="n"/>
      <c r="F578" s="53" t="n"/>
      <c r="G578" s="51" t="n"/>
      <c r="H578" s="53" t="n"/>
      <c r="I578" s="51" t="n"/>
      <c r="J578" s="54">
        <f>IF(OR(B578="",F578="",NOT(AND(G578&lt;&gt;"✅ Выполнена",G578&lt;&gt;"❌ Отменена"))),"",IF(F578&lt;TODAY(),"❗ просрочено "&amp;(TODAY()-F578)&amp;" дн.",IF(F578=TODAY(),"🔥 сегодня",IF(F578-TODAY()&lt;=3,"⏳ через "&amp;(F578-TODAY())&amp;" дн.",""))))</f>
        <v/>
      </c>
      <c r="K578" s="54">
        <f>IF(B578="","",IF(G578="✅ Выполнена","✔ ",IF(G578="❌ Отменена","✖ ",IF(AND(F578&lt;&gt;"",F578&lt;TODAY()),"❗ ","☐ ")))&amp;B578&amp;IF(E578="🔥 Высокий"," 🔥",""))</f>
        <v/>
      </c>
      <c r="L578" s="54">
        <f>IF(OR(B578="",F578="",G578="❌ Отменена"),"",F578&amp;"#"&amp;COUNTIFS($F$5:F578,F578,$B$5:B578,"?*",$G$5:G578,"&lt;&gt;❌ Отменена"))</f>
        <v/>
      </c>
      <c r="M578" s="54">
        <f>IF(AND(B578&lt;&gt;"",F578&lt;&gt;"",F578&lt;TODAY(),AND(G578&lt;&gt;"✅ Выполнена",G578&lt;&gt;"❌ Отменена")),MAX($M$4:M577)+1,"")</f>
        <v/>
      </c>
    </row>
    <row r="579">
      <c r="A579" s="49">
        <f>IF(B579="","",COUNTA($B$5:B579))</f>
        <v/>
      </c>
      <c r="B579" s="50" t="n"/>
      <c r="C579" s="51" t="n"/>
      <c r="D579" s="51" t="n"/>
      <c r="E579" s="52" t="n"/>
      <c r="F579" s="53" t="n"/>
      <c r="G579" s="51" t="n"/>
      <c r="H579" s="53" t="n"/>
      <c r="I579" s="51" t="n"/>
      <c r="J579" s="54">
        <f>IF(OR(B579="",F579="",NOT(AND(G579&lt;&gt;"✅ Выполнена",G579&lt;&gt;"❌ Отменена"))),"",IF(F579&lt;TODAY(),"❗ просрочено "&amp;(TODAY()-F579)&amp;" дн.",IF(F579=TODAY(),"🔥 сегодня",IF(F579-TODAY()&lt;=3,"⏳ через "&amp;(F579-TODAY())&amp;" дн.",""))))</f>
        <v/>
      </c>
      <c r="K579" s="54">
        <f>IF(B579="","",IF(G579="✅ Выполнена","✔ ",IF(G579="❌ Отменена","✖ ",IF(AND(F579&lt;&gt;"",F579&lt;TODAY()),"❗ ","☐ ")))&amp;B579&amp;IF(E579="🔥 Высокий"," 🔥",""))</f>
        <v/>
      </c>
      <c r="L579" s="54">
        <f>IF(OR(B579="",F579="",G579="❌ Отменена"),"",F579&amp;"#"&amp;COUNTIFS($F$5:F579,F579,$B$5:B579,"?*",$G$5:G579,"&lt;&gt;❌ Отменена"))</f>
        <v/>
      </c>
      <c r="M579" s="54">
        <f>IF(AND(B579&lt;&gt;"",F579&lt;&gt;"",F579&lt;TODAY(),AND(G579&lt;&gt;"✅ Выполнена",G579&lt;&gt;"❌ Отменена")),MAX($M$4:M578)+1,"")</f>
        <v/>
      </c>
    </row>
    <row r="580">
      <c r="A580" s="49">
        <f>IF(B580="","",COUNTA($B$5:B580))</f>
        <v/>
      </c>
      <c r="B580" s="50" t="n"/>
      <c r="C580" s="51" t="n"/>
      <c r="D580" s="51" t="n"/>
      <c r="E580" s="52" t="n"/>
      <c r="F580" s="53" t="n"/>
      <c r="G580" s="51" t="n"/>
      <c r="H580" s="53" t="n"/>
      <c r="I580" s="51" t="n"/>
      <c r="J580" s="54">
        <f>IF(OR(B580="",F580="",NOT(AND(G580&lt;&gt;"✅ Выполнена",G580&lt;&gt;"❌ Отменена"))),"",IF(F580&lt;TODAY(),"❗ просрочено "&amp;(TODAY()-F580)&amp;" дн.",IF(F580=TODAY(),"🔥 сегодня",IF(F580-TODAY()&lt;=3,"⏳ через "&amp;(F580-TODAY())&amp;" дн.",""))))</f>
        <v/>
      </c>
      <c r="K580" s="54">
        <f>IF(B580="","",IF(G580="✅ Выполнена","✔ ",IF(G580="❌ Отменена","✖ ",IF(AND(F580&lt;&gt;"",F580&lt;TODAY()),"❗ ","☐ ")))&amp;B580&amp;IF(E580="🔥 Высокий"," 🔥",""))</f>
        <v/>
      </c>
      <c r="L580" s="54">
        <f>IF(OR(B580="",F580="",G580="❌ Отменена"),"",F580&amp;"#"&amp;COUNTIFS($F$5:F580,F580,$B$5:B580,"?*",$G$5:G580,"&lt;&gt;❌ Отменена"))</f>
        <v/>
      </c>
      <c r="M580" s="54">
        <f>IF(AND(B580&lt;&gt;"",F580&lt;&gt;"",F580&lt;TODAY(),AND(G580&lt;&gt;"✅ Выполнена",G580&lt;&gt;"❌ Отменена")),MAX($M$4:M579)+1,"")</f>
        <v/>
      </c>
    </row>
    <row r="581">
      <c r="A581" s="49">
        <f>IF(B581="","",COUNTA($B$5:B581))</f>
        <v/>
      </c>
      <c r="B581" s="50" t="n"/>
      <c r="C581" s="51" t="n"/>
      <c r="D581" s="51" t="n"/>
      <c r="E581" s="52" t="n"/>
      <c r="F581" s="53" t="n"/>
      <c r="G581" s="51" t="n"/>
      <c r="H581" s="53" t="n"/>
      <c r="I581" s="51" t="n"/>
      <c r="J581" s="54">
        <f>IF(OR(B581="",F581="",NOT(AND(G581&lt;&gt;"✅ Выполнена",G581&lt;&gt;"❌ Отменена"))),"",IF(F581&lt;TODAY(),"❗ просрочено "&amp;(TODAY()-F581)&amp;" дн.",IF(F581=TODAY(),"🔥 сегодня",IF(F581-TODAY()&lt;=3,"⏳ через "&amp;(F581-TODAY())&amp;" дн.",""))))</f>
        <v/>
      </c>
      <c r="K581" s="54">
        <f>IF(B581="","",IF(G581="✅ Выполнена","✔ ",IF(G581="❌ Отменена","✖ ",IF(AND(F581&lt;&gt;"",F581&lt;TODAY()),"❗ ","☐ ")))&amp;B581&amp;IF(E581="🔥 Высокий"," 🔥",""))</f>
        <v/>
      </c>
      <c r="L581" s="54">
        <f>IF(OR(B581="",F581="",G581="❌ Отменена"),"",F581&amp;"#"&amp;COUNTIFS($F$5:F581,F581,$B$5:B581,"?*",$G$5:G581,"&lt;&gt;❌ Отменена"))</f>
        <v/>
      </c>
      <c r="M581" s="54">
        <f>IF(AND(B581&lt;&gt;"",F581&lt;&gt;"",F581&lt;TODAY(),AND(G581&lt;&gt;"✅ Выполнена",G581&lt;&gt;"❌ Отменена")),MAX($M$4:M580)+1,"")</f>
        <v/>
      </c>
    </row>
    <row r="582">
      <c r="A582" s="49">
        <f>IF(B582="","",COUNTA($B$5:B582))</f>
        <v/>
      </c>
      <c r="B582" s="50" t="n"/>
      <c r="C582" s="51" t="n"/>
      <c r="D582" s="51" t="n"/>
      <c r="E582" s="52" t="n"/>
      <c r="F582" s="53" t="n"/>
      <c r="G582" s="51" t="n"/>
      <c r="H582" s="53" t="n"/>
      <c r="I582" s="51" t="n"/>
      <c r="J582" s="54">
        <f>IF(OR(B582="",F582="",NOT(AND(G582&lt;&gt;"✅ Выполнена",G582&lt;&gt;"❌ Отменена"))),"",IF(F582&lt;TODAY(),"❗ просрочено "&amp;(TODAY()-F582)&amp;" дн.",IF(F582=TODAY(),"🔥 сегодня",IF(F582-TODAY()&lt;=3,"⏳ через "&amp;(F582-TODAY())&amp;" дн.",""))))</f>
        <v/>
      </c>
      <c r="K582" s="54">
        <f>IF(B582="","",IF(G582="✅ Выполнена","✔ ",IF(G582="❌ Отменена","✖ ",IF(AND(F582&lt;&gt;"",F582&lt;TODAY()),"❗ ","☐ ")))&amp;B582&amp;IF(E582="🔥 Высокий"," 🔥",""))</f>
        <v/>
      </c>
      <c r="L582" s="54">
        <f>IF(OR(B582="",F582="",G582="❌ Отменена"),"",F582&amp;"#"&amp;COUNTIFS($F$5:F582,F582,$B$5:B582,"?*",$G$5:G582,"&lt;&gt;❌ Отменена"))</f>
        <v/>
      </c>
      <c r="M582" s="54">
        <f>IF(AND(B582&lt;&gt;"",F582&lt;&gt;"",F582&lt;TODAY(),AND(G582&lt;&gt;"✅ Выполнена",G582&lt;&gt;"❌ Отменена")),MAX($M$4:M581)+1,"")</f>
        <v/>
      </c>
    </row>
    <row r="583">
      <c r="A583" s="49">
        <f>IF(B583="","",COUNTA($B$5:B583))</f>
        <v/>
      </c>
      <c r="B583" s="50" t="n"/>
      <c r="C583" s="51" t="n"/>
      <c r="D583" s="51" t="n"/>
      <c r="E583" s="52" t="n"/>
      <c r="F583" s="53" t="n"/>
      <c r="G583" s="51" t="n"/>
      <c r="H583" s="53" t="n"/>
      <c r="I583" s="51" t="n"/>
      <c r="J583" s="54">
        <f>IF(OR(B583="",F583="",NOT(AND(G583&lt;&gt;"✅ Выполнена",G583&lt;&gt;"❌ Отменена"))),"",IF(F583&lt;TODAY(),"❗ просрочено "&amp;(TODAY()-F583)&amp;" дн.",IF(F583=TODAY(),"🔥 сегодня",IF(F583-TODAY()&lt;=3,"⏳ через "&amp;(F583-TODAY())&amp;" дн.",""))))</f>
        <v/>
      </c>
      <c r="K583" s="54">
        <f>IF(B583="","",IF(G583="✅ Выполнена","✔ ",IF(G583="❌ Отменена","✖ ",IF(AND(F583&lt;&gt;"",F583&lt;TODAY()),"❗ ","☐ ")))&amp;B583&amp;IF(E583="🔥 Высокий"," 🔥",""))</f>
        <v/>
      </c>
      <c r="L583" s="54">
        <f>IF(OR(B583="",F583="",G583="❌ Отменена"),"",F583&amp;"#"&amp;COUNTIFS($F$5:F583,F583,$B$5:B583,"?*",$G$5:G583,"&lt;&gt;❌ Отменена"))</f>
        <v/>
      </c>
      <c r="M583" s="54">
        <f>IF(AND(B583&lt;&gt;"",F583&lt;&gt;"",F583&lt;TODAY(),AND(G583&lt;&gt;"✅ Выполнена",G583&lt;&gt;"❌ Отменена")),MAX($M$4:M582)+1,"")</f>
        <v/>
      </c>
    </row>
    <row r="584">
      <c r="A584" s="49">
        <f>IF(B584="","",COUNTA($B$5:B584))</f>
        <v/>
      </c>
      <c r="B584" s="50" t="n"/>
      <c r="C584" s="51" t="n"/>
      <c r="D584" s="51" t="n"/>
      <c r="E584" s="52" t="n"/>
      <c r="F584" s="53" t="n"/>
      <c r="G584" s="51" t="n"/>
      <c r="H584" s="53" t="n"/>
      <c r="I584" s="51" t="n"/>
      <c r="J584" s="54">
        <f>IF(OR(B584="",F584="",NOT(AND(G584&lt;&gt;"✅ Выполнена",G584&lt;&gt;"❌ Отменена"))),"",IF(F584&lt;TODAY(),"❗ просрочено "&amp;(TODAY()-F584)&amp;" дн.",IF(F584=TODAY(),"🔥 сегодня",IF(F584-TODAY()&lt;=3,"⏳ через "&amp;(F584-TODAY())&amp;" дн.",""))))</f>
        <v/>
      </c>
      <c r="K584" s="54">
        <f>IF(B584="","",IF(G584="✅ Выполнена","✔ ",IF(G584="❌ Отменена","✖ ",IF(AND(F584&lt;&gt;"",F584&lt;TODAY()),"❗ ","☐ ")))&amp;B584&amp;IF(E584="🔥 Высокий"," 🔥",""))</f>
        <v/>
      </c>
      <c r="L584" s="54">
        <f>IF(OR(B584="",F584="",G584="❌ Отменена"),"",F584&amp;"#"&amp;COUNTIFS($F$5:F584,F584,$B$5:B584,"?*",$G$5:G584,"&lt;&gt;❌ Отменена"))</f>
        <v/>
      </c>
      <c r="M584" s="54">
        <f>IF(AND(B584&lt;&gt;"",F584&lt;&gt;"",F584&lt;TODAY(),AND(G584&lt;&gt;"✅ Выполнена",G584&lt;&gt;"❌ Отменена")),MAX($M$4:M583)+1,"")</f>
        <v/>
      </c>
    </row>
    <row r="585">
      <c r="A585" s="49">
        <f>IF(B585="","",COUNTA($B$5:B585))</f>
        <v/>
      </c>
      <c r="B585" s="50" t="n"/>
      <c r="C585" s="51" t="n"/>
      <c r="D585" s="51" t="n"/>
      <c r="E585" s="52" t="n"/>
      <c r="F585" s="53" t="n"/>
      <c r="G585" s="51" t="n"/>
      <c r="H585" s="53" t="n"/>
      <c r="I585" s="51" t="n"/>
      <c r="J585" s="54">
        <f>IF(OR(B585="",F585="",NOT(AND(G585&lt;&gt;"✅ Выполнена",G585&lt;&gt;"❌ Отменена"))),"",IF(F585&lt;TODAY(),"❗ просрочено "&amp;(TODAY()-F585)&amp;" дн.",IF(F585=TODAY(),"🔥 сегодня",IF(F585-TODAY()&lt;=3,"⏳ через "&amp;(F585-TODAY())&amp;" дн.",""))))</f>
        <v/>
      </c>
      <c r="K585" s="54">
        <f>IF(B585="","",IF(G585="✅ Выполнена","✔ ",IF(G585="❌ Отменена","✖ ",IF(AND(F585&lt;&gt;"",F585&lt;TODAY()),"❗ ","☐ ")))&amp;B585&amp;IF(E585="🔥 Высокий"," 🔥",""))</f>
        <v/>
      </c>
      <c r="L585" s="54">
        <f>IF(OR(B585="",F585="",G585="❌ Отменена"),"",F585&amp;"#"&amp;COUNTIFS($F$5:F585,F585,$B$5:B585,"?*",$G$5:G585,"&lt;&gt;❌ Отменена"))</f>
        <v/>
      </c>
      <c r="M585" s="54">
        <f>IF(AND(B585&lt;&gt;"",F585&lt;&gt;"",F585&lt;TODAY(),AND(G585&lt;&gt;"✅ Выполнена",G585&lt;&gt;"❌ Отменена")),MAX($M$4:M584)+1,"")</f>
        <v/>
      </c>
    </row>
    <row r="586">
      <c r="A586" s="49">
        <f>IF(B586="","",COUNTA($B$5:B586))</f>
        <v/>
      </c>
      <c r="B586" s="50" t="n"/>
      <c r="C586" s="51" t="n"/>
      <c r="D586" s="51" t="n"/>
      <c r="E586" s="52" t="n"/>
      <c r="F586" s="53" t="n"/>
      <c r="G586" s="51" t="n"/>
      <c r="H586" s="53" t="n"/>
      <c r="I586" s="51" t="n"/>
      <c r="J586" s="54">
        <f>IF(OR(B586="",F586="",NOT(AND(G586&lt;&gt;"✅ Выполнена",G586&lt;&gt;"❌ Отменена"))),"",IF(F586&lt;TODAY(),"❗ просрочено "&amp;(TODAY()-F586)&amp;" дн.",IF(F586=TODAY(),"🔥 сегодня",IF(F586-TODAY()&lt;=3,"⏳ через "&amp;(F586-TODAY())&amp;" дн.",""))))</f>
        <v/>
      </c>
      <c r="K586" s="54">
        <f>IF(B586="","",IF(G586="✅ Выполнена","✔ ",IF(G586="❌ Отменена","✖ ",IF(AND(F586&lt;&gt;"",F586&lt;TODAY()),"❗ ","☐ ")))&amp;B586&amp;IF(E586="🔥 Высокий"," 🔥",""))</f>
        <v/>
      </c>
      <c r="L586" s="54">
        <f>IF(OR(B586="",F586="",G586="❌ Отменена"),"",F586&amp;"#"&amp;COUNTIFS($F$5:F586,F586,$B$5:B586,"?*",$G$5:G586,"&lt;&gt;❌ Отменена"))</f>
        <v/>
      </c>
      <c r="M586" s="54">
        <f>IF(AND(B586&lt;&gt;"",F586&lt;&gt;"",F586&lt;TODAY(),AND(G586&lt;&gt;"✅ Выполнена",G586&lt;&gt;"❌ Отменена")),MAX($M$4:M585)+1,"")</f>
        <v/>
      </c>
    </row>
    <row r="587">
      <c r="A587" s="49">
        <f>IF(B587="","",COUNTA($B$5:B587))</f>
        <v/>
      </c>
      <c r="B587" s="50" t="n"/>
      <c r="C587" s="51" t="n"/>
      <c r="D587" s="51" t="n"/>
      <c r="E587" s="52" t="n"/>
      <c r="F587" s="53" t="n"/>
      <c r="G587" s="51" t="n"/>
      <c r="H587" s="53" t="n"/>
      <c r="I587" s="51" t="n"/>
      <c r="J587" s="54">
        <f>IF(OR(B587="",F587="",NOT(AND(G587&lt;&gt;"✅ Выполнена",G587&lt;&gt;"❌ Отменена"))),"",IF(F587&lt;TODAY(),"❗ просрочено "&amp;(TODAY()-F587)&amp;" дн.",IF(F587=TODAY(),"🔥 сегодня",IF(F587-TODAY()&lt;=3,"⏳ через "&amp;(F587-TODAY())&amp;" дн.",""))))</f>
        <v/>
      </c>
      <c r="K587" s="54">
        <f>IF(B587="","",IF(G587="✅ Выполнена","✔ ",IF(G587="❌ Отменена","✖ ",IF(AND(F587&lt;&gt;"",F587&lt;TODAY()),"❗ ","☐ ")))&amp;B587&amp;IF(E587="🔥 Высокий"," 🔥",""))</f>
        <v/>
      </c>
      <c r="L587" s="54">
        <f>IF(OR(B587="",F587="",G587="❌ Отменена"),"",F587&amp;"#"&amp;COUNTIFS($F$5:F587,F587,$B$5:B587,"?*",$G$5:G587,"&lt;&gt;❌ Отменена"))</f>
        <v/>
      </c>
      <c r="M587" s="54">
        <f>IF(AND(B587&lt;&gt;"",F587&lt;&gt;"",F587&lt;TODAY(),AND(G587&lt;&gt;"✅ Выполнена",G587&lt;&gt;"❌ Отменена")),MAX($M$4:M586)+1,"")</f>
        <v/>
      </c>
    </row>
    <row r="588">
      <c r="A588" s="49">
        <f>IF(B588="","",COUNTA($B$5:B588))</f>
        <v/>
      </c>
      <c r="B588" s="50" t="n"/>
      <c r="C588" s="51" t="n"/>
      <c r="D588" s="51" t="n"/>
      <c r="E588" s="52" t="n"/>
      <c r="F588" s="53" t="n"/>
      <c r="G588" s="51" t="n"/>
      <c r="H588" s="53" t="n"/>
      <c r="I588" s="51" t="n"/>
      <c r="J588" s="54">
        <f>IF(OR(B588="",F588="",NOT(AND(G588&lt;&gt;"✅ Выполнена",G588&lt;&gt;"❌ Отменена"))),"",IF(F588&lt;TODAY(),"❗ просрочено "&amp;(TODAY()-F588)&amp;" дн.",IF(F588=TODAY(),"🔥 сегодня",IF(F588-TODAY()&lt;=3,"⏳ через "&amp;(F588-TODAY())&amp;" дн.",""))))</f>
        <v/>
      </c>
      <c r="K588" s="54">
        <f>IF(B588="","",IF(G588="✅ Выполнена","✔ ",IF(G588="❌ Отменена","✖ ",IF(AND(F588&lt;&gt;"",F588&lt;TODAY()),"❗ ","☐ ")))&amp;B588&amp;IF(E588="🔥 Высокий"," 🔥",""))</f>
        <v/>
      </c>
      <c r="L588" s="54">
        <f>IF(OR(B588="",F588="",G588="❌ Отменена"),"",F588&amp;"#"&amp;COUNTIFS($F$5:F588,F588,$B$5:B588,"?*",$G$5:G588,"&lt;&gt;❌ Отменена"))</f>
        <v/>
      </c>
      <c r="M588" s="54">
        <f>IF(AND(B588&lt;&gt;"",F588&lt;&gt;"",F588&lt;TODAY(),AND(G588&lt;&gt;"✅ Выполнена",G588&lt;&gt;"❌ Отменена")),MAX($M$4:M587)+1,"")</f>
        <v/>
      </c>
    </row>
    <row r="589">
      <c r="A589" s="49">
        <f>IF(B589="","",COUNTA($B$5:B589))</f>
        <v/>
      </c>
      <c r="B589" s="50" t="n"/>
      <c r="C589" s="51" t="n"/>
      <c r="D589" s="51" t="n"/>
      <c r="E589" s="52" t="n"/>
      <c r="F589" s="53" t="n"/>
      <c r="G589" s="51" t="n"/>
      <c r="H589" s="53" t="n"/>
      <c r="I589" s="51" t="n"/>
      <c r="J589" s="54">
        <f>IF(OR(B589="",F589="",NOT(AND(G589&lt;&gt;"✅ Выполнена",G589&lt;&gt;"❌ Отменена"))),"",IF(F589&lt;TODAY(),"❗ просрочено "&amp;(TODAY()-F589)&amp;" дн.",IF(F589=TODAY(),"🔥 сегодня",IF(F589-TODAY()&lt;=3,"⏳ через "&amp;(F589-TODAY())&amp;" дн.",""))))</f>
        <v/>
      </c>
      <c r="K589" s="54">
        <f>IF(B589="","",IF(G589="✅ Выполнена","✔ ",IF(G589="❌ Отменена","✖ ",IF(AND(F589&lt;&gt;"",F589&lt;TODAY()),"❗ ","☐ ")))&amp;B589&amp;IF(E589="🔥 Высокий"," 🔥",""))</f>
        <v/>
      </c>
      <c r="L589" s="54">
        <f>IF(OR(B589="",F589="",G589="❌ Отменена"),"",F589&amp;"#"&amp;COUNTIFS($F$5:F589,F589,$B$5:B589,"?*",$G$5:G589,"&lt;&gt;❌ Отменена"))</f>
        <v/>
      </c>
      <c r="M589" s="54">
        <f>IF(AND(B589&lt;&gt;"",F589&lt;&gt;"",F589&lt;TODAY(),AND(G589&lt;&gt;"✅ Выполнена",G589&lt;&gt;"❌ Отменена")),MAX($M$4:M588)+1,"")</f>
        <v/>
      </c>
    </row>
    <row r="590">
      <c r="A590" s="49">
        <f>IF(B590="","",COUNTA($B$5:B590))</f>
        <v/>
      </c>
      <c r="B590" s="50" t="n"/>
      <c r="C590" s="51" t="n"/>
      <c r="D590" s="51" t="n"/>
      <c r="E590" s="52" t="n"/>
      <c r="F590" s="53" t="n"/>
      <c r="G590" s="51" t="n"/>
      <c r="H590" s="53" t="n"/>
      <c r="I590" s="51" t="n"/>
      <c r="J590" s="54">
        <f>IF(OR(B590="",F590="",NOT(AND(G590&lt;&gt;"✅ Выполнена",G590&lt;&gt;"❌ Отменена"))),"",IF(F590&lt;TODAY(),"❗ просрочено "&amp;(TODAY()-F590)&amp;" дн.",IF(F590=TODAY(),"🔥 сегодня",IF(F590-TODAY()&lt;=3,"⏳ через "&amp;(F590-TODAY())&amp;" дн.",""))))</f>
        <v/>
      </c>
      <c r="K590" s="54">
        <f>IF(B590="","",IF(G590="✅ Выполнена","✔ ",IF(G590="❌ Отменена","✖ ",IF(AND(F590&lt;&gt;"",F590&lt;TODAY()),"❗ ","☐ ")))&amp;B590&amp;IF(E590="🔥 Высокий"," 🔥",""))</f>
        <v/>
      </c>
      <c r="L590" s="54">
        <f>IF(OR(B590="",F590="",G590="❌ Отменена"),"",F590&amp;"#"&amp;COUNTIFS($F$5:F590,F590,$B$5:B590,"?*",$G$5:G590,"&lt;&gt;❌ Отменена"))</f>
        <v/>
      </c>
      <c r="M590" s="54">
        <f>IF(AND(B590&lt;&gt;"",F590&lt;&gt;"",F590&lt;TODAY(),AND(G590&lt;&gt;"✅ Выполнена",G590&lt;&gt;"❌ Отменена")),MAX($M$4:M589)+1,"")</f>
        <v/>
      </c>
    </row>
    <row r="591">
      <c r="A591" s="49">
        <f>IF(B591="","",COUNTA($B$5:B591))</f>
        <v/>
      </c>
      <c r="B591" s="50" t="n"/>
      <c r="C591" s="51" t="n"/>
      <c r="D591" s="51" t="n"/>
      <c r="E591" s="52" t="n"/>
      <c r="F591" s="53" t="n"/>
      <c r="G591" s="51" t="n"/>
      <c r="H591" s="53" t="n"/>
      <c r="I591" s="51" t="n"/>
      <c r="J591" s="54">
        <f>IF(OR(B591="",F591="",NOT(AND(G591&lt;&gt;"✅ Выполнена",G591&lt;&gt;"❌ Отменена"))),"",IF(F591&lt;TODAY(),"❗ просрочено "&amp;(TODAY()-F591)&amp;" дн.",IF(F591=TODAY(),"🔥 сегодня",IF(F591-TODAY()&lt;=3,"⏳ через "&amp;(F591-TODAY())&amp;" дн.",""))))</f>
        <v/>
      </c>
      <c r="K591" s="54">
        <f>IF(B591="","",IF(G591="✅ Выполнена","✔ ",IF(G591="❌ Отменена","✖ ",IF(AND(F591&lt;&gt;"",F591&lt;TODAY()),"❗ ","☐ ")))&amp;B591&amp;IF(E591="🔥 Высокий"," 🔥",""))</f>
        <v/>
      </c>
      <c r="L591" s="54">
        <f>IF(OR(B591="",F591="",G591="❌ Отменена"),"",F591&amp;"#"&amp;COUNTIFS($F$5:F591,F591,$B$5:B591,"?*",$G$5:G591,"&lt;&gt;❌ Отменена"))</f>
        <v/>
      </c>
      <c r="M591" s="54">
        <f>IF(AND(B591&lt;&gt;"",F591&lt;&gt;"",F591&lt;TODAY(),AND(G591&lt;&gt;"✅ Выполнена",G591&lt;&gt;"❌ Отменена")),MAX($M$4:M590)+1,"")</f>
        <v/>
      </c>
    </row>
    <row r="592">
      <c r="A592" s="49">
        <f>IF(B592="","",COUNTA($B$5:B592))</f>
        <v/>
      </c>
      <c r="B592" s="50" t="n"/>
      <c r="C592" s="51" t="n"/>
      <c r="D592" s="51" t="n"/>
      <c r="E592" s="52" t="n"/>
      <c r="F592" s="53" t="n"/>
      <c r="G592" s="51" t="n"/>
      <c r="H592" s="53" t="n"/>
      <c r="I592" s="51" t="n"/>
      <c r="J592" s="54">
        <f>IF(OR(B592="",F592="",NOT(AND(G592&lt;&gt;"✅ Выполнена",G592&lt;&gt;"❌ Отменена"))),"",IF(F592&lt;TODAY(),"❗ просрочено "&amp;(TODAY()-F592)&amp;" дн.",IF(F592=TODAY(),"🔥 сегодня",IF(F592-TODAY()&lt;=3,"⏳ через "&amp;(F592-TODAY())&amp;" дн.",""))))</f>
        <v/>
      </c>
      <c r="K592" s="54">
        <f>IF(B592="","",IF(G592="✅ Выполнена","✔ ",IF(G592="❌ Отменена","✖ ",IF(AND(F592&lt;&gt;"",F592&lt;TODAY()),"❗ ","☐ ")))&amp;B592&amp;IF(E592="🔥 Высокий"," 🔥",""))</f>
        <v/>
      </c>
      <c r="L592" s="54">
        <f>IF(OR(B592="",F592="",G592="❌ Отменена"),"",F592&amp;"#"&amp;COUNTIFS($F$5:F592,F592,$B$5:B592,"?*",$G$5:G592,"&lt;&gt;❌ Отменена"))</f>
        <v/>
      </c>
      <c r="M592" s="54">
        <f>IF(AND(B592&lt;&gt;"",F592&lt;&gt;"",F592&lt;TODAY(),AND(G592&lt;&gt;"✅ Выполнена",G592&lt;&gt;"❌ Отменена")),MAX($M$4:M591)+1,"")</f>
        <v/>
      </c>
    </row>
    <row r="593">
      <c r="A593" s="49">
        <f>IF(B593="","",COUNTA($B$5:B593))</f>
        <v/>
      </c>
      <c r="B593" s="50" t="n"/>
      <c r="C593" s="51" t="n"/>
      <c r="D593" s="51" t="n"/>
      <c r="E593" s="52" t="n"/>
      <c r="F593" s="53" t="n"/>
      <c r="G593" s="51" t="n"/>
      <c r="H593" s="53" t="n"/>
      <c r="I593" s="51" t="n"/>
      <c r="J593" s="54">
        <f>IF(OR(B593="",F593="",NOT(AND(G593&lt;&gt;"✅ Выполнена",G593&lt;&gt;"❌ Отменена"))),"",IF(F593&lt;TODAY(),"❗ просрочено "&amp;(TODAY()-F593)&amp;" дн.",IF(F593=TODAY(),"🔥 сегодня",IF(F593-TODAY()&lt;=3,"⏳ через "&amp;(F593-TODAY())&amp;" дн.",""))))</f>
        <v/>
      </c>
      <c r="K593" s="54">
        <f>IF(B593="","",IF(G593="✅ Выполнена","✔ ",IF(G593="❌ Отменена","✖ ",IF(AND(F593&lt;&gt;"",F593&lt;TODAY()),"❗ ","☐ ")))&amp;B593&amp;IF(E593="🔥 Высокий"," 🔥",""))</f>
        <v/>
      </c>
      <c r="L593" s="54">
        <f>IF(OR(B593="",F593="",G593="❌ Отменена"),"",F593&amp;"#"&amp;COUNTIFS($F$5:F593,F593,$B$5:B593,"?*",$G$5:G593,"&lt;&gt;❌ Отменена"))</f>
        <v/>
      </c>
      <c r="M593" s="54">
        <f>IF(AND(B593&lt;&gt;"",F593&lt;&gt;"",F593&lt;TODAY(),AND(G593&lt;&gt;"✅ Выполнена",G593&lt;&gt;"❌ Отменена")),MAX($M$4:M592)+1,"")</f>
        <v/>
      </c>
    </row>
    <row r="594">
      <c r="A594" s="49">
        <f>IF(B594="","",COUNTA($B$5:B594))</f>
        <v/>
      </c>
      <c r="B594" s="50" t="n"/>
      <c r="C594" s="51" t="n"/>
      <c r="D594" s="51" t="n"/>
      <c r="E594" s="52" t="n"/>
      <c r="F594" s="53" t="n"/>
      <c r="G594" s="51" t="n"/>
      <c r="H594" s="53" t="n"/>
      <c r="I594" s="51" t="n"/>
      <c r="J594" s="54">
        <f>IF(OR(B594="",F594="",NOT(AND(G594&lt;&gt;"✅ Выполнена",G594&lt;&gt;"❌ Отменена"))),"",IF(F594&lt;TODAY(),"❗ просрочено "&amp;(TODAY()-F594)&amp;" дн.",IF(F594=TODAY(),"🔥 сегодня",IF(F594-TODAY()&lt;=3,"⏳ через "&amp;(F594-TODAY())&amp;" дн.",""))))</f>
        <v/>
      </c>
      <c r="K594" s="54">
        <f>IF(B594="","",IF(G594="✅ Выполнена","✔ ",IF(G594="❌ Отменена","✖ ",IF(AND(F594&lt;&gt;"",F594&lt;TODAY()),"❗ ","☐ ")))&amp;B594&amp;IF(E594="🔥 Высокий"," 🔥",""))</f>
        <v/>
      </c>
      <c r="L594" s="54">
        <f>IF(OR(B594="",F594="",G594="❌ Отменена"),"",F594&amp;"#"&amp;COUNTIFS($F$5:F594,F594,$B$5:B594,"?*",$G$5:G594,"&lt;&gt;❌ Отменена"))</f>
        <v/>
      </c>
      <c r="M594" s="54">
        <f>IF(AND(B594&lt;&gt;"",F594&lt;&gt;"",F594&lt;TODAY(),AND(G594&lt;&gt;"✅ Выполнена",G594&lt;&gt;"❌ Отменена")),MAX($M$4:M593)+1,"")</f>
        <v/>
      </c>
    </row>
    <row r="595">
      <c r="A595" s="49">
        <f>IF(B595="","",COUNTA($B$5:B595))</f>
        <v/>
      </c>
      <c r="B595" s="50" t="n"/>
      <c r="C595" s="51" t="n"/>
      <c r="D595" s="51" t="n"/>
      <c r="E595" s="52" t="n"/>
      <c r="F595" s="53" t="n"/>
      <c r="G595" s="51" t="n"/>
      <c r="H595" s="53" t="n"/>
      <c r="I595" s="51" t="n"/>
      <c r="J595" s="54">
        <f>IF(OR(B595="",F595="",NOT(AND(G595&lt;&gt;"✅ Выполнена",G595&lt;&gt;"❌ Отменена"))),"",IF(F595&lt;TODAY(),"❗ просрочено "&amp;(TODAY()-F595)&amp;" дн.",IF(F595=TODAY(),"🔥 сегодня",IF(F595-TODAY()&lt;=3,"⏳ через "&amp;(F595-TODAY())&amp;" дн.",""))))</f>
        <v/>
      </c>
      <c r="K595" s="54">
        <f>IF(B595="","",IF(G595="✅ Выполнена","✔ ",IF(G595="❌ Отменена","✖ ",IF(AND(F595&lt;&gt;"",F595&lt;TODAY()),"❗ ","☐ ")))&amp;B595&amp;IF(E595="🔥 Высокий"," 🔥",""))</f>
        <v/>
      </c>
      <c r="L595" s="54">
        <f>IF(OR(B595="",F595="",G595="❌ Отменена"),"",F595&amp;"#"&amp;COUNTIFS($F$5:F595,F595,$B$5:B595,"?*",$G$5:G595,"&lt;&gt;❌ Отменена"))</f>
        <v/>
      </c>
      <c r="M595" s="54">
        <f>IF(AND(B595&lt;&gt;"",F595&lt;&gt;"",F595&lt;TODAY(),AND(G595&lt;&gt;"✅ Выполнена",G595&lt;&gt;"❌ Отменена")),MAX($M$4:M594)+1,"")</f>
        <v/>
      </c>
    </row>
    <row r="596">
      <c r="A596" s="49">
        <f>IF(B596="","",COUNTA($B$5:B596))</f>
        <v/>
      </c>
      <c r="B596" s="50" t="n"/>
      <c r="C596" s="51" t="n"/>
      <c r="D596" s="51" t="n"/>
      <c r="E596" s="52" t="n"/>
      <c r="F596" s="53" t="n"/>
      <c r="G596" s="51" t="n"/>
      <c r="H596" s="53" t="n"/>
      <c r="I596" s="51" t="n"/>
      <c r="J596" s="54">
        <f>IF(OR(B596="",F596="",NOT(AND(G596&lt;&gt;"✅ Выполнена",G596&lt;&gt;"❌ Отменена"))),"",IF(F596&lt;TODAY(),"❗ просрочено "&amp;(TODAY()-F596)&amp;" дн.",IF(F596=TODAY(),"🔥 сегодня",IF(F596-TODAY()&lt;=3,"⏳ через "&amp;(F596-TODAY())&amp;" дн.",""))))</f>
        <v/>
      </c>
      <c r="K596" s="54">
        <f>IF(B596="","",IF(G596="✅ Выполнена","✔ ",IF(G596="❌ Отменена","✖ ",IF(AND(F596&lt;&gt;"",F596&lt;TODAY()),"❗ ","☐ ")))&amp;B596&amp;IF(E596="🔥 Высокий"," 🔥",""))</f>
        <v/>
      </c>
      <c r="L596" s="54">
        <f>IF(OR(B596="",F596="",G596="❌ Отменена"),"",F596&amp;"#"&amp;COUNTIFS($F$5:F596,F596,$B$5:B596,"?*",$G$5:G596,"&lt;&gt;❌ Отменена"))</f>
        <v/>
      </c>
      <c r="M596" s="54">
        <f>IF(AND(B596&lt;&gt;"",F596&lt;&gt;"",F596&lt;TODAY(),AND(G596&lt;&gt;"✅ Выполнена",G596&lt;&gt;"❌ Отменена")),MAX($M$4:M595)+1,"")</f>
        <v/>
      </c>
    </row>
    <row r="597">
      <c r="A597" s="49">
        <f>IF(B597="","",COUNTA($B$5:B597))</f>
        <v/>
      </c>
      <c r="B597" s="50" t="n"/>
      <c r="C597" s="51" t="n"/>
      <c r="D597" s="51" t="n"/>
      <c r="E597" s="52" t="n"/>
      <c r="F597" s="53" t="n"/>
      <c r="G597" s="51" t="n"/>
      <c r="H597" s="53" t="n"/>
      <c r="I597" s="51" t="n"/>
      <c r="J597" s="54">
        <f>IF(OR(B597="",F597="",NOT(AND(G597&lt;&gt;"✅ Выполнена",G597&lt;&gt;"❌ Отменена"))),"",IF(F597&lt;TODAY(),"❗ просрочено "&amp;(TODAY()-F597)&amp;" дн.",IF(F597=TODAY(),"🔥 сегодня",IF(F597-TODAY()&lt;=3,"⏳ через "&amp;(F597-TODAY())&amp;" дн.",""))))</f>
        <v/>
      </c>
      <c r="K597" s="54">
        <f>IF(B597="","",IF(G597="✅ Выполнена","✔ ",IF(G597="❌ Отменена","✖ ",IF(AND(F597&lt;&gt;"",F597&lt;TODAY()),"❗ ","☐ ")))&amp;B597&amp;IF(E597="🔥 Высокий"," 🔥",""))</f>
        <v/>
      </c>
      <c r="L597" s="54">
        <f>IF(OR(B597="",F597="",G597="❌ Отменена"),"",F597&amp;"#"&amp;COUNTIFS($F$5:F597,F597,$B$5:B597,"?*",$G$5:G597,"&lt;&gt;❌ Отменена"))</f>
        <v/>
      </c>
      <c r="M597" s="54">
        <f>IF(AND(B597&lt;&gt;"",F597&lt;&gt;"",F597&lt;TODAY(),AND(G597&lt;&gt;"✅ Выполнена",G597&lt;&gt;"❌ Отменена")),MAX($M$4:M596)+1,"")</f>
        <v/>
      </c>
    </row>
    <row r="598">
      <c r="A598" s="49">
        <f>IF(B598="","",COUNTA($B$5:B598))</f>
        <v/>
      </c>
      <c r="B598" s="50" t="n"/>
      <c r="C598" s="51" t="n"/>
      <c r="D598" s="51" t="n"/>
      <c r="E598" s="52" t="n"/>
      <c r="F598" s="53" t="n"/>
      <c r="G598" s="51" t="n"/>
      <c r="H598" s="53" t="n"/>
      <c r="I598" s="51" t="n"/>
      <c r="J598" s="54">
        <f>IF(OR(B598="",F598="",NOT(AND(G598&lt;&gt;"✅ Выполнена",G598&lt;&gt;"❌ Отменена"))),"",IF(F598&lt;TODAY(),"❗ просрочено "&amp;(TODAY()-F598)&amp;" дн.",IF(F598=TODAY(),"🔥 сегодня",IF(F598-TODAY()&lt;=3,"⏳ через "&amp;(F598-TODAY())&amp;" дн.",""))))</f>
        <v/>
      </c>
      <c r="K598" s="54">
        <f>IF(B598="","",IF(G598="✅ Выполнена","✔ ",IF(G598="❌ Отменена","✖ ",IF(AND(F598&lt;&gt;"",F598&lt;TODAY()),"❗ ","☐ ")))&amp;B598&amp;IF(E598="🔥 Высокий"," 🔥",""))</f>
        <v/>
      </c>
      <c r="L598" s="54">
        <f>IF(OR(B598="",F598="",G598="❌ Отменена"),"",F598&amp;"#"&amp;COUNTIFS($F$5:F598,F598,$B$5:B598,"?*",$G$5:G598,"&lt;&gt;❌ Отменена"))</f>
        <v/>
      </c>
      <c r="M598" s="54">
        <f>IF(AND(B598&lt;&gt;"",F598&lt;&gt;"",F598&lt;TODAY(),AND(G598&lt;&gt;"✅ Выполнена",G598&lt;&gt;"❌ Отменена")),MAX($M$4:M597)+1,"")</f>
        <v/>
      </c>
    </row>
    <row r="599">
      <c r="A599" s="49">
        <f>IF(B599="","",COUNTA($B$5:B599))</f>
        <v/>
      </c>
      <c r="B599" s="50" t="n"/>
      <c r="C599" s="51" t="n"/>
      <c r="D599" s="51" t="n"/>
      <c r="E599" s="52" t="n"/>
      <c r="F599" s="53" t="n"/>
      <c r="G599" s="51" t="n"/>
      <c r="H599" s="53" t="n"/>
      <c r="I599" s="51" t="n"/>
      <c r="J599" s="54">
        <f>IF(OR(B599="",F599="",NOT(AND(G599&lt;&gt;"✅ Выполнена",G599&lt;&gt;"❌ Отменена"))),"",IF(F599&lt;TODAY(),"❗ просрочено "&amp;(TODAY()-F599)&amp;" дн.",IF(F599=TODAY(),"🔥 сегодня",IF(F599-TODAY()&lt;=3,"⏳ через "&amp;(F599-TODAY())&amp;" дн.",""))))</f>
        <v/>
      </c>
      <c r="K599" s="54">
        <f>IF(B599="","",IF(G599="✅ Выполнена","✔ ",IF(G599="❌ Отменена","✖ ",IF(AND(F599&lt;&gt;"",F599&lt;TODAY()),"❗ ","☐ ")))&amp;B599&amp;IF(E599="🔥 Высокий"," 🔥",""))</f>
        <v/>
      </c>
      <c r="L599" s="54">
        <f>IF(OR(B599="",F599="",G599="❌ Отменена"),"",F599&amp;"#"&amp;COUNTIFS($F$5:F599,F599,$B$5:B599,"?*",$G$5:G599,"&lt;&gt;❌ Отменена"))</f>
        <v/>
      </c>
      <c r="M599" s="54">
        <f>IF(AND(B599&lt;&gt;"",F599&lt;&gt;"",F599&lt;TODAY(),AND(G599&lt;&gt;"✅ Выполнена",G599&lt;&gt;"❌ Отменена")),MAX($M$4:M598)+1,"")</f>
        <v/>
      </c>
    </row>
    <row r="600">
      <c r="A600" s="49">
        <f>IF(B600="","",COUNTA($B$5:B600))</f>
        <v/>
      </c>
      <c r="B600" s="50" t="n"/>
      <c r="C600" s="51" t="n"/>
      <c r="D600" s="51" t="n"/>
      <c r="E600" s="52" t="n"/>
      <c r="F600" s="53" t="n"/>
      <c r="G600" s="51" t="n"/>
      <c r="H600" s="53" t="n"/>
      <c r="I600" s="51" t="n"/>
      <c r="J600" s="54">
        <f>IF(OR(B600="",F600="",NOT(AND(G600&lt;&gt;"✅ Выполнена",G600&lt;&gt;"❌ Отменена"))),"",IF(F600&lt;TODAY(),"❗ просрочено "&amp;(TODAY()-F600)&amp;" дн.",IF(F600=TODAY(),"🔥 сегодня",IF(F600-TODAY()&lt;=3,"⏳ через "&amp;(F600-TODAY())&amp;" дн.",""))))</f>
        <v/>
      </c>
      <c r="K600" s="54">
        <f>IF(B600="","",IF(G600="✅ Выполнена","✔ ",IF(G600="❌ Отменена","✖ ",IF(AND(F600&lt;&gt;"",F600&lt;TODAY()),"❗ ","☐ ")))&amp;B600&amp;IF(E600="🔥 Высокий"," 🔥",""))</f>
        <v/>
      </c>
      <c r="L600" s="54">
        <f>IF(OR(B600="",F600="",G600="❌ Отменена"),"",F600&amp;"#"&amp;COUNTIFS($F$5:F600,F600,$B$5:B600,"?*",$G$5:G600,"&lt;&gt;❌ Отменена"))</f>
        <v/>
      </c>
      <c r="M600" s="54">
        <f>IF(AND(B600&lt;&gt;"",F600&lt;&gt;"",F600&lt;TODAY(),AND(G600&lt;&gt;"✅ Выполнена",G600&lt;&gt;"❌ Отменена")),MAX($M$4:M599)+1,"")</f>
        <v/>
      </c>
    </row>
    <row r="601">
      <c r="A601" s="49">
        <f>IF(B601="","",COUNTA($B$5:B601))</f>
        <v/>
      </c>
      <c r="B601" s="50" t="n"/>
      <c r="C601" s="51" t="n"/>
      <c r="D601" s="51" t="n"/>
      <c r="E601" s="52" t="n"/>
      <c r="F601" s="53" t="n"/>
      <c r="G601" s="51" t="n"/>
      <c r="H601" s="53" t="n"/>
      <c r="I601" s="51" t="n"/>
      <c r="J601" s="54">
        <f>IF(OR(B601="",F601="",NOT(AND(G601&lt;&gt;"✅ Выполнена",G601&lt;&gt;"❌ Отменена"))),"",IF(F601&lt;TODAY(),"❗ просрочено "&amp;(TODAY()-F601)&amp;" дн.",IF(F601=TODAY(),"🔥 сегодня",IF(F601-TODAY()&lt;=3,"⏳ через "&amp;(F601-TODAY())&amp;" дн.",""))))</f>
        <v/>
      </c>
      <c r="K601" s="54">
        <f>IF(B601="","",IF(G601="✅ Выполнена","✔ ",IF(G601="❌ Отменена","✖ ",IF(AND(F601&lt;&gt;"",F601&lt;TODAY()),"❗ ","☐ ")))&amp;B601&amp;IF(E601="🔥 Высокий"," 🔥",""))</f>
        <v/>
      </c>
      <c r="L601" s="54">
        <f>IF(OR(B601="",F601="",G601="❌ Отменена"),"",F601&amp;"#"&amp;COUNTIFS($F$5:F601,F601,$B$5:B601,"?*",$G$5:G601,"&lt;&gt;❌ Отменена"))</f>
        <v/>
      </c>
      <c r="M601" s="54">
        <f>IF(AND(B601&lt;&gt;"",F601&lt;&gt;"",F601&lt;TODAY(),AND(G601&lt;&gt;"✅ Выполнена",G601&lt;&gt;"❌ Отменена")),MAX($M$4:M600)+1,"")</f>
        <v/>
      </c>
    </row>
    <row r="602">
      <c r="A602" s="49">
        <f>IF(B602="","",COUNTA($B$5:B602))</f>
        <v/>
      </c>
      <c r="B602" s="50" t="n"/>
      <c r="C602" s="51" t="n"/>
      <c r="D602" s="51" t="n"/>
      <c r="E602" s="52" t="n"/>
      <c r="F602" s="53" t="n"/>
      <c r="G602" s="51" t="n"/>
      <c r="H602" s="53" t="n"/>
      <c r="I602" s="51" t="n"/>
      <c r="J602" s="54">
        <f>IF(OR(B602="",F602="",NOT(AND(G602&lt;&gt;"✅ Выполнена",G602&lt;&gt;"❌ Отменена"))),"",IF(F602&lt;TODAY(),"❗ просрочено "&amp;(TODAY()-F602)&amp;" дн.",IF(F602=TODAY(),"🔥 сегодня",IF(F602-TODAY()&lt;=3,"⏳ через "&amp;(F602-TODAY())&amp;" дн.",""))))</f>
        <v/>
      </c>
      <c r="K602" s="54">
        <f>IF(B602="","",IF(G602="✅ Выполнена","✔ ",IF(G602="❌ Отменена","✖ ",IF(AND(F602&lt;&gt;"",F602&lt;TODAY()),"❗ ","☐ ")))&amp;B602&amp;IF(E602="🔥 Высокий"," 🔥",""))</f>
        <v/>
      </c>
      <c r="L602" s="54">
        <f>IF(OR(B602="",F602="",G602="❌ Отменена"),"",F602&amp;"#"&amp;COUNTIFS($F$5:F602,F602,$B$5:B602,"?*",$G$5:G602,"&lt;&gt;❌ Отменена"))</f>
        <v/>
      </c>
      <c r="M602" s="54">
        <f>IF(AND(B602&lt;&gt;"",F602&lt;&gt;"",F602&lt;TODAY(),AND(G602&lt;&gt;"✅ Выполнена",G602&lt;&gt;"❌ Отменена")),MAX($M$4:M601)+1,"")</f>
        <v/>
      </c>
    </row>
    <row r="603">
      <c r="A603" s="49">
        <f>IF(B603="","",COUNTA($B$5:B603))</f>
        <v/>
      </c>
      <c r="B603" s="50" t="n"/>
      <c r="C603" s="51" t="n"/>
      <c r="D603" s="51" t="n"/>
      <c r="E603" s="52" t="n"/>
      <c r="F603" s="53" t="n"/>
      <c r="G603" s="51" t="n"/>
      <c r="H603" s="53" t="n"/>
      <c r="I603" s="51" t="n"/>
      <c r="J603" s="54">
        <f>IF(OR(B603="",F603="",NOT(AND(G603&lt;&gt;"✅ Выполнена",G603&lt;&gt;"❌ Отменена"))),"",IF(F603&lt;TODAY(),"❗ просрочено "&amp;(TODAY()-F603)&amp;" дн.",IF(F603=TODAY(),"🔥 сегодня",IF(F603-TODAY()&lt;=3,"⏳ через "&amp;(F603-TODAY())&amp;" дн.",""))))</f>
        <v/>
      </c>
      <c r="K603" s="54">
        <f>IF(B603="","",IF(G603="✅ Выполнена","✔ ",IF(G603="❌ Отменена","✖ ",IF(AND(F603&lt;&gt;"",F603&lt;TODAY()),"❗ ","☐ ")))&amp;B603&amp;IF(E603="🔥 Высокий"," 🔥",""))</f>
        <v/>
      </c>
      <c r="L603" s="54">
        <f>IF(OR(B603="",F603="",G603="❌ Отменена"),"",F603&amp;"#"&amp;COUNTIFS($F$5:F603,F603,$B$5:B603,"?*",$G$5:G603,"&lt;&gt;❌ Отменена"))</f>
        <v/>
      </c>
      <c r="M603" s="54">
        <f>IF(AND(B603&lt;&gt;"",F603&lt;&gt;"",F603&lt;TODAY(),AND(G603&lt;&gt;"✅ Выполнена",G603&lt;&gt;"❌ Отменена")),MAX($M$4:M602)+1,"")</f>
        <v/>
      </c>
    </row>
    <row r="604">
      <c r="A604" s="49">
        <f>IF(B604="","",COUNTA($B$5:B604))</f>
        <v/>
      </c>
      <c r="B604" s="50" t="n"/>
      <c r="C604" s="51" t="n"/>
      <c r="D604" s="51" t="n"/>
      <c r="E604" s="52" t="n"/>
      <c r="F604" s="53" t="n"/>
      <c r="G604" s="51" t="n"/>
      <c r="H604" s="53" t="n"/>
      <c r="I604" s="51" t="n"/>
      <c r="J604" s="54">
        <f>IF(OR(B604="",F604="",NOT(AND(G604&lt;&gt;"✅ Выполнена",G604&lt;&gt;"❌ Отменена"))),"",IF(F604&lt;TODAY(),"❗ просрочено "&amp;(TODAY()-F604)&amp;" дн.",IF(F604=TODAY(),"🔥 сегодня",IF(F604-TODAY()&lt;=3,"⏳ через "&amp;(F604-TODAY())&amp;" дн.",""))))</f>
        <v/>
      </c>
      <c r="K604" s="54">
        <f>IF(B604="","",IF(G604="✅ Выполнена","✔ ",IF(G604="❌ Отменена","✖ ",IF(AND(F604&lt;&gt;"",F604&lt;TODAY()),"❗ ","☐ ")))&amp;B604&amp;IF(E604="🔥 Высокий"," 🔥",""))</f>
        <v/>
      </c>
      <c r="L604" s="54">
        <f>IF(OR(B604="",F604="",G604="❌ Отменена"),"",F604&amp;"#"&amp;COUNTIFS($F$5:F604,F604,$B$5:B604,"?*",$G$5:G604,"&lt;&gt;❌ Отменена"))</f>
        <v/>
      </c>
      <c r="M604" s="54">
        <f>IF(AND(B604&lt;&gt;"",F604&lt;&gt;"",F604&lt;TODAY(),AND(G604&lt;&gt;"✅ Выполнена",G604&lt;&gt;"❌ Отменена")),MAX($M$4:M603)+1,"")</f>
        <v/>
      </c>
    </row>
    <row r="605">
      <c r="A605" s="49">
        <f>IF(B605="","",COUNTA($B$5:B605))</f>
        <v/>
      </c>
      <c r="B605" s="50" t="n"/>
      <c r="C605" s="51" t="n"/>
      <c r="D605" s="51" t="n"/>
      <c r="E605" s="52" t="n"/>
      <c r="F605" s="53" t="n"/>
      <c r="G605" s="51" t="n"/>
      <c r="H605" s="53" t="n"/>
      <c r="I605" s="51" t="n"/>
      <c r="J605" s="54">
        <f>IF(OR(B605="",F605="",NOT(AND(G605&lt;&gt;"✅ Выполнена",G605&lt;&gt;"❌ Отменена"))),"",IF(F605&lt;TODAY(),"❗ просрочено "&amp;(TODAY()-F605)&amp;" дн.",IF(F605=TODAY(),"🔥 сегодня",IF(F605-TODAY()&lt;=3,"⏳ через "&amp;(F605-TODAY())&amp;" дн.",""))))</f>
        <v/>
      </c>
      <c r="K605" s="54">
        <f>IF(B605="","",IF(G605="✅ Выполнена","✔ ",IF(G605="❌ Отменена","✖ ",IF(AND(F605&lt;&gt;"",F605&lt;TODAY()),"❗ ","☐ ")))&amp;B605&amp;IF(E605="🔥 Высокий"," 🔥",""))</f>
        <v/>
      </c>
      <c r="L605" s="54">
        <f>IF(OR(B605="",F605="",G605="❌ Отменена"),"",F605&amp;"#"&amp;COUNTIFS($F$5:F605,F605,$B$5:B605,"?*",$G$5:G605,"&lt;&gt;❌ Отменена"))</f>
        <v/>
      </c>
      <c r="M605" s="54">
        <f>IF(AND(B605&lt;&gt;"",F605&lt;&gt;"",F605&lt;TODAY(),AND(G605&lt;&gt;"✅ Выполнена",G605&lt;&gt;"❌ Отменена")),MAX($M$4:M604)+1,"")</f>
        <v/>
      </c>
    </row>
    <row r="606">
      <c r="A606" s="49">
        <f>IF(B606="","",COUNTA($B$5:B606))</f>
        <v/>
      </c>
      <c r="B606" s="50" t="n"/>
      <c r="C606" s="51" t="n"/>
      <c r="D606" s="51" t="n"/>
      <c r="E606" s="52" t="n"/>
      <c r="F606" s="53" t="n"/>
      <c r="G606" s="51" t="n"/>
      <c r="H606" s="53" t="n"/>
      <c r="I606" s="51" t="n"/>
      <c r="J606" s="54">
        <f>IF(OR(B606="",F606="",NOT(AND(G606&lt;&gt;"✅ Выполнена",G606&lt;&gt;"❌ Отменена"))),"",IF(F606&lt;TODAY(),"❗ просрочено "&amp;(TODAY()-F606)&amp;" дн.",IF(F606=TODAY(),"🔥 сегодня",IF(F606-TODAY()&lt;=3,"⏳ через "&amp;(F606-TODAY())&amp;" дн.",""))))</f>
        <v/>
      </c>
      <c r="K606" s="54">
        <f>IF(B606="","",IF(G606="✅ Выполнена","✔ ",IF(G606="❌ Отменена","✖ ",IF(AND(F606&lt;&gt;"",F606&lt;TODAY()),"❗ ","☐ ")))&amp;B606&amp;IF(E606="🔥 Высокий"," 🔥",""))</f>
        <v/>
      </c>
      <c r="L606" s="54">
        <f>IF(OR(B606="",F606="",G606="❌ Отменена"),"",F606&amp;"#"&amp;COUNTIFS($F$5:F606,F606,$B$5:B606,"?*",$G$5:G606,"&lt;&gt;❌ Отменена"))</f>
        <v/>
      </c>
      <c r="M606" s="54">
        <f>IF(AND(B606&lt;&gt;"",F606&lt;&gt;"",F606&lt;TODAY(),AND(G606&lt;&gt;"✅ Выполнена",G606&lt;&gt;"❌ Отменена")),MAX($M$4:M605)+1,"")</f>
        <v/>
      </c>
    </row>
    <row r="607">
      <c r="A607" s="49">
        <f>IF(B607="","",COUNTA($B$5:B607))</f>
        <v/>
      </c>
      <c r="B607" s="50" t="n"/>
      <c r="C607" s="51" t="n"/>
      <c r="D607" s="51" t="n"/>
      <c r="E607" s="52" t="n"/>
      <c r="F607" s="53" t="n"/>
      <c r="G607" s="51" t="n"/>
      <c r="H607" s="53" t="n"/>
      <c r="I607" s="51" t="n"/>
      <c r="J607" s="54">
        <f>IF(OR(B607="",F607="",NOT(AND(G607&lt;&gt;"✅ Выполнена",G607&lt;&gt;"❌ Отменена"))),"",IF(F607&lt;TODAY(),"❗ просрочено "&amp;(TODAY()-F607)&amp;" дн.",IF(F607=TODAY(),"🔥 сегодня",IF(F607-TODAY()&lt;=3,"⏳ через "&amp;(F607-TODAY())&amp;" дн.",""))))</f>
        <v/>
      </c>
      <c r="K607" s="54">
        <f>IF(B607="","",IF(G607="✅ Выполнена","✔ ",IF(G607="❌ Отменена","✖ ",IF(AND(F607&lt;&gt;"",F607&lt;TODAY()),"❗ ","☐ ")))&amp;B607&amp;IF(E607="🔥 Высокий"," 🔥",""))</f>
        <v/>
      </c>
      <c r="L607" s="54">
        <f>IF(OR(B607="",F607="",G607="❌ Отменена"),"",F607&amp;"#"&amp;COUNTIFS($F$5:F607,F607,$B$5:B607,"?*",$G$5:G607,"&lt;&gt;❌ Отменена"))</f>
        <v/>
      </c>
      <c r="M607" s="54">
        <f>IF(AND(B607&lt;&gt;"",F607&lt;&gt;"",F607&lt;TODAY(),AND(G607&lt;&gt;"✅ Выполнена",G607&lt;&gt;"❌ Отменена")),MAX($M$4:M606)+1,"")</f>
        <v/>
      </c>
    </row>
    <row r="608">
      <c r="A608" s="49">
        <f>IF(B608="","",COUNTA($B$5:B608))</f>
        <v/>
      </c>
      <c r="B608" s="50" t="n"/>
      <c r="C608" s="51" t="n"/>
      <c r="D608" s="51" t="n"/>
      <c r="E608" s="52" t="n"/>
      <c r="F608" s="53" t="n"/>
      <c r="G608" s="51" t="n"/>
      <c r="H608" s="53" t="n"/>
      <c r="I608" s="51" t="n"/>
      <c r="J608" s="54">
        <f>IF(OR(B608="",F608="",NOT(AND(G608&lt;&gt;"✅ Выполнена",G608&lt;&gt;"❌ Отменена"))),"",IF(F608&lt;TODAY(),"❗ просрочено "&amp;(TODAY()-F608)&amp;" дн.",IF(F608=TODAY(),"🔥 сегодня",IF(F608-TODAY()&lt;=3,"⏳ через "&amp;(F608-TODAY())&amp;" дн.",""))))</f>
        <v/>
      </c>
      <c r="K608" s="54">
        <f>IF(B608="","",IF(G608="✅ Выполнена","✔ ",IF(G608="❌ Отменена","✖ ",IF(AND(F608&lt;&gt;"",F608&lt;TODAY()),"❗ ","☐ ")))&amp;B608&amp;IF(E608="🔥 Высокий"," 🔥",""))</f>
        <v/>
      </c>
      <c r="L608" s="54">
        <f>IF(OR(B608="",F608="",G608="❌ Отменена"),"",F608&amp;"#"&amp;COUNTIFS($F$5:F608,F608,$B$5:B608,"?*",$G$5:G608,"&lt;&gt;❌ Отменена"))</f>
        <v/>
      </c>
      <c r="M608" s="54">
        <f>IF(AND(B608&lt;&gt;"",F608&lt;&gt;"",F608&lt;TODAY(),AND(G608&lt;&gt;"✅ Выполнена",G608&lt;&gt;"❌ Отменена")),MAX($M$4:M607)+1,"")</f>
        <v/>
      </c>
    </row>
    <row r="609">
      <c r="A609" s="49">
        <f>IF(B609="","",COUNTA($B$5:B609))</f>
        <v/>
      </c>
      <c r="B609" s="50" t="n"/>
      <c r="C609" s="51" t="n"/>
      <c r="D609" s="51" t="n"/>
      <c r="E609" s="52" t="n"/>
      <c r="F609" s="53" t="n"/>
      <c r="G609" s="51" t="n"/>
      <c r="H609" s="53" t="n"/>
      <c r="I609" s="51" t="n"/>
      <c r="J609" s="54">
        <f>IF(OR(B609="",F609="",NOT(AND(G609&lt;&gt;"✅ Выполнена",G609&lt;&gt;"❌ Отменена"))),"",IF(F609&lt;TODAY(),"❗ просрочено "&amp;(TODAY()-F609)&amp;" дн.",IF(F609=TODAY(),"🔥 сегодня",IF(F609-TODAY()&lt;=3,"⏳ через "&amp;(F609-TODAY())&amp;" дн.",""))))</f>
        <v/>
      </c>
      <c r="K609" s="54">
        <f>IF(B609="","",IF(G609="✅ Выполнена","✔ ",IF(G609="❌ Отменена","✖ ",IF(AND(F609&lt;&gt;"",F609&lt;TODAY()),"❗ ","☐ ")))&amp;B609&amp;IF(E609="🔥 Высокий"," 🔥",""))</f>
        <v/>
      </c>
      <c r="L609" s="54">
        <f>IF(OR(B609="",F609="",G609="❌ Отменена"),"",F609&amp;"#"&amp;COUNTIFS($F$5:F609,F609,$B$5:B609,"?*",$G$5:G609,"&lt;&gt;❌ Отменена"))</f>
        <v/>
      </c>
      <c r="M609" s="54">
        <f>IF(AND(B609&lt;&gt;"",F609&lt;&gt;"",F609&lt;TODAY(),AND(G609&lt;&gt;"✅ Выполнена",G609&lt;&gt;"❌ Отменена")),MAX($M$4:M608)+1,"")</f>
        <v/>
      </c>
    </row>
    <row r="610">
      <c r="A610" s="49">
        <f>IF(B610="","",COUNTA($B$5:B610))</f>
        <v/>
      </c>
      <c r="B610" s="50" t="n"/>
      <c r="C610" s="51" t="n"/>
      <c r="D610" s="51" t="n"/>
      <c r="E610" s="52" t="n"/>
      <c r="F610" s="53" t="n"/>
      <c r="G610" s="51" t="n"/>
      <c r="H610" s="53" t="n"/>
      <c r="I610" s="51" t="n"/>
      <c r="J610" s="54">
        <f>IF(OR(B610="",F610="",NOT(AND(G610&lt;&gt;"✅ Выполнена",G610&lt;&gt;"❌ Отменена"))),"",IF(F610&lt;TODAY(),"❗ просрочено "&amp;(TODAY()-F610)&amp;" дн.",IF(F610=TODAY(),"🔥 сегодня",IF(F610-TODAY()&lt;=3,"⏳ через "&amp;(F610-TODAY())&amp;" дн.",""))))</f>
        <v/>
      </c>
      <c r="K610" s="54">
        <f>IF(B610="","",IF(G610="✅ Выполнена","✔ ",IF(G610="❌ Отменена","✖ ",IF(AND(F610&lt;&gt;"",F610&lt;TODAY()),"❗ ","☐ ")))&amp;B610&amp;IF(E610="🔥 Высокий"," 🔥",""))</f>
        <v/>
      </c>
      <c r="L610" s="54">
        <f>IF(OR(B610="",F610="",G610="❌ Отменена"),"",F610&amp;"#"&amp;COUNTIFS($F$5:F610,F610,$B$5:B610,"?*",$G$5:G610,"&lt;&gt;❌ Отменена"))</f>
        <v/>
      </c>
      <c r="M610" s="54">
        <f>IF(AND(B610&lt;&gt;"",F610&lt;&gt;"",F610&lt;TODAY(),AND(G610&lt;&gt;"✅ Выполнена",G610&lt;&gt;"❌ Отменена")),MAX($M$4:M609)+1,"")</f>
        <v/>
      </c>
    </row>
    <row r="611">
      <c r="A611" s="49">
        <f>IF(B611="","",COUNTA($B$5:B611))</f>
        <v/>
      </c>
      <c r="B611" s="50" t="n"/>
      <c r="C611" s="51" t="n"/>
      <c r="D611" s="51" t="n"/>
      <c r="E611" s="52" t="n"/>
      <c r="F611" s="53" t="n"/>
      <c r="G611" s="51" t="n"/>
      <c r="H611" s="53" t="n"/>
      <c r="I611" s="51" t="n"/>
      <c r="J611" s="54">
        <f>IF(OR(B611="",F611="",NOT(AND(G611&lt;&gt;"✅ Выполнена",G611&lt;&gt;"❌ Отменена"))),"",IF(F611&lt;TODAY(),"❗ просрочено "&amp;(TODAY()-F611)&amp;" дн.",IF(F611=TODAY(),"🔥 сегодня",IF(F611-TODAY()&lt;=3,"⏳ через "&amp;(F611-TODAY())&amp;" дн.",""))))</f>
        <v/>
      </c>
      <c r="K611" s="54">
        <f>IF(B611="","",IF(G611="✅ Выполнена","✔ ",IF(G611="❌ Отменена","✖ ",IF(AND(F611&lt;&gt;"",F611&lt;TODAY()),"❗ ","☐ ")))&amp;B611&amp;IF(E611="🔥 Высокий"," 🔥",""))</f>
        <v/>
      </c>
      <c r="L611" s="54">
        <f>IF(OR(B611="",F611="",G611="❌ Отменена"),"",F611&amp;"#"&amp;COUNTIFS($F$5:F611,F611,$B$5:B611,"?*",$G$5:G611,"&lt;&gt;❌ Отменена"))</f>
        <v/>
      </c>
      <c r="M611" s="54">
        <f>IF(AND(B611&lt;&gt;"",F611&lt;&gt;"",F611&lt;TODAY(),AND(G611&lt;&gt;"✅ Выполнена",G611&lt;&gt;"❌ Отменена")),MAX($M$4:M610)+1,"")</f>
        <v/>
      </c>
    </row>
    <row r="612">
      <c r="A612" s="49">
        <f>IF(B612="","",COUNTA($B$5:B612))</f>
        <v/>
      </c>
      <c r="B612" s="50" t="n"/>
      <c r="C612" s="51" t="n"/>
      <c r="D612" s="51" t="n"/>
      <c r="E612" s="52" t="n"/>
      <c r="F612" s="53" t="n"/>
      <c r="G612" s="51" t="n"/>
      <c r="H612" s="53" t="n"/>
      <c r="I612" s="51" t="n"/>
      <c r="J612" s="54">
        <f>IF(OR(B612="",F612="",NOT(AND(G612&lt;&gt;"✅ Выполнена",G612&lt;&gt;"❌ Отменена"))),"",IF(F612&lt;TODAY(),"❗ просрочено "&amp;(TODAY()-F612)&amp;" дн.",IF(F612=TODAY(),"🔥 сегодня",IF(F612-TODAY()&lt;=3,"⏳ через "&amp;(F612-TODAY())&amp;" дн.",""))))</f>
        <v/>
      </c>
      <c r="K612" s="54">
        <f>IF(B612="","",IF(G612="✅ Выполнена","✔ ",IF(G612="❌ Отменена","✖ ",IF(AND(F612&lt;&gt;"",F612&lt;TODAY()),"❗ ","☐ ")))&amp;B612&amp;IF(E612="🔥 Высокий"," 🔥",""))</f>
        <v/>
      </c>
      <c r="L612" s="54">
        <f>IF(OR(B612="",F612="",G612="❌ Отменена"),"",F612&amp;"#"&amp;COUNTIFS($F$5:F612,F612,$B$5:B612,"?*",$G$5:G612,"&lt;&gt;❌ Отменена"))</f>
        <v/>
      </c>
      <c r="M612" s="54">
        <f>IF(AND(B612&lt;&gt;"",F612&lt;&gt;"",F612&lt;TODAY(),AND(G612&lt;&gt;"✅ Выполнена",G612&lt;&gt;"❌ Отменена")),MAX($M$4:M611)+1,"")</f>
        <v/>
      </c>
    </row>
    <row r="613">
      <c r="A613" s="49">
        <f>IF(B613="","",COUNTA($B$5:B613))</f>
        <v/>
      </c>
      <c r="B613" s="50" t="n"/>
      <c r="C613" s="51" t="n"/>
      <c r="D613" s="51" t="n"/>
      <c r="E613" s="52" t="n"/>
      <c r="F613" s="53" t="n"/>
      <c r="G613" s="51" t="n"/>
      <c r="H613" s="53" t="n"/>
      <c r="I613" s="51" t="n"/>
      <c r="J613" s="54">
        <f>IF(OR(B613="",F613="",NOT(AND(G613&lt;&gt;"✅ Выполнена",G613&lt;&gt;"❌ Отменена"))),"",IF(F613&lt;TODAY(),"❗ просрочено "&amp;(TODAY()-F613)&amp;" дн.",IF(F613=TODAY(),"🔥 сегодня",IF(F613-TODAY()&lt;=3,"⏳ через "&amp;(F613-TODAY())&amp;" дн.",""))))</f>
        <v/>
      </c>
      <c r="K613" s="54">
        <f>IF(B613="","",IF(G613="✅ Выполнена","✔ ",IF(G613="❌ Отменена","✖ ",IF(AND(F613&lt;&gt;"",F613&lt;TODAY()),"❗ ","☐ ")))&amp;B613&amp;IF(E613="🔥 Высокий"," 🔥",""))</f>
        <v/>
      </c>
      <c r="L613" s="54">
        <f>IF(OR(B613="",F613="",G613="❌ Отменена"),"",F613&amp;"#"&amp;COUNTIFS($F$5:F613,F613,$B$5:B613,"?*",$G$5:G613,"&lt;&gt;❌ Отменена"))</f>
        <v/>
      </c>
      <c r="M613" s="54">
        <f>IF(AND(B613&lt;&gt;"",F613&lt;&gt;"",F613&lt;TODAY(),AND(G613&lt;&gt;"✅ Выполнена",G613&lt;&gt;"❌ Отменена")),MAX($M$4:M612)+1,"")</f>
        <v/>
      </c>
    </row>
    <row r="614">
      <c r="A614" s="49">
        <f>IF(B614="","",COUNTA($B$5:B614))</f>
        <v/>
      </c>
      <c r="B614" s="50" t="n"/>
      <c r="C614" s="51" t="n"/>
      <c r="D614" s="51" t="n"/>
      <c r="E614" s="52" t="n"/>
      <c r="F614" s="53" t="n"/>
      <c r="G614" s="51" t="n"/>
      <c r="H614" s="53" t="n"/>
      <c r="I614" s="51" t="n"/>
      <c r="J614" s="54">
        <f>IF(OR(B614="",F614="",NOT(AND(G614&lt;&gt;"✅ Выполнена",G614&lt;&gt;"❌ Отменена"))),"",IF(F614&lt;TODAY(),"❗ просрочено "&amp;(TODAY()-F614)&amp;" дн.",IF(F614=TODAY(),"🔥 сегодня",IF(F614-TODAY()&lt;=3,"⏳ через "&amp;(F614-TODAY())&amp;" дн.",""))))</f>
        <v/>
      </c>
      <c r="K614" s="54">
        <f>IF(B614="","",IF(G614="✅ Выполнена","✔ ",IF(G614="❌ Отменена","✖ ",IF(AND(F614&lt;&gt;"",F614&lt;TODAY()),"❗ ","☐ ")))&amp;B614&amp;IF(E614="🔥 Высокий"," 🔥",""))</f>
        <v/>
      </c>
      <c r="L614" s="54">
        <f>IF(OR(B614="",F614="",G614="❌ Отменена"),"",F614&amp;"#"&amp;COUNTIFS($F$5:F614,F614,$B$5:B614,"?*",$G$5:G614,"&lt;&gt;❌ Отменена"))</f>
        <v/>
      </c>
      <c r="M614" s="54">
        <f>IF(AND(B614&lt;&gt;"",F614&lt;&gt;"",F614&lt;TODAY(),AND(G614&lt;&gt;"✅ Выполнена",G614&lt;&gt;"❌ Отменена")),MAX($M$4:M613)+1,"")</f>
        <v/>
      </c>
    </row>
    <row r="615">
      <c r="A615" s="49">
        <f>IF(B615="","",COUNTA($B$5:B615))</f>
        <v/>
      </c>
      <c r="B615" s="50" t="n"/>
      <c r="C615" s="51" t="n"/>
      <c r="D615" s="51" t="n"/>
      <c r="E615" s="52" t="n"/>
      <c r="F615" s="53" t="n"/>
      <c r="G615" s="51" t="n"/>
      <c r="H615" s="53" t="n"/>
      <c r="I615" s="51" t="n"/>
      <c r="J615" s="54">
        <f>IF(OR(B615="",F615="",NOT(AND(G615&lt;&gt;"✅ Выполнена",G615&lt;&gt;"❌ Отменена"))),"",IF(F615&lt;TODAY(),"❗ просрочено "&amp;(TODAY()-F615)&amp;" дн.",IF(F615=TODAY(),"🔥 сегодня",IF(F615-TODAY()&lt;=3,"⏳ через "&amp;(F615-TODAY())&amp;" дн.",""))))</f>
        <v/>
      </c>
      <c r="K615" s="54">
        <f>IF(B615="","",IF(G615="✅ Выполнена","✔ ",IF(G615="❌ Отменена","✖ ",IF(AND(F615&lt;&gt;"",F615&lt;TODAY()),"❗ ","☐ ")))&amp;B615&amp;IF(E615="🔥 Высокий"," 🔥",""))</f>
        <v/>
      </c>
      <c r="L615" s="54">
        <f>IF(OR(B615="",F615="",G615="❌ Отменена"),"",F615&amp;"#"&amp;COUNTIFS($F$5:F615,F615,$B$5:B615,"?*",$G$5:G615,"&lt;&gt;❌ Отменена"))</f>
        <v/>
      </c>
      <c r="M615" s="54">
        <f>IF(AND(B615&lt;&gt;"",F615&lt;&gt;"",F615&lt;TODAY(),AND(G615&lt;&gt;"✅ Выполнена",G615&lt;&gt;"❌ Отменена")),MAX($M$4:M614)+1,"")</f>
        <v/>
      </c>
    </row>
    <row r="616">
      <c r="A616" s="49">
        <f>IF(B616="","",COUNTA($B$5:B616))</f>
        <v/>
      </c>
      <c r="B616" s="50" t="n"/>
      <c r="C616" s="51" t="n"/>
      <c r="D616" s="51" t="n"/>
      <c r="E616" s="52" t="n"/>
      <c r="F616" s="53" t="n"/>
      <c r="G616" s="51" t="n"/>
      <c r="H616" s="53" t="n"/>
      <c r="I616" s="51" t="n"/>
      <c r="J616" s="54">
        <f>IF(OR(B616="",F616="",NOT(AND(G616&lt;&gt;"✅ Выполнена",G616&lt;&gt;"❌ Отменена"))),"",IF(F616&lt;TODAY(),"❗ просрочено "&amp;(TODAY()-F616)&amp;" дн.",IF(F616=TODAY(),"🔥 сегодня",IF(F616-TODAY()&lt;=3,"⏳ через "&amp;(F616-TODAY())&amp;" дн.",""))))</f>
        <v/>
      </c>
      <c r="K616" s="54">
        <f>IF(B616="","",IF(G616="✅ Выполнена","✔ ",IF(G616="❌ Отменена","✖ ",IF(AND(F616&lt;&gt;"",F616&lt;TODAY()),"❗ ","☐ ")))&amp;B616&amp;IF(E616="🔥 Высокий"," 🔥",""))</f>
        <v/>
      </c>
      <c r="L616" s="54">
        <f>IF(OR(B616="",F616="",G616="❌ Отменена"),"",F616&amp;"#"&amp;COUNTIFS($F$5:F616,F616,$B$5:B616,"?*",$G$5:G616,"&lt;&gt;❌ Отменена"))</f>
        <v/>
      </c>
      <c r="M616" s="54">
        <f>IF(AND(B616&lt;&gt;"",F616&lt;&gt;"",F616&lt;TODAY(),AND(G616&lt;&gt;"✅ Выполнена",G616&lt;&gt;"❌ Отменена")),MAX($M$4:M615)+1,"")</f>
        <v/>
      </c>
    </row>
    <row r="617">
      <c r="A617" s="49">
        <f>IF(B617="","",COUNTA($B$5:B617))</f>
        <v/>
      </c>
      <c r="B617" s="50" t="n"/>
      <c r="C617" s="51" t="n"/>
      <c r="D617" s="51" t="n"/>
      <c r="E617" s="52" t="n"/>
      <c r="F617" s="53" t="n"/>
      <c r="G617" s="51" t="n"/>
      <c r="H617" s="53" t="n"/>
      <c r="I617" s="51" t="n"/>
      <c r="J617" s="54">
        <f>IF(OR(B617="",F617="",NOT(AND(G617&lt;&gt;"✅ Выполнена",G617&lt;&gt;"❌ Отменена"))),"",IF(F617&lt;TODAY(),"❗ просрочено "&amp;(TODAY()-F617)&amp;" дн.",IF(F617=TODAY(),"🔥 сегодня",IF(F617-TODAY()&lt;=3,"⏳ через "&amp;(F617-TODAY())&amp;" дн.",""))))</f>
        <v/>
      </c>
      <c r="K617" s="54">
        <f>IF(B617="","",IF(G617="✅ Выполнена","✔ ",IF(G617="❌ Отменена","✖ ",IF(AND(F617&lt;&gt;"",F617&lt;TODAY()),"❗ ","☐ ")))&amp;B617&amp;IF(E617="🔥 Высокий"," 🔥",""))</f>
        <v/>
      </c>
      <c r="L617" s="54">
        <f>IF(OR(B617="",F617="",G617="❌ Отменена"),"",F617&amp;"#"&amp;COUNTIFS($F$5:F617,F617,$B$5:B617,"?*",$G$5:G617,"&lt;&gt;❌ Отменена"))</f>
        <v/>
      </c>
      <c r="M617" s="54">
        <f>IF(AND(B617&lt;&gt;"",F617&lt;&gt;"",F617&lt;TODAY(),AND(G617&lt;&gt;"✅ Выполнена",G617&lt;&gt;"❌ Отменена")),MAX($M$4:M616)+1,"")</f>
        <v/>
      </c>
    </row>
    <row r="618">
      <c r="A618" s="49">
        <f>IF(B618="","",COUNTA($B$5:B618))</f>
        <v/>
      </c>
      <c r="B618" s="50" t="n"/>
      <c r="C618" s="51" t="n"/>
      <c r="D618" s="51" t="n"/>
      <c r="E618" s="52" t="n"/>
      <c r="F618" s="53" t="n"/>
      <c r="G618" s="51" t="n"/>
      <c r="H618" s="53" t="n"/>
      <c r="I618" s="51" t="n"/>
      <c r="J618" s="54">
        <f>IF(OR(B618="",F618="",NOT(AND(G618&lt;&gt;"✅ Выполнена",G618&lt;&gt;"❌ Отменена"))),"",IF(F618&lt;TODAY(),"❗ просрочено "&amp;(TODAY()-F618)&amp;" дн.",IF(F618=TODAY(),"🔥 сегодня",IF(F618-TODAY()&lt;=3,"⏳ через "&amp;(F618-TODAY())&amp;" дн.",""))))</f>
        <v/>
      </c>
      <c r="K618" s="54">
        <f>IF(B618="","",IF(G618="✅ Выполнена","✔ ",IF(G618="❌ Отменена","✖ ",IF(AND(F618&lt;&gt;"",F618&lt;TODAY()),"❗ ","☐ ")))&amp;B618&amp;IF(E618="🔥 Высокий"," 🔥",""))</f>
        <v/>
      </c>
      <c r="L618" s="54">
        <f>IF(OR(B618="",F618="",G618="❌ Отменена"),"",F618&amp;"#"&amp;COUNTIFS($F$5:F618,F618,$B$5:B618,"?*",$G$5:G618,"&lt;&gt;❌ Отменена"))</f>
        <v/>
      </c>
      <c r="M618" s="54">
        <f>IF(AND(B618&lt;&gt;"",F618&lt;&gt;"",F618&lt;TODAY(),AND(G618&lt;&gt;"✅ Выполнена",G618&lt;&gt;"❌ Отменена")),MAX($M$4:M617)+1,"")</f>
        <v/>
      </c>
    </row>
    <row r="619">
      <c r="A619" s="49">
        <f>IF(B619="","",COUNTA($B$5:B619))</f>
        <v/>
      </c>
      <c r="B619" s="50" t="n"/>
      <c r="C619" s="51" t="n"/>
      <c r="D619" s="51" t="n"/>
      <c r="E619" s="52" t="n"/>
      <c r="F619" s="53" t="n"/>
      <c r="G619" s="51" t="n"/>
      <c r="H619" s="53" t="n"/>
      <c r="I619" s="51" t="n"/>
      <c r="J619" s="54">
        <f>IF(OR(B619="",F619="",NOT(AND(G619&lt;&gt;"✅ Выполнена",G619&lt;&gt;"❌ Отменена"))),"",IF(F619&lt;TODAY(),"❗ просрочено "&amp;(TODAY()-F619)&amp;" дн.",IF(F619=TODAY(),"🔥 сегодня",IF(F619-TODAY()&lt;=3,"⏳ через "&amp;(F619-TODAY())&amp;" дн.",""))))</f>
        <v/>
      </c>
      <c r="K619" s="54">
        <f>IF(B619="","",IF(G619="✅ Выполнена","✔ ",IF(G619="❌ Отменена","✖ ",IF(AND(F619&lt;&gt;"",F619&lt;TODAY()),"❗ ","☐ ")))&amp;B619&amp;IF(E619="🔥 Высокий"," 🔥",""))</f>
        <v/>
      </c>
      <c r="L619" s="54">
        <f>IF(OR(B619="",F619="",G619="❌ Отменена"),"",F619&amp;"#"&amp;COUNTIFS($F$5:F619,F619,$B$5:B619,"?*",$G$5:G619,"&lt;&gt;❌ Отменена"))</f>
        <v/>
      </c>
      <c r="M619" s="54">
        <f>IF(AND(B619&lt;&gt;"",F619&lt;&gt;"",F619&lt;TODAY(),AND(G619&lt;&gt;"✅ Выполнена",G619&lt;&gt;"❌ Отменена")),MAX($M$4:M618)+1,"")</f>
        <v/>
      </c>
    </row>
    <row r="620">
      <c r="A620" s="49">
        <f>IF(B620="","",COUNTA($B$5:B620))</f>
        <v/>
      </c>
      <c r="B620" s="50" t="n"/>
      <c r="C620" s="51" t="n"/>
      <c r="D620" s="51" t="n"/>
      <c r="E620" s="52" t="n"/>
      <c r="F620" s="53" t="n"/>
      <c r="G620" s="51" t="n"/>
      <c r="H620" s="53" t="n"/>
      <c r="I620" s="51" t="n"/>
      <c r="J620" s="54">
        <f>IF(OR(B620="",F620="",NOT(AND(G620&lt;&gt;"✅ Выполнена",G620&lt;&gt;"❌ Отменена"))),"",IF(F620&lt;TODAY(),"❗ просрочено "&amp;(TODAY()-F620)&amp;" дн.",IF(F620=TODAY(),"🔥 сегодня",IF(F620-TODAY()&lt;=3,"⏳ через "&amp;(F620-TODAY())&amp;" дн.",""))))</f>
        <v/>
      </c>
      <c r="K620" s="54">
        <f>IF(B620="","",IF(G620="✅ Выполнена","✔ ",IF(G620="❌ Отменена","✖ ",IF(AND(F620&lt;&gt;"",F620&lt;TODAY()),"❗ ","☐ ")))&amp;B620&amp;IF(E620="🔥 Высокий"," 🔥",""))</f>
        <v/>
      </c>
      <c r="L620" s="54">
        <f>IF(OR(B620="",F620="",G620="❌ Отменена"),"",F620&amp;"#"&amp;COUNTIFS($F$5:F620,F620,$B$5:B620,"?*",$G$5:G620,"&lt;&gt;❌ Отменена"))</f>
        <v/>
      </c>
      <c r="M620" s="54">
        <f>IF(AND(B620&lt;&gt;"",F620&lt;&gt;"",F620&lt;TODAY(),AND(G620&lt;&gt;"✅ Выполнена",G620&lt;&gt;"❌ Отменена")),MAX($M$4:M619)+1,"")</f>
        <v/>
      </c>
    </row>
    <row r="621">
      <c r="A621" s="49">
        <f>IF(B621="","",COUNTA($B$5:B621))</f>
        <v/>
      </c>
      <c r="B621" s="50" t="n"/>
      <c r="C621" s="51" t="n"/>
      <c r="D621" s="51" t="n"/>
      <c r="E621" s="52" t="n"/>
      <c r="F621" s="53" t="n"/>
      <c r="G621" s="51" t="n"/>
      <c r="H621" s="53" t="n"/>
      <c r="I621" s="51" t="n"/>
      <c r="J621" s="54">
        <f>IF(OR(B621="",F621="",NOT(AND(G621&lt;&gt;"✅ Выполнена",G621&lt;&gt;"❌ Отменена"))),"",IF(F621&lt;TODAY(),"❗ просрочено "&amp;(TODAY()-F621)&amp;" дн.",IF(F621=TODAY(),"🔥 сегодня",IF(F621-TODAY()&lt;=3,"⏳ через "&amp;(F621-TODAY())&amp;" дн.",""))))</f>
        <v/>
      </c>
      <c r="K621" s="54">
        <f>IF(B621="","",IF(G621="✅ Выполнена","✔ ",IF(G621="❌ Отменена","✖ ",IF(AND(F621&lt;&gt;"",F621&lt;TODAY()),"❗ ","☐ ")))&amp;B621&amp;IF(E621="🔥 Высокий"," 🔥",""))</f>
        <v/>
      </c>
      <c r="L621" s="54">
        <f>IF(OR(B621="",F621="",G621="❌ Отменена"),"",F621&amp;"#"&amp;COUNTIFS($F$5:F621,F621,$B$5:B621,"?*",$G$5:G621,"&lt;&gt;❌ Отменена"))</f>
        <v/>
      </c>
      <c r="M621" s="54">
        <f>IF(AND(B621&lt;&gt;"",F621&lt;&gt;"",F621&lt;TODAY(),AND(G621&lt;&gt;"✅ Выполнена",G621&lt;&gt;"❌ Отменена")),MAX($M$4:M620)+1,"")</f>
        <v/>
      </c>
    </row>
    <row r="622">
      <c r="A622" s="49">
        <f>IF(B622="","",COUNTA($B$5:B622))</f>
        <v/>
      </c>
      <c r="B622" s="50" t="n"/>
      <c r="C622" s="51" t="n"/>
      <c r="D622" s="51" t="n"/>
      <c r="E622" s="52" t="n"/>
      <c r="F622" s="53" t="n"/>
      <c r="G622" s="51" t="n"/>
      <c r="H622" s="53" t="n"/>
      <c r="I622" s="51" t="n"/>
      <c r="J622" s="54">
        <f>IF(OR(B622="",F622="",NOT(AND(G622&lt;&gt;"✅ Выполнена",G622&lt;&gt;"❌ Отменена"))),"",IF(F622&lt;TODAY(),"❗ просрочено "&amp;(TODAY()-F622)&amp;" дн.",IF(F622=TODAY(),"🔥 сегодня",IF(F622-TODAY()&lt;=3,"⏳ через "&amp;(F622-TODAY())&amp;" дн.",""))))</f>
        <v/>
      </c>
      <c r="K622" s="54">
        <f>IF(B622="","",IF(G622="✅ Выполнена","✔ ",IF(G622="❌ Отменена","✖ ",IF(AND(F622&lt;&gt;"",F622&lt;TODAY()),"❗ ","☐ ")))&amp;B622&amp;IF(E622="🔥 Высокий"," 🔥",""))</f>
        <v/>
      </c>
      <c r="L622" s="54">
        <f>IF(OR(B622="",F622="",G622="❌ Отменена"),"",F622&amp;"#"&amp;COUNTIFS($F$5:F622,F622,$B$5:B622,"?*",$G$5:G622,"&lt;&gt;❌ Отменена"))</f>
        <v/>
      </c>
      <c r="M622" s="54">
        <f>IF(AND(B622&lt;&gt;"",F622&lt;&gt;"",F622&lt;TODAY(),AND(G622&lt;&gt;"✅ Выполнена",G622&lt;&gt;"❌ Отменена")),MAX($M$4:M621)+1,"")</f>
        <v/>
      </c>
    </row>
    <row r="623">
      <c r="A623" s="49">
        <f>IF(B623="","",COUNTA($B$5:B623))</f>
        <v/>
      </c>
      <c r="B623" s="50" t="n"/>
      <c r="C623" s="51" t="n"/>
      <c r="D623" s="51" t="n"/>
      <c r="E623" s="52" t="n"/>
      <c r="F623" s="53" t="n"/>
      <c r="G623" s="51" t="n"/>
      <c r="H623" s="53" t="n"/>
      <c r="I623" s="51" t="n"/>
      <c r="J623" s="54">
        <f>IF(OR(B623="",F623="",NOT(AND(G623&lt;&gt;"✅ Выполнена",G623&lt;&gt;"❌ Отменена"))),"",IF(F623&lt;TODAY(),"❗ просрочено "&amp;(TODAY()-F623)&amp;" дн.",IF(F623=TODAY(),"🔥 сегодня",IF(F623-TODAY()&lt;=3,"⏳ через "&amp;(F623-TODAY())&amp;" дн.",""))))</f>
        <v/>
      </c>
      <c r="K623" s="54">
        <f>IF(B623="","",IF(G623="✅ Выполнена","✔ ",IF(G623="❌ Отменена","✖ ",IF(AND(F623&lt;&gt;"",F623&lt;TODAY()),"❗ ","☐ ")))&amp;B623&amp;IF(E623="🔥 Высокий"," 🔥",""))</f>
        <v/>
      </c>
      <c r="L623" s="54">
        <f>IF(OR(B623="",F623="",G623="❌ Отменена"),"",F623&amp;"#"&amp;COUNTIFS($F$5:F623,F623,$B$5:B623,"?*",$G$5:G623,"&lt;&gt;❌ Отменена"))</f>
        <v/>
      </c>
      <c r="M623" s="54">
        <f>IF(AND(B623&lt;&gt;"",F623&lt;&gt;"",F623&lt;TODAY(),AND(G623&lt;&gt;"✅ Выполнена",G623&lt;&gt;"❌ Отменена")),MAX($M$4:M622)+1,"")</f>
        <v/>
      </c>
    </row>
    <row r="624">
      <c r="A624" s="49">
        <f>IF(B624="","",COUNTA($B$5:B624))</f>
        <v/>
      </c>
      <c r="B624" s="50" t="n"/>
      <c r="C624" s="51" t="n"/>
      <c r="D624" s="51" t="n"/>
      <c r="E624" s="52" t="n"/>
      <c r="F624" s="53" t="n"/>
      <c r="G624" s="51" t="n"/>
      <c r="H624" s="53" t="n"/>
      <c r="I624" s="51" t="n"/>
      <c r="J624" s="54">
        <f>IF(OR(B624="",F624="",NOT(AND(G624&lt;&gt;"✅ Выполнена",G624&lt;&gt;"❌ Отменена"))),"",IF(F624&lt;TODAY(),"❗ просрочено "&amp;(TODAY()-F624)&amp;" дн.",IF(F624=TODAY(),"🔥 сегодня",IF(F624-TODAY()&lt;=3,"⏳ через "&amp;(F624-TODAY())&amp;" дн.",""))))</f>
        <v/>
      </c>
      <c r="K624" s="54">
        <f>IF(B624="","",IF(G624="✅ Выполнена","✔ ",IF(G624="❌ Отменена","✖ ",IF(AND(F624&lt;&gt;"",F624&lt;TODAY()),"❗ ","☐ ")))&amp;B624&amp;IF(E624="🔥 Высокий"," 🔥",""))</f>
        <v/>
      </c>
      <c r="L624" s="54">
        <f>IF(OR(B624="",F624="",G624="❌ Отменена"),"",F624&amp;"#"&amp;COUNTIFS($F$5:F624,F624,$B$5:B624,"?*",$G$5:G624,"&lt;&gt;❌ Отменена"))</f>
        <v/>
      </c>
      <c r="M624" s="54">
        <f>IF(AND(B624&lt;&gt;"",F624&lt;&gt;"",F624&lt;TODAY(),AND(G624&lt;&gt;"✅ Выполнена",G624&lt;&gt;"❌ Отменена")),MAX($M$4:M623)+1,"")</f>
        <v/>
      </c>
    </row>
    <row r="625">
      <c r="A625" s="49">
        <f>IF(B625="","",COUNTA($B$5:B625))</f>
        <v/>
      </c>
      <c r="B625" s="50" t="n"/>
      <c r="C625" s="51" t="n"/>
      <c r="D625" s="51" t="n"/>
      <c r="E625" s="52" t="n"/>
      <c r="F625" s="53" t="n"/>
      <c r="G625" s="51" t="n"/>
      <c r="H625" s="53" t="n"/>
      <c r="I625" s="51" t="n"/>
      <c r="J625" s="54">
        <f>IF(OR(B625="",F625="",NOT(AND(G625&lt;&gt;"✅ Выполнена",G625&lt;&gt;"❌ Отменена"))),"",IF(F625&lt;TODAY(),"❗ просрочено "&amp;(TODAY()-F625)&amp;" дн.",IF(F625=TODAY(),"🔥 сегодня",IF(F625-TODAY()&lt;=3,"⏳ через "&amp;(F625-TODAY())&amp;" дн.",""))))</f>
        <v/>
      </c>
      <c r="K625" s="54">
        <f>IF(B625="","",IF(G625="✅ Выполнена","✔ ",IF(G625="❌ Отменена","✖ ",IF(AND(F625&lt;&gt;"",F625&lt;TODAY()),"❗ ","☐ ")))&amp;B625&amp;IF(E625="🔥 Высокий"," 🔥",""))</f>
        <v/>
      </c>
      <c r="L625" s="54">
        <f>IF(OR(B625="",F625="",G625="❌ Отменена"),"",F625&amp;"#"&amp;COUNTIFS($F$5:F625,F625,$B$5:B625,"?*",$G$5:G625,"&lt;&gt;❌ Отменена"))</f>
        <v/>
      </c>
      <c r="M625" s="54">
        <f>IF(AND(B625&lt;&gt;"",F625&lt;&gt;"",F625&lt;TODAY(),AND(G625&lt;&gt;"✅ Выполнена",G625&lt;&gt;"❌ Отменена")),MAX($M$4:M624)+1,"")</f>
        <v/>
      </c>
    </row>
    <row r="626">
      <c r="A626" s="49">
        <f>IF(B626="","",COUNTA($B$5:B626))</f>
        <v/>
      </c>
      <c r="B626" s="50" t="n"/>
      <c r="C626" s="51" t="n"/>
      <c r="D626" s="51" t="n"/>
      <c r="E626" s="52" t="n"/>
      <c r="F626" s="53" t="n"/>
      <c r="G626" s="51" t="n"/>
      <c r="H626" s="53" t="n"/>
      <c r="I626" s="51" t="n"/>
      <c r="J626" s="54">
        <f>IF(OR(B626="",F626="",NOT(AND(G626&lt;&gt;"✅ Выполнена",G626&lt;&gt;"❌ Отменена"))),"",IF(F626&lt;TODAY(),"❗ просрочено "&amp;(TODAY()-F626)&amp;" дн.",IF(F626=TODAY(),"🔥 сегодня",IF(F626-TODAY()&lt;=3,"⏳ через "&amp;(F626-TODAY())&amp;" дн.",""))))</f>
        <v/>
      </c>
      <c r="K626" s="54">
        <f>IF(B626="","",IF(G626="✅ Выполнена","✔ ",IF(G626="❌ Отменена","✖ ",IF(AND(F626&lt;&gt;"",F626&lt;TODAY()),"❗ ","☐ ")))&amp;B626&amp;IF(E626="🔥 Высокий"," 🔥",""))</f>
        <v/>
      </c>
      <c r="L626" s="54">
        <f>IF(OR(B626="",F626="",G626="❌ Отменена"),"",F626&amp;"#"&amp;COUNTIFS($F$5:F626,F626,$B$5:B626,"?*",$G$5:G626,"&lt;&gt;❌ Отменена"))</f>
        <v/>
      </c>
      <c r="M626" s="54">
        <f>IF(AND(B626&lt;&gt;"",F626&lt;&gt;"",F626&lt;TODAY(),AND(G626&lt;&gt;"✅ Выполнена",G626&lt;&gt;"❌ Отменена")),MAX($M$4:M625)+1,"")</f>
        <v/>
      </c>
    </row>
    <row r="627">
      <c r="A627" s="49">
        <f>IF(B627="","",COUNTA($B$5:B627))</f>
        <v/>
      </c>
      <c r="B627" s="50" t="n"/>
      <c r="C627" s="51" t="n"/>
      <c r="D627" s="51" t="n"/>
      <c r="E627" s="52" t="n"/>
      <c r="F627" s="53" t="n"/>
      <c r="G627" s="51" t="n"/>
      <c r="H627" s="53" t="n"/>
      <c r="I627" s="51" t="n"/>
      <c r="J627" s="54">
        <f>IF(OR(B627="",F627="",NOT(AND(G627&lt;&gt;"✅ Выполнена",G627&lt;&gt;"❌ Отменена"))),"",IF(F627&lt;TODAY(),"❗ просрочено "&amp;(TODAY()-F627)&amp;" дн.",IF(F627=TODAY(),"🔥 сегодня",IF(F627-TODAY()&lt;=3,"⏳ через "&amp;(F627-TODAY())&amp;" дн.",""))))</f>
        <v/>
      </c>
      <c r="K627" s="54">
        <f>IF(B627="","",IF(G627="✅ Выполнена","✔ ",IF(G627="❌ Отменена","✖ ",IF(AND(F627&lt;&gt;"",F627&lt;TODAY()),"❗ ","☐ ")))&amp;B627&amp;IF(E627="🔥 Высокий"," 🔥",""))</f>
        <v/>
      </c>
      <c r="L627" s="54">
        <f>IF(OR(B627="",F627="",G627="❌ Отменена"),"",F627&amp;"#"&amp;COUNTIFS($F$5:F627,F627,$B$5:B627,"?*",$G$5:G627,"&lt;&gt;❌ Отменена"))</f>
        <v/>
      </c>
      <c r="M627" s="54">
        <f>IF(AND(B627&lt;&gt;"",F627&lt;&gt;"",F627&lt;TODAY(),AND(G627&lt;&gt;"✅ Выполнена",G627&lt;&gt;"❌ Отменена")),MAX($M$4:M626)+1,"")</f>
        <v/>
      </c>
    </row>
    <row r="628">
      <c r="A628" s="49">
        <f>IF(B628="","",COUNTA($B$5:B628))</f>
        <v/>
      </c>
      <c r="B628" s="50" t="n"/>
      <c r="C628" s="51" t="n"/>
      <c r="D628" s="51" t="n"/>
      <c r="E628" s="52" t="n"/>
      <c r="F628" s="53" t="n"/>
      <c r="G628" s="51" t="n"/>
      <c r="H628" s="53" t="n"/>
      <c r="I628" s="51" t="n"/>
      <c r="J628" s="54">
        <f>IF(OR(B628="",F628="",NOT(AND(G628&lt;&gt;"✅ Выполнена",G628&lt;&gt;"❌ Отменена"))),"",IF(F628&lt;TODAY(),"❗ просрочено "&amp;(TODAY()-F628)&amp;" дн.",IF(F628=TODAY(),"🔥 сегодня",IF(F628-TODAY()&lt;=3,"⏳ через "&amp;(F628-TODAY())&amp;" дн.",""))))</f>
        <v/>
      </c>
      <c r="K628" s="54">
        <f>IF(B628="","",IF(G628="✅ Выполнена","✔ ",IF(G628="❌ Отменена","✖ ",IF(AND(F628&lt;&gt;"",F628&lt;TODAY()),"❗ ","☐ ")))&amp;B628&amp;IF(E628="🔥 Высокий"," 🔥",""))</f>
        <v/>
      </c>
      <c r="L628" s="54">
        <f>IF(OR(B628="",F628="",G628="❌ Отменена"),"",F628&amp;"#"&amp;COUNTIFS($F$5:F628,F628,$B$5:B628,"?*",$G$5:G628,"&lt;&gt;❌ Отменена"))</f>
        <v/>
      </c>
      <c r="M628" s="54">
        <f>IF(AND(B628&lt;&gt;"",F628&lt;&gt;"",F628&lt;TODAY(),AND(G628&lt;&gt;"✅ Выполнена",G628&lt;&gt;"❌ Отменена")),MAX($M$4:M627)+1,"")</f>
        <v/>
      </c>
    </row>
    <row r="629">
      <c r="A629" s="49">
        <f>IF(B629="","",COUNTA($B$5:B629))</f>
        <v/>
      </c>
      <c r="B629" s="50" t="n"/>
      <c r="C629" s="51" t="n"/>
      <c r="D629" s="51" t="n"/>
      <c r="E629" s="52" t="n"/>
      <c r="F629" s="53" t="n"/>
      <c r="G629" s="51" t="n"/>
      <c r="H629" s="53" t="n"/>
      <c r="I629" s="51" t="n"/>
      <c r="J629" s="54">
        <f>IF(OR(B629="",F629="",NOT(AND(G629&lt;&gt;"✅ Выполнена",G629&lt;&gt;"❌ Отменена"))),"",IF(F629&lt;TODAY(),"❗ просрочено "&amp;(TODAY()-F629)&amp;" дн.",IF(F629=TODAY(),"🔥 сегодня",IF(F629-TODAY()&lt;=3,"⏳ через "&amp;(F629-TODAY())&amp;" дн.",""))))</f>
        <v/>
      </c>
      <c r="K629" s="54">
        <f>IF(B629="","",IF(G629="✅ Выполнена","✔ ",IF(G629="❌ Отменена","✖ ",IF(AND(F629&lt;&gt;"",F629&lt;TODAY()),"❗ ","☐ ")))&amp;B629&amp;IF(E629="🔥 Высокий"," 🔥",""))</f>
        <v/>
      </c>
      <c r="L629" s="54">
        <f>IF(OR(B629="",F629="",G629="❌ Отменена"),"",F629&amp;"#"&amp;COUNTIFS($F$5:F629,F629,$B$5:B629,"?*",$G$5:G629,"&lt;&gt;❌ Отменена"))</f>
        <v/>
      </c>
      <c r="M629" s="54">
        <f>IF(AND(B629&lt;&gt;"",F629&lt;&gt;"",F629&lt;TODAY(),AND(G629&lt;&gt;"✅ Выполнена",G629&lt;&gt;"❌ Отменена")),MAX($M$4:M628)+1,"")</f>
        <v/>
      </c>
    </row>
    <row r="630">
      <c r="A630" s="49">
        <f>IF(B630="","",COUNTA($B$5:B630))</f>
        <v/>
      </c>
      <c r="B630" s="50" t="n"/>
      <c r="C630" s="51" t="n"/>
      <c r="D630" s="51" t="n"/>
      <c r="E630" s="52" t="n"/>
      <c r="F630" s="53" t="n"/>
      <c r="G630" s="51" t="n"/>
      <c r="H630" s="53" t="n"/>
      <c r="I630" s="51" t="n"/>
      <c r="J630" s="54">
        <f>IF(OR(B630="",F630="",NOT(AND(G630&lt;&gt;"✅ Выполнена",G630&lt;&gt;"❌ Отменена"))),"",IF(F630&lt;TODAY(),"❗ просрочено "&amp;(TODAY()-F630)&amp;" дн.",IF(F630=TODAY(),"🔥 сегодня",IF(F630-TODAY()&lt;=3,"⏳ через "&amp;(F630-TODAY())&amp;" дн.",""))))</f>
        <v/>
      </c>
      <c r="K630" s="54">
        <f>IF(B630="","",IF(G630="✅ Выполнена","✔ ",IF(G630="❌ Отменена","✖ ",IF(AND(F630&lt;&gt;"",F630&lt;TODAY()),"❗ ","☐ ")))&amp;B630&amp;IF(E630="🔥 Высокий"," 🔥",""))</f>
        <v/>
      </c>
      <c r="L630" s="54">
        <f>IF(OR(B630="",F630="",G630="❌ Отменена"),"",F630&amp;"#"&amp;COUNTIFS($F$5:F630,F630,$B$5:B630,"?*",$G$5:G630,"&lt;&gt;❌ Отменена"))</f>
        <v/>
      </c>
      <c r="M630" s="54">
        <f>IF(AND(B630&lt;&gt;"",F630&lt;&gt;"",F630&lt;TODAY(),AND(G630&lt;&gt;"✅ Выполнена",G630&lt;&gt;"❌ Отменена")),MAX($M$4:M629)+1,"")</f>
        <v/>
      </c>
    </row>
    <row r="631">
      <c r="A631" s="49">
        <f>IF(B631="","",COUNTA($B$5:B631))</f>
        <v/>
      </c>
      <c r="B631" s="50" t="n"/>
      <c r="C631" s="51" t="n"/>
      <c r="D631" s="51" t="n"/>
      <c r="E631" s="52" t="n"/>
      <c r="F631" s="53" t="n"/>
      <c r="G631" s="51" t="n"/>
      <c r="H631" s="53" t="n"/>
      <c r="I631" s="51" t="n"/>
      <c r="J631" s="54">
        <f>IF(OR(B631="",F631="",NOT(AND(G631&lt;&gt;"✅ Выполнена",G631&lt;&gt;"❌ Отменена"))),"",IF(F631&lt;TODAY(),"❗ просрочено "&amp;(TODAY()-F631)&amp;" дн.",IF(F631=TODAY(),"🔥 сегодня",IF(F631-TODAY()&lt;=3,"⏳ через "&amp;(F631-TODAY())&amp;" дн.",""))))</f>
        <v/>
      </c>
      <c r="K631" s="54">
        <f>IF(B631="","",IF(G631="✅ Выполнена","✔ ",IF(G631="❌ Отменена","✖ ",IF(AND(F631&lt;&gt;"",F631&lt;TODAY()),"❗ ","☐ ")))&amp;B631&amp;IF(E631="🔥 Высокий"," 🔥",""))</f>
        <v/>
      </c>
      <c r="L631" s="54">
        <f>IF(OR(B631="",F631="",G631="❌ Отменена"),"",F631&amp;"#"&amp;COUNTIFS($F$5:F631,F631,$B$5:B631,"?*",$G$5:G631,"&lt;&gt;❌ Отменена"))</f>
        <v/>
      </c>
      <c r="M631" s="54">
        <f>IF(AND(B631&lt;&gt;"",F631&lt;&gt;"",F631&lt;TODAY(),AND(G631&lt;&gt;"✅ Выполнена",G631&lt;&gt;"❌ Отменена")),MAX($M$4:M630)+1,"")</f>
        <v/>
      </c>
    </row>
    <row r="632">
      <c r="A632" s="49">
        <f>IF(B632="","",COUNTA($B$5:B632))</f>
        <v/>
      </c>
      <c r="B632" s="50" t="n"/>
      <c r="C632" s="51" t="n"/>
      <c r="D632" s="51" t="n"/>
      <c r="E632" s="52" t="n"/>
      <c r="F632" s="53" t="n"/>
      <c r="G632" s="51" t="n"/>
      <c r="H632" s="53" t="n"/>
      <c r="I632" s="51" t="n"/>
      <c r="J632" s="54">
        <f>IF(OR(B632="",F632="",NOT(AND(G632&lt;&gt;"✅ Выполнена",G632&lt;&gt;"❌ Отменена"))),"",IF(F632&lt;TODAY(),"❗ просрочено "&amp;(TODAY()-F632)&amp;" дн.",IF(F632=TODAY(),"🔥 сегодня",IF(F632-TODAY()&lt;=3,"⏳ через "&amp;(F632-TODAY())&amp;" дн.",""))))</f>
        <v/>
      </c>
      <c r="K632" s="54">
        <f>IF(B632="","",IF(G632="✅ Выполнена","✔ ",IF(G632="❌ Отменена","✖ ",IF(AND(F632&lt;&gt;"",F632&lt;TODAY()),"❗ ","☐ ")))&amp;B632&amp;IF(E632="🔥 Высокий"," 🔥",""))</f>
        <v/>
      </c>
      <c r="L632" s="54">
        <f>IF(OR(B632="",F632="",G632="❌ Отменена"),"",F632&amp;"#"&amp;COUNTIFS($F$5:F632,F632,$B$5:B632,"?*",$G$5:G632,"&lt;&gt;❌ Отменена"))</f>
        <v/>
      </c>
      <c r="M632" s="54">
        <f>IF(AND(B632&lt;&gt;"",F632&lt;&gt;"",F632&lt;TODAY(),AND(G632&lt;&gt;"✅ Выполнена",G632&lt;&gt;"❌ Отменена")),MAX($M$4:M631)+1,"")</f>
        <v/>
      </c>
    </row>
    <row r="633">
      <c r="A633" s="49">
        <f>IF(B633="","",COUNTA($B$5:B633))</f>
        <v/>
      </c>
      <c r="B633" s="50" t="n"/>
      <c r="C633" s="51" t="n"/>
      <c r="D633" s="51" t="n"/>
      <c r="E633" s="52" t="n"/>
      <c r="F633" s="53" t="n"/>
      <c r="G633" s="51" t="n"/>
      <c r="H633" s="53" t="n"/>
      <c r="I633" s="51" t="n"/>
      <c r="J633" s="54">
        <f>IF(OR(B633="",F633="",NOT(AND(G633&lt;&gt;"✅ Выполнена",G633&lt;&gt;"❌ Отменена"))),"",IF(F633&lt;TODAY(),"❗ просрочено "&amp;(TODAY()-F633)&amp;" дн.",IF(F633=TODAY(),"🔥 сегодня",IF(F633-TODAY()&lt;=3,"⏳ через "&amp;(F633-TODAY())&amp;" дн.",""))))</f>
        <v/>
      </c>
      <c r="K633" s="54">
        <f>IF(B633="","",IF(G633="✅ Выполнена","✔ ",IF(G633="❌ Отменена","✖ ",IF(AND(F633&lt;&gt;"",F633&lt;TODAY()),"❗ ","☐ ")))&amp;B633&amp;IF(E633="🔥 Высокий"," 🔥",""))</f>
        <v/>
      </c>
      <c r="L633" s="54">
        <f>IF(OR(B633="",F633="",G633="❌ Отменена"),"",F633&amp;"#"&amp;COUNTIFS($F$5:F633,F633,$B$5:B633,"?*",$G$5:G633,"&lt;&gt;❌ Отменена"))</f>
        <v/>
      </c>
      <c r="M633" s="54">
        <f>IF(AND(B633&lt;&gt;"",F633&lt;&gt;"",F633&lt;TODAY(),AND(G633&lt;&gt;"✅ Выполнена",G633&lt;&gt;"❌ Отменена")),MAX($M$4:M632)+1,"")</f>
        <v/>
      </c>
    </row>
    <row r="634">
      <c r="A634" s="49">
        <f>IF(B634="","",COUNTA($B$5:B634))</f>
        <v/>
      </c>
      <c r="B634" s="50" t="n"/>
      <c r="C634" s="51" t="n"/>
      <c r="D634" s="51" t="n"/>
      <c r="E634" s="52" t="n"/>
      <c r="F634" s="53" t="n"/>
      <c r="G634" s="51" t="n"/>
      <c r="H634" s="53" t="n"/>
      <c r="I634" s="51" t="n"/>
      <c r="J634" s="54">
        <f>IF(OR(B634="",F634="",NOT(AND(G634&lt;&gt;"✅ Выполнена",G634&lt;&gt;"❌ Отменена"))),"",IF(F634&lt;TODAY(),"❗ просрочено "&amp;(TODAY()-F634)&amp;" дн.",IF(F634=TODAY(),"🔥 сегодня",IF(F634-TODAY()&lt;=3,"⏳ через "&amp;(F634-TODAY())&amp;" дн.",""))))</f>
        <v/>
      </c>
      <c r="K634" s="54">
        <f>IF(B634="","",IF(G634="✅ Выполнена","✔ ",IF(G634="❌ Отменена","✖ ",IF(AND(F634&lt;&gt;"",F634&lt;TODAY()),"❗ ","☐ ")))&amp;B634&amp;IF(E634="🔥 Высокий"," 🔥",""))</f>
        <v/>
      </c>
      <c r="L634" s="54">
        <f>IF(OR(B634="",F634="",G634="❌ Отменена"),"",F634&amp;"#"&amp;COUNTIFS($F$5:F634,F634,$B$5:B634,"?*",$G$5:G634,"&lt;&gt;❌ Отменена"))</f>
        <v/>
      </c>
      <c r="M634" s="54">
        <f>IF(AND(B634&lt;&gt;"",F634&lt;&gt;"",F634&lt;TODAY(),AND(G634&lt;&gt;"✅ Выполнена",G634&lt;&gt;"❌ Отменена")),MAX($M$4:M633)+1,"")</f>
        <v/>
      </c>
    </row>
    <row r="635">
      <c r="A635" s="49">
        <f>IF(B635="","",COUNTA($B$5:B635))</f>
        <v/>
      </c>
      <c r="B635" s="50" t="n"/>
      <c r="C635" s="51" t="n"/>
      <c r="D635" s="51" t="n"/>
      <c r="E635" s="52" t="n"/>
      <c r="F635" s="53" t="n"/>
      <c r="G635" s="51" t="n"/>
      <c r="H635" s="53" t="n"/>
      <c r="I635" s="51" t="n"/>
      <c r="J635" s="54">
        <f>IF(OR(B635="",F635="",NOT(AND(G635&lt;&gt;"✅ Выполнена",G635&lt;&gt;"❌ Отменена"))),"",IF(F635&lt;TODAY(),"❗ просрочено "&amp;(TODAY()-F635)&amp;" дн.",IF(F635=TODAY(),"🔥 сегодня",IF(F635-TODAY()&lt;=3,"⏳ через "&amp;(F635-TODAY())&amp;" дн.",""))))</f>
        <v/>
      </c>
      <c r="K635" s="54">
        <f>IF(B635="","",IF(G635="✅ Выполнена","✔ ",IF(G635="❌ Отменена","✖ ",IF(AND(F635&lt;&gt;"",F635&lt;TODAY()),"❗ ","☐ ")))&amp;B635&amp;IF(E635="🔥 Высокий"," 🔥",""))</f>
        <v/>
      </c>
      <c r="L635" s="54">
        <f>IF(OR(B635="",F635="",G635="❌ Отменена"),"",F635&amp;"#"&amp;COUNTIFS($F$5:F635,F635,$B$5:B635,"?*",$G$5:G635,"&lt;&gt;❌ Отменена"))</f>
        <v/>
      </c>
      <c r="M635" s="54">
        <f>IF(AND(B635&lt;&gt;"",F635&lt;&gt;"",F635&lt;TODAY(),AND(G635&lt;&gt;"✅ Выполнена",G635&lt;&gt;"❌ Отменена")),MAX($M$4:M634)+1,"")</f>
        <v/>
      </c>
    </row>
    <row r="636">
      <c r="A636" s="49">
        <f>IF(B636="","",COUNTA($B$5:B636))</f>
        <v/>
      </c>
      <c r="B636" s="50" t="n"/>
      <c r="C636" s="51" t="n"/>
      <c r="D636" s="51" t="n"/>
      <c r="E636" s="52" t="n"/>
      <c r="F636" s="53" t="n"/>
      <c r="G636" s="51" t="n"/>
      <c r="H636" s="53" t="n"/>
      <c r="I636" s="51" t="n"/>
      <c r="J636" s="54">
        <f>IF(OR(B636="",F636="",NOT(AND(G636&lt;&gt;"✅ Выполнена",G636&lt;&gt;"❌ Отменена"))),"",IF(F636&lt;TODAY(),"❗ просрочено "&amp;(TODAY()-F636)&amp;" дн.",IF(F636=TODAY(),"🔥 сегодня",IF(F636-TODAY()&lt;=3,"⏳ через "&amp;(F636-TODAY())&amp;" дн.",""))))</f>
        <v/>
      </c>
      <c r="K636" s="54">
        <f>IF(B636="","",IF(G636="✅ Выполнена","✔ ",IF(G636="❌ Отменена","✖ ",IF(AND(F636&lt;&gt;"",F636&lt;TODAY()),"❗ ","☐ ")))&amp;B636&amp;IF(E636="🔥 Высокий"," 🔥",""))</f>
        <v/>
      </c>
      <c r="L636" s="54">
        <f>IF(OR(B636="",F636="",G636="❌ Отменена"),"",F636&amp;"#"&amp;COUNTIFS($F$5:F636,F636,$B$5:B636,"?*",$G$5:G636,"&lt;&gt;❌ Отменена"))</f>
        <v/>
      </c>
      <c r="M636" s="54">
        <f>IF(AND(B636&lt;&gt;"",F636&lt;&gt;"",F636&lt;TODAY(),AND(G636&lt;&gt;"✅ Выполнена",G636&lt;&gt;"❌ Отменена")),MAX($M$4:M635)+1,"")</f>
        <v/>
      </c>
    </row>
    <row r="637">
      <c r="A637" s="49">
        <f>IF(B637="","",COUNTA($B$5:B637))</f>
        <v/>
      </c>
      <c r="B637" s="50" t="n"/>
      <c r="C637" s="51" t="n"/>
      <c r="D637" s="51" t="n"/>
      <c r="E637" s="52" t="n"/>
      <c r="F637" s="53" t="n"/>
      <c r="G637" s="51" t="n"/>
      <c r="H637" s="53" t="n"/>
      <c r="I637" s="51" t="n"/>
      <c r="J637" s="54">
        <f>IF(OR(B637="",F637="",NOT(AND(G637&lt;&gt;"✅ Выполнена",G637&lt;&gt;"❌ Отменена"))),"",IF(F637&lt;TODAY(),"❗ просрочено "&amp;(TODAY()-F637)&amp;" дн.",IF(F637=TODAY(),"🔥 сегодня",IF(F637-TODAY()&lt;=3,"⏳ через "&amp;(F637-TODAY())&amp;" дн.",""))))</f>
        <v/>
      </c>
      <c r="K637" s="54">
        <f>IF(B637="","",IF(G637="✅ Выполнена","✔ ",IF(G637="❌ Отменена","✖ ",IF(AND(F637&lt;&gt;"",F637&lt;TODAY()),"❗ ","☐ ")))&amp;B637&amp;IF(E637="🔥 Высокий"," 🔥",""))</f>
        <v/>
      </c>
      <c r="L637" s="54">
        <f>IF(OR(B637="",F637="",G637="❌ Отменена"),"",F637&amp;"#"&amp;COUNTIFS($F$5:F637,F637,$B$5:B637,"?*",$G$5:G637,"&lt;&gt;❌ Отменена"))</f>
        <v/>
      </c>
      <c r="M637" s="54">
        <f>IF(AND(B637&lt;&gt;"",F637&lt;&gt;"",F637&lt;TODAY(),AND(G637&lt;&gt;"✅ Выполнена",G637&lt;&gt;"❌ Отменена")),MAX($M$4:M636)+1,"")</f>
        <v/>
      </c>
    </row>
    <row r="638">
      <c r="A638" s="49">
        <f>IF(B638="","",COUNTA($B$5:B638))</f>
        <v/>
      </c>
      <c r="B638" s="50" t="n"/>
      <c r="C638" s="51" t="n"/>
      <c r="D638" s="51" t="n"/>
      <c r="E638" s="52" t="n"/>
      <c r="F638" s="53" t="n"/>
      <c r="G638" s="51" t="n"/>
      <c r="H638" s="53" t="n"/>
      <c r="I638" s="51" t="n"/>
      <c r="J638" s="54">
        <f>IF(OR(B638="",F638="",NOT(AND(G638&lt;&gt;"✅ Выполнена",G638&lt;&gt;"❌ Отменена"))),"",IF(F638&lt;TODAY(),"❗ просрочено "&amp;(TODAY()-F638)&amp;" дн.",IF(F638=TODAY(),"🔥 сегодня",IF(F638-TODAY()&lt;=3,"⏳ через "&amp;(F638-TODAY())&amp;" дн.",""))))</f>
        <v/>
      </c>
      <c r="K638" s="54">
        <f>IF(B638="","",IF(G638="✅ Выполнена","✔ ",IF(G638="❌ Отменена","✖ ",IF(AND(F638&lt;&gt;"",F638&lt;TODAY()),"❗ ","☐ ")))&amp;B638&amp;IF(E638="🔥 Высокий"," 🔥",""))</f>
        <v/>
      </c>
      <c r="L638" s="54">
        <f>IF(OR(B638="",F638="",G638="❌ Отменена"),"",F638&amp;"#"&amp;COUNTIFS($F$5:F638,F638,$B$5:B638,"?*",$G$5:G638,"&lt;&gt;❌ Отменена"))</f>
        <v/>
      </c>
      <c r="M638" s="54">
        <f>IF(AND(B638&lt;&gt;"",F638&lt;&gt;"",F638&lt;TODAY(),AND(G638&lt;&gt;"✅ Выполнена",G638&lt;&gt;"❌ Отменена")),MAX($M$4:M637)+1,"")</f>
        <v/>
      </c>
    </row>
    <row r="639">
      <c r="A639" s="49">
        <f>IF(B639="","",COUNTA($B$5:B639))</f>
        <v/>
      </c>
      <c r="B639" s="50" t="n"/>
      <c r="C639" s="51" t="n"/>
      <c r="D639" s="51" t="n"/>
      <c r="E639" s="52" t="n"/>
      <c r="F639" s="53" t="n"/>
      <c r="G639" s="51" t="n"/>
      <c r="H639" s="53" t="n"/>
      <c r="I639" s="51" t="n"/>
      <c r="J639" s="54">
        <f>IF(OR(B639="",F639="",NOT(AND(G639&lt;&gt;"✅ Выполнена",G639&lt;&gt;"❌ Отменена"))),"",IF(F639&lt;TODAY(),"❗ просрочено "&amp;(TODAY()-F639)&amp;" дн.",IF(F639=TODAY(),"🔥 сегодня",IF(F639-TODAY()&lt;=3,"⏳ через "&amp;(F639-TODAY())&amp;" дн.",""))))</f>
        <v/>
      </c>
      <c r="K639" s="54">
        <f>IF(B639="","",IF(G639="✅ Выполнена","✔ ",IF(G639="❌ Отменена","✖ ",IF(AND(F639&lt;&gt;"",F639&lt;TODAY()),"❗ ","☐ ")))&amp;B639&amp;IF(E639="🔥 Высокий"," 🔥",""))</f>
        <v/>
      </c>
      <c r="L639" s="54">
        <f>IF(OR(B639="",F639="",G639="❌ Отменена"),"",F639&amp;"#"&amp;COUNTIFS($F$5:F639,F639,$B$5:B639,"?*",$G$5:G639,"&lt;&gt;❌ Отменена"))</f>
        <v/>
      </c>
      <c r="M639" s="54">
        <f>IF(AND(B639&lt;&gt;"",F639&lt;&gt;"",F639&lt;TODAY(),AND(G639&lt;&gt;"✅ Выполнена",G639&lt;&gt;"❌ Отменена")),MAX($M$4:M638)+1,"")</f>
        <v/>
      </c>
    </row>
    <row r="640">
      <c r="A640" s="49">
        <f>IF(B640="","",COUNTA($B$5:B640))</f>
        <v/>
      </c>
      <c r="B640" s="50" t="n"/>
      <c r="C640" s="51" t="n"/>
      <c r="D640" s="51" t="n"/>
      <c r="E640" s="52" t="n"/>
      <c r="F640" s="53" t="n"/>
      <c r="G640" s="51" t="n"/>
      <c r="H640" s="53" t="n"/>
      <c r="I640" s="51" t="n"/>
      <c r="J640" s="54">
        <f>IF(OR(B640="",F640="",NOT(AND(G640&lt;&gt;"✅ Выполнена",G640&lt;&gt;"❌ Отменена"))),"",IF(F640&lt;TODAY(),"❗ просрочено "&amp;(TODAY()-F640)&amp;" дн.",IF(F640=TODAY(),"🔥 сегодня",IF(F640-TODAY()&lt;=3,"⏳ через "&amp;(F640-TODAY())&amp;" дн.",""))))</f>
        <v/>
      </c>
      <c r="K640" s="54">
        <f>IF(B640="","",IF(G640="✅ Выполнена","✔ ",IF(G640="❌ Отменена","✖ ",IF(AND(F640&lt;&gt;"",F640&lt;TODAY()),"❗ ","☐ ")))&amp;B640&amp;IF(E640="🔥 Высокий"," 🔥",""))</f>
        <v/>
      </c>
      <c r="L640" s="54">
        <f>IF(OR(B640="",F640="",G640="❌ Отменена"),"",F640&amp;"#"&amp;COUNTIFS($F$5:F640,F640,$B$5:B640,"?*",$G$5:G640,"&lt;&gt;❌ Отменена"))</f>
        <v/>
      </c>
      <c r="M640" s="54">
        <f>IF(AND(B640&lt;&gt;"",F640&lt;&gt;"",F640&lt;TODAY(),AND(G640&lt;&gt;"✅ Выполнена",G640&lt;&gt;"❌ Отменена")),MAX($M$4:M639)+1,"")</f>
        <v/>
      </c>
    </row>
    <row r="641">
      <c r="A641" s="49">
        <f>IF(B641="","",COUNTA($B$5:B641))</f>
        <v/>
      </c>
      <c r="B641" s="50" t="n"/>
      <c r="C641" s="51" t="n"/>
      <c r="D641" s="51" t="n"/>
      <c r="E641" s="52" t="n"/>
      <c r="F641" s="53" t="n"/>
      <c r="G641" s="51" t="n"/>
      <c r="H641" s="53" t="n"/>
      <c r="I641" s="51" t="n"/>
      <c r="J641" s="54">
        <f>IF(OR(B641="",F641="",NOT(AND(G641&lt;&gt;"✅ Выполнена",G641&lt;&gt;"❌ Отменена"))),"",IF(F641&lt;TODAY(),"❗ просрочено "&amp;(TODAY()-F641)&amp;" дн.",IF(F641=TODAY(),"🔥 сегодня",IF(F641-TODAY()&lt;=3,"⏳ через "&amp;(F641-TODAY())&amp;" дн.",""))))</f>
        <v/>
      </c>
      <c r="K641" s="54">
        <f>IF(B641="","",IF(G641="✅ Выполнена","✔ ",IF(G641="❌ Отменена","✖ ",IF(AND(F641&lt;&gt;"",F641&lt;TODAY()),"❗ ","☐ ")))&amp;B641&amp;IF(E641="🔥 Высокий"," 🔥",""))</f>
        <v/>
      </c>
      <c r="L641" s="54">
        <f>IF(OR(B641="",F641="",G641="❌ Отменена"),"",F641&amp;"#"&amp;COUNTIFS($F$5:F641,F641,$B$5:B641,"?*",$G$5:G641,"&lt;&gt;❌ Отменена"))</f>
        <v/>
      </c>
      <c r="M641" s="54">
        <f>IF(AND(B641&lt;&gt;"",F641&lt;&gt;"",F641&lt;TODAY(),AND(G641&lt;&gt;"✅ Выполнена",G641&lt;&gt;"❌ Отменена")),MAX($M$4:M640)+1,"")</f>
        <v/>
      </c>
    </row>
    <row r="642">
      <c r="A642" s="49">
        <f>IF(B642="","",COUNTA($B$5:B642))</f>
        <v/>
      </c>
      <c r="B642" s="50" t="n"/>
      <c r="C642" s="51" t="n"/>
      <c r="D642" s="51" t="n"/>
      <c r="E642" s="52" t="n"/>
      <c r="F642" s="53" t="n"/>
      <c r="G642" s="51" t="n"/>
      <c r="H642" s="53" t="n"/>
      <c r="I642" s="51" t="n"/>
      <c r="J642" s="54">
        <f>IF(OR(B642="",F642="",NOT(AND(G642&lt;&gt;"✅ Выполнена",G642&lt;&gt;"❌ Отменена"))),"",IF(F642&lt;TODAY(),"❗ просрочено "&amp;(TODAY()-F642)&amp;" дн.",IF(F642=TODAY(),"🔥 сегодня",IF(F642-TODAY()&lt;=3,"⏳ через "&amp;(F642-TODAY())&amp;" дн.",""))))</f>
        <v/>
      </c>
      <c r="K642" s="54">
        <f>IF(B642="","",IF(G642="✅ Выполнена","✔ ",IF(G642="❌ Отменена","✖ ",IF(AND(F642&lt;&gt;"",F642&lt;TODAY()),"❗ ","☐ ")))&amp;B642&amp;IF(E642="🔥 Высокий"," 🔥",""))</f>
        <v/>
      </c>
      <c r="L642" s="54">
        <f>IF(OR(B642="",F642="",G642="❌ Отменена"),"",F642&amp;"#"&amp;COUNTIFS($F$5:F642,F642,$B$5:B642,"?*",$G$5:G642,"&lt;&gt;❌ Отменена"))</f>
        <v/>
      </c>
      <c r="M642" s="54">
        <f>IF(AND(B642&lt;&gt;"",F642&lt;&gt;"",F642&lt;TODAY(),AND(G642&lt;&gt;"✅ Выполнена",G642&lt;&gt;"❌ Отменена")),MAX($M$4:M641)+1,"")</f>
        <v/>
      </c>
    </row>
    <row r="643">
      <c r="A643" s="49">
        <f>IF(B643="","",COUNTA($B$5:B643))</f>
        <v/>
      </c>
      <c r="B643" s="50" t="n"/>
      <c r="C643" s="51" t="n"/>
      <c r="D643" s="51" t="n"/>
      <c r="E643" s="52" t="n"/>
      <c r="F643" s="53" t="n"/>
      <c r="G643" s="51" t="n"/>
      <c r="H643" s="53" t="n"/>
      <c r="I643" s="51" t="n"/>
      <c r="J643" s="54">
        <f>IF(OR(B643="",F643="",NOT(AND(G643&lt;&gt;"✅ Выполнена",G643&lt;&gt;"❌ Отменена"))),"",IF(F643&lt;TODAY(),"❗ просрочено "&amp;(TODAY()-F643)&amp;" дн.",IF(F643=TODAY(),"🔥 сегодня",IF(F643-TODAY()&lt;=3,"⏳ через "&amp;(F643-TODAY())&amp;" дн.",""))))</f>
        <v/>
      </c>
      <c r="K643" s="54">
        <f>IF(B643="","",IF(G643="✅ Выполнена","✔ ",IF(G643="❌ Отменена","✖ ",IF(AND(F643&lt;&gt;"",F643&lt;TODAY()),"❗ ","☐ ")))&amp;B643&amp;IF(E643="🔥 Высокий"," 🔥",""))</f>
        <v/>
      </c>
      <c r="L643" s="54">
        <f>IF(OR(B643="",F643="",G643="❌ Отменена"),"",F643&amp;"#"&amp;COUNTIFS($F$5:F643,F643,$B$5:B643,"?*",$G$5:G643,"&lt;&gt;❌ Отменена"))</f>
        <v/>
      </c>
      <c r="M643" s="54">
        <f>IF(AND(B643&lt;&gt;"",F643&lt;&gt;"",F643&lt;TODAY(),AND(G643&lt;&gt;"✅ Выполнена",G643&lt;&gt;"❌ Отменена")),MAX($M$4:M642)+1,"")</f>
        <v/>
      </c>
    </row>
    <row r="644">
      <c r="A644" s="49">
        <f>IF(B644="","",COUNTA($B$5:B644))</f>
        <v/>
      </c>
      <c r="B644" s="50" t="n"/>
      <c r="C644" s="51" t="n"/>
      <c r="D644" s="51" t="n"/>
      <c r="E644" s="52" t="n"/>
      <c r="F644" s="53" t="n"/>
      <c r="G644" s="51" t="n"/>
      <c r="H644" s="53" t="n"/>
      <c r="I644" s="51" t="n"/>
      <c r="J644" s="54">
        <f>IF(OR(B644="",F644="",NOT(AND(G644&lt;&gt;"✅ Выполнена",G644&lt;&gt;"❌ Отменена"))),"",IF(F644&lt;TODAY(),"❗ просрочено "&amp;(TODAY()-F644)&amp;" дн.",IF(F644=TODAY(),"🔥 сегодня",IF(F644-TODAY()&lt;=3,"⏳ через "&amp;(F644-TODAY())&amp;" дн.",""))))</f>
        <v/>
      </c>
      <c r="K644" s="54">
        <f>IF(B644="","",IF(G644="✅ Выполнена","✔ ",IF(G644="❌ Отменена","✖ ",IF(AND(F644&lt;&gt;"",F644&lt;TODAY()),"❗ ","☐ ")))&amp;B644&amp;IF(E644="🔥 Высокий"," 🔥",""))</f>
        <v/>
      </c>
      <c r="L644" s="54">
        <f>IF(OR(B644="",F644="",G644="❌ Отменена"),"",F644&amp;"#"&amp;COUNTIFS($F$5:F644,F644,$B$5:B644,"?*",$G$5:G644,"&lt;&gt;❌ Отменена"))</f>
        <v/>
      </c>
      <c r="M644" s="54">
        <f>IF(AND(B644&lt;&gt;"",F644&lt;&gt;"",F644&lt;TODAY(),AND(G644&lt;&gt;"✅ Выполнена",G644&lt;&gt;"❌ Отменена")),MAX($M$4:M643)+1,"")</f>
        <v/>
      </c>
    </row>
    <row r="645">
      <c r="A645" s="49">
        <f>IF(B645="","",COUNTA($B$5:B645))</f>
        <v/>
      </c>
      <c r="B645" s="50" t="n"/>
      <c r="C645" s="51" t="n"/>
      <c r="D645" s="51" t="n"/>
      <c r="E645" s="52" t="n"/>
      <c r="F645" s="53" t="n"/>
      <c r="G645" s="51" t="n"/>
      <c r="H645" s="53" t="n"/>
      <c r="I645" s="51" t="n"/>
      <c r="J645" s="54">
        <f>IF(OR(B645="",F645="",NOT(AND(G645&lt;&gt;"✅ Выполнена",G645&lt;&gt;"❌ Отменена"))),"",IF(F645&lt;TODAY(),"❗ просрочено "&amp;(TODAY()-F645)&amp;" дн.",IF(F645=TODAY(),"🔥 сегодня",IF(F645-TODAY()&lt;=3,"⏳ через "&amp;(F645-TODAY())&amp;" дн.",""))))</f>
        <v/>
      </c>
      <c r="K645" s="54">
        <f>IF(B645="","",IF(G645="✅ Выполнена","✔ ",IF(G645="❌ Отменена","✖ ",IF(AND(F645&lt;&gt;"",F645&lt;TODAY()),"❗ ","☐ ")))&amp;B645&amp;IF(E645="🔥 Высокий"," 🔥",""))</f>
        <v/>
      </c>
      <c r="L645" s="54">
        <f>IF(OR(B645="",F645="",G645="❌ Отменена"),"",F645&amp;"#"&amp;COUNTIFS($F$5:F645,F645,$B$5:B645,"?*",$G$5:G645,"&lt;&gt;❌ Отменена"))</f>
        <v/>
      </c>
      <c r="M645" s="54">
        <f>IF(AND(B645&lt;&gt;"",F645&lt;&gt;"",F645&lt;TODAY(),AND(G645&lt;&gt;"✅ Выполнена",G645&lt;&gt;"❌ Отменена")),MAX($M$4:M644)+1,"")</f>
        <v/>
      </c>
    </row>
    <row r="646">
      <c r="A646" s="49">
        <f>IF(B646="","",COUNTA($B$5:B646))</f>
        <v/>
      </c>
      <c r="B646" s="50" t="n"/>
      <c r="C646" s="51" t="n"/>
      <c r="D646" s="51" t="n"/>
      <c r="E646" s="52" t="n"/>
      <c r="F646" s="53" t="n"/>
      <c r="G646" s="51" t="n"/>
      <c r="H646" s="53" t="n"/>
      <c r="I646" s="51" t="n"/>
      <c r="J646" s="54">
        <f>IF(OR(B646="",F646="",NOT(AND(G646&lt;&gt;"✅ Выполнена",G646&lt;&gt;"❌ Отменена"))),"",IF(F646&lt;TODAY(),"❗ просрочено "&amp;(TODAY()-F646)&amp;" дн.",IF(F646=TODAY(),"🔥 сегодня",IF(F646-TODAY()&lt;=3,"⏳ через "&amp;(F646-TODAY())&amp;" дн.",""))))</f>
        <v/>
      </c>
      <c r="K646" s="54">
        <f>IF(B646="","",IF(G646="✅ Выполнена","✔ ",IF(G646="❌ Отменена","✖ ",IF(AND(F646&lt;&gt;"",F646&lt;TODAY()),"❗ ","☐ ")))&amp;B646&amp;IF(E646="🔥 Высокий"," 🔥",""))</f>
        <v/>
      </c>
      <c r="L646" s="54">
        <f>IF(OR(B646="",F646="",G646="❌ Отменена"),"",F646&amp;"#"&amp;COUNTIFS($F$5:F646,F646,$B$5:B646,"?*",$G$5:G646,"&lt;&gt;❌ Отменена"))</f>
        <v/>
      </c>
      <c r="M646" s="54">
        <f>IF(AND(B646&lt;&gt;"",F646&lt;&gt;"",F646&lt;TODAY(),AND(G646&lt;&gt;"✅ Выполнена",G646&lt;&gt;"❌ Отменена")),MAX($M$4:M645)+1,"")</f>
        <v/>
      </c>
    </row>
    <row r="647">
      <c r="A647" s="49">
        <f>IF(B647="","",COUNTA($B$5:B647))</f>
        <v/>
      </c>
      <c r="B647" s="50" t="n"/>
      <c r="C647" s="51" t="n"/>
      <c r="D647" s="51" t="n"/>
      <c r="E647" s="52" t="n"/>
      <c r="F647" s="53" t="n"/>
      <c r="G647" s="51" t="n"/>
      <c r="H647" s="53" t="n"/>
      <c r="I647" s="51" t="n"/>
      <c r="J647" s="54">
        <f>IF(OR(B647="",F647="",NOT(AND(G647&lt;&gt;"✅ Выполнена",G647&lt;&gt;"❌ Отменена"))),"",IF(F647&lt;TODAY(),"❗ просрочено "&amp;(TODAY()-F647)&amp;" дн.",IF(F647=TODAY(),"🔥 сегодня",IF(F647-TODAY()&lt;=3,"⏳ через "&amp;(F647-TODAY())&amp;" дн.",""))))</f>
        <v/>
      </c>
      <c r="K647" s="54">
        <f>IF(B647="","",IF(G647="✅ Выполнена","✔ ",IF(G647="❌ Отменена","✖ ",IF(AND(F647&lt;&gt;"",F647&lt;TODAY()),"❗ ","☐ ")))&amp;B647&amp;IF(E647="🔥 Высокий"," 🔥",""))</f>
        <v/>
      </c>
      <c r="L647" s="54">
        <f>IF(OR(B647="",F647="",G647="❌ Отменена"),"",F647&amp;"#"&amp;COUNTIFS($F$5:F647,F647,$B$5:B647,"?*",$G$5:G647,"&lt;&gt;❌ Отменена"))</f>
        <v/>
      </c>
      <c r="M647" s="54">
        <f>IF(AND(B647&lt;&gt;"",F647&lt;&gt;"",F647&lt;TODAY(),AND(G647&lt;&gt;"✅ Выполнена",G647&lt;&gt;"❌ Отменена")),MAX($M$4:M646)+1,"")</f>
        <v/>
      </c>
    </row>
    <row r="648">
      <c r="A648" s="49">
        <f>IF(B648="","",COUNTA($B$5:B648))</f>
        <v/>
      </c>
      <c r="B648" s="50" t="n"/>
      <c r="C648" s="51" t="n"/>
      <c r="D648" s="51" t="n"/>
      <c r="E648" s="52" t="n"/>
      <c r="F648" s="53" t="n"/>
      <c r="G648" s="51" t="n"/>
      <c r="H648" s="53" t="n"/>
      <c r="I648" s="51" t="n"/>
      <c r="J648" s="54">
        <f>IF(OR(B648="",F648="",NOT(AND(G648&lt;&gt;"✅ Выполнена",G648&lt;&gt;"❌ Отменена"))),"",IF(F648&lt;TODAY(),"❗ просрочено "&amp;(TODAY()-F648)&amp;" дн.",IF(F648=TODAY(),"🔥 сегодня",IF(F648-TODAY()&lt;=3,"⏳ через "&amp;(F648-TODAY())&amp;" дн.",""))))</f>
        <v/>
      </c>
      <c r="K648" s="54">
        <f>IF(B648="","",IF(G648="✅ Выполнена","✔ ",IF(G648="❌ Отменена","✖ ",IF(AND(F648&lt;&gt;"",F648&lt;TODAY()),"❗ ","☐ ")))&amp;B648&amp;IF(E648="🔥 Высокий"," 🔥",""))</f>
        <v/>
      </c>
      <c r="L648" s="54">
        <f>IF(OR(B648="",F648="",G648="❌ Отменена"),"",F648&amp;"#"&amp;COUNTIFS($F$5:F648,F648,$B$5:B648,"?*",$G$5:G648,"&lt;&gt;❌ Отменена"))</f>
        <v/>
      </c>
      <c r="M648" s="54">
        <f>IF(AND(B648&lt;&gt;"",F648&lt;&gt;"",F648&lt;TODAY(),AND(G648&lt;&gt;"✅ Выполнена",G648&lt;&gt;"❌ Отменена")),MAX($M$4:M647)+1,"")</f>
        <v/>
      </c>
    </row>
    <row r="649">
      <c r="A649" s="49">
        <f>IF(B649="","",COUNTA($B$5:B649))</f>
        <v/>
      </c>
      <c r="B649" s="50" t="n"/>
      <c r="C649" s="51" t="n"/>
      <c r="D649" s="51" t="n"/>
      <c r="E649" s="52" t="n"/>
      <c r="F649" s="53" t="n"/>
      <c r="G649" s="51" t="n"/>
      <c r="H649" s="53" t="n"/>
      <c r="I649" s="51" t="n"/>
      <c r="J649" s="54">
        <f>IF(OR(B649="",F649="",NOT(AND(G649&lt;&gt;"✅ Выполнена",G649&lt;&gt;"❌ Отменена"))),"",IF(F649&lt;TODAY(),"❗ просрочено "&amp;(TODAY()-F649)&amp;" дн.",IF(F649=TODAY(),"🔥 сегодня",IF(F649-TODAY()&lt;=3,"⏳ через "&amp;(F649-TODAY())&amp;" дн.",""))))</f>
        <v/>
      </c>
      <c r="K649" s="54">
        <f>IF(B649="","",IF(G649="✅ Выполнена","✔ ",IF(G649="❌ Отменена","✖ ",IF(AND(F649&lt;&gt;"",F649&lt;TODAY()),"❗ ","☐ ")))&amp;B649&amp;IF(E649="🔥 Высокий"," 🔥",""))</f>
        <v/>
      </c>
      <c r="L649" s="54">
        <f>IF(OR(B649="",F649="",G649="❌ Отменена"),"",F649&amp;"#"&amp;COUNTIFS($F$5:F649,F649,$B$5:B649,"?*",$G$5:G649,"&lt;&gt;❌ Отменена"))</f>
        <v/>
      </c>
      <c r="M649" s="54">
        <f>IF(AND(B649&lt;&gt;"",F649&lt;&gt;"",F649&lt;TODAY(),AND(G649&lt;&gt;"✅ Выполнена",G649&lt;&gt;"❌ Отменена")),MAX($M$4:M648)+1,"")</f>
        <v/>
      </c>
    </row>
    <row r="650">
      <c r="A650" s="49">
        <f>IF(B650="","",COUNTA($B$5:B650))</f>
        <v/>
      </c>
      <c r="B650" s="50" t="n"/>
      <c r="C650" s="51" t="n"/>
      <c r="D650" s="51" t="n"/>
      <c r="E650" s="52" t="n"/>
      <c r="F650" s="53" t="n"/>
      <c r="G650" s="51" t="n"/>
      <c r="H650" s="53" t="n"/>
      <c r="I650" s="51" t="n"/>
      <c r="J650" s="54">
        <f>IF(OR(B650="",F650="",NOT(AND(G650&lt;&gt;"✅ Выполнена",G650&lt;&gt;"❌ Отменена"))),"",IF(F650&lt;TODAY(),"❗ просрочено "&amp;(TODAY()-F650)&amp;" дн.",IF(F650=TODAY(),"🔥 сегодня",IF(F650-TODAY()&lt;=3,"⏳ через "&amp;(F650-TODAY())&amp;" дн.",""))))</f>
        <v/>
      </c>
      <c r="K650" s="54">
        <f>IF(B650="","",IF(G650="✅ Выполнена","✔ ",IF(G650="❌ Отменена","✖ ",IF(AND(F650&lt;&gt;"",F650&lt;TODAY()),"❗ ","☐ ")))&amp;B650&amp;IF(E650="🔥 Высокий"," 🔥",""))</f>
        <v/>
      </c>
      <c r="L650" s="54">
        <f>IF(OR(B650="",F650="",G650="❌ Отменена"),"",F650&amp;"#"&amp;COUNTIFS($F$5:F650,F650,$B$5:B650,"?*",$G$5:G650,"&lt;&gt;❌ Отменена"))</f>
        <v/>
      </c>
      <c r="M650" s="54">
        <f>IF(AND(B650&lt;&gt;"",F650&lt;&gt;"",F650&lt;TODAY(),AND(G650&lt;&gt;"✅ Выполнена",G650&lt;&gt;"❌ Отменена")),MAX($M$4:M649)+1,"")</f>
        <v/>
      </c>
    </row>
    <row r="651">
      <c r="A651" s="49">
        <f>IF(B651="","",COUNTA($B$5:B651))</f>
        <v/>
      </c>
      <c r="B651" s="50" t="n"/>
      <c r="C651" s="51" t="n"/>
      <c r="D651" s="51" t="n"/>
      <c r="E651" s="52" t="n"/>
      <c r="F651" s="53" t="n"/>
      <c r="G651" s="51" t="n"/>
      <c r="H651" s="53" t="n"/>
      <c r="I651" s="51" t="n"/>
      <c r="J651" s="54">
        <f>IF(OR(B651="",F651="",NOT(AND(G651&lt;&gt;"✅ Выполнена",G651&lt;&gt;"❌ Отменена"))),"",IF(F651&lt;TODAY(),"❗ просрочено "&amp;(TODAY()-F651)&amp;" дн.",IF(F651=TODAY(),"🔥 сегодня",IF(F651-TODAY()&lt;=3,"⏳ через "&amp;(F651-TODAY())&amp;" дн.",""))))</f>
        <v/>
      </c>
      <c r="K651" s="54">
        <f>IF(B651="","",IF(G651="✅ Выполнена","✔ ",IF(G651="❌ Отменена","✖ ",IF(AND(F651&lt;&gt;"",F651&lt;TODAY()),"❗ ","☐ ")))&amp;B651&amp;IF(E651="🔥 Высокий"," 🔥",""))</f>
        <v/>
      </c>
      <c r="L651" s="54">
        <f>IF(OR(B651="",F651="",G651="❌ Отменена"),"",F651&amp;"#"&amp;COUNTIFS($F$5:F651,F651,$B$5:B651,"?*",$G$5:G651,"&lt;&gt;❌ Отменена"))</f>
        <v/>
      </c>
      <c r="M651" s="54">
        <f>IF(AND(B651&lt;&gt;"",F651&lt;&gt;"",F651&lt;TODAY(),AND(G651&lt;&gt;"✅ Выполнена",G651&lt;&gt;"❌ Отменена")),MAX($M$4:M650)+1,"")</f>
        <v/>
      </c>
    </row>
    <row r="652">
      <c r="A652" s="49">
        <f>IF(B652="","",COUNTA($B$5:B652))</f>
        <v/>
      </c>
      <c r="B652" s="50" t="n"/>
      <c r="C652" s="51" t="n"/>
      <c r="D652" s="51" t="n"/>
      <c r="E652" s="52" t="n"/>
      <c r="F652" s="53" t="n"/>
      <c r="G652" s="51" t="n"/>
      <c r="H652" s="53" t="n"/>
      <c r="I652" s="51" t="n"/>
      <c r="J652" s="54">
        <f>IF(OR(B652="",F652="",NOT(AND(G652&lt;&gt;"✅ Выполнена",G652&lt;&gt;"❌ Отменена"))),"",IF(F652&lt;TODAY(),"❗ просрочено "&amp;(TODAY()-F652)&amp;" дн.",IF(F652=TODAY(),"🔥 сегодня",IF(F652-TODAY()&lt;=3,"⏳ через "&amp;(F652-TODAY())&amp;" дн.",""))))</f>
        <v/>
      </c>
      <c r="K652" s="54">
        <f>IF(B652="","",IF(G652="✅ Выполнена","✔ ",IF(G652="❌ Отменена","✖ ",IF(AND(F652&lt;&gt;"",F652&lt;TODAY()),"❗ ","☐ ")))&amp;B652&amp;IF(E652="🔥 Высокий"," 🔥",""))</f>
        <v/>
      </c>
      <c r="L652" s="54">
        <f>IF(OR(B652="",F652="",G652="❌ Отменена"),"",F652&amp;"#"&amp;COUNTIFS($F$5:F652,F652,$B$5:B652,"?*",$G$5:G652,"&lt;&gt;❌ Отменена"))</f>
        <v/>
      </c>
      <c r="M652" s="54">
        <f>IF(AND(B652&lt;&gt;"",F652&lt;&gt;"",F652&lt;TODAY(),AND(G652&lt;&gt;"✅ Выполнена",G652&lt;&gt;"❌ Отменена")),MAX($M$4:M651)+1,"")</f>
        <v/>
      </c>
    </row>
    <row r="653">
      <c r="A653" s="49">
        <f>IF(B653="","",COUNTA($B$5:B653))</f>
        <v/>
      </c>
      <c r="B653" s="50" t="n"/>
      <c r="C653" s="51" t="n"/>
      <c r="D653" s="51" t="n"/>
      <c r="E653" s="52" t="n"/>
      <c r="F653" s="53" t="n"/>
      <c r="G653" s="51" t="n"/>
      <c r="H653" s="53" t="n"/>
      <c r="I653" s="51" t="n"/>
      <c r="J653" s="54">
        <f>IF(OR(B653="",F653="",NOT(AND(G653&lt;&gt;"✅ Выполнена",G653&lt;&gt;"❌ Отменена"))),"",IF(F653&lt;TODAY(),"❗ просрочено "&amp;(TODAY()-F653)&amp;" дн.",IF(F653=TODAY(),"🔥 сегодня",IF(F653-TODAY()&lt;=3,"⏳ через "&amp;(F653-TODAY())&amp;" дн.",""))))</f>
        <v/>
      </c>
      <c r="K653" s="54">
        <f>IF(B653="","",IF(G653="✅ Выполнена","✔ ",IF(G653="❌ Отменена","✖ ",IF(AND(F653&lt;&gt;"",F653&lt;TODAY()),"❗ ","☐ ")))&amp;B653&amp;IF(E653="🔥 Высокий"," 🔥",""))</f>
        <v/>
      </c>
      <c r="L653" s="54">
        <f>IF(OR(B653="",F653="",G653="❌ Отменена"),"",F653&amp;"#"&amp;COUNTIFS($F$5:F653,F653,$B$5:B653,"?*",$G$5:G653,"&lt;&gt;❌ Отменена"))</f>
        <v/>
      </c>
      <c r="M653" s="54">
        <f>IF(AND(B653&lt;&gt;"",F653&lt;&gt;"",F653&lt;TODAY(),AND(G653&lt;&gt;"✅ Выполнена",G653&lt;&gt;"❌ Отменена")),MAX($M$4:M652)+1,"")</f>
        <v/>
      </c>
    </row>
    <row r="654">
      <c r="A654" s="49">
        <f>IF(B654="","",COUNTA($B$5:B654))</f>
        <v/>
      </c>
      <c r="B654" s="50" t="n"/>
      <c r="C654" s="51" t="n"/>
      <c r="D654" s="51" t="n"/>
      <c r="E654" s="52" t="n"/>
      <c r="F654" s="53" t="n"/>
      <c r="G654" s="51" t="n"/>
      <c r="H654" s="53" t="n"/>
      <c r="I654" s="51" t="n"/>
      <c r="J654" s="54">
        <f>IF(OR(B654="",F654="",NOT(AND(G654&lt;&gt;"✅ Выполнена",G654&lt;&gt;"❌ Отменена"))),"",IF(F654&lt;TODAY(),"❗ просрочено "&amp;(TODAY()-F654)&amp;" дн.",IF(F654=TODAY(),"🔥 сегодня",IF(F654-TODAY()&lt;=3,"⏳ через "&amp;(F654-TODAY())&amp;" дн.",""))))</f>
        <v/>
      </c>
      <c r="K654" s="54">
        <f>IF(B654="","",IF(G654="✅ Выполнена","✔ ",IF(G654="❌ Отменена","✖ ",IF(AND(F654&lt;&gt;"",F654&lt;TODAY()),"❗ ","☐ ")))&amp;B654&amp;IF(E654="🔥 Высокий"," 🔥",""))</f>
        <v/>
      </c>
      <c r="L654" s="54">
        <f>IF(OR(B654="",F654="",G654="❌ Отменена"),"",F654&amp;"#"&amp;COUNTIFS($F$5:F654,F654,$B$5:B654,"?*",$G$5:G654,"&lt;&gt;❌ Отменена"))</f>
        <v/>
      </c>
      <c r="M654" s="54">
        <f>IF(AND(B654&lt;&gt;"",F654&lt;&gt;"",F654&lt;TODAY(),AND(G654&lt;&gt;"✅ Выполнена",G654&lt;&gt;"❌ Отменена")),MAX($M$4:M653)+1,"")</f>
        <v/>
      </c>
    </row>
    <row r="655">
      <c r="A655" s="49">
        <f>IF(B655="","",COUNTA($B$5:B655))</f>
        <v/>
      </c>
      <c r="B655" s="50" t="n"/>
      <c r="C655" s="51" t="n"/>
      <c r="D655" s="51" t="n"/>
      <c r="E655" s="52" t="n"/>
      <c r="F655" s="53" t="n"/>
      <c r="G655" s="51" t="n"/>
      <c r="H655" s="53" t="n"/>
      <c r="I655" s="51" t="n"/>
      <c r="J655" s="54">
        <f>IF(OR(B655="",F655="",NOT(AND(G655&lt;&gt;"✅ Выполнена",G655&lt;&gt;"❌ Отменена"))),"",IF(F655&lt;TODAY(),"❗ просрочено "&amp;(TODAY()-F655)&amp;" дн.",IF(F655=TODAY(),"🔥 сегодня",IF(F655-TODAY()&lt;=3,"⏳ через "&amp;(F655-TODAY())&amp;" дн.",""))))</f>
        <v/>
      </c>
      <c r="K655" s="54">
        <f>IF(B655="","",IF(G655="✅ Выполнена","✔ ",IF(G655="❌ Отменена","✖ ",IF(AND(F655&lt;&gt;"",F655&lt;TODAY()),"❗ ","☐ ")))&amp;B655&amp;IF(E655="🔥 Высокий"," 🔥",""))</f>
        <v/>
      </c>
      <c r="L655" s="54">
        <f>IF(OR(B655="",F655="",G655="❌ Отменена"),"",F655&amp;"#"&amp;COUNTIFS($F$5:F655,F655,$B$5:B655,"?*",$G$5:G655,"&lt;&gt;❌ Отменена"))</f>
        <v/>
      </c>
      <c r="M655" s="54">
        <f>IF(AND(B655&lt;&gt;"",F655&lt;&gt;"",F655&lt;TODAY(),AND(G655&lt;&gt;"✅ Выполнена",G655&lt;&gt;"❌ Отменена")),MAX($M$4:M654)+1,"")</f>
        <v/>
      </c>
    </row>
    <row r="656">
      <c r="A656" s="49">
        <f>IF(B656="","",COUNTA($B$5:B656))</f>
        <v/>
      </c>
      <c r="B656" s="50" t="n"/>
      <c r="C656" s="51" t="n"/>
      <c r="D656" s="51" t="n"/>
      <c r="E656" s="52" t="n"/>
      <c r="F656" s="53" t="n"/>
      <c r="G656" s="51" t="n"/>
      <c r="H656" s="53" t="n"/>
      <c r="I656" s="51" t="n"/>
      <c r="J656" s="54">
        <f>IF(OR(B656="",F656="",NOT(AND(G656&lt;&gt;"✅ Выполнена",G656&lt;&gt;"❌ Отменена"))),"",IF(F656&lt;TODAY(),"❗ просрочено "&amp;(TODAY()-F656)&amp;" дн.",IF(F656=TODAY(),"🔥 сегодня",IF(F656-TODAY()&lt;=3,"⏳ через "&amp;(F656-TODAY())&amp;" дн.",""))))</f>
        <v/>
      </c>
      <c r="K656" s="54">
        <f>IF(B656="","",IF(G656="✅ Выполнена","✔ ",IF(G656="❌ Отменена","✖ ",IF(AND(F656&lt;&gt;"",F656&lt;TODAY()),"❗ ","☐ ")))&amp;B656&amp;IF(E656="🔥 Высокий"," 🔥",""))</f>
        <v/>
      </c>
      <c r="L656" s="54">
        <f>IF(OR(B656="",F656="",G656="❌ Отменена"),"",F656&amp;"#"&amp;COUNTIFS($F$5:F656,F656,$B$5:B656,"?*",$G$5:G656,"&lt;&gt;❌ Отменена"))</f>
        <v/>
      </c>
      <c r="M656" s="54">
        <f>IF(AND(B656&lt;&gt;"",F656&lt;&gt;"",F656&lt;TODAY(),AND(G656&lt;&gt;"✅ Выполнена",G656&lt;&gt;"❌ Отменена")),MAX($M$4:M655)+1,"")</f>
        <v/>
      </c>
    </row>
    <row r="657">
      <c r="A657" s="49">
        <f>IF(B657="","",COUNTA($B$5:B657))</f>
        <v/>
      </c>
      <c r="B657" s="50" t="n"/>
      <c r="C657" s="51" t="n"/>
      <c r="D657" s="51" t="n"/>
      <c r="E657" s="52" t="n"/>
      <c r="F657" s="53" t="n"/>
      <c r="G657" s="51" t="n"/>
      <c r="H657" s="53" t="n"/>
      <c r="I657" s="51" t="n"/>
      <c r="J657" s="54">
        <f>IF(OR(B657="",F657="",NOT(AND(G657&lt;&gt;"✅ Выполнена",G657&lt;&gt;"❌ Отменена"))),"",IF(F657&lt;TODAY(),"❗ просрочено "&amp;(TODAY()-F657)&amp;" дн.",IF(F657=TODAY(),"🔥 сегодня",IF(F657-TODAY()&lt;=3,"⏳ через "&amp;(F657-TODAY())&amp;" дн.",""))))</f>
        <v/>
      </c>
      <c r="K657" s="54">
        <f>IF(B657="","",IF(G657="✅ Выполнена","✔ ",IF(G657="❌ Отменена","✖ ",IF(AND(F657&lt;&gt;"",F657&lt;TODAY()),"❗ ","☐ ")))&amp;B657&amp;IF(E657="🔥 Высокий"," 🔥",""))</f>
        <v/>
      </c>
      <c r="L657" s="54">
        <f>IF(OR(B657="",F657="",G657="❌ Отменена"),"",F657&amp;"#"&amp;COUNTIFS($F$5:F657,F657,$B$5:B657,"?*",$G$5:G657,"&lt;&gt;❌ Отменена"))</f>
        <v/>
      </c>
      <c r="M657" s="54">
        <f>IF(AND(B657&lt;&gt;"",F657&lt;&gt;"",F657&lt;TODAY(),AND(G657&lt;&gt;"✅ Выполнена",G657&lt;&gt;"❌ Отменена")),MAX($M$4:M656)+1,"")</f>
        <v/>
      </c>
    </row>
    <row r="658">
      <c r="A658" s="49">
        <f>IF(B658="","",COUNTA($B$5:B658))</f>
        <v/>
      </c>
      <c r="B658" s="50" t="n"/>
      <c r="C658" s="51" t="n"/>
      <c r="D658" s="51" t="n"/>
      <c r="E658" s="52" t="n"/>
      <c r="F658" s="53" t="n"/>
      <c r="G658" s="51" t="n"/>
      <c r="H658" s="53" t="n"/>
      <c r="I658" s="51" t="n"/>
      <c r="J658" s="54">
        <f>IF(OR(B658="",F658="",NOT(AND(G658&lt;&gt;"✅ Выполнена",G658&lt;&gt;"❌ Отменена"))),"",IF(F658&lt;TODAY(),"❗ просрочено "&amp;(TODAY()-F658)&amp;" дн.",IF(F658=TODAY(),"🔥 сегодня",IF(F658-TODAY()&lt;=3,"⏳ через "&amp;(F658-TODAY())&amp;" дн.",""))))</f>
        <v/>
      </c>
      <c r="K658" s="54">
        <f>IF(B658="","",IF(G658="✅ Выполнена","✔ ",IF(G658="❌ Отменена","✖ ",IF(AND(F658&lt;&gt;"",F658&lt;TODAY()),"❗ ","☐ ")))&amp;B658&amp;IF(E658="🔥 Высокий"," 🔥",""))</f>
        <v/>
      </c>
      <c r="L658" s="54">
        <f>IF(OR(B658="",F658="",G658="❌ Отменена"),"",F658&amp;"#"&amp;COUNTIFS($F$5:F658,F658,$B$5:B658,"?*",$G$5:G658,"&lt;&gt;❌ Отменена"))</f>
        <v/>
      </c>
      <c r="M658" s="54">
        <f>IF(AND(B658&lt;&gt;"",F658&lt;&gt;"",F658&lt;TODAY(),AND(G658&lt;&gt;"✅ Выполнена",G658&lt;&gt;"❌ Отменена")),MAX($M$4:M657)+1,"")</f>
        <v/>
      </c>
    </row>
    <row r="659">
      <c r="A659" s="49">
        <f>IF(B659="","",COUNTA($B$5:B659))</f>
        <v/>
      </c>
      <c r="B659" s="50" t="n"/>
      <c r="C659" s="51" t="n"/>
      <c r="D659" s="51" t="n"/>
      <c r="E659" s="52" t="n"/>
      <c r="F659" s="53" t="n"/>
      <c r="G659" s="51" t="n"/>
      <c r="H659" s="53" t="n"/>
      <c r="I659" s="51" t="n"/>
      <c r="J659" s="54">
        <f>IF(OR(B659="",F659="",NOT(AND(G659&lt;&gt;"✅ Выполнена",G659&lt;&gt;"❌ Отменена"))),"",IF(F659&lt;TODAY(),"❗ просрочено "&amp;(TODAY()-F659)&amp;" дн.",IF(F659=TODAY(),"🔥 сегодня",IF(F659-TODAY()&lt;=3,"⏳ через "&amp;(F659-TODAY())&amp;" дн.",""))))</f>
        <v/>
      </c>
      <c r="K659" s="54">
        <f>IF(B659="","",IF(G659="✅ Выполнена","✔ ",IF(G659="❌ Отменена","✖ ",IF(AND(F659&lt;&gt;"",F659&lt;TODAY()),"❗ ","☐ ")))&amp;B659&amp;IF(E659="🔥 Высокий"," 🔥",""))</f>
        <v/>
      </c>
      <c r="L659" s="54">
        <f>IF(OR(B659="",F659="",G659="❌ Отменена"),"",F659&amp;"#"&amp;COUNTIFS($F$5:F659,F659,$B$5:B659,"?*",$G$5:G659,"&lt;&gt;❌ Отменена"))</f>
        <v/>
      </c>
      <c r="M659" s="54">
        <f>IF(AND(B659&lt;&gt;"",F659&lt;&gt;"",F659&lt;TODAY(),AND(G659&lt;&gt;"✅ Выполнена",G659&lt;&gt;"❌ Отменена")),MAX($M$4:M658)+1,"")</f>
        <v/>
      </c>
    </row>
    <row r="660">
      <c r="A660" s="49">
        <f>IF(B660="","",COUNTA($B$5:B660))</f>
        <v/>
      </c>
      <c r="B660" s="50" t="n"/>
      <c r="C660" s="51" t="n"/>
      <c r="D660" s="51" t="n"/>
      <c r="E660" s="52" t="n"/>
      <c r="F660" s="53" t="n"/>
      <c r="G660" s="51" t="n"/>
      <c r="H660" s="53" t="n"/>
      <c r="I660" s="51" t="n"/>
      <c r="J660" s="54">
        <f>IF(OR(B660="",F660="",NOT(AND(G660&lt;&gt;"✅ Выполнена",G660&lt;&gt;"❌ Отменена"))),"",IF(F660&lt;TODAY(),"❗ просрочено "&amp;(TODAY()-F660)&amp;" дн.",IF(F660=TODAY(),"🔥 сегодня",IF(F660-TODAY()&lt;=3,"⏳ через "&amp;(F660-TODAY())&amp;" дн.",""))))</f>
        <v/>
      </c>
      <c r="K660" s="54">
        <f>IF(B660="","",IF(G660="✅ Выполнена","✔ ",IF(G660="❌ Отменена","✖ ",IF(AND(F660&lt;&gt;"",F660&lt;TODAY()),"❗ ","☐ ")))&amp;B660&amp;IF(E660="🔥 Высокий"," 🔥",""))</f>
        <v/>
      </c>
      <c r="L660" s="54">
        <f>IF(OR(B660="",F660="",G660="❌ Отменена"),"",F660&amp;"#"&amp;COUNTIFS($F$5:F660,F660,$B$5:B660,"?*",$G$5:G660,"&lt;&gt;❌ Отменена"))</f>
        <v/>
      </c>
      <c r="M660" s="54">
        <f>IF(AND(B660&lt;&gt;"",F660&lt;&gt;"",F660&lt;TODAY(),AND(G660&lt;&gt;"✅ Выполнена",G660&lt;&gt;"❌ Отменена")),MAX($M$4:M659)+1,"")</f>
        <v/>
      </c>
    </row>
    <row r="661">
      <c r="A661" s="49">
        <f>IF(B661="","",COUNTA($B$5:B661))</f>
        <v/>
      </c>
      <c r="B661" s="50" t="n"/>
      <c r="C661" s="51" t="n"/>
      <c r="D661" s="51" t="n"/>
      <c r="E661" s="52" t="n"/>
      <c r="F661" s="53" t="n"/>
      <c r="G661" s="51" t="n"/>
      <c r="H661" s="53" t="n"/>
      <c r="I661" s="51" t="n"/>
      <c r="J661" s="54">
        <f>IF(OR(B661="",F661="",NOT(AND(G661&lt;&gt;"✅ Выполнена",G661&lt;&gt;"❌ Отменена"))),"",IF(F661&lt;TODAY(),"❗ просрочено "&amp;(TODAY()-F661)&amp;" дн.",IF(F661=TODAY(),"🔥 сегодня",IF(F661-TODAY()&lt;=3,"⏳ через "&amp;(F661-TODAY())&amp;" дн.",""))))</f>
        <v/>
      </c>
      <c r="K661" s="54">
        <f>IF(B661="","",IF(G661="✅ Выполнена","✔ ",IF(G661="❌ Отменена","✖ ",IF(AND(F661&lt;&gt;"",F661&lt;TODAY()),"❗ ","☐ ")))&amp;B661&amp;IF(E661="🔥 Высокий"," 🔥",""))</f>
        <v/>
      </c>
      <c r="L661" s="54">
        <f>IF(OR(B661="",F661="",G661="❌ Отменена"),"",F661&amp;"#"&amp;COUNTIFS($F$5:F661,F661,$B$5:B661,"?*",$G$5:G661,"&lt;&gt;❌ Отменена"))</f>
        <v/>
      </c>
      <c r="M661" s="54">
        <f>IF(AND(B661&lt;&gt;"",F661&lt;&gt;"",F661&lt;TODAY(),AND(G661&lt;&gt;"✅ Выполнена",G661&lt;&gt;"❌ Отменена")),MAX($M$4:M660)+1,"")</f>
        <v/>
      </c>
    </row>
    <row r="662">
      <c r="A662" s="49">
        <f>IF(B662="","",COUNTA($B$5:B662))</f>
        <v/>
      </c>
      <c r="B662" s="50" t="n"/>
      <c r="C662" s="51" t="n"/>
      <c r="D662" s="51" t="n"/>
      <c r="E662" s="52" t="n"/>
      <c r="F662" s="53" t="n"/>
      <c r="G662" s="51" t="n"/>
      <c r="H662" s="53" t="n"/>
      <c r="I662" s="51" t="n"/>
      <c r="J662" s="54">
        <f>IF(OR(B662="",F662="",NOT(AND(G662&lt;&gt;"✅ Выполнена",G662&lt;&gt;"❌ Отменена"))),"",IF(F662&lt;TODAY(),"❗ просрочено "&amp;(TODAY()-F662)&amp;" дн.",IF(F662=TODAY(),"🔥 сегодня",IF(F662-TODAY()&lt;=3,"⏳ через "&amp;(F662-TODAY())&amp;" дн.",""))))</f>
        <v/>
      </c>
      <c r="K662" s="54">
        <f>IF(B662="","",IF(G662="✅ Выполнена","✔ ",IF(G662="❌ Отменена","✖ ",IF(AND(F662&lt;&gt;"",F662&lt;TODAY()),"❗ ","☐ ")))&amp;B662&amp;IF(E662="🔥 Высокий"," 🔥",""))</f>
        <v/>
      </c>
      <c r="L662" s="54">
        <f>IF(OR(B662="",F662="",G662="❌ Отменена"),"",F662&amp;"#"&amp;COUNTIFS($F$5:F662,F662,$B$5:B662,"?*",$G$5:G662,"&lt;&gt;❌ Отменена"))</f>
        <v/>
      </c>
      <c r="M662" s="54">
        <f>IF(AND(B662&lt;&gt;"",F662&lt;&gt;"",F662&lt;TODAY(),AND(G662&lt;&gt;"✅ Выполнена",G662&lt;&gt;"❌ Отменена")),MAX($M$4:M661)+1,"")</f>
        <v/>
      </c>
    </row>
    <row r="663">
      <c r="A663" s="49">
        <f>IF(B663="","",COUNTA($B$5:B663))</f>
        <v/>
      </c>
      <c r="B663" s="50" t="n"/>
      <c r="C663" s="51" t="n"/>
      <c r="D663" s="51" t="n"/>
      <c r="E663" s="52" t="n"/>
      <c r="F663" s="53" t="n"/>
      <c r="G663" s="51" t="n"/>
      <c r="H663" s="53" t="n"/>
      <c r="I663" s="51" t="n"/>
      <c r="J663" s="54">
        <f>IF(OR(B663="",F663="",NOT(AND(G663&lt;&gt;"✅ Выполнена",G663&lt;&gt;"❌ Отменена"))),"",IF(F663&lt;TODAY(),"❗ просрочено "&amp;(TODAY()-F663)&amp;" дн.",IF(F663=TODAY(),"🔥 сегодня",IF(F663-TODAY()&lt;=3,"⏳ через "&amp;(F663-TODAY())&amp;" дн.",""))))</f>
        <v/>
      </c>
      <c r="K663" s="54">
        <f>IF(B663="","",IF(G663="✅ Выполнена","✔ ",IF(G663="❌ Отменена","✖ ",IF(AND(F663&lt;&gt;"",F663&lt;TODAY()),"❗ ","☐ ")))&amp;B663&amp;IF(E663="🔥 Высокий"," 🔥",""))</f>
        <v/>
      </c>
      <c r="L663" s="54">
        <f>IF(OR(B663="",F663="",G663="❌ Отменена"),"",F663&amp;"#"&amp;COUNTIFS($F$5:F663,F663,$B$5:B663,"?*",$G$5:G663,"&lt;&gt;❌ Отменена"))</f>
        <v/>
      </c>
      <c r="M663" s="54">
        <f>IF(AND(B663&lt;&gt;"",F663&lt;&gt;"",F663&lt;TODAY(),AND(G663&lt;&gt;"✅ Выполнена",G663&lt;&gt;"❌ Отменена")),MAX($M$4:M662)+1,"")</f>
        <v/>
      </c>
    </row>
    <row r="664">
      <c r="A664" s="49">
        <f>IF(B664="","",COUNTA($B$5:B664))</f>
        <v/>
      </c>
      <c r="B664" s="50" t="n"/>
      <c r="C664" s="51" t="n"/>
      <c r="D664" s="51" t="n"/>
      <c r="E664" s="52" t="n"/>
      <c r="F664" s="53" t="n"/>
      <c r="G664" s="51" t="n"/>
      <c r="H664" s="53" t="n"/>
      <c r="I664" s="51" t="n"/>
      <c r="J664" s="54">
        <f>IF(OR(B664="",F664="",NOT(AND(G664&lt;&gt;"✅ Выполнена",G664&lt;&gt;"❌ Отменена"))),"",IF(F664&lt;TODAY(),"❗ просрочено "&amp;(TODAY()-F664)&amp;" дн.",IF(F664=TODAY(),"🔥 сегодня",IF(F664-TODAY()&lt;=3,"⏳ через "&amp;(F664-TODAY())&amp;" дн.",""))))</f>
        <v/>
      </c>
      <c r="K664" s="54">
        <f>IF(B664="","",IF(G664="✅ Выполнена","✔ ",IF(G664="❌ Отменена","✖ ",IF(AND(F664&lt;&gt;"",F664&lt;TODAY()),"❗ ","☐ ")))&amp;B664&amp;IF(E664="🔥 Высокий"," 🔥",""))</f>
        <v/>
      </c>
      <c r="L664" s="54">
        <f>IF(OR(B664="",F664="",G664="❌ Отменена"),"",F664&amp;"#"&amp;COUNTIFS($F$5:F664,F664,$B$5:B664,"?*",$G$5:G664,"&lt;&gt;❌ Отменена"))</f>
        <v/>
      </c>
      <c r="M664" s="54">
        <f>IF(AND(B664&lt;&gt;"",F664&lt;&gt;"",F664&lt;TODAY(),AND(G664&lt;&gt;"✅ Выполнена",G664&lt;&gt;"❌ Отменена")),MAX($M$4:M663)+1,"")</f>
        <v/>
      </c>
    </row>
    <row r="665">
      <c r="A665" s="49">
        <f>IF(B665="","",COUNTA($B$5:B665))</f>
        <v/>
      </c>
      <c r="B665" s="50" t="n"/>
      <c r="C665" s="51" t="n"/>
      <c r="D665" s="51" t="n"/>
      <c r="E665" s="52" t="n"/>
      <c r="F665" s="53" t="n"/>
      <c r="G665" s="51" t="n"/>
      <c r="H665" s="53" t="n"/>
      <c r="I665" s="51" t="n"/>
      <c r="J665" s="54">
        <f>IF(OR(B665="",F665="",NOT(AND(G665&lt;&gt;"✅ Выполнена",G665&lt;&gt;"❌ Отменена"))),"",IF(F665&lt;TODAY(),"❗ просрочено "&amp;(TODAY()-F665)&amp;" дн.",IF(F665=TODAY(),"🔥 сегодня",IF(F665-TODAY()&lt;=3,"⏳ через "&amp;(F665-TODAY())&amp;" дн.",""))))</f>
        <v/>
      </c>
      <c r="K665" s="54">
        <f>IF(B665="","",IF(G665="✅ Выполнена","✔ ",IF(G665="❌ Отменена","✖ ",IF(AND(F665&lt;&gt;"",F665&lt;TODAY()),"❗ ","☐ ")))&amp;B665&amp;IF(E665="🔥 Высокий"," 🔥",""))</f>
        <v/>
      </c>
      <c r="L665" s="54">
        <f>IF(OR(B665="",F665="",G665="❌ Отменена"),"",F665&amp;"#"&amp;COUNTIFS($F$5:F665,F665,$B$5:B665,"?*",$G$5:G665,"&lt;&gt;❌ Отменена"))</f>
        <v/>
      </c>
      <c r="M665" s="54">
        <f>IF(AND(B665&lt;&gt;"",F665&lt;&gt;"",F665&lt;TODAY(),AND(G665&lt;&gt;"✅ Выполнена",G665&lt;&gt;"❌ Отменена")),MAX($M$4:M664)+1,"")</f>
        <v/>
      </c>
    </row>
    <row r="666">
      <c r="A666" s="49">
        <f>IF(B666="","",COUNTA($B$5:B666))</f>
        <v/>
      </c>
      <c r="B666" s="50" t="n"/>
      <c r="C666" s="51" t="n"/>
      <c r="D666" s="51" t="n"/>
      <c r="E666" s="52" t="n"/>
      <c r="F666" s="53" t="n"/>
      <c r="G666" s="51" t="n"/>
      <c r="H666" s="53" t="n"/>
      <c r="I666" s="51" t="n"/>
      <c r="J666" s="54">
        <f>IF(OR(B666="",F666="",NOT(AND(G666&lt;&gt;"✅ Выполнена",G666&lt;&gt;"❌ Отменена"))),"",IF(F666&lt;TODAY(),"❗ просрочено "&amp;(TODAY()-F666)&amp;" дн.",IF(F666=TODAY(),"🔥 сегодня",IF(F666-TODAY()&lt;=3,"⏳ через "&amp;(F666-TODAY())&amp;" дн.",""))))</f>
        <v/>
      </c>
      <c r="K666" s="54">
        <f>IF(B666="","",IF(G666="✅ Выполнена","✔ ",IF(G666="❌ Отменена","✖ ",IF(AND(F666&lt;&gt;"",F666&lt;TODAY()),"❗ ","☐ ")))&amp;B666&amp;IF(E666="🔥 Высокий"," 🔥",""))</f>
        <v/>
      </c>
      <c r="L666" s="54">
        <f>IF(OR(B666="",F666="",G666="❌ Отменена"),"",F666&amp;"#"&amp;COUNTIFS($F$5:F666,F666,$B$5:B666,"?*",$G$5:G666,"&lt;&gt;❌ Отменена"))</f>
        <v/>
      </c>
      <c r="M666" s="54">
        <f>IF(AND(B666&lt;&gt;"",F666&lt;&gt;"",F666&lt;TODAY(),AND(G666&lt;&gt;"✅ Выполнена",G666&lt;&gt;"❌ Отменена")),MAX($M$4:M665)+1,"")</f>
        <v/>
      </c>
    </row>
    <row r="667">
      <c r="A667" s="49">
        <f>IF(B667="","",COUNTA($B$5:B667))</f>
        <v/>
      </c>
      <c r="B667" s="50" t="n"/>
      <c r="C667" s="51" t="n"/>
      <c r="D667" s="51" t="n"/>
      <c r="E667" s="52" t="n"/>
      <c r="F667" s="53" t="n"/>
      <c r="G667" s="51" t="n"/>
      <c r="H667" s="53" t="n"/>
      <c r="I667" s="51" t="n"/>
      <c r="J667" s="54">
        <f>IF(OR(B667="",F667="",NOT(AND(G667&lt;&gt;"✅ Выполнена",G667&lt;&gt;"❌ Отменена"))),"",IF(F667&lt;TODAY(),"❗ просрочено "&amp;(TODAY()-F667)&amp;" дн.",IF(F667=TODAY(),"🔥 сегодня",IF(F667-TODAY()&lt;=3,"⏳ через "&amp;(F667-TODAY())&amp;" дн.",""))))</f>
        <v/>
      </c>
      <c r="K667" s="54">
        <f>IF(B667="","",IF(G667="✅ Выполнена","✔ ",IF(G667="❌ Отменена","✖ ",IF(AND(F667&lt;&gt;"",F667&lt;TODAY()),"❗ ","☐ ")))&amp;B667&amp;IF(E667="🔥 Высокий"," 🔥",""))</f>
        <v/>
      </c>
      <c r="L667" s="54">
        <f>IF(OR(B667="",F667="",G667="❌ Отменена"),"",F667&amp;"#"&amp;COUNTIFS($F$5:F667,F667,$B$5:B667,"?*",$G$5:G667,"&lt;&gt;❌ Отменена"))</f>
        <v/>
      </c>
      <c r="M667" s="54">
        <f>IF(AND(B667&lt;&gt;"",F667&lt;&gt;"",F667&lt;TODAY(),AND(G667&lt;&gt;"✅ Выполнена",G667&lt;&gt;"❌ Отменена")),MAX($M$4:M666)+1,"")</f>
        <v/>
      </c>
    </row>
    <row r="668">
      <c r="A668" s="49">
        <f>IF(B668="","",COUNTA($B$5:B668))</f>
        <v/>
      </c>
      <c r="B668" s="50" t="n"/>
      <c r="C668" s="51" t="n"/>
      <c r="D668" s="51" t="n"/>
      <c r="E668" s="52" t="n"/>
      <c r="F668" s="53" t="n"/>
      <c r="G668" s="51" t="n"/>
      <c r="H668" s="53" t="n"/>
      <c r="I668" s="51" t="n"/>
      <c r="J668" s="54">
        <f>IF(OR(B668="",F668="",NOT(AND(G668&lt;&gt;"✅ Выполнена",G668&lt;&gt;"❌ Отменена"))),"",IF(F668&lt;TODAY(),"❗ просрочено "&amp;(TODAY()-F668)&amp;" дн.",IF(F668=TODAY(),"🔥 сегодня",IF(F668-TODAY()&lt;=3,"⏳ через "&amp;(F668-TODAY())&amp;" дн.",""))))</f>
        <v/>
      </c>
      <c r="K668" s="54">
        <f>IF(B668="","",IF(G668="✅ Выполнена","✔ ",IF(G668="❌ Отменена","✖ ",IF(AND(F668&lt;&gt;"",F668&lt;TODAY()),"❗ ","☐ ")))&amp;B668&amp;IF(E668="🔥 Высокий"," 🔥",""))</f>
        <v/>
      </c>
      <c r="L668" s="54">
        <f>IF(OR(B668="",F668="",G668="❌ Отменена"),"",F668&amp;"#"&amp;COUNTIFS($F$5:F668,F668,$B$5:B668,"?*",$G$5:G668,"&lt;&gt;❌ Отменена"))</f>
        <v/>
      </c>
      <c r="M668" s="54">
        <f>IF(AND(B668&lt;&gt;"",F668&lt;&gt;"",F668&lt;TODAY(),AND(G668&lt;&gt;"✅ Выполнена",G668&lt;&gt;"❌ Отменена")),MAX($M$4:M667)+1,"")</f>
        <v/>
      </c>
    </row>
    <row r="669">
      <c r="A669" s="49">
        <f>IF(B669="","",COUNTA($B$5:B669))</f>
        <v/>
      </c>
      <c r="B669" s="50" t="n"/>
      <c r="C669" s="51" t="n"/>
      <c r="D669" s="51" t="n"/>
      <c r="E669" s="52" t="n"/>
      <c r="F669" s="53" t="n"/>
      <c r="G669" s="51" t="n"/>
      <c r="H669" s="53" t="n"/>
      <c r="I669" s="51" t="n"/>
      <c r="J669" s="54">
        <f>IF(OR(B669="",F669="",NOT(AND(G669&lt;&gt;"✅ Выполнена",G669&lt;&gt;"❌ Отменена"))),"",IF(F669&lt;TODAY(),"❗ просрочено "&amp;(TODAY()-F669)&amp;" дн.",IF(F669=TODAY(),"🔥 сегодня",IF(F669-TODAY()&lt;=3,"⏳ через "&amp;(F669-TODAY())&amp;" дн.",""))))</f>
        <v/>
      </c>
      <c r="K669" s="54">
        <f>IF(B669="","",IF(G669="✅ Выполнена","✔ ",IF(G669="❌ Отменена","✖ ",IF(AND(F669&lt;&gt;"",F669&lt;TODAY()),"❗ ","☐ ")))&amp;B669&amp;IF(E669="🔥 Высокий"," 🔥",""))</f>
        <v/>
      </c>
      <c r="L669" s="54">
        <f>IF(OR(B669="",F669="",G669="❌ Отменена"),"",F669&amp;"#"&amp;COUNTIFS($F$5:F669,F669,$B$5:B669,"?*",$G$5:G669,"&lt;&gt;❌ Отменена"))</f>
        <v/>
      </c>
      <c r="M669" s="54">
        <f>IF(AND(B669&lt;&gt;"",F669&lt;&gt;"",F669&lt;TODAY(),AND(G669&lt;&gt;"✅ Выполнена",G669&lt;&gt;"❌ Отменена")),MAX($M$4:M668)+1,"")</f>
        <v/>
      </c>
    </row>
    <row r="670">
      <c r="A670" s="49">
        <f>IF(B670="","",COUNTA($B$5:B670))</f>
        <v/>
      </c>
      <c r="B670" s="50" t="n"/>
      <c r="C670" s="51" t="n"/>
      <c r="D670" s="51" t="n"/>
      <c r="E670" s="52" t="n"/>
      <c r="F670" s="53" t="n"/>
      <c r="G670" s="51" t="n"/>
      <c r="H670" s="53" t="n"/>
      <c r="I670" s="51" t="n"/>
      <c r="J670" s="54">
        <f>IF(OR(B670="",F670="",NOT(AND(G670&lt;&gt;"✅ Выполнена",G670&lt;&gt;"❌ Отменена"))),"",IF(F670&lt;TODAY(),"❗ просрочено "&amp;(TODAY()-F670)&amp;" дн.",IF(F670=TODAY(),"🔥 сегодня",IF(F670-TODAY()&lt;=3,"⏳ через "&amp;(F670-TODAY())&amp;" дн.",""))))</f>
        <v/>
      </c>
      <c r="K670" s="54">
        <f>IF(B670="","",IF(G670="✅ Выполнена","✔ ",IF(G670="❌ Отменена","✖ ",IF(AND(F670&lt;&gt;"",F670&lt;TODAY()),"❗ ","☐ ")))&amp;B670&amp;IF(E670="🔥 Высокий"," 🔥",""))</f>
        <v/>
      </c>
      <c r="L670" s="54">
        <f>IF(OR(B670="",F670="",G670="❌ Отменена"),"",F670&amp;"#"&amp;COUNTIFS($F$5:F670,F670,$B$5:B670,"?*",$G$5:G670,"&lt;&gt;❌ Отменена"))</f>
        <v/>
      </c>
      <c r="M670" s="54">
        <f>IF(AND(B670&lt;&gt;"",F670&lt;&gt;"",F670&lt;TODAY(),AND(G670&lt;&gt;"✅ Выполнена",G670&lt;&gt;"❌ Отменена")),MAX($M$4:M669)+1,"")</f>
        <v/>
      </c>
    </row>
    <row r="671">
      <c r="A671" s="49">
        <f>IF(B671="","",COUNTA($B$5:B671))</f>
        <v/>
      </c>
      <c r="B671" s="50" t="n"/>
      <c r="C671" s="51" t="n"/>
      <c r="D671" s="51" t="n"/>
      <c r="E671" s="52" t="n"/>
      <c r="F671" s="53" t="n"/>
      <c r="G671" s="51" t="n"/>
      <c r="H671" s="53" t="n"/>
      <c r="I671" s="51" t="n"/>
      <c r="J671" s="54">
        <f>IF(OR(B671="",F671="",NOT(AND(G671&lt;&gt;"✅ Выполнена",G671&lt;&gt;"❌ Отменена"))),"",IF(F671&lt;TODAY(),"❗ просрочено "&amp;(TODAY()-F671)&amp;" дн.",IF(F671=TODAY(),"🔥 сегодня",IF(F671-TODAY()&lt;=3,"⏳ через "&amp;(F671-TODAY())&amp;" дн.",""))))</f>
        <v/>
      </c>
      <c r="K671" s="54">
        <f>IF(B671="","",IF(G671="✅ Выполнена","✔ ",IF(G671="❌ Отменена","✖ ",IF(AND(F671&lt;&gt;"",F671&lt;TODAY()),"❗ ","☐ ")))&amp;B671&amp;IF(E671="🔥 Высокий"," 🔥",""))</f>
        <v/>
      </c>
      <c r="L671" s="54">
        <f>IF(OR(B671="",F671="",G671="❌ Отменена"),"",F671&amp;"#"&amp;COUNTIFS($F$5:F671,F671,$B$5:B671,"?*",$G$5:G671,"&lt;&gt;❌ Отменена"))</f>
        <v/>
      </c>
      <c r="M671" s="54">
        <f>IF(AND(B671&lt;&gt;"",F671&lt;&gt;"",F671&lt;TODAY(),AND(G671&lt;&gt;"✅ Выполнена",G671&lt;&gt;"❌ Отменена")),MAX($M$4:M670)+1,"")</f>
        <v/>
      </c>
    </row>
    <row r="672">
      <c r="A672" s="49">
        <f>IF(B672="","",COUNTA($B$5:B672))</f>
        <v/>
      </c>
      <c r="B672" s="50" t="n"/>
      <c r="C672" s="51" t="n"/>
      <c r="D672" s="51" t="n"/>
      <c r="E672" s="52" t="n"/>
      <c r="F672" s="53" t="n"/>
      <c r="G672" s="51" t="n"/>
      <c r="H672" s="53" t="n"/>
      <c r="I672" s="51" t="n"/>
      <c r="J672" s="54">
        <f>IF(OR(B672="",F672="",NOT(AND(G672&lt;&gt;"✅ Выполнена",G672&lt;&gt;"❌ Отменена"))),"",IF(F672&lt;TODAY(),"❗ просрочено "&amp;(TODAY()-F672)&amp;" дн.",IF(F672=TODAY(),"🔥 сегодня",IF(F672-TODAY()&lt;=3,"⏳ через "&amp;(F672-TODAY())&amp;" дн.",""))))</f>
        <v/>
      </c>
      <c r="K672" s="54">
        <f>IF(B672="","",IF(G672="✅ Выполнена","✔ ",IF(G672="❌ Отменена","✖ ",IF(AND(F672&lt;&gt;"",F672&lt;TODAY()),"❗ ","☐ ")))&amp;B672&amp;IF(E672="🔥 Высокий"," 🔥",""))</f>
        <v/>
      </c>
      <c r="L672" s="54">
        <f>IF(OR(B672="",F672="",G672="❌ Отменена"),"",F672&amp;"#"&amp;COUNTIFS($F$5:F672,F672,$B$5:B672,"?*",$G$5:G672,"&lt;&gt;❌ Отменена"))</f>
        <v/>
      </c>
      <c r="M672" s="54">
        <f>IF(AND(B672&lt;&gt;"",F672&lt;&gt;"",F672&lt;TODAY(),AND(G672&lt;&gt;"✅ Выполнена",G672&lt;&gt;"❌ Отменена")),MAX($M$4:M671)+1,"")</f>
        <v/>
      </c>
    </row>
    <row r="673">
      <c r="A673" s="49">
        <f>IF(B673="","",COUNTA($B$5:B673))</f>
        <v/>
      </c>
      <c r="B673" s="50" t="n"/>
      <c r="C673" s="51" t="n"/>
      <c r="D673" s="51" t="n"/>
      <c r="E673" s="52" t="n"/>
      <c r="F673" s="53" t="n"/>
      <c r="G673" s="51" t="n"/>
      <c r="H673" s="53" t="n"/>
      <c r="I673" s="51" t="n"/>
      <c r="J673" s="54">
        <f>IF(OR(B673="",F673="",NOT(AND(G673&lt;&gt;"✅ Выполнена",G673&lt;&gt;"❌ Отменена"))),"",IF(F673&lt;TODAY(),"❗ просрочено "&amp;(TODAY()-F673)&amp;" дн.",IF(F673=TODAY(),"🔥 сегодня",IF(F673-TODAY()&lt;=3,"⏳ через "&amp;(F673-TODAY())&amp;" дн.",""))))</f>
        <v/>
      </c>
      <c r="K673" s="54">
        <f>IF(B673="","",IF(G673="✅ Выполнена","✔ ",IF(G673="❌ Отменена","✖ ",IF(AND(F673&lt;&gt;"",F673&lt;TODAY()),"❗ ","☐ ")))&amp;B673&amp;IF(E673="🔥 Высокий"," 🔥",""))</f>
        <v/>
      </c>
      <c r="L673" s="54">
        <f>IF(OR(B673="",F673="",G673="❌ Отменена"),"",F673&amp;"#"&amp;COUNTIFS($F$5:F673,F673,$B$5:B673,"?*",$G$5:G673,"&lt;&gt;❌ Отменена"))</f>
        <v/>
      </c>
      <c r="M673" s="54">
        <f>IF(AND(B673&lt;&gt;"",F673&lt;&gt;"",F673&lt;TODAY(),AND(G673&lt;&gt;"✅ Выполнена",G673&lt;&gt;"❌ Отменена")),MAX($M$4:M672)+1,"")</f>
        <v/>
      </c>
    </row>
    <row r="674">
      <c r="A674" s="49">
        <f>IF(B674="","",COUNTA($B$5:B674))</f>
        <v/>
      </c>
      <c r="B674" s="50" t="n"/>
      <c r="C674" s="51" t="n"/>
      <c r="D674" s="51" t="n"/>
      <c r="E674" s="52" t="n"/>
      <c r="F674" s="53" t="n"/>
      <c r="G674" s="51" t="n"/>
      <c r="H674" s="53" t="n"/>
      <c r="I674" s="51" t="n"/>
      <c r="J674" s="54">
        <f>IF(OR(B674="",F674="",NOT(AND(G674&lt;&gt;"✅ Выполнена",G674&lt;&gt;"❌ Отменена"))),"",IF(F674&lt;TODAY(),"❗ просрочено "&amp;(TODAY()-F674)&amp;" дн.",IF(F674=TODAY(),"🔥 сегодня",IF(F674-TODAY()&lt;=3,"⏳ через "&amp;(F674-TODAY())&amp;" дн.",""))))</f>
        <v/>
      </c>
      <c r="K674" s="54">
        <f>IF(B674="","",IF(G674="✅ Выполнена","✔ ",IF(G674="❌ Отменена","✖ ",IF(AND(F674&lt;&gt;"",F674&lt;TODAY()),"❗ ","☐ ")))&amp;B674&amp;IF(E674="🔥 Высокий"," 🔥",""))</f>
        <v/>
      </c>
      <c r="L674" s="54">
        <f>IF(OR(B674="",F674="",G674="❌ Отменена"),"",F674&amp;"#"&amp;COUNTIFS($F$5:F674,F674,$B$5:B674,"?*",$G$5:G674,"&lt;&gt;❌ Отменена"))</f>
        <v/>
      </c>
      <c r="M674" s="54">
        <f>IF(AND(B674&lt;&gt;"",F674&lt;&gt;"",F674&lt;TODAY(),AND(G674&lt;&gt;"✅ Выполнена",G674&lt;&gt;"❌ Отменена")),MAX($M$4:M673)+1,"")</f>
        <v/>
      </c>
    </row>
    <row r="675">
      <c r="A675" s="49">
        <f>IF(B675="","",COUNTA($B$5:B675))</f>
        <v/>
      </c>
      <c r="B675" s="50" t="n"/>
      <c r="C675" s="51" t="n"/>
      <c r="D675" s="51" t="n"/>
      <c r="E675" s="52" t="n"/>
      <c r="F675" s="53" t="n"/>
      <c r="G675" s="51" t="n"/>
      <c r="H675" s="53" t="n"/>
      <c r="I675" s="51" t="n"/>
      <c r="J675" s="54">
        <f>IF(OR(B675="",F675="",NOT(AND(G675&lt;&gt;"✅ Выполнена",G675&lt;&gt;"❌ Отменена"))),"",IF(F675&lt;TODAY(),"❗ просрочено "&amp;(TODAY()-F675)&amp;" дн.",IF(F675=TODAY(),"🔥 сегодня",IF(F675-TODAY()&lt;=3,"⏳ через "&amp;(F675-TODAY())&amp;" дн.",""))))</f>
        <v/>
      </c>
      <c r="K675" s="54">
        <f>IF(B675="","",IF(G675="✅ Выполнена","✔ ",IF(G675="❌ Отменена","✖ ",IF(AND(F675&lt;&gt;"",F675&lt;TODAY()),"❗ ","☐ ")))&amp;B675&amp;IF(E675="🔥 Высокий"," 🔥",""))</f>
        <v/>
      </c>
      <c r="L675" s="54">
        <f>IF(OR(B675="",F675="",G675="❌ Отменена"),"",F675&amp;"#"&amp;COUNTIFS($F$5:F675,F675,$B$5:B675,"?*",$G$5:G675,"&lt;&gt;❌ Отменена"))</f>
        <v/>
      </c>
      <c r="M675" s="54">
        <f>IF(AND(B675&lt;&gt;"",F675&lt;&gt;"",F675&lt;TODAY(),AND(G675&lt;&gt;"✅ Выполнена",G675&lt;&gt;"❌ Отменена")),MAX($M$4:M674)+1,"")</f>
        <v/>
      </c>
    </row>
    <row r="676">
      <c r="A676" s="49">
        <f>IF(B676="","",COUNTA($B$5:B676))</f>
        <v/>
      </c>
      <c r="B676" s="50" t="n"/>
      <c r="C676" s="51" t="n"/>
      <c r="D676" s="51" t="n"/>
      <c r="E676" s="52" t="n"/>
      <c r="F676" s="53" t="n"/>
      <c r="G676" s="51" t="n"/>
      <c r="H676" s="53" t="n"/>
      <c r="I676" s="51" t="n"/>
      <c r="J676" s="54">
        <f>IF(OR(B676="",F676="",NOT(AND(G676&lt;&gt;"✅ Выполнена",G676&lt;&gt;"❌ Отменена"))),"",IF(F676&lt;TODAY(),"❗ просрочено "&amp;(TODAY()-F676)&amp;" дн.",IF(F676=TODAY(),"🔥 сегодня",IF(F676-TODAY()&lt;=3,"⏳ через "&amp;(F676-TODAY())&amp;" дн.",""))))</f>
        <v/>
      </c>
      <c r="K676" s="54">
        <f>IF(B676="","",IF(G676="✅ Выполнена","✔ ",IF(G676="❌ Отменена","✖ ",IF(AND(F676&lt;&gt;"",F676&lt;TODAY()),"❗ ","☐ ")))&amp;B676&amp;IF(E676="🔥 Высокий"," 🔥",""))</f>
        <v/>
      </c>
      <c r="L676" s="54">
        <f>IF(OR(B676="",F676="",G676="❌ Отменена"),"",F676&amp;"#"&amp;COUNTIFS($F$5:F676,F676,$B$5:B676,"?*",$G$5:G676,"&lt;&gt;❌ Отменена"))</f>
        <v/>
      </c>
      <c r="M676" s="54">
        <f>IF(AND(B676&lt;&gt;"",F676&lt;&gt;"",F676&lt;TODAY(),AND(G676&lt;&gt;"✅ Выполнена",G676&lt;&gt;"❌ Отменена")),MAX($M$4:M675)+1,"")</f>
        <v/>
      </c>
    </row>
    <row r="677">
      <c r="A677" s="49">
        <f>IF(B677="","",COUNTA($B$5:B677))</f>
        <v/>
      </c>
      <c r="B677" s="50" t="n"/>
      <c r="C677" s="51" t="n"/>
      <c r="D677" s="51" t="n"/>
      <c r="E677" s="52" t="n"/>
      <c r="F677" s="53" t="n"/>
      <c r="G677" s="51" t="n"/>
      <c r="H677" s="53" t="n"/>
      <c r="I677" s="51" t="n"/>
      <c r="J677" s="54">
        <f>IF(OR(B677="",F677="",NOT(AND(G677&lt;&gt;"✅ Выполнена",G677&lt;&gt;"❌ Отменена"))),"",IF(F677&lt;TODAY(),"❗ просрочено "&amp;(TODAY()-F677)&amp;" дн.",IF(F677=TODAY(),"🔥 сегодня",IF(F677-TODAY()&lt;=3,"⏳ через "&amp;(F677-TODAY())&amp;" дн.",""))))</f>
        <v/>
      </c>
      <c r="K677" s="54">
        <f>IF(B677="","",IF(G677="✅ Выполнена","✔ ",IF(G677="❌ Отменена","✖ ",IF(AND(F677&lt;&gt;"",F677&lt;TODAY()),"❗ ","☐ ")))&amp;B677&amp;IF(E677="🔥 Высокий"," 🔥",""))</f>
        <v/>
      </c>
      <c r="L677" s="54">
        <f>IF(OR(B677="",F677="",G677="❌ Отменена"),"",F677&amp;"#"&amp;COUNTIFS($F$5:F677,F677,$B$5:B677,"?*",$G$5:G677,"&lt;&gt;❌ Отменена"))</f>
        <v/>
      </c>
      <c r="M677" s="54">
        <f>IF(AND(B677&lt;&gt;"",F677&lt;&gt;"",F677&lt;TODAY(),AND(G677&lt;&gt;"✅ Выполнена",G677&lt;&gt;"❌ Отменена")),MAX($M$4:M676)+1,"")</f>
        <v/>
      </c>
    </row>
    <row r="678">
      <c r="A678" s="49">
        <f>IF(B678="","",COUNTA($B$5:B678))</f>
        <v/>
      </c>
      <c r="B678" s="50" t="n"/>
      <c r="C678" s="51" t="n"/>
      <c r="D678" s="51" t="n"/>
      <c r="E678" s="52" t="n"/>
      <c r="F678" s="53" t="n"/>
      <c r="G678" s="51" t="n"/>
      <c r="H678" s="53" t="n"/>
      <c r="I678" s="51" t="n"/>
      <c r="J678" s="54">
        <f>IF(OR(B678="",F678="",NOT(AND(G678&lt;&gt;"✅ Выполнена",G678&lt;&gt;"❌ Отменена"))),"",IF(F678&lt;TODAY(),"❗ просрочено "&amp;(TODAY()-F678)&amp;" дн.",IF(F678=TODAY(),"🔥 сегодня",IF(F678-TODAY()&lt;=3,"⏳ через "&amp;(F678-TODAY())&amp;" дн.",""))))</f>
        <v/>
      </c>
      <c r="K678" s="54">
        <f>IF(B678="","",IF(G678="✅ Выполнена","✔ ",IF(G678="❌ Отменена","✖ ",IF(AND(F678&lt;&gt;"",F678&lt;TODAY()),"❗ ","☐ ")))&amp;B678&amp;IF(E678="🔥 Высокий"," 🔥",""))</f>
        <v/>
      </c>
      <c r="L678" s="54">
        <f>IF(OR(B678="",F678="",G678="❌ Отменена"),"",F678&amp;"#"&amp;COUNTIFS($F$5:F678,F678,$B$5:B678,"?*",$G$5:G678,"&lt;&gt;❌ Отменена"))</f>
        <v/>
      </c>
      <c r="M678" s="54">
        <f>IF(AND(B678&lt;&gt;"",F678&lt;&gt;"",F678&lt;TODAY(),AND(G678&lt;&gt;"✅ Выполнена",G678&lt;&gt;"❌ Отменена")),MAX($M$4:M677)+1,"")</f>
        <v/>
      </c>
    </row>
    <row r="679">
      <c r="A679" s="49">
        <f>IF(B679="","",COUNTA($B$5:B679))</f>
        <v/>
      </c>
      <c r="B679" s="50" t="n"/>
      <c r="C679" s="51" t="n"/>
      <c r="D679" s="51" t="n"/>
      <c r="E679" s="52" t="n"/>
      <c r="F679" s="53" t="n"/>
      <c r="G679" s="51" t="n"/>
      <c r="H679" s="53" t="n"/>
      <c r="I679" s="51" t="n"/>
      <c r="J679" s="54">
        <f>IF(OR(B679="",F679="",NOT(AND(G679&lt;&gt;"✅ Выполнена",G679&lt;&gt;"❌ Отменена"))),"",IF(F679&lt;TODAY(),"❗ просрочено "&amp;(TODAY()-F679)&amp;" дн.",IF(F679=TODAY(),"🔥 сегодня",IF(F679-TODAY()&lt;=3,"⏳ через "&amp;(F679-TODAY())&amp;" дн.",""))))</f>
        <v/>
      </c>
      <c r="K679" s="54">
        <f>IF(B679="","",IF(G679="✅ Выполнена","✔ ",IF(G679="❌ Отменена","✖ ",IF(AND(F679&lt;&gt;"",F679&lt;TODAY()),"❗ ","☐ ")))&amp;B679&amp;IF(E679="🔥 Высокий"," 🔥",""))</f>
        <v/>
      </c>
      <c r="L679" s="54">
        <f>IF(OR(B679="",F679="",G679="❌ Отменена"),"",F679&amp;"#"&amp;COUNTIFS($F$5:F679,F679,$B$5:B679,"?*",$G$5:G679,"&lt;&gt;❌ Отменена"))</f>
        <v/>
      </c>
      <c r="M679" s="54">
        <f>IF(AND(B679&lt;&gt;"",F679&lt;&gt;"",F679&lt;TODAY(),AND(G679&lt;&gt;"✅ Выполнена",G679&lt;&gt;"❌ Отменена")),MAX($M$4:M678)+1,"")</f>
        <v/>
      </c>
    </row>
    <row r="680">
      <c r="A680" s="49">
        <f>IF(B680="","",COUNTA($B$5:B680))</f>
        <v/>
      </c>
      <c r="B680" s="50" t="n"/>
      <c r="C680" s="51" t="n"/>
      <c r="D680" s="51" t="n"/>
      <c r="E680" s="52" t="n"/>
      <c r="F680" s="53" t="n"/>
      <c r="G680" s="51" t="n"/>
      <c r="H680" s="53" t="n"/>
      <c r="I680" s="51" t="n"/>
      <c r="J680" s="54">
        <f>IF(OR(B680="",F680="",NOT(AND(G680&lt;&gt;"✅ Выполнена",G680&lt;&gt;"❌ Отменена"))),"",IF(F680&lt;TODAY(),"❗ просрочено "&amp;(TODAY()-F680)&amp;" дн.",IF(F680=TODAY(),"🔥 сегодня",IF(F680-TODAY()&lt;=3,"⏳ через "&amp;(F680-TODAY())&amp;" дн.",""))))</f>
        <v/>
      </c>
      <c r="K680" s="54">
        <f>IF(B680="","",IF(G680="✅ Выполнена","✔ ",IF(G680="❌ Отменена","✖ ",IF(AND(F680&lt;&gt;"",F680&lt;TODAY()),"❗ ","☐ ")))&amp;B680&amp;IF(E680="🔥 Высокий"," 🔥",""))</f>
        <v/>
      </c>
      <c r="L680" s="54">
        <f>IF(OR(B680="",F680="",G680="❌ Отменена"),"",F680&amp;"#"&amp;COUNTIFS($F$5:F680,F680,$B$5:B680,"?*",$G$5:G680,"&lt;&gt;❌ Отменена"))</f>
        <v/>
      </c>
      <c r="M680" s="54">
        <f>IF(AND(B680&lt;&gt;"",F680&lt;&gt;"",F680&lt;TODAY(),AND(G680&lt;&gt;"✅ Выполнена",G680&lt;&gt;"❌ Отменена")),MAX($M$4:M679)+1,"")</f>
        <v/>
      </c>
    </row>
    <row r="681">
      <c r="A681" s="49">
        <f>IF(B681="","",COUNTA($B$5:B681))</f>
        <v/>
      </c>
      <c r="B681" s="50" t="n"/>
      <c r="C681" s="51" t="n"/>
      <c r="D681" s="51" t="n"/>
      <c r="E681" s="52" t="n"/>
      <c r="F681" s="53" t="n"/>
      <c r="G681" s="51" t="n"/>
      <c r="H681" s="53" t="n"/>
      <c r="I681" s="51" t="n"/>
      <c r="J681" s="54">
        <f>IF(OR(B681="",F681="",NOT(AND(G681&lt;&gt;"✅ Выполнена",G681&lt;&gt;"❌ Отменена"))),"",IF(F681&lt;TODAY(),"❗ просрочено "&amp;(TODAY()-F681)&amp;" дн.",IF(F681=TODAY(),"🔥 сегодня",IF(F681-TODAY()&lt;=3,"⏳ через "&amp;(F681-TODAY())&amp;" дн.",""))))</f>
        <v/>
      </c>
      <c r="K681" s="54">
        <f>IF(B681="","",IF(G681="✅ Выполнена","✔ ",IF(G681="❌ Отменена","✖ ",IF(AND(F681&lt;&gt;"",F681&lt;TODAY()),"❗ ","☐ ")))&amp;B681&amp;IF(E681="🔥 Высокий"," 🔥",""))</f>
        <v/>
      </c>
      <c r="L681" s="54">
        <f>IF(OR(B681="",F681="",G681="❌ Отменена"),"",F681&amp;"#"&amp;COUNTIFS($F$5:F681,F681,$B$5:B681,"?*",$G$5:G681,"&lt;&gt;❌ Отменена"))</f>
        <v/>
      </c>
      <c r="M681" s="54">
        <f>IF(AND(B681&lt;&gt;"",F681&lt;&gt;"",F681&lt;TODAY(),AND(G681&lt;&gt;"✅ Выполнена",G681&lt;&gt;"❌ Отменена")),MAX($M$4:M680)+1,"")</f>
        <v/>
      </c>
    </row>
    <row r="682">
      <c r="A682" s="49">
        <f>IF(B682="","",COUNTA($B$5:B682))</f>
        <v/>
      </c>
      <c r="B682" s="50" t="n"/>
      <c r="C682" s="51" t="n"/>
      <c r="D682" s="51" t="n"/>
      <c r="E682" s="52" t="n"/>
      <c r="F682" s="53" t="n"/>
      <c r="G682" s="51" t="n"/>
      <c r="H682" s="53" t="n"/>
      <c r="I682" s="51" t="n"/>
      <c r="J682" s="54">
        <f>IF(OR(B682="",F682="",NOT(AND(G682&lt;&gt;"✅ Выполнена",G682&lt;&gt;"❌ Отменена"))),"",IF(F682&lt;TODAY(),"❗ просрочено "&amp;(TODAY()-F682)&amp;" дн.",IF(F682=TODAY(),"🔥 сегодня",IF(F682-TODAY()&lt;=3,"⏳ через "&amp;(F682-TODAY())&amp;" дн.",""))))</f>
        <v/>
      </c>
      <c r="K682" s="54">
        <f>IF(B682="","",IF(G682="✅ Выполнена","✔ ",IF(G682="❌ Отменена","✖ ",IF(AND(F682&lt;&gt;"",F682&lt;TODAY()),"❗ ","☐ ")))&amp;B682&amp;IF(E682="🔥 Высокий"," 🔥",""))</f>
        <v/>
      </c>
      <c r="L682" s="54">
        <f>IF(OR(B682="",F682="",G682="❌ Отменена"),"",F682&amp;"#"&amp;COUNTIFS($F$5:F682,F682,$B$5:B682,"?*",$G$5:G682,"&lt;&gt;❌ Отменена"))</f>
        <v/>
      </c>
      <c r="M682" s="54">
        <f>IF(AND(B682&lt;&gt;"",F682&lt;&gt;"",F682&lt;TODAY(),AND(G682&lt;&gt;"✅ Выполнена",G682&lt;&gt;"❌ Отменена")),MAX($M$4:M681)+1,"")</f>
        <v/>
      </c>
    </row>
    <row r="683">
      <c r="A683" s="49">
        <f>IF(B683="","",COUNTA($B$5:B683))</f>
        <v/>
      </c>
      <c r="B683" s="50" t="n"/>
      <c r="C683" s="51" t="n"/>
      <c r="D683" s="51" t="n"/>
      <c r="E683" s="52" t="n"/>
      <c r="F683" s="53" t="n"/>
      <c r="G683" s="51" t="n"/>
      <c r="H683" s="53" t="n"/>
      <c r="I683" s="51" t="n"/>
      <c r="J683" s="54">
        <f>IF(OR(B683="",F683="",NOT(AND(G683&lt;&gt;"✅ Выполнена",G683&lt;&gt;"❌ Отменена"))),"",IF(F683&lt;TODAY(),"❗ просрочено "&amp;(TODAY()-F683)&amp;" дн.",IF(F683=TODAY(),"🔥 сегодня",IF(F683-TODAY()&lt;=3,"⏳ через "&amp;(F683-TODAY())&amp;" дн.",""))))</f>
        <v/>
      </c>
      <c r="K683" s="54">
        <f>IF(B683="","",IF(G683="✅ Выполнена","✔ ",IF(G683="❌ Отменена","✖ ",IF(AND(F683&lt;&gt;"",F683&lt;TODAY()),"❗ ","☐ ")))&amp;B683&amp;IF(E683="🔥 Высокий"," 🔥",""))</f>
        <v/>
      </c>
      <c r="L683" s="54">
        <f>IF(OR(B683="",F683="",G683="❌ Отменена"),"",F683&amp;"#"&amp;COUNTIFS($F$5:F683,F683,$B$5:B683,"?*",$G$5:G683,"&lt;&gt;❌ Отменена"))</f>
        <v/>
      </c>
      <c r="M683" s="54">
        <f>IF(AND(B683&lt;&gt;"",F683&lt;&gt;"",F683&lt;TODAY(),AND(G683&lt;&gt;"✅ Выполнена",G683&lt;&gt;"❌ Отменена")),MAX($M$4:M682)+1,"")</f>
        <v/>
      </c>
    </row>
    <row r="684">
      <c r="A684" s="49">
        <f>IF(B684="","",COUNTA($B$5:B684))</f>
        <v/>
      </c>
      <c r="B684" s="50" t="n"/>
      <c r="C684" s="51" t="n"/>
      <c r="D684" s="51" t="n"/>
      <c r="E684" s="52" t="n"/>
      <c r="F684" s="53" t="n"/>
      <c r="G684" s="51" t="n"/>
      <c r="H684" s="53" t="n"/>
      <c r="I684" s="51" t="n"/>
      <c r="J684" s="54">
        <f>IF(OR(B684="",F684="",NOT(AND(G684&lt;&gt;"✅ Выполнена",G684&lt;&gt;"❌ Отменена"))),"",IF(F684&lt;TODAY(),"❗ просрочено "&amp;(TODAY()-F684)&amp;" дн.",IF(F684=TODAY(),"🔥 сегодня",IF(F684-TODAY()&lt;=3,"⏳ через "&amp;(F684-TODAY())&amp;" дн.",""))))</f>
        <v/>
      </c>
      <c r="K684" s="54">
        <f>IF(B684="","",IF(G684="✅ Выполнена","✔ ",IF(G684="❌ Отменена","✖ ",IF(AND(F684&lt;&gt;"",F684&lt;TODAY()),"❗ ","☐ ")))&amp;B684&amp;IF(E684="🔥 Высокий"," 🔥",""))</f>
        <v/>
      </c>
      <c r="L684" s="54">
        <f>IF(OR(B684="",F684="",G684="❌ Отменена"),"",F684&amp;"#"&amp;COUNTIFS($F$5:F684,F684,$B$5:B684,"?*",$G$5:G684,"&lt;&gt;❌ Отменена"))</f>
        <v/>
      </c>
      <c r="M684" s="54">
        <f>IF(AND(B684&lt;&gt;"",F684&lt;&gt;"",F684&lt;TODAY(),AND(G684&lt;&gt;"✅ Выполнена",G684&lt;&gt;"❌ Отменена")),MAX($M$4:M683)+1,"")</f>
        <v/>
      </c>
    </row>
    <row r="685">
      <c r="A685" s="49">
        <f>IF(B685="","",COUNTA($B$5:B685))</f>
        <v/>
      </c>
      <c r="B685" s="50" t="n"/>
      <c r="C685" s="51" t="n"/>
      <c r="D685" s="51" t="n"/>
      <c r="E685" s="52" t="n"/>
      <c r="F685" s="53" t="n"/>
      <c r="G685" s="51" t="n"/>
      <c r="H685" s="53" t="n"/>
      <c r="I685" s="51" t="n"/>
      <c r="J685" s="54">
        <f>IF(OR(B685="",F685="",NOT(AND(G685&lt;&gt;"✅ Выполнена",G685&lt;&gt;"❌ Отменена"))),"",IF(F685&lt;TODAY(),"❗ просрочено "&amp;(TODAY()-F685)&amp;" дн.",IF(F685=TODAY(),"🔥 сегодня",IF(F685-TODAY()&lt;=3,"⏳ через "&amp;(F685-TODAY())&amp;" дн.",""))))</f>
        <v/>
      </c>
      <c r="K685" s="54">
        <f>IF(B685="","",IF(G685="✅ Выполнена","✔ ",IF(G685="❌ Отменена","✖ ",IF(AND(F685&lt;&gt;"",F685&lt;TODAY()),"❗ ","☐ ")))&amp;B685&amp;IF(E685="🔥 Высокий"," 🔥",""))</f>
        <v/>
      </c>
      <c r="L685" s="54">
        <f>IF(OR(B685="",F685="",G685="❌ Отменена"),"",F685&amp;"#"&amp;COUNTIFS($F$5:F685,F685,$B$5:B685,"?*",$G$5:G685,"&lt;&gt;❌ Отменена"))</f>
        <v/>
      </c>
      <c r="M685" s="54">
        <f>IF(AND(B685&lt;&gt;"",F685&lt;&gt;"",F685&lt;TODAY(),AND(G685&lt;&gt;"✅ Выполнена",G685&lt;&gt;"❌ Отменена")),MAX($M$4:M684)+1,"")</f>
        <v/>
      </c>
    </row>
    <row r="686">
      <c r="A686" s="49">
        <f>IF(B686="","",COUNTA($B$5:B686))</f>
        <v/>
      </c>
      <c r="B686" s="50" t="n"/>
      <c r="C686" s="51" t="n"/>
      <c r="D686" s="51" t="n"/>
      <c r="E686" s="52" t="n"/>
      <c r="F686" s="53" t="n"/>
      <c r="G686" s="51" t="n"/>
      <c r="H686" s="53" t="n"/>
      <c r="I686" s="51" t="n"/>
      <c r="J686" s="54">
        <f>IF(OR(B686="",F686="",NOT(AND(G686&lt;&gt;"✅ Выполнена",G686&lt;&gt;"❌ Отменена"))),"",IF(F686&lt;TODAY(),"❗ просрочено "&amp;(TODAY()-F686)&amp;" дн.",IF(F686=TODAY(),"🔥 сегодня",IF(F686-TODAY()&lt;=3,"⏳ через "&amp;(F686-TODAY())&amp;" дн.",""))))</f>
        <v/>
      </c>
      <c r="K686" s="54">
        <f>IF(B686="","",IF(G686="✅ Выполнена","✔ ",IF(G686="❌ Отменена","✖ ",IF(AND(F686&lt;&gt;"",F686&lt;TODAY()),"❗ ","☐ ")))&amp;B686&amp;IF(E686="🔥 Высокий"," 🔥",""))</f>
        <v/>
      </c>
      <c r="L686" s="54">
        <f>IF(OR(B686="",F686="",G686="❌ Отменена"),"",F686&amp;"#"&amp;COUNTIFS($F$5:F686,F686,$B$5:B686,"?*",$G$5:G686,"&lt;&gt;❌ Отменена"))</f>
        <v/>
      </c>
      <c r="M686" s="54">
        <f>IF(AND(B686&lt;&gt;"",F686&lt;&gt;"",F686&lt;TODAY(),AND(G686&lt;&gt;"✅ Выполнена",G686&lt;&gt;"❌ Отменена")),MAX($M$4:M685)+1,"")</f>
        <v/>
      </c>
    </row>
    <row r="687">
      <c r="A687" s="49">
        <f>IF(B687="","",COUNTA($B$5:B687))</f>
        <v/>
      </c>
      <c r="B687" s="50" t="n"/>
      <c r="C687" s="51" t="n"/>
      <c r="D687" s="51" t="n"/>
      <c r="E687" s="52" t="n"/>
      <c r="F687" s="53" t="n"/>
      <c r="G687" s="51" t="n"/>
      <c r="H687" s="53" t="n"/>
      <c r="I687" s="51" t="n"/>
      <c r="J687" s="54">
        <f>IF(OR(B687="",F687="",NOT(AND(G687&lt;&gt;"✅ Выполнена",G687&lt;&gt;"❌ Отменена"))),"",IF(F687&lt;TODAY(),"❗ просрочено "&amp;(TODAY()-F687)&amp;" дн.",IF(F687=TODAY(),"🔥 сегодня",IF(F687-TODAY()&lt;=3,"⏳ через "&amp;(F687-TODAY())&amp;" дн.",""))))</f>
        <v/>
      </c>
      <c r="K687" s="54">
        <f>IF(B687="","",IF(G687="✅ Выполнена","✔ ",IF(G687="❌ Отменена","✖ ",IF(AND(F687&lt;&gt;"",F687&lt;TODAY()),"❗ ","☐ ")))&amp;B687&amp;IF(E687="🔥 Высокий"," 🔥",""))</f>
        <v/>
      </c>
      <c r="L687" s="54">
        <f>IF(OR(B687="",F687="",G687="❌ Отменена"),"",F687&amp;"#"&amp;COUNTIFS($F$5:F687,F687,$B$5:B687,"?*",$G$5:G687,"&lt;&gt;❌ Отменена"))</f>
        <v/>
      </c>
      <c r="M687" s="54">
        <f>IF(AND(B687&lt;&gt;"",F687&lt;&gt;"",F687&lt;TODAY(),AND(G687&lt;&gt;"✅ Выполнена",G687&lt;&gt;"❌ Отменена")),MAX($M$4:M686)+1,"")</f>
        <v/>
      </c>
    </row>
    <row r="688">
      <c r="A688" s="49">
        <f>IF(B688="","",COUNTA($B$5:B688))</f>
        <v/>
      </c>
      <c r="B688" s="50" t="n"/>
      <c r="C688" s="51" t="n"/>
      <c r="D688" s="51" t="n"/>
      <c r="E688" s="52" t="n"/>
      <c r="F688" s="53" t="n"/>
      <c r="G688" s="51" t="n"/>
      <c r="H688" s="53" t="n"/>
      <c r="I688" s="51" t="n"/>
      <c r="J688" s="54">
        <f>IF(OR(B688="",F688="",NOT(AND(G688&lt;&gt;"✅ Выполнена",G688&lt;&gt;"❌ Отменена"))),"",IF(F688&lt;TODAY(),"❗ просрочено "&amp;(TODAY()-F688)&amp;" дн.",IF(F688=TODAY(),"🔥 сегодня",IF(F688-TODAY()&lt;=3,"⏳ через "&amp;(F688-TODAY())&amp;" дн.",""))))</f>
        <v/>
      </c>
      <c r="K688" s="54">
        <f>IF(B688="","",IF(G688="✅ Выполнена","✔ ",IF(G688="❌ Отменена","✖ ",IF(AND(F688&lt;&gt;"",F688&lt;TODAY()),"❗ ","☐ ")))&amp;B688&amp;IF(E688="🔥 Высокий"," 🔥",""))</f>
        <v/>
      </c>
      <c r="L688" s="54">
        <f>IF(OR(B688="",F688="",G688="❌ Отменена"),"",F688&amp;"#"&amp;COUNTIFS($F$5:F688,F688,$B$5:B688,"?*",$G$5:G688,"&lt;&gt;❌ Отменена"))</f>
        <v/>
      </c>
      <c r="M688" s="54">
        <f>IF(AND(B688&lt;&gt;"",F688&lt;&gt;"",F688&lt;TODAY(),AND(G688&lt;&gt;"✅ Выполнена",G688&lt;&gt;"❌ Отменена")),MAX($M$4:M687)+1,"")</f>
        <v/>
      </c>
    </row>
    <row r="689">
      <c r="A689" s="49">
        <f>IF(B689="","",COUNTA($B$5:B689))</f>
        <v/>
      </c>
      <c r="B689" s="50" t="n"/>
      <c r="C689" s="51" t="n"/>
      <c r="D689" s="51" t="n"/>
      <c r="E689" s="52" t="n"/>
      <c r="F689" s="53" t="n"/>
      <c r="G689" s="51" t="n"/>
      <c r="H689" s="53" t="n"/>
      <c r="I689" s="51" t="n"/>
      <c r="J689" s="54">
        <f>IF(OR(B689="",F689="",NOT(AND(G689&lt;&gt;"✅ Выполнена",G689&lt;&gt;"❌ Отменена"))),"",IF(F689&lt;TODAY(),"❗ просрочено "&amp;(TODAY()-F689)&amp;" дн.",IF(F689=TODAY(),"🔥 сегодня",IF(F689-TODAY()&lt;=3,"⏳ через "&amp;(F689-TODAY())&amp;" дн.",""))))</f>
        <v/>
      </c>
      <c r="K689" s="54">
        <f>IF(B689="","",IF(G689="✅ Выполнена","✔ ",IF(G689="❌ Отменена","✖ ",IF(AND(F689&lt;&gt;"",F689&lt;TODAY()),"❗ ","☐ ")))&amp;B689&amp;IF(E689="🔥 Высокий"," 🔥",""))</f>
        <v/>
      </c>
      <c r="L689" s="54">
        <f>IF(OR(B689="",F689="",G689="❌ Отменена"),"",F689&amp;"#"&amp;COUNTIFS($F$5:F689,F689,$B$5:B689,"?*",$G$5:G689,"&lt;&gt;❌ Отменена"))</f>
        <v/>
      </c>
      <c r="M689" s="54">
        <f>IF(AND(B689&lt;&gt;"",F689&lt;&gt;"",F689&lt;TODAY(),AND(G689&lt;&gt;"✅ Выполнена",G689&lt;&gt;"❌ Отменена")),MAX($M$4:M688)+1,"")</f>
        <v/>
      </c>
    </row>
    <row r="690">
      <c r="A690" s="49">
        <f>IF(B690="","",COUNTA($B$5:B690))</f>
        <v/>
      </c>
      <c r="B690" s="50" t="n"/>
      <c r="C690" s="51" t="n"/>
      <c r="D690" s="51" t="n"/>
      <c r="E690" s="52" t="n"/>
      <c r="F690" s="53" t="n"/>
      <c r="G690" s="51" t="n"/>
      <c r="H690" s="53" t="n"/>
      <c r="I690" s="51" t="n"/>
      <c r="J690" s="54">
        <f>IF(OR(B690="",F690="",NOT(AND(G690&lt;&gt;"✅ Выполнена",G690&lt;&gt;"❌ Отменена"))),"",IF(F690&lt;TODAY(),"❗ просрочено "&amp;(TODAY()-F690)&amp;" дн.",IF(F690=TODAY(),"🔥 сегодня",IF(F690-TODAY()&lt;=3,"⏳ через "&amp;(F690-TODAY())&amp;" дн.",""))))</f>
        <v/>
      </c>
      <c r="K690" s="54">
        <f>IF(B690="","",IF(G690="✅ Выполнена","✔ ",IF(G690="❌ Отменена","✖ ",IF(AND(F690&lt;&gt;"",F690&lt;TODAY()),"❗ ","☐ ")))&amp;B690&amp;IF(E690="🔥 Высокий"," 🔥",""))</f>
        <v/>
      </c>
      <c r="L690" s="54">
        <f>IF(OR(B690="",F690="",G690="❌ Отменена"),"",F690&amp;"#"&amp;COUNTIFS($F$5:F690,F690,$B$5:B690,"?*",$G$5:G690,"&lt;&gt;❌ Отменена"))</f>
        <v/>
      </c>
      <c r="M690" s="54">
        <f>IF(AND(B690&lt;&gt;"",F690&lt;&gt;"",F690&lt;TODAY(),AND(G690&lt;&gt;"✅ Выполнена",G690&lt;&gt;"❌ Отменена")),MAX($M$4:M689)+1,"")</f>
        <v/>
      </c>
    </row>
    <row r="691">
      <c r="A691" s="49">
        <f>IF(B691="","",COUNTA($B$5:B691))</f>
        <v/>
      </c>
      <c r="B691" s="50" t="n"/>
      <c r="C691" s="51" t="n"/>
      <c r="D691" s="51" t="n"/>
      <c r="E691" s="52" t="n"/>
      <c r="F691" s="53" t="n"/>
      <c r="G691" s="51" t="n"/>
      <c r="H691" s="53" t="n"/>
      <c r="I691" s="51" t="n"/>
      <c r="J691" s="54">
        <f>IF(OR(B691="",F691="",NOT(AND(G691&lt;&gt;"✅ Выполнена",G691&lt;&gt;"❌ Отменена"))),"",IF(F691&lt;TODAY(),"❗ просрочено "&amp;(TODAY()-F691)&amp;" дн.",IF(F691=TODAY(),"🔥 сегодня",IF(F691-TODAY()&lt;=3,"⏳ через "&amp;(F691-TODAY())&amp;" дн.",""))))</f>
        <v/>
      </c>
      <c r="K691" s="54">
        <f>IF(B691="","",IF(G691="✅ Выполнена","✔ ",IF(G691="❌ Отменена","✖ ",IF(AND(F691&lt;&gt;"",F691&lt;TODAY()),"❗ ","☐ ")))&amp;B691&amp;IF(E691="🔥 Высокий"," 🔥",""))</f>
        <v/>
      </c>
      <c r="L691" s="54">
        <f>IF(OR(B691="",F691="",G691="❌ Отменена"),"",F691&amp;"#"&amp;COUNTIFS($F$5:F691,F691,$B$5:B691,"?*",$G$5:G691,"&lt;&gt;❌ Отменена"))</f>
        <v/>
      </c>
      <c r="M691" s="54">
        <f>IF(AND(B691&lt;&gt;"",F691&lt;&gt;"",F691&lt;TODAY(),AND(G691&lt;&gt;"✅ Выполнена",G691&lt;&gt;"❌ Отменена")),MAX($M$4:M690)+1,"")</f>
        <v/>
      </c>
    </row>
    <row r="692">
      <c r="A692" s="49">
        <f>IF(B692="","",COUNTA($B$5:B692))</f>
        <v/>
      </c>
      <c r="B692" s="50" t="n"/>
      <c r="C692" s="51" t="n"/>
      <c r="D692" s="51" t="n"/>
      <c r="E692" s="52" t="n"/>
      <c r="F692" s="53" t="n"/>
      <c r="G692" s="51" t="n"/>
      <c r="H692" s="53" t="n"/>
      <c r="I692" s="51" t="n"/>
      <c r="J692" s="54">
        <f>IF(OR(B692="",F692="",NOT(AND(G692&lt;&gt;"✅ Выполнена",G692&lt;&gt;"❌ Отменена"))),"",IF(F692&lt;TODAY(),"❗ просрочено "&amp;(TODAY()-F692)&amp;" дн.",IF(F692=TODAY(),"🔥 сегодня",IF(F692-TODAY()&lt;=3,"⏳ через "&amp;(F692-TODAY())&amp;" дн.",""))))</f>
        <v/>
      </c>
      <c r="K692" s="54">
        <f>IF(B692="","",IF(G692="✅ Выполнена","✔ ",IF(G692="❌ Отменена","✖ ",IF(AND(F692&lt;&gt;"",F692&lt;TODAY()),"❗ ","☐ ")))&amp;B692&amp;IF(E692="🔥 Высокий"," 🔥",""))</f>
        <v/>
      </c>
      <c r="L692" s="54">
        <f>IF(OR(B692="",F692="",G692="❌ Отменена"),"",F692&amp;"#"&amp;COUNTIFS($F$5:F692,F692,$B$5:B692,"?*",$G$5:G692,"&lt;&gt;❌ Отменена"))</f>
        <v/>
      </c>
      <c r="M692" s="54">
        <f>IF(AND(B692&lt;&gt;"",F692&lt;&gt;"",F692&lt;TODAY(),AND(G692&lt;&gt;"✅ Выполнена",G692&lt;&gt;"❌ Отменена")),MAX($M$4:M691)+1,"")</f>
        <v/>
      </c>
    </row>
    <row r="693">
      <c r="A693" s="49">
        <f>IF(B693="","",COUNTA($B$5:B693))</f>
        <v/>
      </c>
      <c r="B693" s="50" t="n"/>
      <c r="C693" s="51" t="n"/>
      <c r="D693" s="51" t="n"/>
      <c r="E693" s="52" t="n"/>
      <c r="F693" s="53" t="n"/>
      <c r="G693" s="51" t="n"/>
      <c r="H693" s="53" t="n"/>
      <c r="I693" s="51" t="n"/>
      <c r="J693" s="54">
        <f>IF(OR(B693="",F693="",NOT(AND(G693&lt;&gt;"✅ Выполнена",G693&lt;&gt;"❌ Отменена"))),"",IF(F693&lt;TODAY(),"❗ просрочено "&amp;(TODAY()-F693)&amp;" дн.",IF(F693=TODAY(),"🔥 сегодня",IF(F693-TODAY()&lt;=3,"⏳ через "&amp;(F693-TODAY())&amp;" дн.",""))))</f>
        <v/>
      </c>
      <c r="K693" s="54">
        <f>IF(B693="","",IF(G693="✅ Выполнена","✔ ",IF(G693="❌ Отменена","✖ ",IF(AND(F693&lt;&gt;"",F693&lt;TODAY()),"❗ ","☐ ")))&amp;B693&amp;IF(E693="🔥 Высокий"," 🔥",""))</f>
        <v/>
      </c>
      <c r="L693" s="54">
        <f>IF(OR(B693="",F693="",G693="❌ Отменена"),"",F693&amp;"#"&amp;COUNTIFS($F$5:F693,F693,$B$5:B693,"?*",$G$5:G693,"&lt;&gt;❌ Отменена"))</f>
        <v/>
      </c>
      <c r="M693" s="54">
        <f>IF(AND(B693&lt;&gt;"",F693&lt;&gt;"",F693&lt;TODAY(),AND(G693&lt;&gt;"✅ Выполнена",G693&lt;&gt;"❌ Отменена")),MAX($M$4:M692)+1,"")</f>
        <v/>
      </c>
    </row>
    <row r="694">
      <c r="A694" s="49">
        <f>IF(B694="","",COUNTA($B$5:B694))</f>
        <v/>
      </c>
      <c r="B694" s="50" t="n"/>
      <c r="C694" s="51" t="n"/>
      <c r="D694" s="51" t="n"/>
      <c r="E694" s="52" t="n"/>
      <c r="F694" s="53" t="n"/>
      <c r="G694" s="51" t="n"/>
      <c r="H694" s="53" t="n"/>
      <c r="I694" s="51" t="n"/>
      <c r="J694" s="54">
        <f>IF(OR(B694="",F694="",NOT(AND(G694&lt;&gt;"✅ Выполнена",G694&lt;&gt;"❌ Отменена"))),"",IF(F694&lt;TODAY(),"❗ просрочено "&amp;(TODAY()-F694)&amp;" дн.",IF(F694=TODAY(),"🔥 сегодня",IF(F694-TODAY()&lt;=3,"⏳ через "&amp;(F694-TODAY())&amp;" дн.",""))))</f>
        <v/>
      </c>
      <c r="K694" s="54">
        <f>IF(B694="","",IF(G694="✅ Выполнена","✔ ",IF(G694="❌ Отменена","✖ ",IF(AND(F694&lt;&gt;"",F694&lt;TODAY()),"❗ ","☐ ")))&amp;B694&amp;IF(E694="🔥 Высокий"," 🔥",""))</f>
        <v/>
      </c>
      <c r="L694" s="54">
        <f>IF(OR(B694="",F694="",G694="❌ Отменена"),"",F694&amp;"#"&amp;COUNTIFS($F$5:F694,F694,$B$5:B694,"?*",$G$5:G694,"&lt;&gt;❌ Отменена"))</f>
        <v/>
      </c>
      <c r="M694" s="54">
        <f>IF(AND(B694&lt;&gt;"",F694&lt;&gt;"",F694&lt;TODAY(),AND(G694&lt;&gt;"✅ Выполнена",G694&lt;&gt;"❌ Отменена")),MAX($M$4:M693)+1,"")</f>
        <v/>
      </c>
    </row>
    <row r="695">
      <c r="A695" s="49">
        <f>IF(B695="","",COUNTA($B$5:B695))</f>
        <v/>
      </c>
      <c r="B695" s="50" t="n"/>
      <c r="C695" s="51" t="n"/>
      <c r="D695" s="51" t="n"/>
      <c r="E695" s="52" t="n"/>
      <c r="F695" s="53" t="n"/>
      <c r="G695" s="51" t="n"/>
      <c r="H695" s="53" t="n"/>
      <c r="I695" s="51" t="n"/>
      <c r="J695" s="54">
        <f>IF(OR(B695="",F695="",NOT(AND(G695&lt;&gt;"✅ Выполнена",G695&lt;&gt;"❌ Отменена"))),"",IF(F695&lt;TODAY(),"❗ просрочено "&amp;(TODAY()-F695)&amp;" дн.",IF(F695=TODAY(),"🔥 сегодня",IF(F695-TODAY()&lt;=3,"⏳ через "&amp;(F695-TODAY())&amp;" дн.",""))))</f>
        <v/>
      </c>
      <c r="K695" s="54">
        <f>IF(B695="","",IF(G695="✅ Выполнена","✔ ",IF(G695="❌ Отменена","✖ ",IF(AND(F695&lt;&gt;"",F695&lt;TODAY()),"❗ ","☐ ")))&amp;B695&amp;IF(E695="🔥 Высокий"," 🔥",""))</f>
        <v/>
      </c>
      <c r="L695" s="54">
        <f>IF(OR(B695="",F695="",G695="❌ Отменена"),"",F695&amp;"#"&amp;COUNTIFS($F$5:F695,F695,$B$5:B695,"?*",$G$5:G695,"&lt;&gt;❌ Отменена"))</f>
        <v/>
      </c>
      <c r="M695" s="54">
        <f>IF(AND(B695&lt;&gt;"",F695&lt;&gt;"",F695&lt;TODAY(),AND(G695&lt;&gt;"✅ Выполнена",G695&lt;&gt;"❌ Отменена")),MAX($M$4:M694)+1,"")</f>
        <v/>
      </c>
    </row>
    <row r="696">
      <c r="A696" s="49">
        <f>IF(B696="","",COUNTA($B$5:B696))</f>
        <v/>
      </c>
      <c r="B696" s="50" t="n"/>
      <c r="C696" s="51" t="n"/>
      <c r="D696" s="51" t="n"/>
      <c r="E696" s="52" t="n"/>
      <c r="F696" s="53" t="n"/>
      <c r="G696" s="51" t="n"/>
      <c r="H696" s="53" t="n"/>
      <c r="I696" s="51" t="n"/>
      <c r="J696" s="54">
        <f>IF(OR(B696="",F696="",NOT(AND(G696&lt;&gt;"✅ Выполнена",G696&lt;&gt;"❌ Отменена"))),"",IF(F696&lt;TODAY(),"❗ просрочено "&amp;(TODAY()-F696)&amp;" дн.",IF(F696=TODAY(),"🔥 сегодня",IF(F696-TODAY()&lt;=3,"⏳ через "&amp;(F696-TODAY())&amp;" дн.",""))))</f>
        <v/>
      </c>
      <c r="K696" s="54">
        <f>IF(B696="","",IF(G696="✅ Выполнена","✔ ",IF(G696="❌ Отменена","✖ ",IF(AND(F696&lt;&gt;"",F696&lt;TODAY()),"❗ ","☐ ")))&amp;B696&amp;IF(E696="🔥 Высокий"," 🔥",""))</f>
        <v/>
      </c>
      <c r="L696" s="54">
        <f>IF(OR(B696="",F696="",G696="❌ Отменена"),"",F696&amp;"#"&amp;COUNTIFS($F$5:F696,F696,$B$5:B696,"?*",$G$5:G696,"&lt;&gt;❌ Отменена"))</f>
        <v/>
      </c>
      <c r="M696" s="54">
        <f>IF(AND(B696&lt;&gt;"",F696&lt;&gt;"",F696&lt;TODAY(),AND(G696&lt;&gt;"✅ Выполнена",G696&lt;&gt;"❌ Отменена")),MAX($M$4:M695)+1,"")</f>
        <v/>
      </c>
    </row>
    <row r="697">
      <c r="A697" s="49">
        <f>IF(B697="","",COUNTA($B$5:B697))</f>
        <v/>
      </c>
      <c r="B697" s="50" t="n"/>
      <c r="C697" s="51" t="n"/>
      <c r="D697" s="51" t="n"/>
      <c r="E697" s="52" t="n"/>
      <c r="F697" s="53" t="n"/>
      <c r="G697" s="51" t="n"/>
      <c r="H697" s="53" t="n"/>
      <c r="I697" s="51" t="n"/>
      <c r="J697" s="54">
        <f>IF(OR(B697="",F697="",NOT(AND(G697&lt;&gt;"✅ Выполнена",G697&lt;&gt;"❌ Отменена"))),"",IF(F697&lt;TODAY(),"❗ просрочено "&amp;(TODAY()-F697)&amp;" дн.",IF(F697=TODAY(),"🔥 сегодня",IF(F697-TODAY()&lt;=3,"⏳ через "&amp;(F697-TODAY())&amp;" дн.",""))))</f>
        <v/>
      </c>
      <c r="K697" s="54">
        <f>IF(B697="","",IF(G697="✅ Выполнена","✔ ",IF(G697="❌ Отменена","✖ ",IF(AND(F697&lt;&gt;"",F697&lt;TODAY()),"❗ ","☐ ")))&amp;B697&amp;IF(E697="🔥 Высокий"," 🔥",""))</f>
        <v/>
      </c>
      <c r="L697" s="54">
        <f>IF(OR(B697="",F697="",G697="❌ Отменена"),"",F697&amp;"#"&amp;COUNTIFS($F$5:F697,F697,$B$5:B697,"?*",$G$5:G697,"&lt;&gt;❌ Отменена"))</f>
        <v/>
      </c>
      <c r="M697" s="54">
        <f>IF(AND(B697&lt;&gt;"",F697&lt;&gt;"",F697&lt;TODAY(),AND(G697&lt;&gt;"✅ Выполнена",G697&lt;&gt;"❌ Отменена")),MAX($M$4:M696)+1,"")</f>
        <v/>
      </c>
    </row>
    <row r="698">
      <c r="A698" s="49">
        <f>IF(B698="","",COUNTA($B$5:B698))</f>
        <v/>
      </c>
      <c r="B698" s="50" t="n"/>
      <c r="C698" s="51" t="n"/>
      <c r="D698" s="51" t="n"/>
      <c r="E698" s="52" t="n"/>
      <c r="F698" s="53" t="n"/>
      <c r="G698" s="51" t="n"/>
      <c r="H698" s="53" t="n"/>
      <c r="I698" s="51" t="n"/>
      <c r="J698" s="54">
        <f>IF(OR(B698="",F698="",NOT(AND(G698&lt;&gt;"✅ Выполнена",G698&lt;&gt;"❌ Отменена"))),"",IF(F698&lt;TODAY(),"❗ просрочено "&amp;(TODAY()-F698)&amp;" дн.",IF(F698=TODAY(),"🔥 сегодня",IF(F698-TODAY()&lt;=3,"⏳ через "&amp;(F698-TODAY())&amp;" дн.",""))))</f>
        <v/>
      </c>
      <c r="K698" s="54">
        <f>IF(B698="","",IF(G698="✅ Выполнена","✔ ",IF(G698="❌ Отменена","✖ ",IF(AND(F698&lt;&gt;"",F698&lt;TODAY()),"❗ ","☐ ")))&amp;B698&amp;IF(E698="🔥 Высокий"," 🔥",""))</f>
        <v/>
      </c>
      <c r="L698" s="54">
        <f>IF(OR(B698="",F698="",G698="❌ Отменена"),"",F698&amp;"#"&amp;COUNTIFS($F$5:F698,F698,$B$5:B698,"?*",$G$5:G698,"&lt;&gt;❌ Отменена"))</f>
        <v/>
      </c>
      <c r="M698" s="54">
        <f>IF(AND(B698&lt;&gt;"",F698&lt;&gt;"",F698&lt;TODAY(),AND(G698&lt;&gt;"✅ Выполнена",G698&lt;&gt;"❌ Отменена")),MAX($M$4:M697)+1,"")</f>
        <v/>
      </c>
    </row>
    <row r="699">
      <c r="A699" s="49">
        <f>IF(B699="","",COUNTA($B$5:B699))</f>
        <v/>
      </c>
      <c r="B699" s="50" t="n"/>
      <c r="C699" s="51" t="n"/>
      <c r="D699" s="51" t="n"/>
      <c r="E699" s="52" t="n"/>
      <c r="F699" s="53" t="n"/>
      <c r="G699" s="51" t="n"/>
      <c r="H699" s="53" t="n"/>
      <c r="I699" s="51" t="n"/>
      <c r="J699" s="54">
        <f>IF(OR(B699="",F699="",NOT(AND(G699&lt;&gt;"✅ Выполнена",G699&lt;&gt;"❌ Отменена"))),"",IF(F699&lt;TODAY(),"❗ просрочено "&amp;(TODAY()-F699)&amp;" дн.",IF(F699=TODAY(),"🔥 сегодня",IF(F699-TODAY()&lt;=3,"⏳ через "&amp;(F699-TODAY())&amp;" дн.",""))))</f>
        <v/>
      </c>
      <c r="K699" s="54">
        <f>IF(B699="","",IF(G699="✅ Выполнена","✔ ",IF(G699="❌ Отменена","✖ ",IF(AND(F699&lt;&gt;"",F699&lt;TODAY()),"❗ ","☐ ")))&amp;B699&amp;IF(E699="🔥 Высокий"," 🔥",""))</f>
        <v/>
      </c>
      <c r="L699" s="54">
        <f>IF(OR(B699="",F699="",G699="❌ Отменена"),"",F699&amp;"#"&amp;COUNTIFS($F$5:F699,F699,$B$5:B699,"?*",$G$5:G699,"&lt;&gt;❌ Отменена"))</f>
        <v/>
      </c>
      <c r="M699" s="54">
        <f>IF(AND(B699&lt;&gt;"",F699&lt;&gt;"",F699&lt;TODAY(),AND(G699&lt;&gt;"✅ Выполнена",G699&lt;&gt;"❌ Отменена")),MAX($M$4:M698)+1,"")</f>
        <v/>
      </c>
    </row>
    <row r="700">
      <c r="A700" s="49">
        <f>IF(B700="","",COUNTA($B$5:B700))</f>
        <v/>
      </c>
      <c r="B700" s="50" t="n"/>
      <c r="C700" s="51" t="n"/>
      <c r="D700" s="51" t="n"/>
      <c r="E700" s="52" t="n"/>
      <c r="F700" s="53" t="n"/>
      <c r="G700" s="51" t="n"/>
      <c r="H700" s="53" t="n"/>
      <c r="I700" s="51" t="n"/>
      <c r="J700" s="54">
        <f>IF(OR(B700="",F700="",NOT(AND(G700&lt;&gt;"✅ Выполнена",G700&lt;&gt;"❌ Отменена"))),"",IF(F700&lt;TODAY(),"❗ просрочено "&amp;(TODAY()-F700)&amp;" дн.",IF(F700=TODAY(),"🔥 сегодня",IF(F700-TODAY()&lt;=3,"⏳ через "&amp;(F700-TODAY())&amp;" дн.",""))))</f>
        <v/>
      </c>
      <c r="K700" s="54">
        <f>IF(B700="","",IF(G700="✅ Выполнена","✔ ",IF(G700="❌ Отменена","✖ ",IF(AND(F700&lt;&gt;"",F700&lt;TODAY()),"❗ ","☐ ")))&amp;B700&amp;IF(E700="🔥 Высокий"," 🔥",""))</f>
        <v/>
      </c>
      <c r="L700" s="54">
        <f>IF(OR(B700="",F700="",G700="❌ Отменена"),"",F700&amp;"#"&amp;COUNTIFS($F$5:F700,F700,$B$5:B700,"?*",$G$5:G700,"&lt;&gt;❌ Отменена"))</f>
        <v/>
      </c>
      <c r="M700" s="54">
        <f>IF(AND(B700&lt;&gt;"",F700&lt;&gt;"",F700&lt;TODAY(),AND(G700&lt;&gt;"✅ Выполнена",G700&lt;&gt;"❌ Отменена")),MAX($M$4:M699)+1,"")</f>
        <v/>
      </c>
    </row>
    <row r="701">
      <c r="A701" s="49">
        <f>IF(B701="","",COUNTA($B$5:B701))</f>
        <v/>
      </c>
      <c r="B701" s="50" t="n"/>
      <c r="C701" s="51" t="n"/>
      <c r="D701" s="51" t="n"/>
      <c r="E701" s="52" t="n"/>
      <c r="F701" s="53" t="n"/>
      <c r="G701" s="51" t="n"/>
      <c r="H701" s="53" t="n"/>
      <c r="I701" s="51" t="n"/>
      <c r="J701" s="54">
        <f>IF(OR(B701="",F701="",NOT(AND(G701&lt;&gt;"✅ Выполнена",G701&lt;&gt;"❌ Отменена"))),"",IF(F701&lt;TODAY(),"❗ просрочено "&amp;(TODAY()-F701)&amp;" дн.",IF(F701=TODAY(),"🔥 сегодня",IF(F701-TODAY()&lt;=3,"⏳ через "&amp;(F701-TODAY())&amp;" дн.",""))))</f>
        <v/>
      </c>
      <c r="K701" s="54">
        <f>IF(B701="","",IF(G701="✅ Выполнена","✔ ",IF(G701="❌ Отменена","✖ ",IF(AND(F701&lt;&gt;"",F701&lt;TODAY()),"❗ ","☐ ")))&amp;B701&amp;IF(E701="🔥 Высокий"," 🔥",""))</f>
        <v/>
      </c>
      <c r="L701" s="54">
        <f>IF(OR(B701="",F701="",G701="❌ Отменена"),"",F701&amp;"#"&amp;COUNTIFS($F$5:F701,F701,$B$5:B701,"?*",$G$5:G701,"&lt;&gt;❌ Отменена"))</f>
        <v/>
      </c>
      <c r="M701" s="54">
        <f>IF(AND(B701&lt;&gt;"",F701&lt;&gt;"",F701&lt;TODAY(),AND(G701&lt;&gt;"✅ Выполнена",G701&lt;&gt;"❌ Отменена")),MAX($M$4:M700)+1,"")</f>
        <v/>
      </c>
    </row>
    <row r="702">
      <c r="A702" s="49">
        <f>IF(B702="","",COUNTA($B$5:B702))</f>
        <v/>
      </c>
      <c r="B702" s="50" t="n"/>
      <c r="C702" s="51" t="n"/>
      <c r="D702" s="51" t="n"/>
      <c r="E702" s="52" t="n"/>
      <c r="F702" s="53" t="n"/>
      <c r="G702" s="51" t="n"/>
      <c r="H702" s="53" t="n"/>
      <c r="I702" s="51" t="n"/>
      <c r="J702" s="54">
        <f>IF(OR(B702="",F702="",NOT(AND(G702&lt;&gt;"✅ Выполнена",G702&lt;&gt;"❌ Отменена"))),"",IF(F702&lt;TODAY(),"❗ просрочено "&amp;(TODAY()-F702)&amp;" дн.",IF(F702=TODAY(),"🔥 сегодня",IF(F702-TODAY()&lt;=3,"⏳ через "&amp;(F702-TODAY())&amp;" дн.",""))))</f>
        <v/>
      </c>
      <c r="K702" s="54">
        <f>IF(B702="","",IF(G702="✅ Выполнена","✔ ",IF(G702="❌ Отменена","✖ ",IF(AND(F702&lt;&gt;"",F702&lt;TODAY()),"❗ ","☐ ")))&amp;B702&amp;IF(E702="🔥 Высокий"," 🔥",""))</f>
        <v/>
      </c>
      <c r="L702" s="54">
        <f>IF(OR(B702="",F702="",G702="❌ Отменена"),"",F702&amp;"#"&amp;COUNTIFS($F$5:F702,F702,$B$5:B702,"?*",$G$5:G702,"&lt;&gt;❌ Отменена"))</f>
        <v/>
      </c>
      <c r="M702" s="54">
        <f>IF(AND(B702&lt;&gt;"",F702&lt;&gt;"",F702&lt;TODAY(),AND(G702&lt;&gt;"✅ Выполнена",G702&lt;&gt;"❌ Отменена")),MAX($M$4:M701)+1,"")</f>
        <v/>
      </c>
    </row>
    <row r="703">
      <c r="A703" s="49">
        <f>IF(B703="","",COUNTA($B$5:B703))</f>
        <v/>
      </c>
      <c r="B703" s="50" t="n"/>
      <c r="C703" s="51" t="n"/>
      <c r="D703" s="51" t="n"/>
      <c r="E703" s="52" t="n"/>
      <c r="F703" s="53" t="n"/>
      <c r="G703" s="51" t="n"/>
      <c r="H703" s="53" t="n"/>
      <c r="I703" s="51" t="n"/>
      <c r="J703" s="54">
        <f>IF(OR(B703="",F703="",NOT(AND(G703&lt;&gt;"✅ Выполнена",G703&lt;&gt;"❌ Отменена"))),"",IF(F703&lt;TODAY(),"❗ просрочено "&amp;(TODAY()-F703)&amp;" дн.",IF(F703=TODAY(),"🔥 сегодня",IF(F703-TODAY()&lt;=3,"⏳ через "&amp;(F703-TODAY())&amp;" дн.",""))))</f>
        <v/>
      </c>
      <c r="K703" s="54">
        <f>IF(B703="","",IF(G703="✅ Выполнена","✔ ",IF(G703="❌ Отменена","✖ ",IF(AND(F703&lt;&gt;"",F703&lt;TODAY()),"❗ ","☐ ")))&amp;B703&amp;IF(E703="🔥 Высокий"," 🔥",""))</f>
        <v/>
      </c>
      <c r="L703" s="54">
        <f>IF(OR(B703="",F703="",G703="❌ Отменена"),"",F703&amp;"#"&amp;COUNTIFS($F$5:F703,F703,$B$5:B703,"?*",$G$5:G703,"&lt;&gt;❌ Отменена"))</f>
        <v/>
      </c>
      <c r="M703" s="54">
        <f>IF(AND(B703&lt;&gt;"",F703&lt;&gt;"",F703&lt;TODAY(),AND(G703&lt;&gt;"✅ Выполнена",G703&lt;&gt;"❌ Отменена")),MAX($M$4:M702)+1,"")</f>
        <v/>
      </c>
    </row>
    <row r="704">
      <c r="A704" s="49">
        <f>IF(B704="","",COUNTA($B$5:B704))</f>
        <v/>
      </c>
      <c r="B704" s="50" t="n"/>
      <c r="C704" s="51" t="n"/>
      <c r="D704" s="51" t="n"/>
      <c r="E704" s="52" t="n"/>
      <c r="F704" s="53" t="n"/>
      <c r="G704" s="51" t="n"/>
      <c r="H704" s="53" t="n"/>
      <c r="I704" s="51" t="n"/>
      <c r="J704" s="54">
        <f>IF(OR(B704="",F704="",NOT(AND(G704&lt;&gt;"✅ Выполнена",G704&lt;&gt;"❌ Отменена"))),"",IF(F704&lt;TODAY(),"❗ просрочено "&amp;(TODAY()-F704)&amp;" дн.",IF(F704=TODAY(),"🔥 сегодня",IF(F704-TODAY()&lt;=3,"⏳ через "&amp;(F704-TODAY())&amp;" дн.",""))))</f>
        <v/>
      </c>
      <c r="K704" s="54">
        <f>IF(B704="","",IF(G704="✅ Выполнена","✔ ",IF(G704="❌ Отменена","✖ ",IF(AND(F704&lt;&gt;"",F704&lt;TODAY()),"❗ ","☐ ")))&amp;B704&amp;IF(E704="🔥 Высокий"," 🔥",""))</f>
        <v/>
      </c>
      <c r="L704" s="54">
        <f>IF(OR(B704="",F704="",G704="❌ Отменена"),"",F704&amp;"#"&amp;COUNTIFS($F$5:F704,F704,$B$5:B704,"?*",$G$5:G704,"&lt;&gt;❌ Отменена"))</f>
        <v/>
      </c>
      <c r="M704" s="54">
        <f>IF(AND(B704&lt;&gt;"",F704&lt;&gt;"",F704&lt;TODAY(),AND(G704&lt;&gt;"✅ Выполнена",G704&lt;&gt;"❌ Отменена")),MAX($M$4:M703)+1,"")</f>
        <v/>
      </c>
    </row>
    <row r="705">
      <c r="A705" s="49">
        <f>IF(B705="","",COUNTA($B$5:B705))</f>
        <v/>
      </c>
      <c r="B705" s="50" t="n"/>
      <c r="C705" s="51" t="n"/>
      <c r="D705" s="51" t="n"/>
      <c r="E705" s="52" t="n"/>
      <c r="F705" s="53" t="n"/>
      <c r="G705" s="51" t="n"/>
      <c r="H705" s="53" t="n"/>
      <c r="I705" s="51" t="n"/>
      <c r="J705" s="54">
        <f>IF(OR(B705="",F705="",NOT(AND(G705&lt;&gt;"✅ Выполнена",G705&lt;&gt;"❌ Отменена"))),"",IF(F705&lt;TODAY(),"❗ просрочено "&amp;(TODAY()-F705)&amp;" дн.",IF(F705=TODAY(),"🔥 сегодня",IF(F705-TODAY()&lt;=3,"⏳ через "&amp;(F705-TODAY())&amp;" дн.",""))))</f>
        <v/>
      </c>
      <c r="K705" s="54">
        <f>IF(B705="","",IF(G705="✅ Выполнена","✔ ",IF(G705="❌ Отменена","✖ ",IF(AND(F705&lt;&gt;"",F705&lt;TODAY()),"❗ ","☐ ")))&amp;B705&amp;IF(E705="🔥 Высокий"," 🔥",""))</f>
        <v/>
      </c>
      <c r="L705" s="54">
        <f>IF(OR(B705="",F705="",G705="❌ Отменена"),"",F705&amp;"#"&amp;COUNTIFS($F$5:F705,F705,$B$5:B705,"?*",$G$5:G705,"&lt;&gt;❌ Отменена"))</f>
        <v/>
      </c>
      <c r="M705" s="54">
        <f>IF(AND(B705&lt;&gt;"",F705&lt;&gt;"",F705&lt;TODAY(),AND(G705&lt;&gt;"✅ Выполнена",G705&lt;&gt;"❌ Отменена")),MAX($M$4:M704)+1,"")</f>
        <v/>
      </c>
    </row>
    <row r="706">
      <c r="A706" s="49">
        <f>IF(B706="","",COUNTA($B$5:B706))</f>
        <v/>
      </c>
      <c r="B706" s="50" t="n"/>
      <c r="C706" s="51" t="n"/>
      <c r="D706" s="51" t="n"/>
      <c r="E706" s="52" t="n"/>
      <c r="F706" s="53" t="n"/>
      <c r="G706" s="51" t="n"/>
      <c r="H706" s="53" t="n"/>
      <c r="I706" s="51" t="n"/>
      <c r="J706" s="54">
        <f>IF(OR(B706="",F706="",NOT(AND(G706&lt;&gt;"✅ Выполнена",G706&lt;&gt;"❌ Отменена"))),"",IF(F706&lt;TODAY(),"❗ просрочено "&amp;(TODAY()-F706)&amp;" дн.",IF(F706=TODAY(),"🔥 сегодня",IF(F706-TODAY()&lt;=3,"⏳ через "&amp;(F706-TODAY())&amp;" дн.",""))))</f>
        <v/>
      </c>
      <c r="K706" s="54">
        <f>IF(B706="","",IF(G706="✅ Выполнена","✔ ",IF(G706="❌ Отменена","✖ ",IF(AND(F706&lt;&gt;"",F706&lt;TODAY()),"❗ ","☐ ")))&amp;B706&amp;IF(E706="🔥 Высокий"," 🔥",""))</f>
        <v/>
      </c>
      <c r="L706" s="54">
        <f>IF(OR(B706="",F706="",G706="❌ Отменена"),"",F706&amp;"#"&amp;COUNTIFS($F$5:F706,F706,$B$5:B706,"?*",$G$5:G706,"&lt;&gt;❌ Отменена"))</f>
        <v/>
      </c>
      <c r="M706" s="54">
        <f>IF(AND(B706&lt;&gt;"",F706&lt;&gt;"",F706&lt;TODAY(),AND(G706&lt;&gt;"✅ Выполнена",G706&lt;&gt;"❌ Отменена")),MAX($M$4:M705)+1,"")</f>
        <v/>
      </c>
    </row>
    <row r="707">
      <c r="A707" s="49">
        <f>IF(B707="","",COUNTA($B$5:B707))</f>
        <v/>
      </c>
      <c r="B707" s="50" t="n"/>
      <c r="C707" s="51" t="n"/>
      <c r="D707" s="51" t="n"/>
      <c r="E707" s="52" t="n"/>
      <c r="F707" s="53" t="n"/>
      <c r="G707" s="51" t="n"/>
      <c r="H707" s="53" t="n"/>
      <c r="I707" s="51" t="n"/>
      <c r="J707" s="54">
        <f>IF(OR(B707="",F707="",NOT(AND(G707&lt;&gt;"✅ Выполнена",G707&lt;&gt;"❌ Отменена"))),"",IF(F707&lt;TODAY(),"❗ просрочено "&amp;(TODAY()-F707)&amp;" дн.",IF(F707=TODAY(),"🔥 сегодня",IF(F707-TODAY()&lt;=3,"⏳ через "&amp;(F707-TODAY())&amp;" дн.",""))))</f>
        <v/>
      </c>
      <c r="K707" s="54">
        <f>IF(B707="","",IF(G707="✅ Выполнена","✔ ",IF(G707="❌ Отменена","✖ ",IF(AND(F707&lt;&gt;"",F707&lt;TODAY()),"❗ ","☐ ")))&amp;B707&amp;IF(E707="🔥 Высокий"," 🔥",""))</f>
        <v/>
      </c>
      <c r="L707" s="54">
        <f>IF(OR(B707="",F707="",G707="❌ Отменена"),"",F707&amp;"#"&amp;COUNTIFS($F$5:F707,F707,$B$5:B707,"?*",$G$5:G707,"&lt;&gt;❌ Отменена"))</f>
        <v/>
      </c>
      <c r="M707" s="54">
        <f>IF(AND(B707&lt;&gt;"",F707&lt;&gt;"",F707&lt;TODAY(),AND(G707&lt;&gt;"✅ Выполнена",G707&lt;&gt;"❌ Отменена")),MAX($M$4:M706)+1,"")</f>
        <v/>
      </c>
    </row>
    <row r="708">
      <c r="A708" s="49">
        <f>IF(B708="","",COUNTA($B$5:B708))</f>
        <v/>
      </c>
      <c r="B708" s="50" t="n"/>
      <c r="C708" s="51" t="n"/>
      <c r="D708" s="51" t="n"/>
      <c r="E708" s="52" t="n"/>
      <c r="F708" s="53" t="n"/>
      <c r="G708" s="51" t="n"/>
      <c r="H708" s="53" t="n"/>
      <c r="I708" s="51" t="n"/>
      <c r="J708" s="54">
        <f>IF(OR(B708="",F708="",NOT(AND(G708&lt;&gt;"✅ Выполнена",G708&lt;&gt;"❌ Отменена"))),"",IF(F708&lt;TODAY(),"❗ просрочено "&amp;(TODAY()-F708)&amp;" дн.",IF(F708=TODAY(),"🔥 сегодня",IF(F708-TODAY()&lt;=3,"⏳ через "&amp;(F708-TODAY())&amp;" дн.",""))))</f>
        <v/>
      </c>
      <c r="K708" s="54">
        <f>IF(B708="","",IF(G708="✅ Выполнена","✔ ",IF(G708="❌ Отменена","✖ ",IF(AND(F708&lt;&gt;"",F708&lt;TODAY()),"❗ ","☐ ")))&amp;B708&amp;IF(E708="🔥 Высокий"," 🔥",""))</f>
        <v/>
      </c>
      <c r="L708" s="54">
        <f>IF(OR(B708="",F708="",G708="❌ Отменена"),"",F708&amp;"#"&amp;COUNTIFS($F$5:F708,F708,$B$5:B708,"?*",$G$5:G708,"&lt;&gt;❌ Отменена"))</f>
        <v/>
      </c>
      <c r="M708" s="54">
        <f>IF(AND(B708&lt;&gt;"",F708&lt;&gt;"",F708&lt;TODAY(),AND(G708&lt;&gt;"✅ Выполнена",G708&lt;&gt;"❌ Отменена")),MAX($M$4:M707)+1,"")</f>
        <v/>
      </c>
    </row>
    <row r="709">
      <c r="A709" s="49">
        <f>IF(B709="","",COUNTA($B$5:B709))</f>
        <v/>
      </c>
      <c r="B709" s="50" t="n"/>
      <c r="C709" s="51" t="n"/>
      <c r="D709" s="51" t="n"/>
      <c r="E709" s="52" t="n"/>
      <c r="F709" s="53" t="n"/>
      <c r="G709" s="51" t="n"/>
      <c r="H709" s="53" t="n"/>
      <c r="I709" s="51" t="n"/>
      <c r="J709" s="54">
        <f>IF(OR(B709="",F709="",NOT(AND(G709&lt;&gt;"✅ Выполнена",G709&lt;&gt;"❌ Отменена"))),"",IF(F709&lt;TODAY(),"❗ просрочено "&amp;(TODAY()-F709)&amp;" дн.",IF(F709=TODAY(),"🔥 сегодня",IF(F709-TODAY()&lt;=3,"⏳ через "&amp;(F709-TODAY())&amp;" дн.",""))))</f>
        <v/>
      </c>
      <c r="K709" s="54">
        <f>IF(B709="","",IF(G709="✅ Выполнена","✔ ",IF(G709="❌ Отменена","✖ ",IF(AND(F709&lt;&gt;"",F709&lt;TODAY()),"❗ ","☐ ")))&amp;B709&amp;IF(E709="🔥 Высокий"," 🔥",""))</f>
        <v/>
      </c>
      <c r="L709" s="54">
        <f>IF(OR(B709="",F709="",G709="❌ Отменена"),"",F709&amp;"#"&amp;COUNTIFS($F$5:F709,F709,$B$5:B709,"?*",$G$5:G709,"&lt;&gt;❌ Отменена"))</f>
        <v/>
      </c>
      <c r="M709" s="54">
        <f>IF(AND(B709&lt;&gt;"",F709&lt;&gt;"",F709&lt;TODAY(),AND(G709&lt;&gt;"✅ Выполнена",G709&lt;&gt;"❌ Отменена")),MAX($M$4:M708)+1,"")</f>
        <v/>
      </c>
    </row>
    <row r="710">
      <c r="A710" s="49">
        <f>IF(B710="","",COUNTA($B$5:B710))</f>
        <v/>
      </c>
      <c r="B710" s="50" t="n"/>
      <c r="C710" s="51" t="n"/>
      <c r="D710" s="51" t="n"/>
      <c r="E710" s="52" t="n"/>
      <c r="F710" s="53" t="n"/>
      <c r="G710" s="51" t="n"/>
      <c r="H710" s="53" t="n"/>
      <c r="I710" s="51" t="n"/>
      <c r="J710" s="54">
        <f>IF(OR(B710="",F710="",NOT(AND(G710&lt;&gt;"✅ Выполнена",G710&lt;&gt;"❌ Отменена"))),"",IF(F710&lt;TODAY(),"❗ просрочено "&amp;(TODAY()-F710)&amp;" дн.",IF(F710=TODAY(),"🔥 сегодня",IF(F710-TODAY()&lt;=3,"⏳ через "&amp;(F710-TODAY())&amp;" дн.",""))))</f>
        <v/>
      </c>
      <c r="K710" s="54">
        <f>IF(B710="","",IF(G710="✅ Выполнена","✔ ",IF(G710="❌ Отменена","✖ ",IF(AND(F710&lt;&gt;"",F710&lt;TODAY()),"❗ ","☐ ")))&amp;B710&amp;IF(E710="🔥 Высокий"," 🔥",""))</f>
        <v/>
      </c>
      <c r="L710" s="54">
        <f>IF(OR(B710="",F710="",G710="❌ Отменена"),"",F710&amp;"#"&amp;COUNTIFS($F$5:F710,F710,$B$5:B710,"?*",$G$5:G710,"&lt;&gt;❌ Отменена"))</f>
        <v/>
      </c>
      <c r="M710" s="54">
        <f>IF(AND(B710&lt;&gt;"",F710&lt;&gt;"",F710&lt;TODAY(),AND(G710&lt;&gt;"✅ Выполнена",G710&lt;&gt;"❌ Отменена")),MAX($M$4:M709)+1,"")</f>
        <v/>
      </c>
    </row>
    <row r="711">
      <c r="A711" s="49">
        <f>IF(B711="","",COUNTA($B$5:B711))</f>
        <v/>
      </c>
      <c r="B711" s="50" t="n"/>
      <c r="C711" s="51" t="n"/>
      <c r="D711" s="51" t="n"/>
      <c r="E711" s="52" t="n"/>
      <c r="F711" s="53" t="n"/>
      <c r="G711" s="51" t="n"/>
      <c r="H711" s="53" t="n"/>
      <c r="I711" s="51" t="n"/>
      <c r="J711" s="54">
        <f>IF(OR(B711="",F711="",NOT(AND(G711&lt;&gt;"✅ Выполнена",G711&lt;&gt;"❌ Отменена"))),"",IF(F711&lt;TODAY(),"❗ просрочено "&amp;(TODAY()-F711)&amp;" дн.",IF(F711=TODAY(),"🔥 сегодня",IF(F711-TODAY()&lt;=3,"⏳ через "&amp;(F711-TODAY())&amp;" дн.",""))))</f>
        <v/>
      </c>
      <c r="K711" s="54">
        <f>IF(B711="","",IF(G711="✅ Выполнена","✔ ",IF(G711="❌ Отменена","✖ ",IF(AND(F711&lt;&gt;"",F711&lt;TODAY()),"❗ ","☐ ")))&amp;B711&amp;IF(E711="🔥 Высокий"," 🔥",""))</f>
        <v/>
      </c>
      <c r="L711" s="54">
        <f>IF(OR(B711="",F711="",G711="❌ Отменена"),"",F711&amp;"#"&amp;COUNTIFS($F$5:F711,F711,$B$5:B711,"?*",$G$5:G711,"&lt;&gt;❌ Отменена"))</f>
        <v/>
      </c>
      <c r="M711" s="54">
        <f>IF(AND(B711&lt;&gt;"",F711&lt;&gt;"",F711&lt;TODAY(),AND(G711&lt;&gt;"✅ Выполнена",G711&lt;&gt;"❌ Отменена")),MAX($M$4:M710)+1,"")</f>
        <v/>
      </c>
    </row>
    <row r="712">
      <c r="A712" s="49">
        <f>IF(B712="","",COUNTA($B$5:B712))</f>
        <v/>
      </c>
      <c r="B712" s="50" t="n"/>
      <c r="C712" s="51" t="n"/>
      <c r="D712" s="51" t="n"/>
      <c r="E712" s="52" t="n"/>
      <c r="F712" s="53" t="n"/>
      <c r="G712" s="51" t="n"/>
      <c r="H712" s="53" t="n"/>
      <c r="I712" s="51" t="n"/>
      <c r="J712" s="54">
        <f>IF(OR(B712="",F712="",NOT(AND(G712&lt;&gt;"✅ Выполнена",G712&lt;&gt;"❌ Отменена"))),"",IF(F712&lt;TODAY(),"❗ просрочено "&amp;(TODAY()-F712)&amp;" дн.",IF(F712=TODAY(),"🔥 сегодня",IF(F712-TODAY()&lt;=3,"⏳ через "&amp;(F712-TODAY())&amp;" дн.",""))))</f>
        <v/>
      </c>
      <c r="K712" s="54">
        <f>IF(B712="","",IF(G712="✅ Выполнена","✔ ",IF(G712="❌ Отменена","✖ ",IF(AND(F712&lt;&gt;"",F712&lt;TODAY()),"❗ ","☐ ")))&amp;B712&amp;IF(E712="🔥 Высокий"," 🔥",""))</f>
        <v/>
      </c>
      <c r="L712" s="54">
        <f>IF(OR(B712="",F712="",G712="❌ Отменена"),"",F712&amp;"#"&amp;COUNTIFS($F$5:F712,F712,$B$5:B712,"?*",$G$5:G712,"&lt;&gt;❌ Отменена"))</f>
        <v/>
      </c>
      <c r="M712" s="54">
        <f>IF(AND(B712&lt;&gt;"",F712&lt;&gt;"",F712&lt;TODAY(),AND(G712&lt;&gt;"✅ Выполнена",G712&lt;&gt;"❌ Отменена")),MAX($M$4:M711)+1,"")</f>
        <v/>
      </c>
    </row>
    <row r="713">
      <c r="A713" s="49">
        <f>IF(B713="","",COUNTA($B$5:B713))</f>
        <v/>
      </c>
      <c r="B713" s="50" t="n"/>
      <c r="C713" s="51" t="n"/>
      <c r="D713" s="51" t="n"/>
      <c r="E713" s="52" t="n"/>
      <c r="F713" s="53" t="n"/>
      <c r="G713" s="51" t="n"/>
      <c r="H713" s="53" t="n"/>
      <c r="I713" s="51" t="n"/>
      <c r="J713" s="54">
        <f>IF(OR(B713="",F713="",NOT(AND(G713&lt;&gt;"✅ Выполнена",G713&lt;&gt;"❌ Отменена"))),"",IF(F713&lt;TODAY(),"❗ просрочено "&amp;(TODAY()-F713)&amp;" дн.",IF(F713=TODAY(),"🔥 сегодня",IF(F713-TODAY()&lt;=3,"⏳ через "&amp;(F713-TODAY())&amp;" дн.",""))))</f>
        <v/>
      </c>
      <c r="K713" s="54">
        <f>IF(B713="","",IF(G713="✅ Выполнена","✔ ",IF(G713="❌ Отменена","✖ ",IF(AND(F713&lt;&gt;"",F713&lt;TODAY()),"❗ ","☐ ")))&amp;B713&amp;IF(E713="🔥 Высокий"," 🔥",""))</f>
        <v/>
      </c>
      <c r="L713" s="54">
        <f>IF(OR(B713="",F713="",G713="❌ Отменена"),"",F713&amp;"#"&amp;COUNTIFS($F$5:F713,F713,$B$5:B713,"?*",$G$5:G713,"&lt;&gt;❌ Отменена"))</f>
        <v/>
      </c>
      <c r="M713" s="54">
        <f>IF(AND(B713&lt;&gt;"",F713&lt;&gt;"",F713&lt;TODAY(),AND(G713&lt;&gt;"✅ Выполнена",G713&lt;&gt;"❌ Отменена")),MAX($M$4:M712)+1,"")</f>
        <v/>
      </c>
    </row>
    <row r="714">
      <c r="A714" s="49">
        <f>IF(B714="","",COUNTA($B$5:B714))</f>
        <v/>
      </c>
      <c r="B714" s="50" t="n"/>
      <c r="C714" s="51" t="n"/>
      <c r="D714" s="51" t="n"/>
      <c r="E714" s="52" t="n"/>
      <c r="F714" s="53" t="n"/>
      <c r="G714" s="51" t="n"/>
      <c r="H714" s="53" t="n"/>
      <c r="I714" s="51" t="n"/>
      <c r="J714" s="54">
        <f>IF(OR(B714="",F714="",NOT(AND(G714&lt;&gt;"✅ Выполнена",G714&lt;&gt;"❌ Отменена"))),"",IF(F714&lt;TODAY(),"❗ просрочено "&amp;(TODAY()-F714)&amp;" дн.",IF(F714=TODAY(),"🔥 сегодня",IF(F714-TODAY()&lt;=3,"⏳ через "&amp;(F714-TODAY())&amp;" дн.",""))))</f>
        <v/>
      </c>
      <c r="K714" s="54">
        <f>IF(B714="","",IF(G714="✅ Выполнена","✔ ",IF(G714="❌ Отменена","✖ ",IF(AND(F714&lt;&gt;"",F714&lt;TODAY()),"❗ ","☐ ")))&amp;B714&amp;IF(E714="🔥 Высокий"," 🔥",""))</f>
        <v/>
      </c>
      <c r="L714" s="54">
        <f>IF(OR(B714="",F714="",G714="❌ Отменена"),"",F714&amp;"#"&amp;COUNTIFS($F$5:F714,F714,$B$5:B714,"?*",$G$5:G714,"&lt;&gt;❌ Отменена"))</f>
        <v/>
      </c>
      <c r="M714" s="54">
        <f>IF(AND(B714&lt;&gt;"",F714&lt;&gt;"",F714&lt;TODAY(),AND(G714&lt;&gt;"✅ Выполнена",G714&lt;&gt;"❌ Отменена")),MAX($M$4:M713)+1,"")</f>
        <v/>
      </c>
    </row>
    <row r="715">
      <c r="A715" s="49">
        <f>IF(B715="","",COUNTA($B$5:B715))</f>
        <v/>
      </c>
      <c r="B715" s="50" t="n"/>
      <c r="C715" s="51" t="n"/>
      <c r="D715" s="51" t="n"/>
      <c r="E715" s="52" t="n"/>
      <c r="F715" s="53" t="n"/>
      <c r="G715" s="51" t="n"/>
      <c r="H715" s="53" t="n"/>
      <c r="I715" s="51" t="n"/>
      <c r="J715" s="54">
        <f>IF(OR(B715="",F715="",NOT(AND(G715&lt;&gt;"✅ Выполнена",G715&lt;&gt;"❌ Отменена"))),"",IF(F715&lt;TODAY(),"❗ просрочено "&amp;(TODAY()-F715)&amp;" дн.",IF(F715=TODAY(),"🔥 сегодня",IF(F715-TODAY()&lt;=3,"⏳ через "&amp;(F715-TODAY())&amp;" дн.",""))))</f>
        <v/>
      </c>
      <c r="K715" s="54">
        <f>IF(B715="","",IF(G715="✅ Выполнена","✔ ",IF(G715="❌ Отменена","✖ ",IF(AND(F715&lt;&gt;"",F715&lt;TODAY()),"❗ ","☐ ")))&amp;B715&amp;IF(E715="🔥 Высокий"," 🔥",""))</f>
        <v/>
      </c>
      <c r="L715" s="54">
        <f>IF(OR(B715="",F715="",G715="❌ Отменена"),"",F715&amp;"#"&amp;COUNTIFS($F$5:F715,F715,$B$5:B715,"?*",$G$5:G715,"&lt;&gt;❌ Отменена"))</f>
        <v/>
      </c>
      <c r="M715" s="54">
        <f>IF(AND(B715&lt;&gt;"",F715&lt;&gt;"",F715&lt;TODAY(),AND(G715&lt;&gt;"✅ Выполнена",G715&lt;&gt;"❌ Отменена")),MAX($M$4:M714)+1,"")</f>
        <v/>
      </c>
    </row>
    <row r="716">
      <c r="A716" s="49">
        <f>IF(B716="","",COUNTA($B$5:B716))</f>
        <v/>
      </c>
      <c r="B716" s="50" t="n"/>
      <c r="C716" s="51" t="n"/>
      <c r="D716" s="51" t="n"/>
      <c r="E716" s="52" t="n"/>
      <c r="F716" s="53" t="n"/>
      <c r="G716" s="51" t="n"/>
      <c r="H716" s="53" t="n"/>
      <c r="I716" s="51" t="n"/>
      <c r="J716" s="54">
        <f>IF(OR(B716="",F716="",NOT(AND(G716&lt;&gt;"✅ Выполнена",G716&lt;&gt;"❌ Отменена"))),"",IF(F716&lt;TODAY(),"❗ просрочено "&amp;(TODAY()-F716)&amp;" дн.",IF(F716=TODAY(),"🔥 сегодня",IF(F716-TODAY()&lt;=3,"⏳ через "&amp;(F716-TODAY())&amp;" дн.",""))))</f>
        <v/>
      </c>
      <c r="K716" s="54">
        <f>IF(B716="","",IF(G716="✅ Выполнена","✔ ",IF(G716="❌ Отменена","✖ ",IF(AND(F716&lt;&gt;"",F716&lt;TODAY()),"❗ ","☐ ")))&amp;B716&amp;IF(E716="🔥 Высокий"," 🔥",""))</f>
        <v/>
      </c>
      <c r="L716" s="54">
        <f>IF(OR(B716="",F716="",G716="❌ Отменена"),"",F716&amp;"#"&amp;COUNTIFS($F$5:F716,F716,$B$5:B716,"?*",$G$5:G716,"&lt;&gt;❌ Отменена"))</f>
        <v/>
      </c>
      <c r="M716" s="54">
        <f>IF(AND(B716&lt;&gt;"",F716&lt;&gt;"",F716&lt;TODAY(),AND(G716&lt;&gt;"✅ Выполнена",G716&lt;&gt;"❌ Отменена")),MAX($M$4:M715)+1,"")</f>
        <v/>
      </c>
    </row>
    <row r="717">
      <c r="A717" s="49">
        <f>IF(B717="","",COUNTA($B$5:B717))</f>
        <v/>
      </c>
      <c r="B717" s="50" t="n"/>
      <c r="C717" s="51" t="n"/>
      <c r="D717" s="51" t="n"/>
      <c r="E717" s="52" t="n"/>
      <c r="F717" s="53" t="n"/>
      <c r="G717" s="51" t="n"/>
      <c r="H717" s="53" t="n"/>
      <c r="I717" s="51" t="n"/>
      <c r="J717" s="54">
        <f>IF(OR(B717="",F717="",NOT(AND(G717&lt;&gt;"✅ Выполнена",G717&lt;&gt;"❌ Отменена"))),"",IF(F717&lt;TODAY(),"❗ просрочено "&amp;(TODAY()-F717)&amp;" дн.",IF(F717=TODAY(),"🔥 сегодня",IF(F717-TODAY()&lt;=3,"⏳ через "&amp;(F717-TODAY())&amp;" дн.",""))))</f>
        <v/>
      </c>
      <c r="K717" s="54">
        <f>IF(B717="","",IF(G717="✅ Выполнена","✔ ",IF(G717="❌ Отменена","✖ ",IF(AND(F717&lt;&gt;"",F717&lt;TODAY()),"❗ ","☐ ")))&amp;B717&amp;IF(E717="🔥 Высокий"," 🔥",""))</f>
        <v/>
      </c>
      <c r="L717" s="54">
        <f>IF(OR(B717="",F717="",G717="❌ Отменена"),"",F717&amp;"#"&amp;COUNTIFS($F$5:F717,F717,$B$5:B717,"?*",$G$5:G717,"&lt;&gt;❌ Отменена"))</f>
        <v/>
      </c>
      <c r="M717" s="54">
        <f>IF(AND(B717&lt;&gt;"",F717&lt;&gt;"",F717&lt;TODAY(),AND(G717&lt;&gt;"✅ Выполнена",G717&lt;&gt;"❌ Отменена")),MAX($M$4:M716)+1,"")</f>
        <v/>
      </c>
    </row>
    <row r="718">
      <c r="A718" s="49">
        <f>IF(B718="","",COUNTA($B$5:B718))</f>
        <v/>
      </c>
      <c r="B718" s="50" t="n"/>
      <c r="C718" s="51" t="n"/>
      <c r="D718" s="51" t="n"/>
      <c r="E718" s="52" t="n"/>
      <c r="F718" s="53" t="n"/>
      <c r="G718" s="51" t="n"/>
      <c r="H718" s="53" t="n"/>
      <c r="I718" s="51" t="n"/>
      <c r="J718" s="54">
        <f>IF(OR(B718="",F718="",NOT(AND(G718&lt;&gt;"✅ Выполнена",G718&lt;&gt;"❌ Отменена"))),"",IF(F718&lt;TODAY(),"❗ просрочено "&amp;(TODAY()-F718)&amp;" дн.",IF(F718=TODAY(),"🔥 сегодня",IF(F718-TODAY()&lt;=3,"⏳ через "&amp;(F718-TODAY())&amp;" дн.",""))))</f>
        <v/>
      </c>
      <c r="K718" s="54">
        <f>IF(B718="","",IF(G718="✅ Выполнена","✔ ",IF(G718="❌ Отменена","✖ ",IF(AND(F718&lt;&gt;"",F718&lt;TODAY()),"❗ ","☐ ")))&amp;B718&amp;IF(E718="🔥 Высокий"," 🔥",""))</f>
        <v/>
      </c>
      <c r="L718" s="54">
        <f>IF(OR(B718="",F718="",G718="❌ Отменена"),"",F718&amp;"#"&amp;COUNTIFS($F$5:F718,F718,$B$5:B718,"?*",$G$5:G718,"&lt;&gt;❌ Отменена"))</f>
        <v/>
      </c>
      <c r="M718" s="54">
        <f>IF(AND(B718&lt;&gt;"",F718&lt;&gt;"",F718&lt;TODAY(),AND(G718&lt;&gt;"✅ Выполнена",G718&lt;&gt;"❌ Отменена")),MAX($M$4:M717)+1,"")</f>
        <v/>
      </c>
    </row>
    <row r="719">
      <c r="A719" s="49">
        <f>IF(B719="","",COUNTA($B$5:B719))</f>
        <v/>
      </c>
      <c r="B719" s="50" t="n"/>
      <c r="C719" s="51" t="n"/>
      <c r="D719" s="51" t="n"/>
      <c r="E719" s="52" t="n"/>
      <c r="F719" s="53" t="n"/>
      <c r="G719" s="51" t="n"/>
      <c r="H719" s="53" t="n"/>
      <c r="I719" s="51" t="n"/>
      <c r="J719" s="54">
        <f>IF(OR(B719="",F719="",NOT(AND(G719&lt;&gt;"✅ Выполнена",G719&lt;&gt;"❌ Отменена"))),"",IF(F719&lt;TODAY(),"❗ просрочено "&amp;(TODAY()-F719)&amp;" дн.",IF(F719=TODAY(),"🔥 сегодня",IF(F719-TODAY()&lt;=3,"⏳ через "&amp;(F719-TODAY())&amp;" дн.",""))))</f>
        <v/>
      </c>
      <c r="K719" s="54">
        <f>IF(B719="","",IF(G719="✅ Выполнена","✔ ",IF(G719="❌ Отменена","✖ ",IF(AND(F719&lt;&gt;"",F719&lt;TODAY()),"❗ ","☐ ")))&amp;B719&amp;IF(E719="🔥 Высокий"," 🔥",""))</f>
        <v/>
      </c>
      <c r="L719" s="54">
        <f>IF(OR(B719="",F719="",G719="❌ Отменена"),"",F719&amp;"#"&amp;COUNTIFS($F$5:F719,F719,$B$5:B719,"?*",$G$5:G719,"&lt;&gt;❌ Отменена"))</f>
        <v/>
      </c>
      <c r="M719" s="54">
        <f>IF(AND(B719&lt;&gt;"",F719&lt;&gt;"",F719&lt;TODAY(),AND(G719&lt;&gt;"✅ Выполнена",G719&lt;&gt;"❌ Отменена")),MAX($M$4:M718)+1,"")</f>
        <v/>
      </c>
    </row>
    <row r="720">
      <c r="A720" s="49">
        <f>IF(B720="","",COUNTA($B$5:B720))</f>
        <v/>
      </c>
      <c r="B720" s="50" t="n"/>
      <c r="C720" s="51" t="n"/>
      <c r="D720" s="51" t="n"/>
      <c r="E720" s="52" t="n"/>
      <c r="F720" s="53" t="n"/>
      <c r="G720" s="51" t="n"/>
      <c r="H720" s="53" t="n"/>
      <c r="I720" s="51" t="n"/>
      <c r="J720" s="54">
        <f>IF(OR(B720="",F720="",NOT(AND(G720&lt;&gt;"✅ Выполнена",G720&lt;&gt;"❌ Отменена"))),"",IF(F720&lt;TODAY(),"❗ просрочено "&amp;(TODAY()-F720)&amp;" дн.",IF(F720=TODAY(),"🔥 сегодня",IF(F720-TODAY()&lt;=3,"⏳ через "&amp;(F720-TODAY())&amp;" дн.",""))))</f>
        <v/>
      </c>
      <c r="K720" s="54">
        <f>IF(B720="","",IF(G720="✅ Выполнена","✔ ",IF(G720="❌ Отменена","✖ ",IF(AND(F720&lt;&gt;"",F720&lt;TODAY()),"❗ ","☐ ")))&amp;B720&amp;IF(E720="🔥 Высокий"," 🔥",""))</f>
        <v/>
      </c>
      <c r="L720" s="54">
        <f>IF(OR(B720="",F720="",G720="❌ Отменена"),"",F720&amp;"#"&amp;COUNTIFS($F$5:F720,F720,$B$5:B720,"?*",$G$5:G720,"&lt;&gt;❌ Отменена"))</f>
        <v/>
      </c>
      <c r="M720" s="54">
        <f>IF(AND(B720&lt;&gt;"",F720&lt;&gt;"",F720&lt;TODAY(),AND(G720&lt;&gt;"✅ Выполнена",G720&lt;&gt;"❌ Отменена")),MAX($M$4:M719)+1,"")</f>
        <v/>
      </c>
    </row>
    <row r="721">
      <c r="A721" s="49">
        <f>IF(B721="","",COUNTA($B$5:B721))</f>
        <v/>
      </c>
      <c r="B721" s="50" t="n"/>
      <c r="C721" s="51" t="n"/>
      <c r="D721" s="51" t="n"/>
      <c r="E721" s="52" t="n"/>
      <c r="F721" s="53" t="n"/>
      <c r="G721" s="51" t="n"/>
      <c r="H721" s="53" t="n"/>
      <c r="I721" s="51" t="n"/>
      <c r="J721" s="54">
        <f>IF(OR(B721="",F721="",NOT(AND(G721&lt;&gt;"✅ Выполнена",G721&lt;&gt;"❌ Отменена"))),"",IF(F721&lt;TODAY(),"❗ просрочено "&amp;(TODAY()-F721)&amp;" дн.",IF(F721=TODAY(),"🔥 сегодня",IF(F721-TODAY()&lt;=3,"⏳ через "&amp;(F721-TODAY())&amp;" дн.",""))))</f>
        <v/>
      </c>
      <c r="K721" s="54">
        <f>IF(B721="","",IF(G721="✅ Выполнена","✔ ",IF(G721="❌ Отменена","✖ ",IF(AND(F721&lt;&gt;"",F721&lt;TODAY()),"❗ ","☐ ")))&amp;B721&amp;IF(E721="🔥 Высокий"," 🔥",""))</f>
        <v/>
      </c>
      <c r="L721" s="54">
        <f>IF(OR(B721="",F721="",G721="❌ Отменена"),"",F721&amp;"#"&amp;COUNTIFS($F$5:F721,F721,$B$5:B721,"?*",$G$5:G721,"&lt;&gt;❌ Отменена"))</f>
        <v/>
      </c>
      <c r="M721" s="54">
        <f>IF(AND(B721&lt;&gt;"",F721&lt;&gt;"",F721&lt;TODAY(),AND(G721&lt;&gt;"✅ Выполнена",G721&lt;&gt;"❌ Отменена")),MAX($M$4:M720)+1,"")</f>
        <v/>
      </c>
    </row>
    <row r="722">
      <c r="A722" s="49">
        <f>IF(B722="","",COUNTA($B$5:B722))</f>
        <v/>
      </c>
      <c r="B722" s="50" t="n"/>
      <c r="C722" s="51" t="n"/>
      <c r="D722" s="51" t="n"/>
      <c r="E722" s="52" t="n"/>
      <c r="F722" s="53" t="n"/>
      <c r="G722" s="51" t="n"/>
      <c r="H722" s="53" t="n"/>
      <c r="I722" s="51" t="n"/>
      <c r="J722" s="54">
        <f>IF(OR(B722="",F722="",NOT(AND(G722&lt;&gt;"✅ Выполнена",G722&lt;&gt;"❌ Отменена"))),"",IF(F722&lt;TODAY(),"❗ просрочено "&amp;(TODAY()-F722)&amp;" дн.",IF(F722=TODAY(),"🔥 сегодня",IF(F722-TODAY()&lt;=3,"⏳ через "&amp;(F722-TODAY())&amp;" дн.",""))))</f>
        <v/>
      </c>
      <c r="K722" s="54">
        <f>IF(B722="","",IF(G722="✅ Выполнена","✔ ",IF(G722="❌ Отменена","✖ ",IF(AND(F722&lt;&gt;"",F722&lt;TODAY()),"❗ ","☐ ")))&amp;B722&amp;IF(E722="🔥 Высокий"," 🔥",""))</f>
        <v/>
      </c>
      <c r="L722" s="54">
        <f>IF(OR(B722="",F722="",G722="❌ Отменена"),"",F722&amp;"#"&amp;COUNTIFS($F$5:F722,F722,$B$5:B722,"?*",$G$5:G722,"&lt;&gt;❌ Отменена"))</f>
        <v/>
      </c>
      <c r="M722" s="54">
        <f>IF(AND(B722&lt;&gt;"",F722&lt;&gt;"",F722&lt;TODAY(),AND(G722&lt;&gt;"✅ Выполнена",G722&lt;&gt;"❌ Отменена")),MAX($M$4:M721)+1,"")</f>
        <v/>
      </c>
    </row>
    <row r="723">
      <c r="A723" s="49">
        <f>IF(B723="","",COUNTA($B$5:B723))</f>
        <v/>
      </c>
      <c r="B723" s="50" t="n"/>
      <c r="C723" s="51" t="n"/>
      <c r="D723" s="51" t="n"/>
      <c r="E723" s="52" t="n"/>
      <c r="F723" s="53" t="n"/>
      <c r="G723" s="51" t="n"/>
      <c r="H723" s="53" t="n"/>
      <c r="I723" s="51" t="n"/>
      <c r="J723" s="54">
        <f>IF(OR(B723="",F723="",NOT(AND(G723&lt;&gt;"✅ Выполнена",G723&lt;&gt;"❌ Отменена"))),"",IF(F723&lt;TODAY(),"❗ просрочено "&amp;(TODAY()-F723)&amp;" дн.",IF(F723=TODAY(),"🔥 сегодня",IF(F723-TODAY()&lt;=3,"⏳ через "&amp;(F723-TODAY())&amp;" дн.",""))))</f>
        <v/>
      </c>
      <c r="K723" s="54">
        <f>IF(B723="","",IF(G723="✅ Выполнена","✔ ",IF(G723="❌ Отменена","✖ ",IF(AND(F723&lt;&gt;"",F723&lt;TODAY()),"❗ ","☐ ")))&amp;B723&amp;IF(E723="🔥 Высокий"," 🔥",""))</f>
        <v/>
      </c>
      <c r="L723" s="54">
        <f>IF(OR(B723="",F723="",G723="❌ Отменена"),"",F723&amp;"#"&amp;COUNTIFS($F$5:F723,F723,$B$5:B723,"?*",$G$5:G723,"&lt;&gt;❌ Отменена"))</f>
        <v/>
      </c>
      <c r="M723" s="54">
        <f>IF(AND(B723&lt;&gt;"",F723&lt;&gt;"",F723&lt;TODAY(),AND(G723&lt;&gt;"✅ Выполнена",G723&lt;&gt;"❌ Отменена")),MAX($M$4:M722)+1,"")</f>
        <v/>
      </c>
    </row>
    <row r="724">
      <c r="A724" s="49">
        <f>IF(B724="","",COUNTA($B$5:B724))</f>
        <v/>
      </c>
      <c r="B724" s="50" t="n"/>
      <c r="C724" s="51" t="n"/>
      <c r="D724" s="51" t="n"/>
      <c r="E724" s="52" t="n"/>
      <c r="F724" s="53" t="n"/>
      <c r="G724" s="51" t="n"/>
      <c r="H724" s="53" t="n"/>
      <c r="I724" s="51" t="n"/>
      <c r="J724" s="54">
        <f>IF(OR(B724="",F724="",NOT(AND(G724&lt;&gt;"✅ Выполнена",G724&lt;&gt;"❌ Отменена"))),"",IF(F724&lt;TODAY(),"❗ просрочено "&amp;(TODAY()-F724)&amp;" дн.",IF(F724=TODAY(),"🔥 сегодня",IF(F724-TODAY()&lt;=3,"⏳ через "&amp;(F724-TODAY())&amp;" дн.",""))))</f>
        <v/>
      </c>
      <c r="K724" s="54">
        <f>IF(B724="","",IF(G724="✅ Выполнена","✔ ",IF(G724="❌ Отменена","✖ ",IF(AND(F724&lt;&gt;"",F724&lt;TODAY()),"❗ ","☐ ")))&amp;B724&amp;IF(E724="🔥 Высокий"," 🔥",""))</f>
        <v/>
      </c>
      <c r="L724" s="54">
        <f>IF(OR(B724="",F724="",G724="❌ Отменена"),"",F724&amp;"#"&amp;COUNTIFS($F$5:F724,F724,$B$5:B724,"?*",$G$5:G724,"&lt;&gt;❌ Отменена"))</f>
        <v/>
      </c>
      <c r="M724" s="54">
        <f>IF(AND(B724&lt;&gt;"",F724&lt;&gt;"",F724&lt;TODAY(),AND(G724&lt;&gt;"✅ Выполнена",G724&lt;&gt;"❌ Отменена")),MAX($M$4:M723)+1,"")</f>
        <v/>
      </c>
    </row>
    <row r="725">
      <c r="A725" s="49">
        <f>IF(B725="","",COUNTA($B$5:B725))</f>
        <v/>
      </c>
      <c r="B725" s="50" t="n"/>
      <c r="C725" s="51" t="n"/>
      <c r="D725" s="51" t="n"/>
      <c r="E725" s="52" t="n"/>
      <c r="F725" s="53" t="n"/>
      <c r="G725" s="51" t="n"/>
      <c r="H725" s="53" t="n"/>
      <c r="I725" s="51" t="n"/>
      <c r="J725" s="54">
        <f>IF(OR(B725="",F725="",NOT(AND(G725&lt;&gt;"✅ Выполнена",G725&lt;&gt;"❌ Отменена"))),"",IF(F725&lt;TODAY(),"❗ просрочено "&amp;(TODAY()-F725)&amp;" дн.",IF(F725=TODAY(),"🔥 сегодня",IF(F725-TODAY()&lt;=3,"⏳ через "&amp;(F725-TODAY())&amp;" дн.",""))))</f>
        <v/>
      </c>
      <c r="K725" s="54">
        <f>IF(B725="","",IF(G725="✅ Выполнена","✔ ",IF(G725="❌ Отменена","✖ ",IF(AND(F725&lt;&gt;"",F725&lt;TODAY()),"❗ ","☐ ")))&amp;B725&amp;IF(E725="🔥 Высокий"," 🔥",""))</f>
        <v/>
      </c>
      <c r="L725" s="54">
        <f>IF(OR(B725="",F725="",G725="❌ Отменена"),"",F725&amp;"#"&amp;COUNTIFS($F$5:F725,F725,$B$5:B725,"?*",$G$5:G725,"&lt;&gt;❌ Отменена"))</f>
        <v/>
      </c>
      <c r="M725" s="54">
        <f>IF(AND(B725&lt;&gt;"",F725&lt;&gt;"",F725&lt;TODAY(),AND(G725&lt;&gt;"✅ Выполнена",G725&lt;&gt;"❌ Отменена")),MAX($M$4:M724)+1,"")</f>
        <v/>
      </c>
    </row>
    <row r="726">
      <c r="A726" s="49">
        <f>IF(B726="","",COUNTA($B$5:B726))</f>
        <v/>
      </c>
      <c r="B726" s="50" t="n"/>
      <c r="C726" s="51" t="n"/>
      <c r="D726" s="51" t="n"/>
      <c r="E726" s="52" t="n"/>
      <c r="F726" s="53" t="n"/>
      <c r="G726" s="51" t="n"/>
      <c r="H726" s="53" t="n"/>
      <c r="I726" s="51" t="n"/>
      <c r="J726" s="54">
        <f>IF(OR(B726="",F726="",NOT(AND(G726&lt;&gt;"✅ Выполнена",G726&lt;&gt;"❌ Отменена"))),"",IF(F726&lt;TODAY(),"❗ просрочено "&amp;(TODAY()-F726)&amp;" дн.",IF(F726=TODAY(),"🔥 сегодня",IF(F726-TODAY()&lt;=3,"⏳ через "&amp;(F726-TODAY())&amp;" дн.",""))))</f>
        <v/>
      </c>
      <c r="K726" s="54">
        <f>IF(B726="","",IF(G726="✅ Выполнена","✔ ",IF(G726="❌ Отменена","✖ ",IF(AND(F726&lt;&gt;"",F726&lt;TODAY()),"❗ ","☐ ")))&amp;B726&amp;IF(E726="🔥 Высокий"," 🔥",""))</f>
        <v/>
      </c>
      <c r="L726" s="54">
        <f>IF(OR(B726="",F726="",G726="❌ Отменена"),"",F726&amp;"#"&amp;COUNTIFS($F$5:F726,F726,$B$5:B726,"?*",$G$5:G726,"&lt;&gt;❌ Отменена"))</f>
        <v/>
      </c>
      <c r="M726" s="54">
        <f>IF(AND(B726&lt;&gt;"",F726&lt;&gt;"",F726&lt;TODAY(),AND(G726&lt;&gt;"✅ Выполнена",G726&lt;&gt;"❌ Отменена")),MAX($M$4:M725)+1,"")</f>
        <v/>
      </c>
    </row>
    <row r="727">
      <c r="A727" s="49">
        <f>IF(B727="","",COUNTA($B$5:B727))</f>
        <v/>
      </c>
      <c r="B727" s="50" t="n"/>
      <c r="C727" s="51" t="n"/>
      <c r="D727" s="51" t="n"/>
      <c r="E727" s="52" t="n"/>
      <c r="F727" s="53" t="n"/>
      <c r="G727" s="51" t="n"/>
      <c r="H727" s="53" t="n"/>
      <c r="I727" s="51" t="n"/>
      <c r="J727" s="54">
        <f>IF(OR(B727="",F727="",NOT(AND(G727&lt;&gt;"✅ Выполнена",G727&lt;&gt;"❌ Отменена"))),"",IF(F727&lt;TODAY(),"❗ просрочено "&amp;(TODAY()-F727)&amp;" дн.",IF(F727=TODAY(),"🔥 сегодня",IF(F727-TODAY()&lt;=3,"⏳ через "&amp;(F727-TODAY())&amp;" дн.",""))))</f>
        <v/>
      </c>
      <c r="K727" s="54">
        <f>IF(B727="","",IF(G727="✅ Выполнена","✔ ",IF(G727="❌ Отменена","✖ ",IF(AND(F727&lt;&gt;"",F727&lt;TODAY()),"❗ ","☐ ")))&amp;B727&amp;IF(E727="🔥 Высокий"," 🔥",""))</f>
        <v/>
      </c>
      <c r="L727" s="54">
        <f>IF(OR(B727="",F727="",G727="❌ Отменена"),"",F727&amp;"#"&amp;COUNTIFS($F$5:F727,F727,$B$5:B727,"?*",$G$5:G727,"&lt;&gt;❌ Отменена"))</f>
        <v/>
      </c>
      <c r="M727" s="54">
        <f>IF(AND(B727&lt;&gt;"",F727&lt;&gt;"",F727&lt;TODAY(),AND(G727&lt;&gt;"✅ Выполнена",G727&lt;&gt;"❌ Отменена")),MAX($M$4:M726)+1,"")</f>
        <v/>
      </c>
    </row>
    <row r="728">
      <c r="A728" s="49">
        <f>IF(B728="","",COUNTA($B$5:B728))</f>
        <v/>
      </c>
      <c r="B728" s="50" t="n"/>
      <c r="C728" s="51" t="n"/>
      <c r="D728" s="51" t="n"/>
      <c r="E728" s="52" t="n"/>
      <c r="F728" s="53" t="n"/>
      <c r="G728" s="51" t="n"/>
      <c r="H728" s="53" t="n"/>
      <c r="I728" s="51" t="n"/>
      <c r="J728" s="54">
        <f>IF(OR(B728="",F728="",NOT(AND(G728&lt;&gt;"✅ Выполнена",G728&lt;&gt;"❌ Отменена"))),"",IF(F728&lt;TODAY(),"❗ просрочено "&amp;(TODAY()-F728)&amp;" дн.",IF(F728=TODAY(),"🔥 сегодня",IF(F728-TODAY()&lt;=3,"⏳ через "&amp;(F728-TODAY())&amp;" дн.",""))))</f>
        <v/>
      </c>
      <c r="K728" s="54">
        <f>IF(B728="","",IF(G728="✅ Выполнена","✔ ",IF(G728="❌ Отменена","✖ ",IF(AND(F728&lt;&gt;"",F728&lt;TODAY()),"❗ ","☐ ")))&amp;B728&amp;IF(E728="🔥 Высокий"," 🔥",""))</f>
        <v/>
      </c>
      <c r="L728" s="54">
        <f>IF(OR(B728="",F728="",G728="❌ Отменена"),"",F728&amp;"#"&amp;COUNTIFS($F$5:F728,F728,$B$5:B728,"?*",$G$5:G728,"&lt;&gt;❌ Отменена"))</f>
        <v/>
      </c>
      <c r="M728" s="54">
        <f>IF(AND(B728&lt;&gt;"",F728&lt;&gt;"",F728&lt;TODAY(),AND(G728&lt;&gt;"✅ Выполнена",G728&lt;&gt;"❌ Отменена")),MAX($M$4:M727)+1,"")</f>
        <v/>
      </c>
    </row>
    <row r="729">
      <c r="A729" s="49">
        <f>IF(B729="","",COUNTA($B$5:B729))</f>
        <v/>
      </c>
      <c r="B729" s="50" t="n"/>
      <c r="C729" s="51" t="n"/>
      <c r="D729" s="51" t="n"/>
      <c r="E729" s="52" t="n"/>
      <c r="F729" s="53" t="n"/>
      <c r="G729" s="51" t="n"/>
      <c r="H729" s="53" t="n"/>
      <c r="I729" s="51" t="n"/>
      <c r="J729" s="54">
        <f>IF(OR(B729="",F729="",NOT(AND(G729&lt;&gt;"✅ Выполнена",G729&lt;&gt;"❌ Отменена"))),"",IF(F729&lt;TODAY(),"❗ просрочено "&amp;(TODAY()-F729)&amp;" дн.",IF(F729=TODAY(),"🔥 сегодня",IF(F729-TODAY()&lt;=3,"⏳ через "&amp;(F729-TODAY())&amp;" дн.",""))))</f>
        <v/>
      </c>
      <c r="K729" s="54">
        <f>IF(B729="","",IF(G729="✅ Выполнена","✔ ",IF(G729="❌ Отменена","✖ ",IF(AND(F729&lt;&gt;"",F729&lt;TODAY()),"❗ ","☐ ")))&amp;B729&amp;IF(E729="🔥 Высокий"," 🔥",""))</f>
        <v/>
      </c>
      <c r="L729" s="54">
        <f>IF(OR(B729="",F729="",G729="❌ Отменена"),"",F729&amp;"#"&amp;COUNTIFS($F$5:F729,F729,$B$5:B729,"?*",$G$5:G729,"&lt;&gt;❌ Отменена"))</f>
        <v/>
      </c>
      <c r="M729" s="54">
        <f>IF(AND(B729&lt;&gt;"",F729&lt;&gt;"",F729&lt;TODAY(),AND(G729&lt;&gt;"✅ Выполнена",G729&lt;&gt;"❌ Отменена")),MAX($M$4:M728)+1,"")</f>
        <v/>
      </c>
    </row>
    <row r="730">
      <c r="A730" s="49">
        <f>IF(B730="","",COUNTA($B$5:B730))</f>
        <v/>
      </c>
      <c r="B730" s="50" t="n"/>
      <c r="C730" s="51" t="n"/>
      <c r="D730" s="51" t="n"/>
      <c r="E730" s="52" t="n"/>
      <c r="F730" s="53" t="n"/>
      <c r="G730" s="51" t="n"/>
      <c r="H730" s="53" t="n"/>
      <c r="I730" s="51" t="n"/>
      <c r="J730" s="54">
        <f>IF(OR(B730="",F730="",NOT(AND(G730&lt;&gt;"✅ Выполнена",G730&lt;&gt;"❌ Отменена"))),"",IF(F730&lt;TODAY(),"❗ просрочено "&amp;(TODAY()-F730)&amp;" дн.",IF(F730=TODAY(),"🔥 сегодня",IF(F730-TODAY()&lt;=3,"⏳ через "&amp;(F730-TODAY())&amp;" дн.",""))))</f>
        <v/>
      </c>
      <c r="K730" s="54">
        <f>IF(B730="","",IF(G730="✅ Выполнена","✔ ",IF(G730="❌ Отменена","✖ ",IF(AND(F730&lt;&gt;"",F730&lt;TODAY()),"❗ ","☐ ")))&amp;B730&amp;IF(E730="🔥 Высокий"," 🔥",""))</f>
        <v/>
      </c>
      <c r="L730" s="54">
        <f>IF(OR(B730="",F730="",G730="❌ Отменена"),"",F730&amp;"#"&amp;COUNTIFS($F$5:F730,F730,$B$5:B730,"?*",$G$5:G730,"&lt;&gt;❌ Отменена"))</f>
        <v/>
      </c>
      <c r="M730" s="54">
        <f>IF(AND(B730&lt;&gt;"",F730&lt;&gt;"",F730&lt;TODAY(),AND(G730&lt;&gt;"✅ Выполнена",G730&lt;&gt;"❌ Отменена")),MAX($M$4:M729)+1,"")</f>
        <v/>
      </c>
    </row>
    <row r="731">
      <c r="A731" s="49">
        <f>IF(B731="","",COUNTA($B$5:B731))</f>
        <v/>
      </c>
      <c r="B731" s="50" t="n"/>
      <c r="C731" s="51" t="n"/>
      <c r="D731" s="51" t="n"/>
      <c r="E731" s="52" t="n"/>
      <c r="F731" s="53" t="n"/>
      <c r="G731" s="51" t="n"/>
      <c r="H731" s="53" t="n"/>
      <c r="I731" s="51" t="n"/>
      <c r="J731" s="54">
        <f>IF(OR(B731="",F731="",NOT(AND(G731&lt;&gt;"✅ Выполнена",G731&lt;&gt;"❌ Отменена"))),"",IF(F731&lt;TODAY(),"❗ просрочено "&amp;(TODAY()-F731)&amp;" дн.",IF(F731=TODAY(),"🔥 сегодня",IF(F731-TODAY()&lt;=3,"⏳ через "&amp;(F731-TODAY())&amp;" дн.",""))))</f>
        <v/>
      </c>
      <c r="K731" s="54">
        <f>IF(B731="","",IF(G731="✅ Выполнена","✔ ",IF(G731="❌ Отменена","✖ ",IF(AND(F731&lt;&gt;"",F731&lt;TODAY()),"❗ ","☐ ")))&amp;B731&amp;IF(E731="🔥 Высокий"," 🔥",""))</f>
        <v/>
      </c>
      <c r="L731" s="54">
        <f>IF(OR(B731="",F731="",G731="❌ Отменена"),"",F731&amp;"#"&amp;COUNTIFS($F$5:F731,F731,$B$5:B731,"?*",$G$5:G731,"&lt;&gt;❌ Отменена"))</f>
        <v/>
      </c>
      <c r="M731" s="54">
        <f>IF(AND(B731&lt;&gt;"",F731&lt;&gt;"",F731&lt;TODAY(),AND(G731&lt;&gt;"✅ Выполнена",G731&lt;&gt;"❌ Отменена")),MAX($M$4:M730)+1,"")</f>
        <v/>
      </c>
    </row>
    <row r="732">
      <c r="A732" s="49">
        <f>IF(B732="","",COUNTA($B$5:B732))</f>
        <v/>
      </c>
      <c r="B732" s="50" t="n"/>
      <c r="C732" s="51" t="n"/>
      <c r="D732" s="51" t="n"/>
      <c r="E732" s="52" t="n"/>
      <c r="F732" s="53" t="n"/>
      <c r="G732" s="51" t="n"/>
      <c r="H732" s="53" t="n"/>
      <c r="I732" s="51" t="n"/>
      <c r="J732" s="54">
        <f>IF(OR(B732="",F732="",NOT(AND(G732&lt;&gt;"✅ Выполнена",G732&lt;&gt;"❌ Отменена"))),"",IF(F732&lt;TODAY(),"❗ просрочено "&amp;(TODAY()-F732)&amp;" дн.",IF(F732=TODAY(),"🔥 сегодня",IF(F732-TODAY()&lt;=3,"⏳ через "&amp;(F732-TODAY())&amp;" дн.",""))))</f>
        <v/>
      </c>
      <c r="K732" s="54">
        <f>IF(B732="","",IF(G732="✅ Выполнена","✔ ",IF(G732="❌ Отменена","✖ ",IF(AND(F732&lt;&gt;"",F732&lt;TODAY()),"❗ ","☐ ")))&amp;B732&amp;IF(E732="🔥 Высокий"," 🔥",""))</f>
        <v/>
      </c>
      <c r="L732" s="54">
        <f>IF(OR(B732="",F732="",G732="❌ Отменена"),"",F732&amp;"#"&amp;COUNTIFS($F$5:F732,F732,$B$5:B732,"?*",$G$5:G732,"&lt;&gt;❌ Отменена"))</f>
        <v/>
      </c>
      <c r="M732" s="54">
        <f>IF(AND(B732&lt;&gt;"",F732&lt;&gt;"",F732&lt;TODAY(),AND(G732&lt;&gt;"✅ Выполнена",G732&lt;&gt;"❌ Отменена")),MAX($M$4:M731)+1,"")</f>
        <v/>
      </c>
    </row>
    <row r="733">
      <c r="A733" s="49">
        <f>IF(B733="","",COUNTA($B$5:B733))</f>
        <v/>
      </c>
      <c r="B733" s="50" t="n"/>
      <c r="C733" s="51" t="n"/>
      <c r="D733" s="51" t="n"/>
      <c r="E733" s="52" t="n"/>
      <c r="F733" s="53" t="n"/>
      <c r="G733" s="51" t="n"/>
      <c r="H733" s="53" t="n"/>
      <c r="I733" s="51" t="n"/>
      <c r="J733" s="54">
        <f>IF(OR(B733="",F733="",NOT(AND(G733&lt;&gt;"✅ Выполнена",G733&lt;&gt;"❌ Отменена"))),"",IF(F733&lt;TODAY(),"❗ просрочено "&amp;(TODAY()-F733)&amp;" дн.",IF(F733=TODAY(),"🔥 сегодня",IF(F733-TODAY()&lt;=3,"⏳ через "&amp;(F733-TODAY())&amp;" дн.",""))))</f>
        <v/>
      </c>
      <c r="K733" s="54">
        <f>IF(B733="","",IF(G733="✅ Выполнена","✔ ",IF(G733="❌ Отменена","✖ ",IF(AND(F733&lt;&gt;"",F733&lt;TODAY()),"❗ ","☐ ")))&amp;B733&amp;IF(E733="🔥 Высокий"," 🔥",""))</f>
        <v/>
      </c>
      <c r="L733" s="54">
        <f>IF(OR(B733="",F733="",G733="❌ Отменена"),"",F733&amp;"#"&amp;COUNTIFS($F$5:F733,F733,$B$5:B733,"?*",$G$5:G733,"&lt;&gt;❌ Отменена"))</f>
        <v/>
      </c>
      <c r="M733" s="54">
        <f>IF(AND(B733&lt;&gt;"",F733&lt;&gt;"",F733&lt;TODAY(),AND(G733&lt;&gt;"✅ Выполнена",G733&lt;&gt;"❌ Отменена")),MAX($M$4:M732)+1,"")</f>
        <v/>
      </c>
    </row>
    <row r="734">
      <c r="A734" s="49">
        <f>IF(B734="","",COUNTA($B$5:B734))</f>
        <v/>
      </c>
      <c r="B734" s="50" t="n"/>
      <c r="C734" s="51" t="n"/>
      <c r="D734" s="51" t="n"/>
      <c r="E734" s="52" t="n"/>
      <c r="F734" s="53" t="n"/>
      <c r="G734" s="51" t="n"/>
      <c r="H734" s="53" t="n"/>
      <c r="I734" s="51" t="n"/>
      <c r="J734" s="54">
        <f>IF(OR(B734="",F734="",NOT(AND(G734&lt;&gt;"✅ Выполнена",G734&lt;&gt;"❌ Отменена"))),"",IF(F734&lt;TODAY(),"❗ просрочено "&amp;(TODAY()-F734)&amp;" дн.",IF(F734=TODAY(),"🔥 сегодня",IF(F734-TODAY()&lt;=3,"⏳ через "&amp;(F734-TODAY())&amp;" дн.",""))))</f>
        <v/>
      </c>
      <c r="K734" s="54">
        <f>IF(B734="","",IF(G734="✅ Выполнена","✔ ",IF(G734="❌ Отменена","✖ ",IF(AND(F734&lt;&gt;"",F734&lt;TODAY()),"❗ ","☐ ")))&amp;B734&amp;IF(E734="🔥 Высокий"," 🔥",""))</f>
        <v/>
      </c>
      <c r="L734" s="54">
        <f>IF(OR(B734="",F734="",G734="❌ Отменена"),"",F734&amp;"#"&amp;COUNTIFS($F$5:F734,F734,$B$5:B734,"?*",$G$5:G734,"&lt;&gt;❌ Отменена"))</f>
        <v/>
      </c>
      <c r="M734" s="54">
        <f>IF(AND(B734&lt;&gt;"",F734&lt;&gt;"",F734&lt;TODAY(),AND(G734&lt;&gt;"✅ Выполнена",G734&lt;&gt;"❌ Отменена")),MAX($M$4:M733)+1,"")</f>
        <v/>
      </c>
    </row>
    <row r="735">
      <c r="A735" s="49">
        <f>IF(B735="","",COUNTA($B$5:B735))</f>
        <v/>
      </c>
      <c r="B735" s="50" t="n"/>
      <c r="C735" s="51" t="n"/>
      <c r="D735" s="51" t="n"/>
      <c r="E735" s="52" t="n"/>
      <c r="F735" s="53" t="n"/>
      <c r="G735" s="51" t="n"/>
      <c r="H735" s="53" t="n"/>
      <c r="I735" s="51" t="n"/>
      <c r="J735" s="54">
        <f>IF(OR(B735="",F735="",NOT(AND(G735&lt;&gt;"✅ Выполнена",G735&lt;&gt;"❌ Отменена"))),"",IF(F735&lt;TODAY(),"❗ просрочено "&amp;(TODAY()-F735)&amp;" дн.",IF(F735=TODAY(),"🔥 сегодня",IF(F735-TODAY()&lt;=3,"⏳ через "&amp;(F735-TODAY())&amp;" дн.",""))))</f>
        <v/>
      </c>
      <c r="K735" s="54">
        <f>IF(B735="","",IF(G735="✅ Выполнена","✔ ",IF(G735="❌ Отменена","✖ ",IF(AND(F735&lt;&gt;"",F735&lt;TODAY()),"❗ ","☐ ")))&amp;B735&amp;IF(E735="🔥 Высокий"," 🔥",""))</f>
        <v/>
      </c>
      <c r="L735" s="54">
        <f>IF(OR(B735="",F735="",G735="❌ Отменена"),"",F735&amp;"#"&amp;COUNTIFS($F$5:F735,F735,$B$5:B735,"?*",$G$5:G735,"&lt;&gt;❌ Отменена"))</f>
        <v/>
      </c>
      <c r="M735" s="54">
        <f>IF(AND(B735&lt;&gt;"",F735&lt;&gt;"",F735&lt;TODAY(),AND(G735&lt;&gt;"✅ Выполнена",G735&lt;&gt;"❌ Отменена")),MAX($M$4:M734)+1,"")</f>
        <v/>
      </c>
    </row>
    <row r="736">
      <c r="A736" s="49">
        <f>IF(B736="","",COUNTA($B$5:B736))</f>
        <v/>
      </c>
      <c r="B736" s="50" t="n"/>
      <c r="C736" s="51" t="n"/>
      <c r="D736" s="51" t="n"/>
      <c r="E736" s="52" t="n"/>
      <c r="F736" s="53" t="n"/>
      <c r="G736" s="51" t="n"/>
      <c r="H736" s="53" t="n"/>
      <c r="I736" s="51" t="n"/>
      <c r="J736" s="54">
        <f>IF(OR(B736="",F736="",NOT(AND(G736&lt;&gt;"✅ Выполнена",G736&lt;&gt;"❌ Отменена"))),"",IF(F736&lt;TODAY(),"❗ просрочено "&amp;(TODAY()-F736)&amp;" дн.",IF(F736=TODAY(),"🔥 сегодня",IF(F736-TODAY()&lt;=3,"⏳ через "&amp;(F736-TODAY())&amp;" дн.",""))))</f>
        <v/>
      </c>
      <c r="K736" s="54">
        <f>IF(B736="","",IF(G736="✅ Выполнена","✔ ",IF(G736="❌ Отменена","✖ ",IF(AND(F736&lt;&gt;"",F736&lt;TODAY()),"❗ ","☐ ")))&amp;B736&amp;IF(E736="🔥 Высокий"," 🔥",""))</f>
        <v/>
      </c>
      <c r="L736" s="54">
        <f>IF(OR(B736="",F736="",G736="❌ Отменена"),"",F736&amp;"#"&amp;COUNTIFS($F$5:F736,F736,$B$5:B736,"?*",$G$5:G736,"&lt;&gt;❌ Отменена"))</f>
        <v/>
      </c>
      <c r="M736" s="54">
        <f>IF(AND(B736&lt;&gt;"",F736&lt;&gt;"",F736&lt;TODAY(),AND(G736&lt;&gt;"✅ Выполнена",G736&lt;&gt;"❌ Отменена")),MAX($M$4:M735)+1,"")</f>
        <v/>
      </c>
    </row>
    <row r="737">
      <c r="A737" s="49">
        <f>IF(B737="","",COUNTA($B$5:B737))</f>
        <v/>
      </c>
      <c r="B737" s="50" t="n"/>
      <c r="C737" s="51" t="n"/>
      <c r="D737" s="51" t="n"/>
      <c r="E737" s="52" t="n"/>
      <c r="F737" s="53" t="n"/>
      <c r="G737" s="51" t="n"/>
      <c r="H737" s="53" t="n"/>
      <c r="I737" s="51" t="n"/>
      <c r="J737" s="54">
        <f>IF(OR(B737="",F737="",NOT(AND(G737&lt;&gt;"✅ Выполнена",G737&lt;&gt;"❌ Отменена"))),"",IF(F737&lt;TODAY(),"❗ просрочено "&amp;(TODAY()-F737)&amp;" дн.",IF(F737=TODAY(),"🔥 сегодня",IF(F737-TODAY()&lt;=3,"⏳ через "&amp;(F737-TODAY())&amp;" дн.",""))))</f>
        <v/>
      </c>
      <c r="K737" s="54">
        <f>IF(B737="","",IF(G737="✅ Выполнена","✔ ",IF(G737="❌ Отменена","✖ ",IF(AND(F737&lt;&gt;"",F737&lt;TODAY()),"❗ ","☐ ")))&amp;B737&amp;IF(E737="🔥 Высокий"," 🔥",""))</f>
        <v/>
      </c>
      <c r="L737" s="54">
        <f>IF(OR(B737="",F737="",G737="❌ Отменена"),"",F737&amp;"#"&amp;COUNTIFS($F$5:F737,F737,$B$5:B737,"?*",$G$5:G737,"&lt;&gt;❌ Отменена"))</f>
        <v/>
      </c>
      <c r="M737" s="54">
        <f>IF(AND(B737&lt;&gt;"",F737&lt;&gt;"",F737&lt;TODAY(),AND(G737&lt;&gt;"✅ Выполнена",G737&lt;&gt;"❌ Отменена")),MAX($M$4:M736)+1,"")</f>
        <v/>
      </c>
    </row>
    <row r="738">
      <c r="A738" s="49">
        <f>IF(B738="","",COUNTA($B$5:B738))</f>
        <v/>
      </c>
      <c r="B738" s="50" t="n"/>
      <c r="C738" s="51" t="n"/>
      <c r="D738" s="51" t="n"/>
      <c r="E738" s="52" t="n"/>
      <c r="F738" s="53" t="n"/>
      <c r="G738" s="51" t="n"/>
      <c r="H738" s="53" t="n"/>
      <c r="I738" s="51" t="n"/>
      <c r="J738" s="54">
        <f>IF(OR(B738="",F738="",NOT(AND(G738&lt;&gt;"✅ Выполнена",G738&lt;&gt;"❌ Отменена"))),"",IF(F738&lt;TODAY(),"❗ просрочено "&amp;(TODAY()-F738)&amp;" дн.",IF(F738=TODAY(),"🔥 сегодня",IF(F738-TODAY()&lt;=3,"⏳ через "&amp;(F738-TODAY())&amp;" дн.",""))))</f>
        <v/>
      </c>
      <c r="K738" s="54">
        <f>IF(B738="","",IF(G738="✅ Выполнена","✔ ",IF(G738="❌ Отменена","✖ ",IF(AND(F738&lt;&gt;"",F738&lt;TODAY()),"❗ ","☐ ")))&amp;B738&amp;IF(E738="🔥 Высокий"," 🔥",""))</f>
        <v/>
      </c>
      <c r="L738" s="54">
        <f>IF(OR(B738="",F738="",G738="❌ Отменена"),"",F738&amp;"#"&amp;COUNTIFS($F$5:F738,F738,$B$5:B738,"?*",$G$5:G738,"&lt;&gt;❌ Отменена"))</f>
        <v/>
      </c>
      <c r="M738" s="54">
        <f>IF(AND(B738&lt;&gt;"",F738&lt;&gt;"",F738&lt;TODAY(),AND(G738&lt;&gt;"✅ Выполнена",G738&lt;&gt;"❌ Отменена")),MAX($M$4:M737)+1,"")</f>
        <v/>
      </c>
    </row>
    <row r="739">
      <c r="A739" s="49">
        <f>IF(B739="","",COUNTA($B$5:B739))</f>
        <v/>
      </c>
      <c r="B739" s="50" t="n"/>
      <c r="C739" s="51" t="n"/>
      <c r="D739" s="51" t="n"/>
      <c r="E739" s="52" t="n"/>
      <c r="F739" s="53" t="n"/>
      <c r="G739" s="51" t="n"/>
      <c r="H739" s="53" t="n"/>
      <c r="I739" s="51" t="n"/>
      <c r="J739" s="54">
        <f>IF(OR(B739="",F739="",NOT(AND(G739&lt;&gt;"✅ Выполнена",G739&lt;&gt;"❌ Отменена"))),"",IF(F739&lt;TODAY(),"❗ просрочено "&amp;(TODAY()-F739)&amp;" дн.",IF(F739=TODAY(),"🔥 сегодня",IF(F739-TODAY()&lt;=3,"⏳ через "&amp;(F739-TODAY())&amp;" дн.",""))))</f>
        <v/>
      </c>
      <c r="K739" s="54">
        <f>IF(B739="","",IF(G739="✅ Выполнена","✔ ",IF(G739="❌ Отменена","✖ ",IF(AND(F739&lt;&gt;"",F739&lt;TODAY()),"❗ ","☐ ")))&amp;B739&amp;IF(E739="🔥 Высокий"," 🔥",""))</f>
        <v/>
      </c>
      <c r="L739" s="54">
        <f>IF(OR(B739="",F739="",G739="❌ Отменена"),"",F739&amp;"#"&amp;COUNTIFS($F$5:F739,F739,$B$5:B739,"?*",$G$5:G739,"&lt;&gt;❌ Отменена"))</f>
        <v/>
      </c>
      <c r="M739" s="54">
        <f>IF(AND(B739&lt;&gt;"",F739&lt;&gt;"",F739&lt;TODAY(),AND(G739&lt;&gt;"✅ Выполнена",G739&lt;&gt;"❌ Отменена")),MAX($M$4:M738)+1,"")</f>
        <v/>
      </c>
    </row>
    <row r="740">
      <c r="A740" s="49">
        <f>IF(B740="","",COUNTA($B$5:B740))</f>
        <v/>
      </c>
      <c r="B740" s="50" t="n"/>
      <c r="C740" s="51" t="n"/>
      <c r="D740" s="51" t="n"/>
      <c r="E740" s="52" t="n"/>
      <c r="F740" s="53" t="n"/>
      <c r="G740" s="51" t="n"/>
      <c r="H740" s="53" t="n"/>
      <c r="I740" s="51" t="n"/>
      <c r="J740" s="54">
        <f>IF(OR(B740="",F740="",NOT(AND(G740&lt;&gt;"✅ Выполнена",G740&lt;&gt;"❌ Отменена"))),"",IF(F740&lt;TODAY(),"❗ просрочено "&amp;(TODAY()-F740)&amp;" дн.",IF(F740=TODAY(),"🔥 сегодня",IF(F740-TODAY()&lt;=3,"⏳ через "&amp;(F740-TODAY())&amp;" дн.",""))))</f>
        <v/>
      </c>
      <c r="K740" s="54">
        <f>IF(B740="","",IF(G740="✅ Выполнена","✔ ",IF(G740="❌ Отменена","✖ ",IF(AND(F740&lt;&gt;"",F740&lt;TODAY()),"❗ ","☐ ")))&amp;B740&amp;IF(E740="🔥 Высокий"," 🔥",""))</f>
        <v/>
      </c>
      <c r="L740" s="54">
        <f>IF(OR(B740="",F740="",G740="❌ Отменена"),"",F740&amp;"#"&amp;COUNTIFS($F$5:F740,F740,$B$5:B740,"?*",$G$5:G740,"&lt;&gt;❌ Отменена"))</f>
        <v/>
      </c>
      <c r="M740" s="54">
        <f>IF(AND(B740&lt;&gt;"",F740&lt;&gt;"",F740&lt;TODAY(),AND(G740&lt;&gt;"✅ Выполнена",G740&lt;&gt;"❌ Отменена")),MAX($M$4:M739)+1,"")</f>
        <v/>
      </c>
    </row>
    <row r="741">
      <c r="A741" s="49">
        <f>IF(B741="","",COUNTA($B$5:B741))</f>
        <v/>
      </c>
      <c r="B741" s="50" t="n"/>
      <c r="C741" s="51" t="n"/>
      <c r="D741" s="51" t="n"/>
      <c r="E741" s="52" t="n"/>
      <c r="F741" s="53" t="n"/>
      <c r="G741" s="51" t="n"/>
      <c r="H741" s="53" t="n"/>
      <c r="I741" s="51" t="n"/>
      <c r="J741" s="54">
        <f>IF(OR(B741="",F741="",NOT(AND(G741&lt;&gt;"✅ Выполнена",G741&lt;&gt;"❌ Отменена"))),"",IF(F741&lt;TODAY(),"❗ просрочено "&amp;(TODAY()-F741)&amp;" дн.",IF(F741=TODAY(),"🔥 сегодня",IF(F741-TODAY()&lt;=3,"⏳ через "&amp;(F741-TODAY())&amp;" дн.",""))))</f>
        <v/>
      </c>
      <c r="K741" s="54">
        <f>IF(B741="","",IF(G741="✅ Выполнена","✔ ",IF(G741="❌ Отменена","✖ ",IF(AND(F741&lt;&gt;"",F741&lt;TODAY()),"❗ ","☐ ")))&amp;B741&amp;IF(E741="🔥 Высокий"," 🔥",""))</f>
        <v/>
      </c>
      <c r="L741" s="54">
        <f>IF(OR(B741="",F741="",G741="❌ Отменена"),"",F741&amp;"#"&amp;COUNTIFS($F$5:F741,F741,$B$5:B741,"?*",$G$5:G741,"&lt;&gt;❌ Отменена"))</f>
        <v/>
      </c>
      <c r="M741" s="54">
        <f>IF(AND(B741&lt;&gt;"",F741&lt;&gt;"",F741&lt;TODAY(),AND(G741&lt;&gt;"✅ Выполнена",G741&lt;&gt;"❌ Отменена")),MAX($M$4:M740)+1,"")</f>
        <v/>
      </c>
    </row>
    <row r="742">
      <c r="A742" s="49">
        <f>IF(B742="","",COUNTA($B$5:B742))</f>
        <v/>
      </c>
      <c r="B742" s="50" t="n"/>
      <c r="C742" s="51" t="n"/>
      <c r="D742" s="51" t="n"/>
      <c r="E742" s="52" t="n"/>
      <c r="F742" s="53" t="n"/>
      <c r="G742" s="51" t="n"/>
      <c r="H742" s="53" t="n"/>
      <c r="I742" s="51" t="n"/>
      <c r="J742" s="54">
        <f>IF(OR(B742="",F742="",NOT(AND(G742&lt;&gt;"✅ Выполнена",G742&lt;&gt;"❌ Отменена"))),"",IF(F742&lt;TODAY(),"❗ просрочено "&amp;(TODAY()-F742)&amp;" дн.",IF(F742=TODAY(),"🔥 сегодня",IF(F742-TODAY()&lt;=3,"⏳ через "&amp;(F742-TODAY())&amp;" дн.",""))))</f>
        <v/>
      </c>
      <c r="K742" s="54">
        <f>IF(B742="","",IF(G742="✅ Выполнена","✔ ",IF(G742="❌ Отменена","✖ ",IF(AND(F742&lt;&gt;"",F742&lt;TODAY()),"❗ ","☐ ")))&amp;B742&amp;IF(E742="🔥 Высокий"," 🔥",""))</f>
        <v/>
      </c>
      <c r="L742" s="54">
        <f>IF(OR(B742="",F742="",G742="❌ Отменена"),"",F742&amp;"#"&amp;COUNTIFS($F$5:F742,F742,$B$5:B742,"?*",$G$5:G742,"&lt;&gt;❌ Отменена"))</f>
        <v/>
      </c>
      <c r="M742" s="54">
        <f>IF(AND(B742&lt;&gt;"",F742&lt;&gt;"",F742&lt;TODAY(),AND(G742&lt;&gt;"✅ Выполнена",G742&lt;&gt;"❌ Отменена")),MAX($M$4:M741)+1,"")</f>
        <v/>
      </c>
    </row>
    <row r="743">
      <c r="A743" s="49">
        <f>IF(B743="","",COUNTA($B$5:B743))</f>
        <v/>
      </c>
      <c r="B743" s="50" t="n"/>
      <c r="C743" s="51" t="n"/>
      <c r="D743" s="51" t="n"/>
      <c r="E743" s="52" t="n"/>
      <c r="F743" s="53" t="n"/>
      <c r="G743" s="51" t="n"/>
      <c r="H743" s="53" t="n"/>
      <c r="I743" s="51" t="n"/>
      <c r="J743" s="54">
        <f>IF(OR(B743="",F743="",NOT(AND(G743&lt;&gt;"✅ Выполнена",G743&lt;&gt;"❌ Отменена"))),"",IF(F743&lt;TODAY(),"❗ просрочено "&amp;(TODAY()-F743)&amp;" дн.",IF(F743=TODAY(),"🔥 сегодня",IF(F743-TODAY()&lt;=3,"⏳ через "&amp;(F743-TODAY())&amp;" дн.",""))))</f>
        <v/>
      </c>
      <c r="K743" s="54">
        <f>IF(B743="","",IF(G743="✅ Выполнена","✔ ",IF(G743="❌ Отменена","✖ ",IF(AND(F743&lt;&gt;"",F743&lt;TODAY()),"❗ ","☐ ")))&amp;B743&amp;IF(E743="🔥 Высокий"," 🔥",""))</f>
        <v/>
      </c>
      <c r="L743" s="54">
        <f>IF(OR(B743="",F743="",G743="❌ Отменена"),"",F743&amp;"#"&amp;COUNTIFS($F$5:F743,F743,$B$5:B743,"?*",$G$5:G743,"&lt;&gt;❌ Отменена"))</f>
        <v/>
      </c>
      <c r="M743" s="54">
        <f>IF(AND(B743&lt;&gt;"",F743&lt;&gt;"",F743&lt;TODAY(),AND(G743&lt;&gt;"✅ Выполнена",G743&lt;&gt;"❌ Отменена")),MAX($M$4:M742)+1,"")</f>
        <v/>
      </c>
    </row>
    <row r="744">
      <c r="A744" s="49">
        <f>IF(B744="","",COUNTA($B$5:B744))</f>
        <v/>
      </c>
      <c r="B744" s="50" t="n"/>
      <c r="C744" s="51" t="n"/>
      <c r="D744" s="51" t="n"/>
      <c r="E744" s="52" t="n"/>
      <c r="F744" s="53" t="n"/>
      <c r="G744" s="51" t="n"/>
      <c r="H744" s="53" t="n"/>
      <c r="I744" s="51" t="n"/>
      <c r="J744" s="54">
        <f>IF(OR(B744="",F744="",NOT(AND(G744&lt;&gt;"✅ Выполнена",G744&lt;&gt;"❌ Отменена"))),"",IF(F744&lt;TODAY(),"❗ просрочено "&amp;(TODAY()-F744)&amp;" дн.",IF(F744=TODAY(),"🔥 сегодня",IF(F744-TODAY()&lt;=3,"⏳ через "&amp;(F744-TODAY())&amp;" дн.",""))))</f>
        <v/>
      </c>
      <c r="K744" s="54">
        <f>IF(B744="","",IF(G744="✅ Выполнена","✔ ",IF(G744="❌ Отменена","✖ ",IF(AND(F744&lt;&gt;"",F744&lt;TODAY()),"❗ ","☐ ")))&amp;B744&amp;IF(E744="🔥 Высокий"," 🔥",""))</f>
        <v/>
      </c>
      <c r="L744" s="54">
        <f>IF(OR(B744="",F744="",G744="❌ Отменена"),"",F744&amp;"#"&amp;COUNTIFS($F$5:F744,F744,$B$5:B744,"?*",$G$5:G744,"&lt;&gt;❌ Отменена"))</f>
        <v/>
      </c>
      <c r="M744" s="54">
        <f>IF(AND(B744&lt;&gt;"",F744&lt;&gt;"",F744&lt;TODAY(),AND(G744&lt;&gt;"✅ Выполнена",G744&lt;&gt;"❌ Отменена")),MAX($M$4:M743)+1,"")</f>
        <v/>
      </c>
    </row>
    <row r="745">
      <c r="A745" s="49">
        <f>IF(B745="","",COUNTA($B$5:B745))</f>
        <v/>
      </c>
      <c r="B745" s="50" t="n"/>
      <c r="C745" s="51" t="n"/>
      <c r="D745" s="51" t="n"/>
      <c r="E745" s="52" t="n"/>
      <c r="F745" s="53" t="n"/>
      <c r="G745" s="51" t="n"/>
      <c r="H745" s="53" t="n"/>
      <c r="I745" s="51" t="n"/>
      <c r="J745" s="54">
        <f>IF(OR(B745="",F745="",NOT(AND(G745&lt;&gt;"✅ Выполнена",G745&lt;&gt;"❌ Отменена"))),"",IF(F745&lt;TODAY(),"❗ просрочено "&amp;(TODAY()-F745)&amp;" дн.",IF(F745=TODAY(),"🔥 сегодня",IF(F745-TODAY()&lt;=3,"⏳ через "&amp;(F745-TODAY())&amp;" дн.",""))))</f>
        <v/>
      </c>
      <c r="K745" s="54">
        <f>IF(B745="","",IF(G745="✅ Выполнена","✔ ",IF(G745="❌ Отменена","✖ ",IF(AND(F745&lt;&gt;"",F745&lt;TODAY()),"❗ ","☐ ")))&amp;B745&amp;IF(E745="🔥 Высокий"," 🔥",""))</f>
        <v/>
      </c>
      <c r="L745" s="54">
        <f>IF(OR(B745="",F745="",G745="❌ Отменена"),"",F745&amp;"#"&amp;COUNTIFS($F$5:F745,F745,$B$5:B745,"?*",$G$5:G745,"&lt;&gt;❌ Отменена"))</f>
        <v/>
      </c>
      <c r="M745" s="54">
        <f>IF(AND(B745&lt;&gt;"",F745&lt;&gt;"",F745&lt;TODAY(),AND(G745&lt;&gt;"✅ Выполнена",G745&lt;&gt;"❌ Отменена")),MAX($M$4:M744)+1,"")</f>
        <v/>
      </c>
    </row>
    <row r="746">
      <c r="A746" s="49">
        <f>IF(B746="","",COUNTA($B$5:B746))</f>
        <v/>
      </c>
      <c r="B746" s="50" t="n"/>
      <c r="C746" s="51" t="n"/>
      <c r="D746" s="51" t="n"/>
      <c r="E746" s="52" t="n"/>
      <c r="F746" s="53" t="n"/>
      <c r="G746" s="51" t="n"/>
      <c r="H746" s="53" t="n"/>
      <c r="I746" s="51" t="n"/>
      <c r="J746" s="54">
        <f>IF(OR(B746="",F746="",NOT(AND(G746&lt;&gt;"✅ Выполнена",G746&lt;&gt;"❌ Отменена"))),"",IF(F746&lt;TODAY(),"❗ просрочено "&amp;(TODAY()-F746)&amp;" дн.",IF(F746=TODAY(),"🔥 сегодня",IF(F746-TODAY()&lt;=3,"⏳ через "&amp;(F746-TODAY())&amp;" дн.",""))))</f>
        <v/>
      </c>
      <c r="K746" s="54">
        <f>IF(B746="","",IF(G746="✅ Выполнена","✔ ",IF(G746="❌ Отменена","✖ ",IF(AND(F746&lt;&gt;"",F746&lt;TODAY()),"❗ ","☐ ")))&amp;B746&amp;IF(E746="🔥 Высокий"," 🔥",""))</f>
        <v/>
      </c>
      <c r="L746" s="54">
        <f>IF(OR(B746="",F746="",G746="❌ Отменена"),"",F746&amp;"#"&amp;COUNTIFS($F$5:F746,F746,$B$5:B746,"?*",$G$5:G746,"&lt;&gt;❌ Отменена"))</f>
        <v/>
      </c>
      <c r="M746" s="54">
        <f>IF(AND(B746&lt;&gt;"",F746&lt;&gt;"",F746&lt;TODAY(),AND(G746&lt;&gt;"✅ Выполнена",G746&lt;&gt;"❌ Отменена")),MAX($M$4:M745)+1,"")</f>
        <v/>
      </c>
    </row>
    <row r="747">
      <c r="A747" s="49">
        <f>IF(B747="","",COUNTA($B$5:B747))</f>
        <v/>
      </c>
      <c r="B747" s="50" t="n"/>
      <c r="C747" s="51" t="n"/>
      <c r="D747" s="51" t="n"/>
      <c r="E747" s="52" t="n"/>
      <c r="F747" s="53" t="n"/>
      <c r="G747" s="51" t="n"/>
      <c r="H747" s="53" t="n"/>
      <c r="I747" s="51" t="n"/>
      <c r="J747" s="54">
        <f>IF(OR(B747="",F747="",NOT(AND(G747&lt;&gt;"✅ Выполнена",G747&lt;&gt;"❌ Отменена"))),"",IF(F747&lt;TODAY(),"❗ просрочено "&amp;(TODAY()-F747)&amp;" дн.",IF(F747=TODAY(),"🔥 сегодня",IF(F747-TODAY()&lt;=3,"⏳ через "&amp;(F747-TODAY())&amp;" дн.",""))))</f>
        <v/>
      </c>
      <c r="K747" s="54">
        <f>IF(B747="","",IF(G747="✅ Выполнена","✔ ",IF(G747="❌ Отменена","✖ ",IF(AND(F747&lt;&gt;"",F747&lt;TODAY()),"❗ ","☐ ")))&amp;B747&amp;IF(E747="🔥 Высокий"," 🔥",""))</f>
        <v/>
      </c>
      <c r="L747" s="54">
        <f>IF(OR(B747="",F747="",G747="❌ Отменена"),"",F747&amp;"#"&amp;COUNTIFS($F$5:F747,F747,$B$5:B747,"?*",$G$5:G747,"&lt;&gt;❌ Отменена"))</f>
        <v/>
      </c>
      <c r="M747" s="54">
        <f>IF(AND(B747&lt;&gt;"",F747&lt;&gt;"",F747&lt;TODAY(),AND(G747&lt;&gt;"✅ Выполнена",G747&lt;&gt;"❌ Отменена")),MAX($M$4:M746)+1,"")</f>
        <v/>
      </c>
    </row>
    <row r="748">
      <c r="A748" s="49">
        <f>IF(B748="","",COUNTA($B$5:B748))</f>
        <v/>
      </c>
      <c r="B748" s="50" t="n"/>
      <c r="C748" s="51" t="n"/>
      <c r="D748" s="51" t="n"/>
      <c r="E748" s="52" t="n"/>
      <c r="F748" s="53" t="n"/>
      <c r="G748" s="51" t="n"/>
      <c r="H748" s="53" t="n"/>
      <c r="I748" s="51" t="n"/>
      <c r="J748" s="54">
        <f>IF(OR(B748="",F748="",NOT(AND(G748&lt;&gt;"✅ Выполнена",G748&lt;&gt;"❌ Отменена"))),"",IF(F748&lt;TODAY(),"❗ просрочено "&amp;(TODAY()-F748)&amp;" дн.",IF(F748=TODAY(),"🔥 сегодня",IF(F748-TODAY()&lt;=3,"⏳ через "&amp;(F748-TODAY())&amp;" дн.",""))))</f>
        <v/>
      </c>
      <c r="K748" s="54">
        <f>IF(B748="","",IF(G748="✅ Выполнена","✔ ",IF(G748="❌ Отменена","✖ ",IF(AND(F748&lt;&gt;"",F748&lt;TODAY()),"❗ ","☐ ")))&amp;B748&amp;IF(E748="🔥 Высокий"," 🔥",""))</f>
        <v/>
      </c>
      <c r="L748" s="54">
        <f>IF(OR(B748="",F748="",G748="❌ Отменена"),"",F748&amp;"#"&amp;COUNTIFS($F$5:F748,F748,$B$5:B748,"?*",$G$5:G748,"&lt;&gt;❌ Отменена"))</f>
        <v/>
      </c>
      <c r="M748" s="54">
        <f>IF(AND(B748&lt;&gt;"",F748&lt;&gt;"",F748&lt;TODAY(),AND(G748&lt;&gt;"✅ Выполнена",G748&lt;&gt;"❌ Отменена")),MAX($M$4:M747)+1,"")</f>
        <v/>
      </c>
    </row>
    <row r="749">
      <c r="A749" s="49">
        <f>IF(B749="","",COUNTA($B$5:B749))</f>
        <v/>
      </c>
      <c r="B749" s="50" t="n"/>
      <c r="C749" s="51" t="n"/>
      <c r="D749" s="51" t="n"/>
      <c r="E749" s="52" t="n"/>
      <c r="F749" s="53" t="n"/>
      <c r="G749" s="51" t="n"/>
      <c r="H749" s="53" t="n"/>
      <c r="I749" s="51" t="n"/>
      <c r="J749" s="54">
        <f>IF(OR(B749="",F749="",NOT(AND(G749&lt;&gt;"✅ Выполнена",G749&lt;&gt;"❌ Отменена"))),"",IF(F749&lt;TODAY(),"❗ просрочено "&amp;(TODAY()-F749)&amp;" дн.",IF(F749=TODAY(),"🔥 сегодня",IF(F749-TODAY()&lt;=3,"⏳ через "&amp;(F749-TODAY())&amp;" дн.",""))))</f>
        <v/>
      </c>
      <c r="K749" s="54">
        <f>IF(B749="","",IF(G749="✅ Выполнена","✔ ",IF(G749="❌ Отменена","✖ ",IF(AND(F749&lt;&gt;"",F749&lt;TODAY()),"❗ ","☐ ")))&amp;B749&amp;IF(E749="🔥 Высокий"," 🔥",""))</f>
        <v/>
      </c>
      <c r="L749" s="54">
        <f>IF(OR(B749="",F749="",G749="❌ Отменена"),"",F749&amp;"#"&amp;COUNTIFS($F$5:F749,F749,$B$5:B749,"?*",$G$5:G749,"&lt;&gt;❌ Отменена"))</f>
        <v/>
      </c>
      <c r="M749" s="54">
        <f>IF(AND(B749&lt;&gt;"",F749&lt;&gt;"",F749&lt;TODAY(),AND(G749&lt;&gt;"✅ Выполнена",G749&lt;&gt;"❌ Отменена")),MAX($M$4:M748)+1,"")</f>
        <v/>
      </c>
    </row>
    <row r="750">
      <c r="A750" s="49">
        <f>IF(B750="","",COUNTA($B$5:B750))</f>
        <v/>
      </c>
      <c r="B750" s="50" t="n"/>
      <c r="C750" s="51" t="n"/>
      <c r="D750" s="51" t="n"/>
      <c r="E750" s="52" t="n"/>
      <c r="F750" s="53" t="n"/>
      <c r="G750" s="51" t="n"/>
      <c r="H750" s="53" t="n"/>
      <c r="I750" s="51" t="n"/>
      <c r="J750" s="54">
        <f>IF(OR(B750="",F750="",NOT(AND(G750&lt;&gt;"✅ Выполнена",G750&lt;&gt;"❌ Отменена"))),"",IF(F750&lt;TODAY(),"❗ просрочено "&amp;(TODAY()-F750)&amp;" дн.",IF(F750=TODAY(),"🔥 сегодня",IF(F750-TODAY()&lt;=3,"⏳ через "&amp;(F750-TODAY())&amp;" дн.",""))))</f>
        <v/>
      </c>
      <c r="K750" s="54">
        <f>IF(B750="","",IF(G750="✅ Выполнена","✔ ",IF(G750="❌ Отменена","✖ ",IF(AND(F750&lt;&gt;"",F750&lt;TODAY()),"❗ ","☐ ")))&amp;B750&amp;IF(E750="🔥 Высокий"," 🔥",""))</f>
        <v/>
      </c>
      <c r="L750" s="54">
        <f>IF(OR(B750="",F750="",G750="❌ Отменена"),"",F750&amp;"#"&amp;COUNTIFS($F$5:F750,F750,$B$5:B750,"?*",$G$5:G750,"&lt;&gt;❌ Отменена"))</f>
        <v/>
      </c>
      <c r="M750" s="54">
        <f>IF(AND(B750&lt;&gt;"",F750&lt;&gt;"",F750&lt;TODAY(),AND(G750&lt;&gt;"✅ Выполнена",G750&lt;&gt;"❌ Отменена")),MAX($M$4:M749)+1,"")</f>
        <v/>
      </c>
    </row>
    <row r="751">
      <c r="A751" s="49">
        <f>IF(B751="","",COUNTA($B$5:B751))</f>
        <v/>
      </c>
      <c r="B751" s="50" t="n"/>
      <c r="C751" s="51" t="n"/>
      <c r="D751" s="51" t="n"/>
      <c r="E751" s="52" t="n"/>
      <c r="F751" s="53" t="n"/>
      <c r="G751" s="51" t="n"/>
      <c r="H751" s="53" t="n"/>
      <c r="I751" s="51" t="n"/>
      <c r="J751" s="54">
        <f>IF(OR(B751="",F751="",NOT(AND(G751&lt;&gt;"✅ Выполнена",G751&lt;&gt;"❌ Отменена"))),"",IF(F751&lt;TODAY(),"❗ просрочено "&amp;(TODAY()-F751)&amp;" дн.",IF(F751=TODAY(),"🔥 сегодня",IF(F751-TODAY()&lt;=3,"⏳ через "&amp;(F751-TODAY())&amp;" дн.",""))))</f>
        <v/>
      </c>
      <c r="K751" s="54">
        <f>IF(B751="","",IF(G751="✅ Выполнена","✔ ",IF(G751="❌ Отменена","✖ ",IF(AND(F751&lt;&gt;"",F751&lt;TODAY()),"❗ ","☐ ")))&amp;B751&amp;IF(E751="🔥 Высокий"," 🔥",""))</f>
        <v/>
      </c>
      <c r="L751" s="54">
        <f>IF(OR(B751="",F751="",G751="❌ Отменена"),"",F751&amp;"#"&amp;COUNTIFS($F$5:F751,F751,$B$5:B751,"?*",$G$5:G751,"&lt;&gt;❌ Отменена"))</f>
        <v/>
      </c>
      <c r="M751" s="54">
        <f>IF(AND(B751&lt;&gt;"",F751&lt;&gt;"",F751&lt;TODAY(),AND(G751&lt;&gt;"✅ Выполнена",G751&lt;&gt;"❌ Отменена")),MAX($M$4:M750)+1,"")</f>
        <v/>
      </c>
    </row>
    <row r="752">
      <c r="A752" s="49">
        <f>IF(B752="","",COUNTA($B$5:B752))</f>
        <v/>
      </c>
      <c r="B752" s="50" t="n"/>
      <c r="C752" s="51" t="n"/>
      <c r="D752" s="51" t="n"/>
      <c r="E752" s="52" t="n"/>
      <c r="F752" s="53" t="n"/>
      <c r="G752" s="51" t="n"/>
      <c r="H752" s="53" t="n"/>
      <c r="I752" s="51" t="n"/>
      <c r="J752" s="54">
        <f>IF(OR(B752="",F752="",NOT(AND(G752&lt;&gt;"✅ Выполнена",G752&lt;&gt;"❌ Отменена"))),"",IF(F752&lt;TODAY(),"❗ просрочено "&amp;(TODAY()-F752)&amp;" дн.",IF(F752=TODAY(),"🔥 сегодня",IF(F752-TODAY()&lt;=3,"⏳ через "&amp;(F752-TODAY())&amp;" дн.",""))))</f>
        <v/>
      </c>
      <c r="K752" s="54">
        <f>IF(B752="","",IF(G752="✅ Выполнена","✔ ",IF(G752="❌ Отменена","✖ ",IF(AND(F752&lt;&gt;"",F752&lt;TODAY()),"❗ ","☐ ")))&amp;B752&amp;IF(E752="🔥 Высокий"," 🔥",""))</f>
        <v/>
      </c>
      <c r="L752" s="54">
        <f>IF(OR(B752="",F752="",G752="❌ Отменена"),"",F752&amp;"#"&amp;COUNTIFS($F$5:F752,F752,$B$5:B752,"?*",$G$5:G752,"&lt;&gt;❌ Отменена"))</f>
        <v/>
      </c>
      <c r="M752" s="54">
        <f>IF(AND(B752&lt;&gt;"",F752&lt;&gt;"",F752&lt;TODAY(),AND(G752&lt;&gt;"✅ Выполнена",G752&lt;&gt;"❌ Отменена")),MAX($M$4:M751)+1,"")</f>
        <v/>
      </c>
    </row>
    <row r="753">
      <c r="A753" s="49">
        <f>IF(B753="","",COUNTA($B$5:B753))</f>
        <v/>
      </c>
      <c r="B753" s="50" t="n"/>
      <c r="C753" s="51" t="n"/>
      <c r="D753" s="51" t="n"/>
      <c r="E753" s="52" t="n"/>
      <c r="F753" s="53" t="n"/>
      <c r="G753" s="51" t="n"/>
      <c r="H753" s="53" t="n"/>
      <c r="I753" s="51" t="n"/>
      <c r="J753" s="54">
        <f>IF(OR(B753="",F753="",NOT(AND(G753&lt;&gt;"✅ Выполнена",G753&lt;&gt;"❌ Отменена"))),"",IF(F753&lt;TODAY(),"❗ просрочено "&amp;(TODAY()-F753)&amp;" дн.",IF(F753=TODAY(),"🔥 сегодня",IF(F753-TODAY()&lt;=3,"⏳ через "&amp;(F753-TODAY())&amp;" дн.",""))))</f>
        <v/>
      </c>
      <c r="K753" s="54">
        <f>IF(B753="","",IF(G753="✅ Выполнена","✔ ",IF(G753="❌ Отменена","✖ ",IF(AND(F753&lt;&gt;"",F753&lt;TODAY()),"❗ ","☐ ")))&amp;B753&amp;IF(E753="🔥 Высокий"," 🔥",""))</f>
        <v/>
      </c>
      <c r="L753" s="54">
        <f>IF(OR(B753="",F753="",G753="❌ Отменена"),"",F753&amp;"#"&amp;COUNTIFS($F$5:F753,F753,$B$5:B753,"?*",$G$5:G753,"&lt;&gt;❌ Отменена"))</f>
        <v/>
      </c>
      <c r="M753" s="54">
        <f>IF(AND(B753&lt;&gt;"",F753&lt;&gt;"",F753&lt;TODAY(),AND(G753&lt;&gt;"✅ Выполнена",G753&lt;&gt;"❌ Отменена")),MAX($M$4:M752)+1,"")</f>
        <v/>
      </c>
    </row>
    <row r="754">
      <c r="A754" s="49">
        <f>IF(B754="","",COUNTA($B$5:B754))</f>
        <v/>
      </c>
      <c r="B754" s="50" t="n"/>
      <c r="C754" s="51" t="n"/>
      <c r="D754" s="51" t="n"/>
      <c r="E754" s="52" t="n"/>
      <c r="F754" s="53" t="n"/>
      <c r="G754" s="51" t="n"/>
      <c r="H754" s="53" t="n"/>
      <c r="I754" s="51" t="n"/>
      <c r="J754" s="54">
        <f>IF(OR(B754="",F754="",NOT(AND(G754&lt;&gt;"✅ Выполнена",G754&lt;&gt;"❌ Отменена"))),"",IF(F754&lt;TODAY(),"❗ просрочено "&amp;(TODAY()-F754)&amp;" дн.",IF(F754=TODAY(),"🔥 сегодня",IF(F754-TODAY()&lt;=3,"⏳ через "&amp;(F754-TODAY())&amp;" дн.",""))))</f>
        <v/>
      </c>
      <c r="K754" s="54">
        <f>IF(B754="","",IF(G754="✅ Выполнена","✔ ",IF(G754="❌ Отменена","✖ ",IF(AND(F754&lt;&gt;"",F754&lt;TODAY()),"❗ ","☐ ")))&amp;B754&amp;IF(E754="🔥 Высокий"," 🔥",""))</f>
        <v/>
      </c>
      <c r="L754" s="54">
        <f>IF(OR(B754="",F754="",G754="❌ Отменена"),"",F754&amp;"#"&amp;COUNTIFS($F$5:F754,F754,$B$5:B754,"?*",$G$5:G754,"&lt;&gt;❌ Отменена"))</f>
        <v/>
      </c>
      <c r="M754" s="54">
        <f>IF(AND(B754&lt;&gt;"",F754&lt;&gt;"",F754&lt;TODAY(),AND(G754&lt;&gt;"✅ Выполнена",G754&lt;&gt;"❌ Отменена")),MAX($M$4:M753)+1,"")</f>
        <v/>
      </c>
    </row>
    <row r="755">
      <c r="A755" s="49">
        <f>IF(B755="","",COUNTA($B$5:B755))</f>
        <v/>
      </c>
      <c r="B755" s="50" t="n"/>
      <c r="C755" s="51" t="n"/>
      <c r="D755" s="51" t="n"/>
      <c r="E755" s="52" t="n"/>
      <c r="F755" s="53" t="n"/>
      <c r="G755" s="51" t="n"/>
      <c r="H755" s="53" t="n"/>
      <c r="I755" s="51" t="n"/>
      <c r="J755" s="54">
        <f>IF(OR(B755="",F755="",NOT(AND(G755&lt;&gt;"✅ Выполнена",G755&lt;&gt;"❌ Отменена"))),"",IF(F755&lt;TODAY(),"❗ просрочено "&amp;(TODAY()-F755)&amp;" дн.",IF(F755=TODAY(),"🔥 сегодня",IF(F755-TODAY()&lt;=3,"⏳ через "&amp;(F755-TODAY())&amp;" дн.",""))))</f>
        <v/>
      </c>
      <c r="K755" s="54">
        <f>IF(B755="","",IF(G755="✅ Выполнена","✔ ",IF(G755="❌ Отменена","✖ ",IF(AND(F755&lt;&gt;"",F755&lt;TODAY()),"❗ ","☐ ")))&amp;B755&amp;IF(E755="🔥 Высокий"," 🔥",""))</f>
        <v/>
      </c>
      <c r="L755" s="54">
        <f>IF(OR(B755="",F755="",G755="❌ Отменена"),"",F755&amp;"#"&amp;COUNTIFS($F$5:F755,F755,$B$5:B755,"?*",$G$5:G755,"&lt;&gt;❌ Отменена"))</f>
        <v/>
      </c>
      <c r="M755" s="54">
        <f>IF(AND(B755&lt;&gt;"",F755&lt;&gt;"",F755&lt;TODAY(),AND(G755&lt;&gt;"✅ Выполнена",G755&lt;&gt;"❌ Отменена")),MAX($M$4:M754)+1,"")</f>
        <v/>
      </c>
    </row>
    <row r="756">
      <c r="A756" s="49">
        <f>IF(B756="","",COUNTA($B$5:B756))</f>
        <v/>
      </c>
      <c r="B756" s="50" t="n"/>
      <c r="C756" s="51" t="n"/>
      <c r="D756" s="51" t="n"/>
      <c r="E756" s="52" t="n"/>
      <c r="F756" s="53" t="n"/>
      <c r="G756" s="51" t="n"/>
      <c r="H756" s="53" t="n"/>
      <c r="I756" s="51" t="n"/>
      <c r="J756" s="54">
        <f>IF(OR(B756="",F756="",NOT(AND(G756&lt;&gt;"✅ Выполнена",G756&lt;&gt;"❌ Отменена"))),"",IF(F756&lt;TODAY(),"❗ просрочено "&amp;(TODAY()-F756)&amp;" дн.",IF(F756=TODAY(),"🔥 сегодня",IF(F756-TODAY()&lt;=3,"⏳ через "&amp;(F756-TODAY())&amp;" дн.",""))))</f>
        <v/>
      </c>
      <c r="K756" s="54">
        <f>IF(B756="","",IF(G756="✅ Выполнена","✔ ",IF(G756="❌ Отменена","✖ ",IF(AND(F756&lt;&gt;"",F756&lt;TODAY()),"❗ ","☐ ")))&amp;B756&amp;IF(E756="🔥 Высокий"," 🔥",""))</f>
        <v/>
      </c>
      <c r="L756" s="54">
        <f>IF(OR(B756="",F756="",G756="❌ Отменена"),"",F756&amp;"#"&amp;COUNTIFS($F$5:F756,F756,$B$5:B756,"?*",$G$5:G756,"&lt;&gt;❌ Отменена"))</f>
        <v/>
      </c>
      <c r="M756" s="54">
        <f>IF(AND(B756&lt;&gt;"",F756&lt;&gt;"",F756&lt;TODAY(),AND(G756&lt;&gt;"✅ Выполнена",G756&lt;&gt;"❌ Отменена")),MAX($M$4:M755)+1,"")</f>
        <v/>
      </c>
    </row>
    <row r="757">
      <c r="A757" s="49">
        <f>IF(B757="","",COUNTA($B$5:B757))</f>
        <v/>
      </c>
      <c r="B757" s="50" t="n"/>
      <c r="C757" s="51" t="n"/>
      <c r="D757" s="51" t="n"/>
      <c r="E757" s="52" t="n"/>
      <c r="F757" s="53" t="n"/>
      <c r="G757" s="51" t="n"/>
      <c r="H757" s="53" t="n"/>
      <c r="I757" s="51" t="n"/>
      <c r="J757" s="54">
        <f>IF(OR(B757="",F757="",NOT(AND(G757&lt;&gt;"✅ Выполнена",G757&lt;&gt;"❌ Отменена"))),"",IF(F757&lt;TODAY(),"❗ просрочено "&amp;(TODAY()-F757)&amp;" дн.",IF(F757=TODAY(),"🔥 сегодня",IF(F757-TODAY()&lt;=3,"⏳ через "&amp;(F757-TODAY())&amp;" дн.",""))))</f>
        <v/>
      </c>
      <c r="K757" s="54">
        <f>IF(B757="","",IF(G757="✅ Выполнена","✔ ",IF(G757="❌ Отменена","✖ ",IF(AND(F757&lt;&gt;"",F757&lt;TODAY()),"❗ ","☐ ")))&amp;B757&amp;IF(E757="🔥 Высокий"," 🔥",""))</f>
        <v/>
      </c>
      <c r="L757" s="54">
        <f>IF(OR(B757="",F757="",G757="❌ Отменена"),"",F757&amp;"#"&amp;COUNTIFS($F$5:F757,F757,$B$5:B757,"?*",$G$5:G757,"&lt;&gt;❌ Отменена"))</f>
        <v/>
      </c>
      <c r="M757" s="54">
        <f>IF(AND(B757&lt;&gt;"",F757&lt;&gt;"",F757&lt;TODAY(),AND(G757&lt;&gt;"✅ Выполнена",G757&lt;&gt;"❌ Отменена")),MAX($M$4:M756)+1,"")</f>
        <v/>
      </c>
    </row>
    <row r="758">
      <c r="A758" s="49">
        <f>IF(B758="","",COUNTA($B$5:B758))</f>
        <v/>
      </c>
      <c r="B758" s="50" t="n"/>
      <c r="C758" s="51" t="n"/>
      <c r="D758" s="51" t="n"/>
      <c r="E758" s="52" t="n"/>
      <c r="F758" s="53" t="n"/>
      <c r="G758" s="51" t="n"/>
      <c r="H758" s="53" t="n"/>
      <c r="I758" s="51" t="n"/>
      <c r="J758" s="54">
        <f>IF(OR(B758="",F758="",NOT(AND(G758&lt;&gt;"✅ Выполнена",G758&lt;&gt;"❌ Отменена"))),"",IF(F758&lt;TODAY(),"❗ просрочено "&amp;(TODAY()-F758)&amp;" дн.",IF(F758=TODAY(),"🔥 сегодня",IF(F758-TODAY()&lt;=3,"⏳ через "&amp;(F758-TODAY())&amp;" дн.",""))))</f>
        <v/>
      </c>
      <c r="K758" s="54">
        <f>IF(B758="","",IF(G758="✅ Выполнена","✔ ",IF(G758="❌ Отменена","✖ ",IF(AND(F758&lt;&gt;"",F758&lt;TODAY()),"❗ ","☐ ")))&amp;B758&amp;IF(E758="🔥 Высокий"," 🔥",""))</f>
        <v/>
      </c>
      <c r="L758" s="54">
        <f>IF(OR(B758="",F758="",G758="❌ Отменена"),"",F758&amp;"#"&amp;COUNTIFS($F$5:F758,F758,$B$5:B758,"?*",$G$5:G758,"&lt;&gt;❌ Отменена"))</f>
        <v/>
      </c>
      <c r="M758" s="54">
        <f>IF(AND(B758&lt;&gt;"",F758&lt;&gt;"",F758&lt;TODAY(),AND(G758&lt;&gt;"✅ Выполнена",G758&lt;&gt;"❌ Отменена")),MAX($M$4:M757)+1,"")</f>
        <v/>
      </c>
    </row>
    <row r="759">
      <c r="A759" s="49">
        <f>IF(B759="","",COUNTA($B$5:B759))</f>
        <v/>
      </c>
      <c r="B759" s="50" t="n"/>
      <c r="C759" s="51" t="n"/>
      <c r="D759" s="51" t="n"/>
      <c r="E759" s="52" t="n"/>
      <c r="F759" s="53" t="n"/>
      <c r="G759" s="51" t="n"/>
      <c r="H759" s="53" t="n"/>
      <c r="I759" s="51" t="n"/>
      <c r="J759" s="54">
        <f>IF(OR(B759="",F759="",NOT(AND(G759&lt;&gt;"✅ Выполнена",G759&lt;&gt;"❌ Отменена"))),"",IF(F759&lt;TODAY(),"❗ просрочено "&amp;(TODAY()-F759)&amp;" дн.",IF(F759=TODAY(),"🔥 сегодня",IF(F759-TODAY()&lt;=3,"⏳ через "&amp;(F759-TODAY())&amp;" дн.",""))))</f>
        <v/>
      </c>
      <c r="K759" s="54">
        <f>IF(B759="","",IF(G759="✅ Выполнена","✔ ",IF(G759="❌ Отменена","✖ ",IF(AND(F759&lt;&gt;"",F759&lt;TODAY()),"❗ ","☐ ")))&amp;B759&amp;IF(E759="🔥 Высокий"," 🔥",""))</f>
        <v/>
      </c>
      <c r="L759" s="54">
        <f>IF(OR(B759="",F759="",G759="❌ Отменена"),"",F759&amp;"#"&amp;COUNTIFS($F$5:F759,F759,$B$5:B759,"?*",$G$5:G759,"&lt;&gt;❌ Отменена"))</f>
        <v/>
      </c>
      <c r="M759" s="54">
        <f>IF(AND(B759&lt;&gt;"",F759&lt;&gt;"",F759&lt;TODAY(),AND(G759&lt;&gt;"✅ Выполнена",G759&lt;&gt;"❌ Отменена")),MAX($M$4:M758)+1,"")</f>
        <v/>
      </c>
    </row>
    <row r="760">
      <c r="A760" s="49">
        <f>IF(B760="","",COUNTA($B$5:B760))</f>
        <v/>
      </c>
      <c r="B760" s="50" t="n"/>
      <c r="C760" s="51" t="n"/>
      <c r="D760" s="51" t="n"/>
      <c r="E760" s="52" t="n"/>
      <c r="F760" s="53" t="n"/>
      <c r="G760" s="51" t="n"/>
      <c r="H760" s="53" t="n"/>
      <c r="I760" s="51" t="n"/>
      <c r="J760" s="54">
        <f>IF(OR(B760="",F760="",NOT(AND(G760&lt;&gt;"✅ Выполнена",G760&lt;&gt;"❌ Отменена"))),"",IF(F760&lt;TODAY(),"❗ просрочено "&amp;(TODAY()-F760)&amp;" дн.",IF(F760=TODAY(),"🔥 сегодня",IF(F760-TODAY()&lt;=3,"⏳ через "&amp;(F760-TODAY())&amp;" дн.",""))))</f>
        <v/>
      </c>
      <c r="K760" s="54">
        <f>IF(B760="","",IF(G760="✅ Выполнена","✔ ",IF(G760="❌ Отменена","✖ ",IF(AND(F760&lt;&gt;"",F760&lt;TODAY()),"❗ ","☐ ")))&amp;B760&amp;IF(E760="🔥 Высокий"," 🔥",""))</f>
        <v/>
      </c>
      <c r="L760" s="54">
        <f>IF(OR(B760="",F760="",G760="❌ Отменена"),"",F760&amp;"#"&amp;COUNTIFS($F$5:F760,F760,$B$5:B760,"?*",$G$5:G760,"&lt;&gt;❌ Отменена"))</f>
        <v/>
      </c>
      <c r="M760" s="54">
        <f>IF(AND(B760&lt;&gt;"",F760&lt;&gt;"",F760&lt;TODAY(),AND(G760&lt;&gt;"✅ Выполнена",G760&lt;&gt;"❌ Отменена")),MAX($M$4:M759)+1,"")</f>
        <v/>
      </c>
    </row>
    <row r="761">
      <c r="A761" s="49">
        <f>IF(B761="","",COUNTA($B$5:B761))</f>
        <v/>
      </c>
      <c r="B761" s="50" t="n"/>
      <c r="C761" s="51" t="n"/>
      <c r="D761" s="51" t="n"/>
      <c r="E761" s="52" t="n"/>
      <c r="F761" s="53" t="n"/>
      <c r="G761" s="51" t="n"/>
      <c r="H761" s="53" t="n"/>
      <c r="I761" s="51" t="n"/>
      <c r="J761" s="54">
        <f>IF(OR(B761="",F761="",NOT(AND(G761&lt;&gt;"✅ Выполнена",G761&lt;&gt;"❌ Отменена"))),"",IF(F761&lt;TODAY(),"❗ просрочено "&amp;(TODAY()-F761)&amp;" дн.",IF(F761=TODAY(),"🔥 сегодня",IF(F761-TODAY()&lt;=3,"⏳ через "&amp;(F761-TODAY())&amp;" дн.",""))))</f>
        <v/>
      </c>
      <c r="K761" s="54">
        <f>IF(B761="","",IF(G761="✅ Выполнена","✔ ",IF(G761="❌ Отменена","✖ ",IF(AND(F761&lt;&gt;"",F761&lt;TODAY()),"❗ ","☐ ")))&amp;B761&amp;IF(E761="🔥 Высокий"," 🔥",""))</f>
        <v/>
      </c>
      <c r="L761" s="54">
        <f>IF(OR(B761="",F761="",G761="❌ Отменена"),"",F761&amp;"#"&amp;COUNTIFS($F$5:F761,F761,$B$5:B761,"?*",$G$5:G761,"&lt;&gt;❌ Отменена"))</f>
        <v/>
      </c>
      <c r="M761" s="54">
        <f>IF(AND(B761&lt;&gt;"",F761&lt;&gt;"",F761&lt;TODAY(),AND(G761&lt;&gt;"✅ Выполнена",G761&lt;&gt;"❌ Отменена")),MAX($M$4:M760)+1,"")</f>
        <v/>
      </c>
    </row>
    <row r="762">
      <c r="A762" s="49">
        <f>IF(B762="","",COUNTA($B$5:B762))</f>
        <v/>
      </c>
      <c r="B762" s="50" t="n"/>
      <c r="C762" s="51" t="n"/>
      <c r="D762" s="51" t="n"/>
      <c r="E762" s="52" t="n"/>
      <c r="F762" s="53" t="n"/>
      <c r="G762" s="51" t="n"/>
      <c r="H762" s="53" t="n"/>
      <c r="I762" s="51" t="n"/>
      <c r="J762" s="54">
        <f>IF(OR(B762="",F762="",NOT(AND(G762&lt;&gt;"✅ Выполнена",G762&lt;&gt;"❌ Отменена"))),"",IF(F762&lt;TODAY(),"❗ просрочено "&amp;(TODAY()-F762)&amp;" дн.",IF(F762=TODAY(),"🔥 сегодня",IF(F762-TODAY()&lt;=3,"⏳ через "&amp;(F762-TODAY())&amp;" дн.",""))))</f>
        <v/>
      </c>
      <c r="K762" s="54">
        <f>IF(B762="","",IF(G762="✅ Выполнена","✔ ",IF(G762="❌ Отменена","✖ ",IF(AND(F762&lt;&gt;"",F762&lt;TODAY()),"❗ ","☐ ")))&amp;B762&amp;IF(E762="🔥 Высокий"," 🔥",""))</f>
        <v/>
      </c>
      <c r="L762" s="54">
        <f>IF(OR(B762="",F762="",G762="❌ Отменена"),"",F762&amp;"#"&amp;COUNTIFS($F$5:F762,F762,$B$5:B762,"?*",$G$5:G762,"&lt;&gt;❌ Отменена"))</f>
        <v/>
      </c>
      <c r="M762" s="54">
        <f>IF(AND(B762&lt;&gt;"",F762&lt;&gt;"",F762&lt;TODAY(),AND(G762&lt;&gt;"✅ Выполнена",G762&lt;&gt;"❌ Отменена")),MAX($M$4:M761)+1,"")</f>
        <v/>
      </c>
    </row>
    <row r="763">
      <c r="A763" s="49">
        <f>IF(B763="","",COUNTA($B$5:B763))</f>
        <v/>
      </c>
      <c r="B763" s="50" t="n"/>
      <c r="C763" s="51" t="n"/>
      <c r="D763" s="51" t="n"/>
      <c r="E763" s="52" t="n"/>
      <c r="F763" s="53" t="n"/>
      <c r="G763" s="51" t="n"/>
      <c r="H763" s="53" t="n"/>
      <c r="I763" s="51" t="n"/>
      <c r="J763" s="54">
        <f>IF(OR(B763="",F763="",NOT(AND(G763&lt;&gt;"✅ Выполнена",G763&lt;&gt;"❌ Отменена"))),"",IF(F763&lt;TODAY(),"❗ просрочено "&amp;(TODAY()-F763)&amp;" дн.",IF(F763=TODAY(),"🔥 сегодня",IF(F763-TODAY()&lt;=3,"⏳ через "&amp;(F763-TODAY())&amp;" дн.",""))))</f>
        <v/>
      </c>
      <c r="K763" s="54">
        <f>IF(B763="","",IF(G763="✅ Выполнена","✔ ",IF(G763="❌ Отменена","✖ ",IF(AND(F763&lt;&gt;"",F763&lt;TODAY()),"❗ ","☐ ")))&amp;B763&amp;IF(E763="🔥 Высокий"," 🔥",""))</f>
        <v/>
      </c>
      <c r="L763" s="54">
        <f>IF(OR(B763="",F763="",G763="❌ Отменена"),"",F763&amp;"#"&amp;COUNTIFS($F$5:F763,F763,$B$5:B763,"?*",$G$5:G763,"&lt;&gt;❌ Отменена"))</f>
        <v/>
      </c>
      <c r="M763" s="54">
        <f>IF(AND(B763&lt;&gt;"",F763&lt;&gt;"",F763&lt;TODAY(),AND(G763&lt;&gt;"✅ Выполнена",G763&lt;&gt;"❌ Отменена")),MAX($M$4:M762)+1,"")</f>
        <v/>
      </c>
    </row>
    <row r="764">
      <c r="A764" s="49">
        <f>IF(B764="","",COUNTA($B$5:B764))</f>
        <v/>
      </c>
      <c r="B764" s="50" t="n"/>
      <c r="C764" s="51" t="n"/>
      <c r="D764" s="51" t="n"/>
      <c r="E764" s="52" t="n"/>
      <c r="F764" s="53" t="n"/>
      <c r="G764" s="51" t="n"/>
      <c r="H764" s="53" t="n"/>
      <c r="I764" s="51" t="n"/>
      <c r="J764" s="54">
        <f>IF(OR(B764="",F764="",NOT(AND(G764&lt;&gt;"✅ Выполнена",G764&lt;&gt;"❌ Отменена"))),"",IF(F764&lt;TODAY(),"❗ просрочено "&amp;(TODAY()-F764)&amp;" дн.",IF(F764=TODAY(),"🔥 сегодня",IF(F764-TODAY()&lt;=3,"⏳ через "&amp;(F764-TODAY())&amp;" дн.",""))))</f>
        <v/>
      </c>
      <c r="K764" s="54">
        <f>IF(B764="","",IF(G764="✅ Выполнена","✔ ",IF(G764="❌ Отменена","✖ ",IF(AND(F764&lt;&gt;"",F764&lt;TODAY()),"❗ ","☐ ")))&amp;B764&amp;IF(E764="🔥 Высокий"," 🔥",""))</f>
        <v/>
      </c>
      <c r="L764" s="54">
        <f>IF(OR(B764="",F764="",G764="❌ Отменена"),"",F764&amp;"#"&amp;COUNTIFS($F$5:F764,F764,$B$5:B764,"?*",$G$5:G764,"&lt;&gt;❌ Отменена"))</f>
        <v/>
      </c>
      <c r="M764" s="54">
        <f>IF(AND(B764&lt;&gt;"",F764&lt;&gt;"",F764&lt;TODAY(),AND(G764&lt;&gt;"✅ Выполнена",G764&lt;&gt;"❌ Отменена")),MAX($M$4:M763)+1,"")</f>
        <v/>
      </c>
    </row>
    <row r="765">
      <c r="A765" s="49">
        <f>IF(B765="","",COUNTA($B$5:B765))</f>
        <v/>
      </c>
      <c r="B765" s="50" t="n"/>
      <c r="C765" s="51" t="n"/>
      <c r="D765" s="51" t="n"/>
      <c r="E765" s="52" t="n"/>
      <c r="F765" s="53" t="n"/>
      <c r="G765" s="51" t="n"/>
      <c r="H765" s="53" t="n"/>
      <c r="I765" s="51" t="n"/>
      <c r="J765" s="54">
        <f>IF(OR(B765="",F765="",NOT(AND(G765&lt;&gt;"✅ Выполнена",G765&lt;&gt;"❌ Отменена"))),"",IF(F765&lt;TODAY(),"❗ просрочено "&amp;(TODAY()-F765)&amp;" дн.",IF(F765=TODAY(),"🔥 сегодня",IF(F765-TODAY()&lt;=3,"⏳ через "&amp;(F765-TODAY())&amp;" дн.",""))))</f>
        <v/>
      </c>
      <c r="K765" s="54">
        <f>IF(B765="","",IF(G765="✅ Выполнена","✔ ",IF(G765="❌ Отменена","✖ ",IF(AND(F765&lt;&gt;"",F765&lt;TODAY()),"❗ ","☐ ")))&amp;B765&amp;IF(E765="🔥 Высокий"," 🔥",""))</f>
        <v/>
      </c>
      <c r="L765" s="54">
        <f>IF(OR(B765="",F765="",G765="❌ Отменена"),"",F765&amp;"#"&amp;COUNTIFS($F$5:F765,F765,$B$5:B765,"?*",$G$5:G765,"&lt;&gt;❌ Отменена"))</f>
        <v/>
      </c>
      <c r="M765" s="54">
        <f>IF(AND(B765&lt;&gt;"",F765&lt;&gt;"",F765&lt;TODAY(),AND(G765&lt;&gt;"✅ Выполнена",G765&lt;&gt;"❌ Отменена")),MAX($M$4:M764)+1,"")</f>
        <v/>
      </c>
    </row>
    <row r="766">
      <c r="A766" s="49">
        <f>IF(B766="","",COUNTA($B$5:B766))</f>
        <v/>
      </c>
      <c r="B766" s="50" t="n"/>
      <c r="C766" s="51" t="n"/>
      <c r="D766" s="51" t="n"/>
      <c r="E766" s="52" t="n"/>
      <c r="F766" s="53" t="n"/>
      <c r="G766" s="51" t="n"/>
      <c r="H766" s="53" t="n"/>
      <c r="I766" s="51" t="n"/>
      <c r="J766" s="54">
        <f>IF(OR(B766="",F766="",NOT(AND(G766&lt;&gt;"✅ Выполнена",G766&lt;&gt;"❌ Отменена"))),"",IF(F766&lt;TODAY(),"❗ просрочено "&amp;(TODAY()-F766)&amp;" дн.",IF(F766=TODAY(),"🔥 сегодня",IF(F766-TODAY()&lt;=3,"⏳ через "&amp;(F766-TODAY())&amp;" дн.",""))))</f>
        <v/>
      </c>
      <c r="K766" s="54">
        <f>IF(B766="","",IF(G766="✅ Выполнена","✔ ",IF(G766="❌ Отменена","✖ ",IF(AND(F766&lt;&gt;"",F766&lt;TODAY()),"❗ ","☐ ")))&amp;B766&amp;IF(E766="🔥 Высокий"," 🔥",""))</f>
        <v/>
      </c>
      <c r="L766" s="54">
        <f>IF(OR(B766="",F766="",G766="❌ Отменена"),"",F766&amp;"#"&amp;COUNTIFS($F$5:F766,F766,$B$5:B766,"?*",$G$5:G766,"&lt;&gt;❌ Отменена"))</f>
        <v/>
      </c>
      <c r="M766" s="54">
        <f>IF(AND(B766&lt;&gt;"",F766&lt;&gt;"",F766&lt;TODAY(),AND(G766&lt;&gt;"✅ Выполнена",G766&lt;&gt;"❌ Отменена")),MAX($M$4:M765)+1,"")</f>
        <v/>
      </c>
    </row>
    <row r="767">
      <c r="A767" s="49">
        <f>IF(B767="","",COUNTA($B$5:B767))</f>
        <v/>
      </c>
      <c r="B767" s="50" t="n"/>
      <c r="C767" s="51" t="n"/>
      <c r="D767" s="51" t="n"/>
      <c r="E767" s="52" t="n"/>
      <c r="F767" s="53" t="n"/>
      <c r="G767" s="51" t="n"/>
      <c r="H767" s="53" t="n"/>
      <c r="I767" s="51" t="n"/>
      <c r="J767" s="54">
        <f>IF(OR(B767="",F767="",NOT(AND(G767&lt;&gt;"✅ Выполнена",G767&lt;&gt;"❌ Отменена"))),"",IF(F767&lt;TODAY(),"❗ просрочено "&amp;(TODAY()-F767)&amp;" дн.",IF(F767=TODAY(),"🔥 сегодня",IF(F767-TODAY()&lt;=3,"⏳ через "&amp;(F767-TODAY())&amp;" дн.",""))))</f>
        <v/>
      </c>
      <c r="K767" s="54">
        <f>IF(B767="","",IF(G767="✅ Выполнена","✔ ",IF(G767="❌ Отменена","✖ ",IF(AND(F767&lt;&gt;"",F767&lt;TODAY()),"❗ ","☐ ")))&amp;B767&amp;IF(E767="🔥 Высокий"," 🔥",""))</f>
        <v/>
      </c>
      <c r="L767" s="54">
        <f>IF(OR(B767="",F767="",G767="❌ Отменена"),"",F767&amp;"#"&amp;COUNTIFS($F$5:F767,F767,$B$5:B767,"?*",$G$5:G767,"&lt;&gt;❌ Отменена"))</f>
        <v/>
      </c>
      <c r="M767" s="54">
        <f>IF(AND(B767&lt;&gt;"",F767&lt;&gt;"",F767&lt;TODAY(),AND(G767&lt;&gt;"✅ Выполнена",G767&lt;&gt;"❌ Отменена")),MAX($M$4:M766)+1,"")</f>
        <v/>
      </c>
    </row>
    <row r="768">
      <c r="A768" s="49">
        <f>IF(B768="","",COUNTA($B$5:B768))</f>
        <v/>
      </c>
      <c r="B768" s="50" t="n"/>
      <c r="C768" s="51" t="n"/>
      <c r="D768" s="51" t="n"/>
      <c r="E768" s="52" t="n"/>
      <c r="F768" s="53" t="n"/>
      <c r="G768" s="51" t="n"/>
      <c r="H768" s="53" t="n"/>
      <c r="I768" s="51" t="n"/>
      <c r="J768" s="54">
        <f>IF(OR(B768="",F768="",NOT(AND(G768&lt;&gt;"✅ Выполнена",G768&lt;&gt;"❌ Отменена"))),"",IF(F768&lt;TODAY(),"❗ просрочено "&amp;(TODAY()-F768)&amp;" дн.",IF(F768=TODAY(),"🔥 сегодня",IF(F768-TODAY()&lt;=3,"⏳ через "&amp;(F768-TODAY())&amp;" дн.",""))))</f>
        <v/>
      </c>
      <c r="K768" s="54">
        <f>IF(B768="","",IF(G768="✅ Выполнена","✔ ",IF(G768="❌ Отменена","✖ ",IF(AND(F768&lt;&gt;"",F768&lt;TODAY()),"❗ ","☐ ")))&amp;B768&amp;IF(E768="🔥 Высокий"," 🔥",""))</f>
        <v/>
      </c>
      <c r="L768" s="54">
        <f>IF(OR(B768="",F768="",G768="❌ Отменена"),"",F768&amp;"#"&amp;COUNTIFS($F$5:F768,F768,$B$5:B768,"?*",$G$5:G768,"&lt;&gt;❌ Отменена"))</f>
        <v/>
      </c>
      <c r="M768" s="54">
        <f>IF(AND(B768&lt;&gt;"",F768&lt;&gt;"",F768&lt;TODAY(),AND(G768&lt;&gt;"✅ Выполнена",G768&lt;&gt;"❌ Отменена")),MAX($M$4:M767)+1,"")</f>
        <v/>
      </c>
    </row>
    <row r="769">
      <c r="A769" s="49">
        <f>IF(B769="","",COUNTA($B$5:B769))</f>
        <v/>
      </c>
      <c r="B769" s="50" t="n"/>
      <c r="C769" s="51" t="n"/>
      <c r="D769" s="51" t="n"/>
      <c r="E769" s="52" t="n"/>
      <c r="F769" s="53" t="n"/>
      <c r="G769" s="51" t="n"/>
      <c r="H769" s="53" t="n"/>
      <c r="I769" s="51" t="n"/>
      <c r="J769" s="54">
        <f>IF(OR(B769="",F769="",NOT(AND(G769&lt;&gt;"✅ Выполнена",G769&lt;&gt;"❌ Отменена"))),"",IF(F769&lt;TODAY(),"❗ просрочено "&amp;(TODAY()-F769)&amp;" дн.",IF(F769=TODAY(),"🔥 сегодня",IF(F769-TODAY()&lt;=3,"⏳ через "&amp;(F769-TODAY())&amp;" дн.",""))))</f>
        <v/>
      </c>
      <c r="K769" s="54">
        <f>IF(B769="","",IF(G769="✅ Выполнена","✔ ",IF(G769="❌ Отменена","✖ ",IF(AND(F769&lt;&gt;"",F769&lt;TODAY()),"❗ ","☐ ")))&amp;B769&amp;IF(E769="🔥 Высокий"," 🔥",""))</f>
        <v/>
      </c>
      <c r="L769" s="54">
        <f>IF(OR(B769="",F769="",G769="❌ Отменена"),"",F769&amp;"#"&amp;COUNTIFS($F$5:F769,F769,$B$5:B769,"?*",$G$5:G769,"&lt;&gt;❌ Отменена"))</f>
        <v/>
      </c>
      <c r="M769" s="54">
        <f>IF(AND(B769&lt;&gt;"",F769&lt;&gt;"",F769&lt;TODAY(),AND(G769&lt;&gt;"✅ Выполнена",G769&lt;&gt;"❌ Отменена")),MAX($M$4:M768)+1,"")</f>
        <v/>
      </c>
    </row>
    <row r="770">
      <c r="A770" s="49">
        <f>IF(B770="","",COUNTA($B$5:B770))</f>
        <v/>
      </c>
      <c r="B770" s="50" t="n"/>
      <c r="C770" s="51" t="n"/>
      <c r="D770" s="51" t="n"/>
      <c r="E770" s="52" t="n"/>
      <c r="F770" s="53" t="n"/>
      <c r="G770" s="51" t="n"/>
      <c r="H770" s="53" t="n"/>
      <c r="I770" s="51" t="n"/>
      <c r="J770" s="54">
        <f>IF(OR(B770="",F770="",NOT(AND(G770&lt;&gt;"✅ Выполнена",G770&lt;&gt;"❌ Отменена"))),"",IF(F770&lt;TODAY(),"❗ просрочено "&amp;(TODAY()-F770)&amp;" дн.",IF(F770=TODAY(),"🔥 сегодня",IF(F770-TODAY()&lt;=3,"⏳ через "&amp;(F770-TODAY())&amp;" дн.",""))))</f>
        <v/>
      </c>
      <c r="K770" s="54">
        <f>IF(B770="","",IF(G770="✅ Выполнена","✔ ",IF(G770="❌ Отменена","✖ ",IF(AND(F770&lt;&gt;"",F770&lt;TODAY()),"❗ ","☐ ")))&amp;B770&amp;IF(E770="🔥 Высокий"," 🔥",""))</f>
        <v/>
      </c>
      <c r="L770" s="54">
        <f>IF(OR(B770="",F770="",G770="❌ Отменена"),"",F770&amp;"#"&amp;COUNTIFS($F$5:F770,F770,$B$5:B770,"?*",$G$5:G770,"&lt;&gt;❌ Отменена"))</f>
        <v/>
      </c>
      <c r="M770" s="54">
        <f>IF(AND(B770&lt;&gt;"",F770&lt;&gt;"",F770&lt;TODAY(),AND(G770&lt;&gt;"✅ Выполнена",G770&lt;&gt;"❌ Отменена")),MAX($M$4:M769)+1,"")</f>
        <v/>
      </c>
    </row>
    <row r="771">
      <c r="A771" s="49">
        <f>IF(B771="","",COUNTA($B$5:B771))</f>
        <v/>
      </c>
      <c r="B771" s="50" t="n"/>
      <c r="C771" s="51" t="n"/>
      <c r="D771" s="51" t="n"/>
      <c r="E771" s="52" t="n"/>
      <c r="F771" s="53" t="n"/>
      <c r="G771" s="51" t="n"/>
      <c r="H771" s="53" t="n"/>
      <c r="I771" s="51" t="n"/>
      <c r="J771" s="54">
        <f>IF(OR(B771="",F771="",NOT(AND(G771&lt;&gt;"✅ Выполнена",G771&lt;&gt;"❌ Отменена"))),"",IF(F771&lt;TODAY(),"❗ просрочено "&amp;(TODAY()-F771)&amp;" дн.",IF(F771=TODAY(),"🔥 сегодня",IF(F771-TODAY()&lt;=3,"⏳ через "&amp;(F771-TODAY())&amp;" дн.",""))))</f>
        <v/>
      </c>
      <c r="K771" s="54">
        <f>IF(B771="","",IF(G771="✅ Выполнена","✔ ",IF(G771="❌ Отменена","✖ ",IF(AND(F771&lt;&gt;"",F771&lt;TODAY()),"❗ ","☐ ")))&amp;B771&amp;IF(E771="🔥 Высокий"," 🔥",""))</f>
        <v/>
      </c>
      <c r="L771" s="54">
        <f>IF(OR(B771="",F771="",G771="❌ Отменена"),"",F771&amp;"#"&amp;COUNTIFS($F$5:F771,F771,$B$5:B771,"?*",$G$5:G771,"&lt;&gt;❌ Отменена"))</f>
        <v/>
      </c>
      <c r="M771" s="54">
        <f>IF(AND(B771&lt;&gt;"",F771&lt;&gt;"",F771&lt;TODAY(),AND(G771&lt;&gt;"✅ Выполнена",G771&lt;&gt;"❌ Отменена")),MAX($M$4:M770)+1,"")</f>
        <v/>
      </c>
    </row>
    <row r="772">
      <c r="A772" s="49">
        <f>IF(B772="","",COUNTA($B$5:B772))</f>
        <v/>
      </c>
      <c r="B772" s="50" t="n"/>
      <c r="C772" s="51" t="n"/>
      <c r="D772" s="51" t="n"/>
      <c r="E772" s="52" t="n"/>
      <c r="F772" s="53" t="n"/>
      <c r="G772" s="51" t="n"/>
      <c r="H772" s="53" t="n"/>
      <c r="I772" s="51" t="n"/>
      <c r="J772" s="54">
        <f>IF(OR(B772="",F772="",NOT(AND(G772&lt;&gt;"✅ Выполнена",G772&lt;&gt;"❌ Отменена"))),"",IF(F772&lt;TODAY(),"❗ просрочено "&amp;(TODAY()-F772)&amp;" дн.",IF(F772=TODAY(),"🔥 сегодня",IF(F772-TODAY()&lt;=3,"⏳ через "&amp;(F772-TODAY())&amp;" дн.",""))))</f>
        <v/>
      </c>
      <c r="K772" s="54">
        <f>IF(B772="","",IF(G772="✅ Выполнена","✔ ",IF(G772="❌ Отменена","✖ ",IF(AND(F772&lt;&gt;"",F772&lt;TODAY()),"❗ ","☐ ")))&amp;B772&amp;IF(E772="🔥 Высокий"," 🔥",""))</f>
        <v/>
      </c>
      <c r="L772" s="54">
        <f>IF(OR(B772="",F772="",G772="❌ Отменена"),"",F772&amp;"#"&amp;COUNTIFS($F$5:F772,F772,$B$5:B772,"?*",$G$5:G772,"&lt;&gt;❌ Отменена"))</f>
        <v/>
      </c>
      <c r="M772" s="54">
        <f>IF(AND(B772&lt;&gt;"",F772&lt;&gt;"",F772&lt;TODAY(),AND(G772&lt;&gt;"✅ Выполнена",G772&lt;&gt;"❌ Отменена")),MAX($M$4:M771)+1,"")</f>
        <v/>
      </c>
    </row>
    <row r="773">
      <c r="A773" s="49">
        <f>IF(B773="","",COUNTA($B$5:B773))</f>
        <v/>
      </c>
      <c r="B773" s="50" t="n"/>
      <c r="C773" s="51" t="n"/>
      <c r="D773" s="51" t="n"/>
      <c r="E773" s="52" t="n"/>
      <c r="F773" s="53" t="n"/>
      <c r="G773" s="51" t="n"/>
      <c r="H773" s="53" t="n"/>
      <c r="I773" s="51" t="n"/>
      <c r="J773" s="54">
        <f>IF(OR(B773="",F773="",NOT(AND(G773&lt;&gt;"✅ Выполнена",G773&lt;&gt;"❌ Отменена"))),"",IF(F773&lt;TODAY(),"❗ просрочено "&amp;(TODAY()-F773)&amp;" дн.",IF(F773=TODAY(),"🔥 сегодня",IF(F773-TODAY()&lt;=3,"⏳ через "&amp;(F773-TODAY())&amp;" дн.",""))))</f>
        <v/>
      </c>
      <c r="K773" s="54">
        <f>IF(B773="","",IF(G773="✅ Выполнена","✔ ",IF(G773="❌ Отменена","✖ ",IF(AND(F773&lt;&gt;"",F773&lt;TODAY()),"❗ ","☐ ")))&amp;B773&amp;IF(E773="🔥 Высокий"," 🔥",""))</f>
        <v/>
      </c>
      <c r="L773" s="54">
        <f>IF(OR(B773="",F773="",G773="❌ Отменена"),"",F773&amp;"#"&amp;COUNTIFS($F$5:F773,F773,$B$5:B773,"?*",$G$5:G773,"&lt;&gt;❌ Отменена"))</f>
        <v/>
      </c>
      <c r="M773" s="54">
        <f>IF(AND(B773&lt;&gt;"",F773&lt;&gt;"",F773&lt;TODAY(),AND(G773&lt;&gt;"✅ Выполнена",G773&lt;&gt;"❌ Отменена")),MAX($M$4:M772)+1,"")</f>
        <v/>
      </c>
    </row>
    <row r="774">
      <c r="A774" s="49">
        <f>IF(B774="","",COUNTA($B$5:B774))</f>
        <v/>
      </c>
      <c r="B774" s="50" t="n"/>
      <c r="C774" s="51" t="n"/>
      <c r="D774" s="51" t="n"/>
      <c r="E774" s="52" t="n"/>
      <c r="F774" s="53" t="n"/>
      <c r="G774" s="51" t="n"/>
      <c r="H774" s="53" t="n"/>
      <c r="I774" s="51" t="n"/>
      <c r="J774" s="54">
        <f>IF(OR(B774="",F774="",NOT(AND(G774&lt;&gt;"✅ Выполнена",G774&lt;&gt;"❌ Отменена"))),"",IF(F774&lt;TODAY(),"❗ просрочено "&amp;(TODAY()-F774)&amp;" дн.",IF(F774=TODAY(),"🔥 сегодня",IF(F774-TODAY()&lt;=3,"⏳ через "&amp;(F774-TODAY())&amp;" дн.",""))))</f>
        <v/>
      </c>
      <c r="K774" s="54">
        <f>IF(B774="","",IF(G774="✅ Выполнена","✔ ",IF(G774="❌ Отменена","✖ ",IF(AND(F774&lt;&gt;"",F774&lt;TODAY()),"❗ ","☐ ")))&amp;B774&amp;IF(E774="🔥 Высокий"," 🔥",""))</f>
        <v/>
      </c>
      <c r="L774" s="54">
        <f>IF(OR(B774="",F774="",G774="❌ Отменена"),"",F774&amp;"#"&amp;COUNTIFS($F$5:F774,F774,$B$5:B774,"?*",$G$5:G774,"&lt;&gt;❌ Отменена"))</f>
        <v/>
      </c>
      <c r="M774" s="54">
        <f>IF(AND(B774&lt;&gt;"",F774&lt;&gt;"",F774&lt;TODAY(),AND(G774&lt;&gt;"✅ Выполнена",G774&lt;&gt;"❌ Отменена")),MAX($M$4:M773)+1,"")</f>
        <v/>
      </c>
    </row>
    <row r="775">
      <c r="A775" s="49">
        <f>IF(B775="","",COUNTA($B$5:B775))</f>
        <v/>
      </c>
      <c r="B775" s="50" t="n"/>
      <c r="C775" s="51" t="n"/>
      <c r="D775" s="51" t="n"/>
      <c r="E775" s="52" t="n"/>
      <c r="F775" s="53" t="n"/>
      <c r="G775" s="51" t="n"/>
      <c r="H775" s="53" t="n"/>
      <c r="I775" s="51" t="n"/>
      <c r="J775" s="54">
        <f>IF(OR(B775="",F775="",NOT(AND(G775&lt;&gt;"✅ Выполнена",G775&lt;&gt;"❌ Отменена"))),"",IF(F775&lt;TODAY(),"❗ просрочено "&amp;(TODAY()-F775)&amp;" дн.",IF(F775=TODAY(),"🔥 сегодня",IF(F775-TODAY()&lt;=3,"⏳ через "&amp;(F775-TODAY())&amp;" дн.",""))))</f>
        <v/>
      </c>
      <c r="K775" s="54">
        <f>IF(B775="","",IF(G775="✅ Выполнена","✔ ",IF(G775="❌ Отменена","✖ ",IF(AND(F775&lt;&gt;"",F775&lt;TODAY()),"❗ ","☐ ")))&amp;B775&amp;IF(E775="🔥 Высокий"," 🔥",""))</f>
        <v/>
      </c>
      <c r="L775" s="54">
        <f>IF(OR(B775="",F775="",G775="❌ Отменена"),"",F775&amp;"#"&amp;COUNTIFS($F$5:F775,F775,$B$5:B775,"?*",$G$5:G775,"&lt;&gt;❌ Отменена"))</f>
        <v/>
      </c>
      <c r="M775" s="54">
        <f>IF(AND(B775&lt;&gt;"",F775&lt;&gt;"",F775&lt;TODAY(),AND(G775&lt;&gt;"✅ Выполнена",G775&lt;&gt;"❌ Отменена")),MAX($M$4:M774)+1,"")</f>
        <v/>
      </c>
    </row>
    <row r="776">
      <c r="A776" s="49">
        <f>IF(B776="","",COUNTA($B$5:B776))</f>
        <v/>
      </c>
      <c r="B776" s="50" t="n"/>
      <c r="C776" s="51" t="n"/>
      <c r="D776" s="51" t="n"/>
      <c r="E776" s="52" t="n"/>
      <c r="F776" s="53" t="n"/>
      <c r="G776" s="51" t="n"/>
      <c r="H776" s="53" t="n"/>
      <c r="I776" s="51" t="n"/>
      <c r="J776" s="54">
        <f>IF(OR(B776="",F776="",NOT(AND(G776&lt;&gt;"✅ Выполнена",G776&lt;&gt;"❌ Отменена"))),"",IF(F776&lt;TODAY(),"❗ просрочено "&amp;(TODAY()-F776)&amp;" дн.",IF(F776=TODAY(),"🔥 сегодня",IF(F776-TODAY()&lt;=3,"⏳ через "&amp;(F776-TODAY())&amp;" дн.",""))))</f>
        <v/>
      </c>
      <c r="K776" s="54">
        <f>IF(B776="","",IF(G776="✅ Выполнена","✔ ",IF(G776="❌ Отменена","✖ ",IF(AND(F776&lt;&gt;"",F776&lt;TODAY()),"❗ ","☐ ")))&amp;B776&amp;IF(E776="🔥 Высокий"," 🔥",""))</f>
        <v/>
      </c>
      <c r="L776" s="54">
        <f>IF(OR(B776="",F776="",G776="❌ Отменена"),"",F776&amp;"#"&amp;COUNTIFS($F$5:F776,F776,$B$5:B776,"?*",$G$5:G776,"&lt;&gt;❌ Отменена"))</f>
        <v/>
      </c>
      <c r="M776" s="54">
        <f>IF(AND(B776&lt;&gt;"",F776&lt;&gt;"",F776&lt;TODAY(),AND(G776&lt;&gt;"✅ Выполнена",G776&lt;&gt;"❌ Отменена")),MAX($M$4:M775)+1,"")</f>
        <v/>
      </c>
    </row>
    <row r="777">
      <c r="A777" s="49">
        <f>IF(B777="","",COUNTA($B$5:B777))</f>
        <v/>
      </c>
      <c r="B777" s="50" t="n"/>
      <c r="C777" s="51" t="n"/>
      <c r="D777" s="51" t="n"/>
      <c r="E777" s="52" t="n"/>
      <c r="F777" s="53" t="n"/>
      <c r="G777" s="51" t="n"/>
      <c r="H777" s="53" t="n"/>
      <c r="I777" s="51" t="n"/>
      <c r="J777" s="54">
        <f>IF(OR(B777="",F777="",NOT(AND(G777&lt;&gt;"✅ Выполнена",G777&lt;&gt;"❌ Отменена"))),"",IF(F777&lt;TODAY(),"❗ просрочено "&amp;(TODAY()-F777)&amp;" дн.",IF(F777=TODAY(),"🔥 сегодня",IF(F777-TODAY()&lt;=3,"⏳ через "&amp;(F777-TODAY())&amp;" дн.",""))))</f>
        <v/>
      </c>
      <c r="K777" s="54">
        <f>IF(B777="","",IF(G777="✅ Выполнена","✔ ",IF(G777="❌ Отменена","✖ ",IF(AND(F777&lt;&gt;"",F777&lt;TODAY()),"❗ ","☐ ")))&amp;B777&amp;IF(E777="🔥 Высокий"," 🔥",""))</f>
        <v/>
      </c>
      <c r="L777" s="54">
        <f>IF(OR(B777="",F777="",G777="❌ Отменена"),"",F777&amp;"#"&amp;COUNTIFS($F$5:F777,F777,$B$5:B777,"?*",$G$5:G777,"&lt;&gt;❌ Отменена"))</f>
        <v/>
      </c>
      <c r="M777" s="54">
        <f>IF(AND(B777&lt;&gt;"",F777&lt;&gt;"",F777&lt;TODAY(),AND(G777&lt;&gt;"✅ Выполнена",G777&lt;&gt;"❌ Отменена")),MAX($M$4:M776)+1,"")</f>
        <v/>
      </c>
    </row>
    <row r="778">
      <c r="A778" s="49">
        <f>IF(B778="","",COUNTA($B$5:B778))</f>
        <v/>
      </c>
      <c r="B778" s="50" t="n"/>
      <c r="C778" s="51" t="n"/>
      <c r="D778" s="51" t="n"/>
      <c r="E778" s="52" t="n"/>
      <c r="F778" s="53" t="n"/>
      <c r="G778" s="51" t="n"/>
      <c r="H778" s="53" t="n"/>
      <c r="I778" s="51" t="n"/>
      <c r="J778" s="54">
        <f>IF(OR(B778="",F778="",NOT(AND(G778&lt;&gt;"✅ Выполнена",G778&lt;&gt;"❌ Отменена"))),"",IF(F778&lt;TODAY(),"❗ просрочено "&amp;(TODAY()-F778)&amp;" дн.",IF(F778=TODAY(),"🔥 сегодня",IF(F778-TODAY()&lt;=3,"⏳ через "&amp;(F778-TODAY())&amp;" дн.",""))))</f>
        <v/>
      </c>
      <c r="K778" s="54">
        <f>IF(B778="","",IF(G778="✅ Выполнена","✔ ",IF(G778="❌ Отменена","✖ ",IF(AND(F778&lt;&gt;"",F778&lt;TODAY()),"❗ ","☐ ")))&amp;B778&amp;IF(E778="🔥 Высокий"," 🔥",""))</f>
        <v/>
      </c>
      <c r="L778" s="54">
        <f>IF(OR(B778="",F778="",G778="❌ Отменена"),"",F778&amp;"#"&amp;COUNTIFS($F$5:F778,F778,$B$5:B778,"?*",$G$5:G778,"&lt;&gt;❌ Отменена"))</f>
        <v/>
      </c>
      <c r="M778" s="54">
        <f>IF(AND(B778&lt;&gt;"",F778&lt;&gt;"",F778&lt;TODAY(),AND(G778&lt;&gt;"✅ Выполнена",G778&lt;&gt;"❌ Отменена")),MAX($M$4:M777)+1,"")</f>
        <v/>
      </c>
    </row>
    <row r="779">
      <c r="A779" s="49">
        <f>IF(B779="","",COUNTA($B$5:B779))</f>
        <v/>
      </c>
      <c r="B779" s="50" t="n"/>
      <c r="C779" s="51" t="n"/>
      <c r="D779" s="51" t="n"/>
      <c r="E779" s="52" t="n"/>
      <c r="F779" s="53" t="n"/>
      <c r="G779" s="51" t="n"/>
      <c r="H779" s="53" t="n"/>
      <c r="I779" s="51" t="n"/>
      <c r="J779" s="54">
        <f>IF(OR(B779="",F779="",NOT(AND(G779&lt;&gt;"✅ Выполнена",G779&lt;&gt;"❌ Отменена"))),"",IF(F779&lt;TODAY(),"❗ просрочено "&amp;(TODAY()-F779)&amp;" дн.",IF(F779=TODAY(),"🔥 сегодня",IF(F779-TODAY()&lt;=3,"⏳ через "&amp;(F779-TODAY())&amp;" дн.",""))))</f>
        <v/>
      </c>
      <c r="K779" s="54">
        <f>IF(B779="","",IF(G779="✅ Выполнена","✔ ",IF(G779="❌ Отменена","✖ ",IF(AND(F779&lt;&gt;"",F779&lt;TODAY()),"❗ ","☐ ")))&amp;B779&amp;IF(E779="🔥 Высокий"," 🔥",""))</f>
        <v/>
      </c>
      <c r="L779" s="54">
        <f>IF(OR(B779="",F779="",G779="❌ Отменена"),"",F779&amp;"#"&amp;COUNTIFS($F$5:F779,F779,$B$5:B779,"?*",$G$5:G779,"&lt;&gt;❌ Отменена"))</f>
        <v/>
      </c>
      <c r="M779" s="54">
        <f>IF(AND(B779&lt;&gt;"",F779&lt;&gt;"",F779&lt;TODAY(),AND(G779&lt;&gt;"✅ Выполнена",G779&lt;&gt;"❌ Отменена")),MAX($M$4:M778)+1,"")</f>
        <v/>
      </c>
    </row>
    <row r="780">
      <c r="A780" s="49">
        <f>IF(B780="","",COUNTA($B$5:B780))</f>
        <v/>
      </c>
      <c r="B780" s="50" t="n"/>
      <c r="C780" s="51" t="n"/>
      <c r="D780" s="51" t="n"/>
      <c r="E780" s="52" t="n"/>
      <c r="F780" s="53" t="n"/>
      <c r="G780" s="51" t="n"/>
      <c r="H780" s="53" t="n"/>
      <c r="I780" s="51" t="n"/>
      <c r="J780" s="54">
        <f>IF(OR(B780="",F780="",NOT(AND(G780&lt;&gt;"✅ Выполнена",G780&lt;&gt;"❌ Отменена"))),"",IF(F780&lt;TODAY(),"❗ просрочено "&amp;(TODAY()-F780)&amp;" дн.",IF(F780=TODAY(),"🔥 сегодня",IF(F780-TODAY()&lt;=3,"⏳ через "&amp;(F780-TODAY())&amp;" дн.",""))))</f>
        <v/>
      </c>
      <c r="K780" s="54">
        <f>IF(B780="","",IF(G780="✅ Выполнена","✔ ",IF(G780="❌ Отменена","✖ ",IF(AND(F780&lt;&gt;"",F780&lt;TODAY()),"❗ ","☐ ")))&amp;B780&amp;IF(E780="🔥 Высокий"," 🔥",""))</f>
        <v/>
      </c>
      <c r="L780" s="54">
        <f>IF(OR(B780="",F780="",G780="❌ Отменена"),"",F780&amp;"#"&amp;COUNTIFS($F$5:F780,F780,$B$5:B780,"?*",$G$5:G780,"&lt;&gt;❌ Отменена"))</f>
        <v/>
      </c>
      <c r="M780" s="54">
        <f>IF(AND(B780&lt;&gt;"",F780&lt;&gt;"",F780&lt;TODAY(),AND(G780&lt;&gt;"✅ Выполнена",G780&lt;&gt;"❌ Отменена")),MAX($M$4:M779)+1,"")</f>
        <v/>
      </c>
    </row>
    <row r="781">
      <c r="A781" s="49">
        <f>IF(B781="","",COUNTA($B$5:B781))</f>
        <v/>
      </c>
      <c r="B781" s="50" t="n"/>
      <c r="C781" s="51" t="n"/>
      <c r="D781" s="51" t="n"/>
      <c r="E781" s="52" t="n"/>
      <c r="F781" s="53" t="n"/>
      <c r="G781" s="51" t="n"/>
      <c r="H781" s="53" t="n"/>
      <c r="I781" s="51" t="n"/>
      <c r="J781" s="54">
        <f>IF(OR(B781="",F781="",NOT(AND(G781&lt;&gt;"✅ Выполнена",G781&lt;&gt;"❌ Отменена"))),"",IF(F781&lt;TODAY(),"❗ просрочено "&amp;(TODAY()-F781)&amp;" дн.",IF(F781=TODAY(),"🔥 сегодня",IF(F781-TODAY()&lt;=3,"⏳ через "&amp;(F781-TODAY())&amp;" дн.",""))))</f>
        <v/>
      </c>
      <c r="K781" s="54">
        <f>IF(B781="","",IF(G781="✅ Выполнена","✔ ",IF(G781="❌ Отменена","✖ ",IF(AND(F781&lt;&gt;"",F781&lt;TODAY()),"❗ ","☐ ")))&amp;B781&amp;IF(E781="🔥 Высокий"," 🔥",""))</f>
        <v/>
      </c>
      <c r="L781" s="54">
        <f>IF(OR(B781="",F781="",G781="❌ Отменена"),"",F781&amp;"#"&amp;COUNTIFS($F$5:F781,F781,$B$5:B781,"?*",$G$5:G781,"&lt;&gt;❌ Отменена"))</f>
        <v/>
      </c>
      <c r="M781" s="54">
        <f>IF(AND(B781&lt;&gt;"",F781&lt;&gt;"",F781&lt;TODAY(),AND(G781&lt;&gt;"✅ Выполнена",G781&lt;&gt;"❌ Отменена")),MAX($M$4:M780)+1,"")</f>
        <v/>
      </c>
    </row>
    <row r="782">
      <c r="A782" s="49">
        <f>IF(B782="","",COUNTA($B$5:B782))</f>
        <v/>
      </c>
      <c r="B782" s="50" t="n"/>
      <c r="C782" s="51" t="n"/>
      <c r="D782" s="51" t="n"/>
      <c r="E782" s="52" t="n"/>
      <c r="F782" s="53" t="n"/>
      <c r="G782" s="51" t="n"/>
      <c r="H782" s="53" t="n"/>
      <c r="I782" s="51" t="n"/>
      <c r="J782" s="54">
        <f>IF(OR(B782="",F782="",NOT(AND(G782&lt;&gt;"✅ Выполнена",G782&lt;&gt;"❌ Отменена"))),"",IF(F782&lt;TODAY(),"❗ просрочено "&amp;(TODAY()-F782)&amp;" дн.",IF(F782=TODAY(),"🔥 сегодня",IF(F782-TODAY()&lt;=3,"⏳ через "&amp;(F782-TODAY())&amp;" дн.",""))))</f>
        <v/>
      </c>
      <c r="K782" s="54">
        <f>IF(B782="","",IF(G782="✅ Выполнена","✔ ",IF(G782="❌ Отменена","✖ ",IF(AND(F782&lt;&gt;"",F782&lt;TODAY()),"❗ ","☐ ")))&amp;B782&amp;IF(E782="🔥 Высокий"," 🔥",""))</f>
        <v/>
      </c>
      <c r="L782" s="54">
        <f>IF(OR(B782="",F782="",G782="❌ Отменена"),"",F782&amp;"#"&amp;COUNTIFS($F$5:F782,F782,$B$5:B782,"?*",$G$5:G782,"&lt;&gt;❌ Отменена"))</f>
        <v/>
      </c>
      <c r="M782" s="54">
        <f>IF(AND(B782&lt;&gt;"",F782&lt;&gt;"",F782&lt;TODAY(),AND(G782&lt;&gt;"✅ Выполнена",G782&lt;&gt;"❌ Отменена")),MAX($M$4:M781)+1,"")</f>
        <v/>
      </c>
    </row>
    <row r="783">
      <c r="A783" s="49">
        <f>IF(B783="","",COUNTA($B$5:B783))</f>
        <v/>
      </c>
      <c r="B783" s="50" t="n"/>
      <c r="C783" s="51" t="n"/>
      <c r="D783" s="51" t="n"/>
      <c r="E783" s="52" t="n"/>
      <c r="F783" s="53" t="n"/>
      <c r="G783" s="51" t="n"/>
      <c r="H783" s="53" t="n"/>
      <c r="I783" s="51" t="n"/>
      <c r="J783" s="54">
        <f>IF(OR(B783="",F783="",NOT(AND(G783&lt;&gt;"✅ Выполнена",G783&lt;&gt;"❌ Отменена"))),"",IF(F783&lt;TODAY(),"❗ просрочено "&amp;(TODAY()-F783)&amp;" дн.",IF(F783=TODAY(),"🔥 сегодня",IF(F783-TODAY()&lt;=3,"⏳ через "&amp;(F783-TODAY())&amp;" дн.",""))))</f>
        <v/>
      </c>
      <c r="K783" s="54">
        <f>IF(B783="","",IF(G783="✅ Выполнена","✔ ",IF(G783="❌ Отменена","✖ ",IF(AND(F783&lt;&gt;"",F783&lt;TODAY()),"❗ ","☐ ")))&amp;B783&amp;IF(E783="🔥 Высокий"," 🔥",""))</f>
        <v/>
      </c>
      <c r="L783" s="54">
        <f>IF(OR(B783="",F783="",G783="❌ Отменена"),"",F783&amp;"#"&amp;COUNTIFS($F$5:F783,F783,$B$5:B783,"?*",$G$5:G783,"&lt;&gt;❌ Отменена"))</f>
        <v/>
      </c>
      <c r="M783" s="54">
        <f>IF(AND(B783&lt;&gt;"",F783&lt;&gt;"",F783&lt;TODAY(),AND(G783&lt;&gt;"✅ Выполнена",G783&lt;&gt;"❌ Отменена")),MAX($M$4:M782)+1,"")</f>
        <v/>
      </c>
    </row>
    <row r="784">
      <c r="A784" s="49">
        <f>IF(B784="","",COUNTA($B$5:B784))</f>
        <v/>
      </c>
      <c r="B784" s="50" t="n"/>
      <c r="C784" s="51" t="n"/>
      <c r="D784" s="51" t="n"/>
      <c r="E784" s="52" t="n"/>
      <c r="F784" s="53" t="n"/>
      <c r="G784" s="51" t="n"/>
      <c r="H784" s="53" t="n"/>
      <c r="I784" s="51" t="n"/>
      <c r="J784" s="54">
        <f>IF(OR(B784="",F784="",NOT(AND(G784&lt;&gt;"✅ Выполнена",G784&lt;&gt;"❌ Отменена"))),"",IF(F784&lt;TODAY(),"❗ просрочено "&amp;(TODAY()-F784)&amp;" дн.",IF(F784=TODAY(),"🔥 сегодня",IF(F784-TODAY()&lt;=3,"⏳ через "&amp;(F784-TODAY())&amp;" дн.",""))))</f>
        <v/>
      </c>
      <c r="K784" s="54">
        <f>IF(B784="","",IF(G784="✅ Выполнена","✔ ",IF(G784="❌ Отменена","✖ ",IF(AND(F784&lt;&gt;"",F784&lt;TODAY()),"❗ ","☐ ")))&amp;B784&amp;IF(E784="🔥 Высокий"," 🔥",""))</f>
        <v/>
      </c>
      <c r="L784" s="54">
        <f>IF(OR(B784="",F784="",G784="❌ Отменена"),"",F784&amp;"#"&amp;COUNTIFS($F$5:F784,F784,$B$5:B784,"?*",$G$5:G784,"&lt;&gt;❌ Отменена"))</f>
        <v/>
      </c>
      <c r="M784" s="54">
        <f>IF(AND(B784&lt;&gt;"",F784&lt;&gt;"",F784&lt;TODAY(),AND(G784&lt;&gt;"✅ Выполнена",G784&lt;&gt;"❌ Отменена")),MAX($M$4:M783)+1,"")</f>
        <v/>
      </c>
    </row>
    <row r="785">
      <c r="A785" s="49">
        <f>IF(B785="","",COUNTA($B$5:B785))</f>
        <v/>
      </c>
      <c r="B785" s="50" t="n"/>
      <c r="C785" s="51" t="n"/>
      <c r="D785" s="51" t="n"/>
      <c r="E785" s="52" t="n"/>
      <c r="F785" s="53" t="n"/>
      <c r="G785" s="51" t="n"/>
      <c r="H785" s="53" t="n"/>
      <c r="I785" s="51" t="n"/>
      <c r="J785" s="54">
        <f>IF(OR(B785="",F785="",NOT(AND(G785&lt;&gt;"✅ Выполнена",G785&lt;&gt;"❌ Отменена"))),"",IF(F785&lt;TODAY(),"❗ просрочено "&amp;(TODAY()-F785)&amp;" дн.",IF(F785=TODAY(),"🔥 сегодня",IF(F785-TODAY()&lt;=3,"⏳ через "&amp;(F785-TODAY())&amp;" дн.",""))))</f>
        <v/>
      </c>
      <c r="K785" s="54">
        <f>IF(B785="","",IF(G785="✅ Выполнена","✔ ",IF(G785="❌ Отменена","✖ ",IF(AND(F785&lt;&gt;"",F785&lt;TODAY()),"❗ ","☐ ")))&amp;B785&amp;IF(E785="🔥 Высокий"," 🔥",""))</f>
        <v/>
      </c>
      <c r="L785" s="54">
        <f>IF(OR(B785="",F785="",G785="❌ Отменена"),"",F785&amp;"#"&amp;COUNTIFS($F$5:F785,F785,$B$5:B785,"?*",$G$5:G785,"&lt;&gt;❌ Отменена"))</f>
        <v/>
      </c>
      <c r="M785" s="54">
        <f>IF(AND(B785&lt;&gt;"",F785&lt;&gt;"",F785&lt;TODAY(),AND(G785&lt;&gt;"✅ Выполнена",G785&lt;&gt;"❌ Отменена")),MAX($M$4:M784)+1,"")</f>
        <v/>
      </c>
    </row>
    <row r="786">
      <c r="A786" s="49">
        <f>IF(B786="","",COUNTA($B$5:B786))</f>
        <v/>
      </c>
      <c r="B786" s="50" t="n"/>
      <c r="C786" s="51" t="n"/>
      <c r="D786" s="51" t="n"/>
      <c r="E786" s="52" t="n"/>
      <c r="F786" s="53" t="n"/>
      <c r="G786" s="51" t="n"/>
      <c r="H786" s="53" t="n"/>
      <c r="I786" s="51" t="n"/>
      <c r="J786" s="54">
        <f>IF(OR(B786="",F786="",NOT(AND(G786&lt;&gt;"✅ Выполнена",G786&lt;&gt;"❌ Отменена"))),"",IF(F786&lt;TODAY(),"❗ просрочено "&amp;(TODAY()-F786)&amp;" дн.",IF(F786=TODAY(),"🔥 сегодня",IF(F786-TODAY()&lt;=3,"⏳ через "&amp;(F786-TODAY())&amp;" дн.",""))))</f>
        <v/>
      </c>
      <c r="K786" s="54">
        <f>IF(B786="","",IF(G786="✅ Выполнена","✔ ",IF(G786="❌ Отменена","✖ ",IF(AND(F786&lt;&gt;"",F786&lt;TODAY()),"❗ ","☐ ")))&amp;B786&amp;IF(E786="🔥 Высокий"," 🔥",""))</f>
        <v/>
      </c>
      <c r="L786" s="54">
        <f>IF(OR(B786="",F786="",G786="❌ Отменена"),"",F786&amp;"#"&amp;COUNTIFS($F$5:F786,F786,$B$5:B786,"?*",$G$5:G786,"&lt;&gt;❌ Отменена"))</f>
        <v/>
      </c>
      <c r="M786" s="54">
        <f>IF(AND(B786&lt;&gt;"",F786&lt;&gt;"",F786&lt;TODAY(),AND(G786&lt;&gt;"✅ Выполнена",G786&lt;&gt;"❌ Отменена")),MAX($M$4:M785)+1,"")</f>
        <v/>
      </c>
    </row>
    <row r="787">
      <c r="A787" s="49">
        <f>IF(B787="","",COUNTA($B$5:B787))</f>
        <v/>
      </c>
      <c r="B787" s="50" t="n"/>
      <c r="C787" s="51" t="n"/>
      <c r="D787" s="51" t="n"/>
      <c r="E787" s="52" t="n"/>
      <c r="F787" s="53" t="n"/>
      <c r="G787" s="51" t="n"/>
      <c r="H787" s="53" t="n"/>
      <c r="I787" s="51" t="n"/>
      <c r="J787" s="54">
        <f>IF(OR(B787="",F787="",NOT(AND(G787&lt;&gt;"✅ Выполнена",G787&lt;&gt;"❌ Отменена"))),"",IF(F787&lt;TODAY(),"❗ просрочено "&amp;(TODAY()-F787)&amp;" дн.",IF(F787=TODAY(),"🔥 сегодня",IF(F787-TODAY()&lt;=3,"⏳ через "&amp;(F787-TODAY())&amp;" дн.",""))))</f>
        <v/>
      </c>
      <c r="K787" s="54">
        <f>IF(B787="","",IF(G787="✅ Выполнена","✔ ",IF(G787="❌ Отменена","✖ ",IF(AND(F787&lt;&gt;"",F787&lt;TODAY()),"❗ ","☐ ")))&amp;B787&amp;IF(E787="🔥 Высокий"," 🔥",""))</f>
        <v/>
      </c>
      <c r="L787" s="54">
        <f>IF(OR(B787="",F787="",G787="❌ Отменена"),"",F787&amp;"#"&amp;COUNTIFS($F$5:F787,F787,$B$5:B787,"?*",$G$5:G787,"&lt;&gt;❌ Отменена"))</f>
        <v/>
      </c>
      <c r="M787" s="54">
        <f>IF(AND(B787&lt;&gt;"",F787&lt;&gt;"",F787&lt;TODAY(),AND(G787&lt;&gt;"✅ Выполнена",G787&lt;&gt;"❌ Отменена")),MAX($M$4:M786)+1,"")</f>
        <v/>
      </c>
    </row>
    <row r="788">
      <c r="A788" s="49">
        <f>IF(B788="","",COUNTA($B$5:B788))</f>
        <v/>
      </c>
      <c r="B788" s="50" t="n"/>
      <c r="C788" s="51" t="n"/>
      <c r="D788" s="51" t="n"/>
      <c r="E788" s="52" t="n"/>
      <c r="F788" s="53" t="n"/>
      <c r="G788" s="51" t="n"/>
      <c r="H788" s="53" t="n"/>
      <c r="I788" s="51" t="n"/>
      <c r="J788" s="54">
        <f>IF(OR(B788="",F788="",NOT(AND(G788&lt;&gt;"✅ Выполнена",G788&lt;&gt;"❌ Отменена"))),"",IF(F788&lt;TODAY(),"❗ просрочено "&amp;(TODAY()-F788)&amp;" дн.",IF(F788=TODAY(),"🔥 сегодня",IF(F788-TODAY()&lt;=3,"⏳ через "&amp;(F788-TODAY())&amp;" дн.",""))))</f>
        <v/>
      </c>
      <c r="K788" s="54">
        <f>IF(B788="","",IF(G788="✅ Выполнена","✔ ",IF(G788="❌ Отменена","✖ ",IF(AND(F788&lt;&gt;"",F788&lt;TODAY()),"❗ ","☐ ")))&amp;B788&amp;IF(E788="🔥 Высокий"," 🔥",""))</f>
        <v/>
      </c>
      <c r="L788" s="54">
        <f>IF(OR(B788="",F788="",G788="❌ Отменена"),"",F788&amp;"#"&amp;COUNTIFS($F$5:F788,F788,$B$5:B788,"?*",$G$5:G788,"&lt;&gt;❌ Отменена"))</f>
        <v/>
      </c>
      <c r="M788" s="54">
        <f>IF(AND(B788&lt;&gt;"",F788&lt;&gt;"",F788&lt;TODAY(),AND(G788&lt;&gt;"✅ Выполнена",G788&lt;&gt;"❌ Отменена")),MAX($M$4:M787)+1,"")</f>
        <v/>
      </c>
    </row>
    <row r="789">
      <c r="A789" s="49">
        <f>IF(B789="","",COUNTA($B$5:B789))</f>
        <v/>
      </c>
      <c r="B789" s="50" t="n"/>
      <c r="C789" s="51" t="n"/>
      <c r="D789" s="51" t="n"/>
      <c r="E789" s="52" t="n"/>
      <c r="F789" s="53" t="n"/>
      <c r="G789" s="51" t="n"/>
      <c r="H789" s="53" t="n"/>
      <c r="I789" s="51" t="n"/>
      <c r="J789" s="54">
        <f>IF(OR(B789="",F789="",NOT(AND(G789&lt;&gt;"✅ Выполнена",G789&lt;&gt;"❌ Отменена"))),"",IF(F789&lt;TODAY(),"❗ просрочено "&amp;(TODAY()-F789)&amp;" дн.",IF(F789=TODAY(),"🔥 сегодня",IF(F789-TODAY()&lt;=3,"⏳ через "&amp;(F789-TODAY())&amp;" дн.",""))))</f>
        <v/>
      </c>
      <c r="K789" s="54">
        <f>IF(B789="","",IF(G789="✅ Выполнена","✔ ",IF(G789="❌ Отменена","✖ ",IF(AND(F789&lt;&gt;"",F789&lt;TODAY()),"❗ ","☐ ")))&amp;B789&amp;IF(E789="🔥 Высокий"," 🔥",""))</f>
        <v/>
      </c>
      <c r="L789" s="54">
        <f>IF(OR(B789="",F789="",G789="❌ Отменена"),"",F789&amp;"#"&amp;COUNTIFS($F$5:F789,F789,$B$5:B789,"?*",$G$5:G789,"&lt;&gt;❌ Отменена"))</f>
        <v/>
      </c>
      <c r="M789" s="54">
        <f>IF(AND(B789&lt;&gt;"",F789&lt;&gt;"",F789&lt;TODAY(),AND(G789&lt;&gt;"✅ Выполнена",G789&lt;&gt;"❌ Отменена")),MAX($M$4:M788)+1,"")</f>
        <v/>
      </c>
    </row>
    <row r="790">
      <c r="A790" s="49">
        <f>IF(B790="","",COUNTA($B$5:B790))</f>
        <v/>
      </c>
      <c r="B790" s="50" t="n"/>
      <c r="C790" s="51" t="n"/>
      <c r="D790" s="51" t="n"/>
      <c r="E790" s="52" t="n"/>
      <c r="F790" s="53" t="n"/>
      <c r="G790" s="51" t="n"/>
      <c r="H790" s="53" t="n"/>
      <c r="I790" s="51" t="n"/>
      <c r="J790" s="54">
        <f>IF(OR(B790="",F790="",NOT(AND(G790&lt;&gt;"✅ Выполнена",G790&lt;&gt;"❌ Отменена"))),"",IF(F790&lt;TODAY(),"❗ просрочено "&amp;(TODAY()-F790)&amp;" дн.",IF(F790=TODAY(),"🔥 сегодня",IF(F790-TODAY()&lt;=3,"⏳ через "&amp;(F790-TODAY())&amp;" дн.",""))))</f>
        <v/>
      </c>
      <c r="K790" s="54">
        <f>IF(B790="","",IF(G790="✅ Выполнена","✔ ",IF(G790="❌ Отменена","✖ ",IF(AND(F790&lt;&gt;"",F790&lt;TODAY()),"❗ ","☐ ")))&amp;B790&amp;IF(E790="🔥 Высокий"," 🔥",""))</f>
        <v/>
      </c>
      <c r="L790" s="54">
        <f>IF(OR(B790="",F790="",G790="❌ Отменена"),"",F790&amp;"#"&amp;COUNTIFS($F$5:F790,F790,$B$5:B790,"?*",$G$5:G790,"&lt;&gt;❌ Отменена"))</f>
        <v/>
      </c>
      <c r="M790" s="54">
        <f>IF(AND(B790&lt;&gt;"",F790&lt;&gt;"",F790&lt;TODAY(),AND(G790&lt;&gt;"✅ Выполнена",G790&lt;&gt;"❌ Отменена")),MAX($M$4:M789)+1,"")</f>
        <v/>
      </c>
    </row>
    <row r="791">
      <c r="A791" s="49">
        <f>IF(B791="","",COUNTA($B$5:B791))</f>
        <v/>
      </c>
      <c r="B791" s="50" t="n"/>
      <c r="C791" s="51" t="n"/>
      <c r="D791" s="51" t="n"/>
      <c r="E791" s="52" t="n"/>
      <c r="F791" s="53" t="n"/>
      <c r="G791" s="51" t="n"/>
      <c r="H791" s="53" t="n"/>
      <c r="I791" s="51" t="n"/>
      <c r="J791" s="54">
        <f>IF(OR(B791="",F791="",NOT(AND(G791&lt;&gt;"✅ Выполнена",G791&lt;&gt;"❌ Отменена"))),"",IF(F791&lt;TODAY(),"❗ просрочено "&amp;(TODAY()-F791)&amp;" дн.",IF(F791=TODAY(),"🔥 сегодня",IF(F791-TODAY()&lt;=3,"⏳ через "&amp;(F791-TODAY())&amp;" дн.",""))))</f>
        <v/>
      </c>
      <c r="K791" s="54">
        <f>IF(B791="","",IF(G791="✅ Выполнена","✔ ",IF(G791="❌ Отменена","✖ ",IF(AND(F791&lt;&gt;"",F791&lt;TODAY()),"❗ ","☐ ")))&amp;B791&amp;IF(E791="🔥 Высокий"," 🔥",""))</f>
        <v/>
      </c>
      <c r="L791" s="54">
        <f>IF(OR(B791="",F791="",G791="❌ Отменена"),"",F791&amp;"#"&amp;COUNTIFS($F$5:F791,F791,$B$5:B791,"?*",$G$5:G791,"&lt;&gt;❌ Отменена"))</f>
        <v/>
      </c>
      <c r="M791" s="54">
        <f>IF(AND(B791&lt;&gt;"",F791&lt;&gt;"",F791&lt;TODAY(),AND(G791&lt;&gt;"✅ Выполнена",G791&lt;&gt;"❌ Отменена")),MAX($M$4:M790)+1,"")</f>
        <v/>
      </c>
    </row>
    <row r="792">
      <c r="A792" s="49">
        <f>IF(B792="","",COUNTA($B$5:B792))</f>
        <v/>
      </c>
      <c r="B792" s="50" t="n"/>
      <c r="C792" s="51" t="n"/>
      <c r="D792" s="51" t="n"/>
      <c r="E792" s="52" t="n"/>
      <c r="F792" s="53" t="n"/>
      <c r="G792" s="51" t="n"/>
      <c r="H792" s="53" t="n"/>
      <c r="I792" s="51" t="n"/>
      <c r="J792" s="54">
        <f>IF(OR(B792="",F792="",NOT(AND(G792&lt;&gt;"✅ Выполнена",G792&lt;&gt;"❌ Отменена"))),"",IF(F792&lt;TODAY(),"❗ просрочено "&amp;(TODAY()-F792)&amp;" дн.",IF(F792=TODAY(),"🔥 сегодня",IF(F792-TODAY()&lt;=3,"⏳ через "&amp;(F792-TODAY())&amp;" дн.",""))))</f>
        <v/>
      </c>
      <c r="K792" s="54">
        <f>IF(B792="","",IF(G792="✅ Выполнена","✔ ",IF(G792="❌ Отменена","✖ ",IF(AND(F792&lt;&gt;"",F792&lt;TODAY()),"❗ ","☐ ")))&amp;B792&amp;IF(E792="🔥 Высокий"," 🔥",""))</f>
        <v/>
      </c>
      <c r="L792" s="54">
        <f>IF(OR(B792="",F792="",G792="❌ Отменена"),"",F792&amp;"#"&amp;COUNTIFS($F$5:F792,F792,$B$5:B792,"?*",$G$5:G792,"&lt;&gt;❌ Отменена"))</f>
        <v/>
      </c>
      <c r="M792" s="54">
        <f>IF(AND(B792&lt;&gt;"",F792&lt;&gt;"",F792&lt;TODAY(),AND(G792&lt;&gt;"✅ Выполнена",G792&lt;&gt;"❌ Отменена")),MAX($M$4:M791)+1,"")</f>
        <v/>
      </c>
    </row>
    <row r="793">
      <c r="A793" s="49">
        <f>IF(B793="","",COUNTA($B$5:B793))</f>
        <v/>
      </c>
      <c r="B793" s="50" t="n"/>
      <c r="C793" s="51" t="n"/>
      <c r="D793" s="51" t="n"/>
      <c r="E793" s="52" t="n"/>
      <c r="F793" s="53" t="n"/>
      <c r="G793" s="51" t="n"/>
      <c r="H793" s="53" t="n"/>
      <c r="I793" s="51" t="n"/>
      <c r="J793" s="54">
        <f>IF(OR(B793="",F793="",NOT(AND(G793&lt;&gt;"✅ Выполнена",G793&lt;&gt;"❌ Отменена"))),"",IF(F793&lt;TODAY(),"❗ просрочено "&amp;(TODAY()-F793)&amp;" дн.",IF(F793=TODAY(),"🔥 сегодня",IF(F793-TODAY()&lt;=3,"⏳ через "&amp;(F793-TODAY())&amp;" дн.",""))))</f>
        <v/>
      </c>
      <c r="K793" s="54">
        <f>IF(B793="","",IF(G793="✅ Выполнена","✔ ",IF(G793="❌ Отменена","✖ ",IF(AND(F793&lt;&gt;"",F793&lt;TODAY()),"❗ ","☐ ")))&amp;B793&amp;IF(E793="🔥 Высокий"," 🔥",""))</f>
        <v/>
      </c>
      <c r="L793" s="54">
        <f>IF(OR(B793="",F793="",G793="❌ Отменена"),"",F793&amp;"#"&amp;COUNTIFS($F$5:F793,F793,$B$5:B793,"?*",$G$5:G793,"&lt;&gt;❌ Отменена"))</f>
        <v/>
      </c>
      <c r="M793" s="54">
        <f>IF(AND(B793&lt;&gt;"",F793&lt;&gt;"",F793&lt;TODAY(),AND(G793&lt;&gt;"✅ Выполнена",G793&lt;&gt;"❌ Отменена")),MAX($M$4:M792)+1,"")</f>
        <v/>
      </c>
    </row>
    <row r="794">
      <c r="A794" s="49">
        <f>IF(B794="","",COUNTA($B$5:B794))</f>
        <v/>
      </c>
      <c r="B794" s="50" t="n"/>
      <c r="C794" s="51" t="n"/>
      <c r="D794" s="51" t="n"/>
      <c r="E794" s="52" t="n"/>
      <c r="F794" s="53" t="n"/>
      <c r="G794" s="51" t="n"/>
      <c r="H794" s="53" t="n"/>
      <c r="I794" s="51" t="n"/>
      <c r="J794" s="54">
        <f>IF(OR(B794="",F794="",NOT(AND(G794&lt;&gt;"✅ Выполнена",G794&lt;&gt;"❌ Отменена"))),"",IF(F794&lt;TODAY(),"❗ просрочено "&amp;(TODAY()-F794)&amp;" дн.",IF(F794=TODAY(),"🔥 сегодня",IF(F794-TODAY()&lt;=3,"⏳ через "&amp;(F794-TODAY())&amp;" дн.",""))))</f>
        <v/>
      </c>
      <c r="K794" s="54">
        <f>IF(B794="","",IF(G794="✅ Выполнена","✔ ",IF(G794="❌ Отменена","✖ ",IF(AND(F794&lt;&gt;"",F794&lt;TODAY()),"❗ ","☐ ")))&amp;B794&amp;IF(E794="🔥 Высокий"," 🔥",""))</f>
        <v/>
      </c>
      <c r="L794" s="54">
        <f>IF(OR(B794="",F794="",G794="❌ Отменена"),"",F794&amp;"#"&amp;COUNTIFS($F$5:F794,F794,$B$5:B794,"?*",$G$5:G794,"&lt;&gt;❌ Отменена"))</f>
        <v/>
      </c>
      <c r="M794" s="54">
        <f>IF(AND(B794&lt;&gt;"",F794&lt;&gt;"",F794&lt;TODAY(),AND(G794&lt;&gt;"✅ Выполнена",G794&lt;&gt;"❌ Отменена")),MAX($M$4:M793)+1,"")</f>
        <v/>
      </c>
    </row>
    <row r="795">
      <c r="A795" s="49">
        <f>IF(B795="","",COUNTA($B$5:B795))</f>
        <v/>
      </c>
      <c r="B795" s="50" t="n"/>
      <c r="C795" s="51" t="n"/>
      <c r="D795" s="51" t="n"/>
      <c r="E795" s="52" t="n"/>
      <c r="F795" s="53" t="n"/>
      <c r="G795" s="51" t="n"/>
      <c r="H795" s="53" t="n"/>
      <c r="I795" s="51" t="n"/>
      <c r="J795" s="54">
        <f>IF(OR(B795="",F795="",NOT(AND(G795&lt;&gt;"✅ Выполнена",G795&lt;&gt;"❌ Отменена"))),"",IF(F795&lt;TODAY(),"❗ просрочено "&amp;(TODAY()-F795)&amp;" дн.",IF(F795=TODAY(),"🔥 сегодня",IF(F795-TODAY()&lt;=3,"⏳ через "&amp;(F795-TODAY())&amp;" дн.",""))))</f>
        <v/>
      </c>
      <c r="K795" s="54">
        <f>IF(B795="","",IF(G795="✅ Выполнена","✔ ",IF(G795="❌ Отменена","✖ ",IF(AND(F795&lt;&gt;"",F795&lt;TODAY()),"❗ ","☐ ")))&amp;B795&amp;IF(E795="🔥 Высокий"," 🔥",""))</f>
        <v/>
      </c>
      <c r="L795" s="54">
        <f>IF(OR(B795="",F795="",G795="❌ Отменена"),"",F795&amp;"#"&amp;COUNTIFS($F$5:F795,F795,$B$5:B795,"?*",$G$5:G795,"&lt;&gt;❌ Отменена"))</f>
        <v/>
      </c>
      <c r="M795" s="54">
        <f>IF(AND(B795&lt;&gt;"",F795&lt;&gt;"",F795&lt;TODAY(),AND(G795&lt;&gt;"✅ Выполнена",G795&lt;&gt;"❌ Отменена")),MAX($M$4:M794)+1,"")</f>
        <v/>
      </c>
    </row>
    <row r="796">
      <c r="A796" s="49">
        <f>IF(B796="","",COUNTA($B$5:B796))</f>
        <v/>
      </c>
      <c r="B796" s="50" t="n"/>
      <c r="C796" s="51" t="n"/>
      <c r="D796" s="51" t="n"/>
      <c r="E796" s="52" t="n"/>
      <c r="F796" s="53" t="n"/>
      <c r="G796" s="51" t="n"/>
      <c r="H796" s="53" t="n"/>
      <c r="I796" s="51" t="n"/>
      <c r="J796" s="54">
        <f>IF(OR(B796="",F796="",NOT(AND(G796&lt;&gt;"✅ Выполнена",G796&lt;&gt;"❌ Отменена"))),"",IF(F796&lt;TODAY(),"❗ просрочено "&amp;(TODAY()-F796)&amp;" дн.",IF(F796=TODAY(),"🔥 сегодня",IF(F796-TODAY()&lt;=3,"⏳ через "&amp;(F796-TODAY())&amp;" дн.",""))))</f>
        <v/>
      </c>
      <c r="K796" s="54">
        <f>IF(B796="","",IF(G796="✅ Выполнена","✔ ",IF(G796="❌ Отменена","✖ ",IF(AND(F796&lt;&gt;"",F796&lt;TODAY()),"❗ ","☐ ")))&amp;B796&amp;IF(E796="🔥 Высокий"," 🔥",""))</f>
        <v/>
      </c>
      <c r="L796" s="54">
        <f>IF(OR(B796="",F796="",G796="❌ Отменена"),"",F796&amp;"#"&amp;COUNTIFS($F$5:F796,F796,$B$5:B796,"?*",$G$5:G796,"&lt;&gt;❌ Отменена"))</f>
        <v/>
      </c>
      <c r="M796" s="54">
        <f>IF(AND(B796&lt;&gt;"",F796&lt;&gt;"",F796&lt;TODAY(),AND(G796&lt;&gt;"✅ Выполнена",G796&lt;&gt;"❌ Отменена")),MAX($M$4:M795)+1,"")</f>
        <v/>
      </c>
    </row>
    <row r="797">
      <c r="A797" s="49">
        <f>IF(B797="","",COUNTA($B$5:B797))</f>
        <v/>
      </c>
      <c r="B797" s="50" t="n"/>
      <c r="C797" s="51" t="n"/>
      <c r="D797" s="51" t="n"/>
      <c r="E797" s="52" t="n"/>
      <c r="F797" s="53" t="n"/>
      <c r="G797" s="51" t="n"/>
      <c r="H797" s="53" t="n"/>
      <c r="I797" s="51" t="n"/>
      <c r="J797" s="54">
        <f>IF(OR(B797="",F797="",NOT(AND(G797&lt;&gt;"✅ Выполнена",G797&lt;&gt;"❌ Отменена"))),"",IF(F797&lt;TODAY(),"❗ просрочено "&amp;(TODAY()-F797)&amp;" дн.",IF(F797=TODAY(),"🔥 сегодня",IF(F797-TODAY()&lt;=3,"⏳ через "&amp;(F797-TODAY())&amp;" дн.",""))))</f>
        <v/>
      </c>
      <c r="K797" s="54">
        <f>IF(B797="","",IF(G797="✅ Выполнена","✔ ",IF(G797="❌ Отменена","✖ ",IF(AND(F797&lt;&gt;"",F797&lt;TODAY()),"❗ ","☐ ")))&amp;B797&amp;IF(E797="🔥 Высокий"," 🔥",""))</f>
        <v/>
      </c>
      <c r="L797" s="54">
        <f>IF(OR(B797="",F797="",G797="❌ Отменена"),"",F797&amp;"#"&amp;COUNTIFS($F$5:F797,F797,$B$5:B797,"?*",$G$5:G797,"&lt;&gt;❌ Отменена"))</f>
        <v/>
      </c>
      <c r="M797" s="54">
        <f>IF(AND(B797&lt;&gt;"",F797&lt;&gt;"",F797&lt;TODAY(),AND(G797&lt;&gt;"✅ Выполнена",G797&lt;&gt;"❌ Отменена")),MAX($M$4:M796)+1,"")</f>
        <v/>
      </c>
    </row>
    <row r="798">
      <c r="A798" s="49">
        <f>IF(B798="","",COUNTA($B$5:B798))</f>
        <v/>
      </c>
      <c r="B798" s="50" t="n"/>
      <c r="C798" s="51" t="n"/>
      <c r="D798" s="51" t="n"/>
      <c r="E798" s="52" t="n"/>
      <c r="F798" s="53" t="n"/>
      <c r="G798" s="51" t="n"/>
      <c r="H798" s="53" t="n"/>
      <c r="I798" s="51" t="n"/>
      <c r="J798" s="54">
        <f>IF(OR(B798="",F798="",NOT(AND(G798&lt;&gt;"✅ Выполнена",G798&lt;&gt;"❌ Отменена"))),"",IF(F798&lt;TODAY(),"❗ просрочено "&amp;(TODAY()-F798)&amp;" дн.",IF(F798=TODAY(),"🔥 сегодня",IF(F798-TODAY()&lt;=3,"⏳ через "&amp;(F798-TODAY())&amp;" дн.",""))))</f>
        <v/>
      </c>
      <c r="K798" s="54">
        <f>IF(B798="","",IF(G798="✅ Выполнена","✔ ",IF(G798="❌ Отменена","✖ ",IF(AND(F798&lt;&gt;"",F798&lt;TODAY()),"❗ ","☐ ")))&amp;B798&amp;IF(E798="🔥 Высокий"," 🔥",""))</f>
        <v/>
      </c>
      <c r="L798" s="54">
        <f>IF(OR(B798="",F798="",G798="❌ Отменена"),"",F798&amp;"#"&amp;COUNTIFS($F$5:F798,F798,$B$5:B798,"?*",$G$5:G798,"&lt;&gt;❌ Отменена"))</f>
        <v/>
      </c>
      <c r="M798" s="54">
        <f>IF(AND(B798&lt;&gt;"",F798&lt;&gt;"",F798&lt;TODAY(),AND(G798&lt;&gt;"✅ Выполнена",G798&lt;&gt;"❌ Отменена")),MAX($M$4:M797)+1,"")</f>
        <v/>
      </c>
    </row>
    <row r="799">
      <c r="A799" s="49">
        <f>IF(B799="","",COUNTA($B$5:B799))</f>
        <v/>
      </c>
      <c r="B799" s="50" t="n"/>
      <c r="C799" s="51" t="n"/>
      <c r="D799" s="51" t="n"/>
      <c r="E799" s="52" t="n"/>
      <c r="F799" s="53" t="n"/>
      <c r="G799" s="51" t="n"/>
      <c r="H799" s="53" t="n"/>
      <c r="I799" s="51" t="n"/>
      <c r="J799" s="54">
        <f>IF(OR(B799="",F799="",NOT(AND(G799&lt;&gt;"✅ Выполнена",G799&lt;&gt;"❌ Отменена"))),"",IF(F799&lt;TODAY(),"❗ просрочено "&amp;(TODAY()-F799)&amp;" дн.",IF(F799=TODAY(),"🔥 сегодня",IF(F799-TODAY()&lt;=3,"⏳ через "&amp;(F799-TODAY())&amp;" дн.",""))))</f>
        <v/>
      </c>
      <c r="K799" s="54">
        <f>IF(B799="","",IF(G799="✅ Выполнена","✔ ",IF(G799="❌ Отменена","✖ ",IF(AND(F799&lt;&gt;"",F799&lt;TODAY()),"❗ ","☐ ")))&amp;B799&amp;IF(E799="🔥 Высокий"," 🔥",""))</f>
        <v/>
      </c>
      <c r="L799" s="54">
        <f>IF(OR(B799="",F799="",G799="❌ Отменена"),"",F799&amp;"#"&amp;COUNTIFS($F$5:F799,F799,$B$5:B799,"?*",$G$5:G799,"&lt;&gt;❌ Отменена"))</f>
        <v/>
      </c>
      <c r="M799" s="54">
        <f>IF(AND(B799&lt;&gt;"",F799&lt;&gt;"",F799&lt;TODAY(),AND(G799&lt;&gt;"✅ Выполнена",G799&lt;&gt;"❌ Отменена")),MAX($M$4:M798)+1,"")</f>
        <v/>
      </c>
    </row>
    <row r="800">
      <c r="A800" s="49">
        <f>IF(B800="","",COUNTA($B$5:B800))</f>
        <v/>
      </c>
      <c r="B800" s="50" t="n"/>
      <c r="C800" s="51" t="n"/>
      <c r="D800" s="51" t="n"/>
      <c r="E800" s="52" t="n"/>
      <c r="F800" s="53" t="n"/>
      <c r="G800" s="51" t="n"/>
      <c r="H800" s="53" t="n"/>
      <c r="I800" s="51" t="n"/>
      <c r="J800" s="54">
        <f>IF(OR(B800="",F800="",NOT(AND(G800&lt;&gt;"✅ Выполнена",G800&lt;&gt;"❌ Отменена"))),"",IF(F800&lt;TODAY(),"❗ просрочено "&amp;(TODAY()-F800)&amp;" дн.",IF(F800=TODAY(),"🔥 сегодня",IF(F800-TODAY()&lt;=3,"⏳ через "&amp;(F800-TODAY())&amp;" дн.",""))))</f>
        <v/>
      </c>
      <c r="K800" s="54">
        <f>IF(B800="","",IF(G800="✅ Выполнена","✔ ",IF(G800="❌ Отменена","✖ ",IF(AND(F800&lt;&gt;"",F800&lt;TODAY()),"❗ ","☐ ")))&amp;B800&amp;IF(E800="🔥 Высокий"," 🔥",""))</f>
        <v/>
      </c>
      <c r="L800" s="54">
        <f>IF(OR(B800="",F800="",G800="❌ Отменена"),"",F800&amp;"#"&amp;COUNTIFS($F$5:F800,F800,$B$5:B800,"?*",$G$5:G800,"&lt;&gt;❌ Отменена"))</f>
        <v/>
      </c>
      <c r="M800" s="54">
        <f>IF(AND(B800&lt;&gt;"",F800&lt;&gt;"",F800&lt;TODAY(),AND(G800&lt;&gt;"✅ Выполнена",G800&lt;&gt;"❌ Отменена")),MAX($M$4:M799)+1,"")</f>
        <v/>
      </c>
    </row>
    <row r="801">
      <c r="A801" s="49">
        <f>IF(B801="","",COUNTA($B$5:B801))</f>
        <v/>
      </c>
      <c r="B801" s="50" t="n"/>
      <c r="C801" s="51" t="n"/>
      <c r="D801" s="51" t="n"/>
      <c r="E801" s="52" t="n"/>
      <c r="F801" s="53" t="n"/>
      <c r="G801" s="51" t="n"/>
      <c r="H801" s="53" t="n"/>
      <c r="I801" s="51" t="n"/>
      <c r="J801" s="54">
        <f>IF(OR(B801="",F801="",NOT(AND(G801&lt;&gt;"✅ Выполнена",G801&lt;&gt;"❌ Отменена"))),"",IF(F801&lt;TODAY(),"❗ просрочено "&amp;(TODAY()-F801)&amp;" дн.",IF(F801=TODAY(),"🔥 сегодня",IF(F801-TODAY()&lt;=3,"⏳ через "&amp;(F801-TODAY())&amp;" дн.",""))))</f>
        <v/>
      </c>
      <c r="K801" s="54">
        <f>IF(B801="","",IF(G801="✅ Выполнена","✔ ",IF(G801="❌ Отменена","✖ ",IF(AND(F801&lt;&gt;"",F801&lt;TODAY()),"❗ ","☐ ")))&amp;B801&amp;IF(E801="🔥 Высокий"," 🔥",""))</f>
        <v/>
      </c>
      <c r="L801" s="54">
        <f>IF(OR(B801="",F801="",G801="❌ Отменена"),"",F801&amp;"#"&amp;COUNTIFS($F$5:F801,F801,$B$5:B801,"?*",$G$5:G801,"&lt;&gt;❌ Отменена"))</f>
        <v/>
      </c>
      <c r="M801" s="54">
        <f>IF(AND(B801&lt;&gt;"",F801&lt;&gt;"",F801&lt;TODAY(),AND(G801&lt;&gt;"✅ Выполнена",G801&lt;&gt;"❌ Отменена")),MAX($M$4:M800)+1,"")</f>
        <v/>
      </c>
    </row>
    <row r="802">
      <c r="A802" s="49">
        <f>IF(B802="","",COUNTA($B$5:B802))</f>
        <v/>
      </c>
      <c r="B802" s="50" t="n"/>
      <c r="C802" s="51" t="n"/>
      <c r="D802" s="51" t="n"/>
      <c r="E802" s="52" t="n"/>
      <c r="F802" s="53" t="n"/>
      <c r="G802" s="51" t="n"/>
      <c r="H802" s="53" t="n"/>
      <c r="I802" s="51" t="n"/>
      <c r="J802" s="54">
        <f>IF(OR(B802="",F802="",NOT(AND(G802&lt;&gt;"✅ Выполнена",G802&lt;&gt;"❌ Отменена"))),"",IF(F802&lt;TODAY(),"❗ просрочено "&amp;(TODAY()-F802)&amp;" дн.",IF(F802=TODAY(),"🔥 сегодня",IF(F802-TODAY()&lt;=3,"⏳ через "&amp;(F802-TODAY())&amp;" дн.",""))))</f>
        <v/>
      </c>
      <c r="K802" s="54">
        <f>IF(B802="","",IF(G802="✅ Выполнена","✔ ",IF(G802="❌ Отменена","✖ ",IF(AND(F802&lt;&gt;"",F802&lt;TODAY()),"❗ ","☐ ")))&amp;B802&amp;IF(E802="🔥 Высокий"," 🔥",""))</f>
        <v/>
      </c>
      <c r="L802" s="54">
        <f>IF(OR(B802="",F802="",G802="❌ Отменена"),"",F802&amp;"#"&amp;COUNTIFS($F$5:F802,F802,$B$5:B802,"?*",$G$5:G802,"&lt;&gt;❌ Отменена"))</f>
        <v/>
      </c>
      <c r="M802" s="54">
        <f>IF(AND(B802&lt;&gt;"",F802&lt;&gt;"",F802&lt;TODAY(),AND(G802&lt;&gt;"✅ Выполнена",G802&lt;&gt;"❌ Отменена")),MAX($M$4:M801)+1,"")</f>
        <v/>
      </c>
    </row>
    <row r="803">
      <c r="A803" s="49">
        <f>IF(B803="","",COUNTA($B$5:B803))</f>
        <v/>
      </c>
      <c r="B803" s="50" t="n"/>
      <c r="C803" s="51" t="n"/>
      <c r="D803" s="51" t="n"/>
      <c r="E803" s="52" t="n"/>
      <c r="F803" s="53" t="n"/>
      <c r="G803" s="51" t="n"/>
      <c r="H803" s="53" t="n"/>
      <c r="I803" s="51" t="n"/>
      <c r="J803" s="54">
        <f>IF(OR(B803="",F803="",NOT(AND(G803&lt;&gt;"✅ Выполнена",G803&lt;&gt;"❌ Отменена"))),"",IF(F803&lt;TODAY(),"❗ просрочено "&amp;(TODAY()-F803)&amp;" дн.",IF(F803=TODAY(),"🔥 сегодня",IF(F803-TODAY()&lt;=3,"⏳ через "&amp;(F803-TODAY())&amp;" дн.",""))))</f>
        <v/>
      </c>
      <c r="K803" s="54">
        <f>IF(B803="","",IF(G803="✅ Выполнена","✔ ",IF(G803="❌ Отменена","✖ ",IF(AND(F803&lt;&gt;"",F803&lt;TODAY()),"❗ ","☐ ")))&amp;B803&amp;IF(E803="🔥 Высокий"," 🔥",""))</f>
        <v/>
      </c>
      <c r="L803" s="54">
        <f>IF(OR(B803="",F803="",G803="❌ Отменена"),"",F803&amp;"#"&amp;COUNTIFS($F$5:F803,F803,$B$5:B803,"?*",$G$5:G803,"&lt;&gt;❌ Отменена"))</f>
        <v/>
      </c>
      <c r="M803" s="54">
        <f>IF(AND(B803&lt;&gt;"",F803&lt;&gt;"",F803&lt;TODAY(),AND(G803&lt;&gt;"✅ Выполнена",G803&lt;&gt;"❌ Отменена")),MAX($M$4:M802)+1,"")</f>
        <v/>
      </c>
    </row>
    <row r="804">
      <c r="A804" s="49">
        <f>IF(B804="","",COUNTA($B$5:B804))</f>
        <v/>
      </c>
      <c r="B804" s="50" t="n"/>
      <c r="C804" s="51" t="n"/>
      <c r="D804" s="51" t="n"/>
      <c r="E804" s="52" t="n"/>
      <c r="F804" s="53" t="n"/>
      <c r="G804" s="51" t="n"/>
      <c r="H804" s="53" t="n"/>
      <c r="I804" s="51" t="n"/>
      <c r="J804" s="54">
        <f>IF(OR(B804="",F804="",NOT(AND(G804&lt;&gt;"✅ Выполнена",G804&lt;&gt;"❌ Отменена"))),"",IF(F804&lt;TODAY(),"❗ просрочено "&amp;(TODAY()-F804)&amp;" дн.",IF(F804=TODAY(),"🔥 сегодня",IF(F804-TODAY()&lt;=3,"⏳ через "&amp;(F804-TODAY())&amp;" дн.",""))))</f>
        <v/>
      </c>
      <c r="K804" s="54">
        <f>IF(B804="","",IF(G804="✅ Выполнена","✔ ",IF(G804="❌ Отменена","✖ ",IF(AND(F804&lt;&gt;"",F804&lt;TODAY()),"❗ ","☐ ")))&amp;B804&amp;IF(E804="🔥 Высокий"," 🔥",""))</f>
        <v/>
      </c>
      <c r="L804" s="54">
        <f>IF(OR(B804="",F804="",G804="❌ Отменена"),"",F804&amp;"#"&amp;COUNTIFS($F$5:F804,F804,$B$5:B804,"?*",$G$5:G804,"&lt;&gt;❌ Отменена"))</f>
        <v/>
      </c>
      <c r="M804" s="54">
        <f>IF(AND(B804&lt;&gt;"",F804&lt;&gt;"",F804&lt;TODAY(),AND(G804&lt;&gt;"✅ Выполнена",G804&lt;&gt;"❌ Отменена")),MAX($M$4:M803)+1,"")</f>
        <v/>
      </c>
    </row>
    <row r="805">
      <c r="A805" s="49">
        <f>IF(B805="","",COUNTA($B$5:B805))</f>
        <v/>
      </c>
      <c r="B805" s="50" t="n"/>
      <c r="C805" s="51" t="n"/>
      <c r="D805" s="51" t="n"/>
      <c r="E805" s="52" t="n"/>
      <c r="F805" s="53" t="n"/>
      <c r="G805" s="51" t="n"/>
      <c r="H805" s="53" t="n"/>
      <c r="I805" s="51" t="n"/>
      <c r="J805" s="54">
        <f>IF(OR(B805="",F805="",NOT(AND(G805&lt;&gt;"✅ Выполнена",G805&lt;&gt;"❌ Отменена"))),"",IF(F805&lt;TODAY(),"❗ просрочено "&amp;(TODAY()-F805)&amp;" дн.",IF(F805=TODAY(),"🔥 сегодня",IF(F805-TODAY()&lt;=3,"⏳ через "&amp;(F805-TODAY())&amp;" дн.",""))))</f>
        <v/>
      </c>
      <c r="K805" s="54">
        <f>IF(B805="","",IF(G805="✅ Выполнена","✔ ",IF(G805="❌ Отменена","✖ ",IF(AND(F805&lt;&gt;"",F805&lt;TODAY()),"❗ ","☐ ")))&amp;B805&amp;IF(E805="🔥 Высокий"," 🔥",""))</f>
        <v/>
      </c>
      <c r="L805" s="54">
        <f>IF(OR(B805="",F805="",G805="❌ Отменена"),"",F805&amp;"#"&amp;COUNTIFS($F$5:F805,F805,$B$5:B805,"?*",$G$5:G805,"&lt;&gt;❌ Отменена"))</f>
        <v/>
      </c>
      <c r="M805" s="54">
        <f>IF(AND(B805&lt;&gt;"",F805&lt;&gt;"",F805&lt;TODAY(),AND(G805&lt;&gt;"✅ Выполнена",G805&lt;&gt;"❌ Отменена")),MAX($M$4:M804)+1,"")</f>
        <v/>
      </c>
    </row>
    <row r="806">
      <c r="A806" s="49">
        <f>IF(B806="","",COUNTA($B$5:B806))</f>
        <v/>
      </c>
      <c r="B806" s="50" t="n"/>
      <c r="C806" s="51" t="n"/>
      <c r="D806" s="51" t="n"/>
      <c r="E806" s="52" t="n"/>
      <c r="F806" s="53" t="n"/>
      <c r="G806" s="51" t="n"/>
      <c r="H806" s="53" t="n"/>
      <c r="I806" s="51" t="n"/>
      <c r="J806" s="54">
        <f>IF(OR(B806="",F806="",NOT(AND(G806&lt;&gt;"✅ Выполнена",G806&lt;&gt;"❌ Отменена"))),"",IF(F806&lt;TODAY(),"❗ просрочено "&amp;(TODAY()-F806)&amp;" дн.",IF(F806=TODAY(),"🔥 сегодня",IF(F806-TODAY()&lt;=3,"⏳ через "&amp;(F806-TODAY())&amp;" дн.",""))))</f>
        <v/>
      </c>
      <c r="K806" s="54">
        <f>IF(B806="","",IF(G806="✅ Выполнена","✔ ",IF(G806="❌ Отменена","✖ ",IF(AND(F806&lt;&gt;"",F806&lt;TODAY()),"❗ ","☐ ")))&amp;B806&amp;IF(E806="🔥 Высокий"," 🔥",""))</f>
        <v/>
      </c>
      <c r="L806" s="54">
        <f>IF(OR(B806="",F806="",G806="❌ Отменена"),"",F806&amp;"#"&amp;COUNTIFS($F$5:F806,F806,$B$5:B806,"?*",$G$5:G806,"&lt;&gt;❌ Отменена"))</f>
        <v/>
      </c>
      <c r="M806" s="54">
        <f>IF(AND(B806&lt;&gt;"",F806&lt;&gt;"",F806&lt;TODAY(),AND(G806&lt;&gt;"✅ Выполнена",G806&lt;&gt;"❌ Отменена")),MAX($M$4:M805)+1,"")</f>
        <v/>
      </c>
    </row>
    <row r="807">
      <c r="A807" s="49">
        <f>IF(B807="","",COUNTA($B$5:B807))</f>
        <v/>
      </c>
      <c r="B807" s="50" t="n"/>
      <c r="C807" s="51" t="n"/>
      <c r="D807" s="51" t="n"/>
      <c r="E807" s="52" t="n"/>
      <c r="F807" s="53" t="n"/>
      <c r="G807" s="51" t="n"/>
      <c r="H807" s="53" t="n"/>
      <c r="I807" s="51" t="n"/>
      <c r="J807" s="54">
        <f>IF(OR(B807="",F807="",NOT(AND(G807&lt;&gt;"✅ Выполнена",G807&lt;&gt;"❌ Отменена"))),"",IF(F807&lt;TODAY(),"❗ просрочено "&amp;(TODAY()-F807)&amp;" дн.",IF(F807=TODAY(),"🔥 сегодня",IF(F807-TODAY()&lt;=3,"⏳ через "&amp;(F807-TODAY())&amp;" дн.",""))))</f>
        <v/>
      </c>
      <c r="K807" s="54">
        <f>IF(B807="","",IF(G807="✅ Выполнена","✔ ",IF(G807="❌ Отменена","✖ ",IF(AND(F807&lt;&gt;"",F807&lt;TODAY()),"❗ ","☐ ")))&amp;B807&amp;IF(E807="🔥 Высокий"," 🔥",""))</f>
        <v/>
      </c>
      <c r="L807" s="54">
        <f>IF(OR(B807="",F807="",G807="❌ Отменена"),"",F807&amp;"#"&amp;COUNTIFS($F$5:F807,F807,$B$5:B807,"?*",$G$5:G807,"&lt;&gt;❌ Отменена"))</f>
        <v/>
      </c>
      <c r="M807" s="54">
        <f>IF(AND(B807&lt;&gt;"",F807&lt;&gt;"",F807&lt;TODAY(),AND(G807&lt;&gt;"✅ Выполнена",G807&lt;&gt;"❌ Отменена")),MAX($M$4:M806)+1,"")</f>
        <v/>
      </c>
    </row>
    <row r="808">
      <c r="A808" s="49">
        <f>IF(B808="","",COUNTA($B$5:B808))</f>
        <v/>
      </c>
      <c r="B808" s="50" t="n"/>
      <c r="C808" s="51" t="n"/>
      <c r="D808" s="51" t="n"/>
      <c r="E808" s="52" t="n"/>
      <c r="F808" s="53" t="n"/>
      <c r="G808" s="51" t="n"/>
      <c r="H808" s="53" t="n"/>
      <c r="I808" s="51" t="n"/>
      <c r="J808" s="54">
        <f>IF(OR(B808="",F808="",NOT(AND(G808&lt;&gt;"✅ Выполнена",G808&lt;&gt;"❌ Отменена"))),"",IF(F808&lt;TODAY(),"❗ просрочено "&amp;(TODAY()-F808)&amp;" дн.",IF(F808=TODAY(),"🔥 сегодня",IF(F808-TODAY()&lt;=3,"⏳ через "&amp;(F808-TODAY())&amp;" дн.",""))))</f>
        <v/>
      </c>
      <c r="K808" s="54">
        <f>IF(B808="","",IF(G808="✅ Выполнена","✔ ",IF(G808="❌ Отменена","✖ ",IF(AND(F808&lt;&gt;"",F808&lt;TODAY()),"❗ ","☐ ")))&amp;B808&amp;IF(E808="🔥 Высокий"," 🔥",""))</f>
        <v/>
      </c>
      <c r="L808" s="54">
        <f>IF(OR(B808="",F808="",G808="❌ Отменена"),"",F808&amp;"#"&amp;COUNTIFS($F$5:F808,F808,$B$5:B808,"?*",$G$5:G808,"&lt;&gt;❌ Отменена"))</f>
        <v/>
      </c>
      <c r="M808" s="54">
        <f>IF(AND(B808&lt;&gt;"",F808&lt;&gt;"",F808&lt;TODAY(),AND(G808&lt;&gt;"✅ Выполнена",G808&lt;&gt;"❌ Отменена")),MAX($M$4:M807)+1,"")</f>
        <v/>
      </c>
    </row>
    <row r="809">
      <c r="A809" s="49">
        <f>IF(B809="","",COUNTA($B$5:B809))</f>
        <v/>
      </c>
      <c r="B809" s="50" t="n"/>
      <c r="C809" s="51" t="n"/>
      <c r="D809" s="51" t="n"/>
      <c r="E809" s="52" t="n"/>
      <c r="F809" s="53" t="n"/>
      <c r="G809" s="51" t="n"/>
      <c r="H809" s="53" t="n"/>
      <c r="I809" s="51" t="n"/>
      <c r="J809" s="54">
        <f>IF(OR(B809="",F809="",NOT(AND(G809&lt;&gt;"✅ Выполнена",G809&lt;&gt;"❌ Отменена"))),"",IF(F809&lt;TODAY(),"❗ просрочено "&amp;(TODAY()-F809)&amp;" дн.",IF(F809=TODAY(),"🔥 сегодня",IF(F809-TODAY()&lt;=3,"⏳ через "&amp;(F809-TODAY())&amp;" дн.",""))))</f>
        <v/>
      </c>
      <c r="K809" s="54">
        <f>IF(B809="","",IF(G809="✅ Выполнена","✔ ",IF(G809="❌ Отменена","✖ ",IF(AND(F809&lt;&gt;"",F809&lt;TODAY()),"❗ ","☐ ")))&amp;B809&amp;IF(E809="🔥 Высокий"," 🔥",""))</f>
        <v/>
      </c>
      <c r="L809" s="54">
        <f>IF(OR(B809="",F809="",G809="❌ Отменена"),"",F809&amp;"#"&amp;COUNTIFS($F$5:F809,F809,$B$5:B809,"?*",$G$5:G809,"&lt;&gt;❌ Отменена"))</f>
        <v/>
      </c>
      <c r="M809" s="54">
        <f>IF(AND(B809&lt;&gt;"",F809&lt;&gt;"",F809&lt;TODAY(),AND(G809&lt;&gt;"✅ Выполнена",G809&lt;&gt;"❌ Отменена")),MAX($M$4:M808)+1,"")</f>
        <v/>
      </c>
    </row>
    <row r="810">
      <c r="A810" s="49">
        <f>IF(B810="","",COUNTA($B$5:B810))</f>
        <v/>
      </c>
      <c r="B810" s="50" t="n"/>
      <c r="C810" s="51" t="n"/>
      <c r="D810" s="51" t="n"/>
      <c r="E810" s="52" t="n"/>
      <c r="F810" s="53" t="n"/>
      <c r="G810" s="51" t="n"/>
      <c r="H810" s="53" t="n"/>
      <c r="I810" s="51" t="n"/>
      <c r="J810" s="54">
        <f>IF(OR(B810="",F810="",NOT(AND(G810&lt;&gt;"✅ Выполнена",G810&lt;&gt;"❌ Отменена"))),"",IF(F810&lt;TODAY(),"❗ просрочено "&amp;(TODAY()-F810)&amp;" дн.",IF(F810=TODAY(),"🔥 сегодня",IF(F810-TODAY()&lt;=3,"⏳ через "&amp;(F810-TODAY())&amp;" дн.",""))))</f>
        <v/>
      </c>
      <c r="K810" s="54">
        <f>IF(B810="","",IF(G810="✅ Выполнена","✔ ",IF(G810="❌ Отменена","✖ ",IF(AND(F810&lt;&gt;"",F810&lt;TODAY()),"❗ ","☐ ")))&amp;B810&amp;IF(E810="🔥 Высокий"," 🔥",""))</f>
        <v/>
      </c>
      <c r="L810" s="54">
        <f>IF(OR(B810="",F810="",G810="❌ Отменена"),"",F810&amp;"#"&amp;COUNTIFS($F$5:F810,F810,$B$5:B810,"?*",$G$5:G810,"&lt;&gt;❌ Отменена"))</f>
        <v/>
      </c>
      <c r="M810" s="54">
        <f>IF(AND(B810&lt;&gt;"",F810&lt;&gt;"",F810&lt;TODAY(),AND(G810&lt;&gt;"✅ Выполнена",G810&lt;&gt;"❌ Отменена")),MAX($M$4:M809)+1,"")</f>
        <v/>
      </c>
    </row>
    <row r="811">
      <c r="A811" s="49">
        <f>IF(B811="","",COUNTA($B$5:B811))</f>
        <v/>
      </c>
      <c r="B811" s="50" t="n"/>
      <c r="C811" s="51" t="n"/>
      <c r="D811" s="51" t="n"/>
      <c r="E811" s="52" t="n"/>
      <c r="F811" s="53" t="n"/>
      <c r="G811" s="51" t="n"/>
      <c r="H811" s="53" t="n"/>
      <c r="I811" s="51" t="n"/>
      <c r="J811" s="54">
        <f>IF(OR(B811="",F811="",NOT(AND(G811&lt;&gt;"✅ Выполнена",G811&lt;&gt;"❌ Отменена"))),"",IF(F811&lt;TODAY(),"❗ просрочено "&amp;(TODAY()-F811)&amp;" дн.",IF(F811=TODAY(),"🔥 сегодня",IF(F811-TODAY()&lt;=3,"⏳ через "&amp;(F811-TODAY())&amp;" дн.",""))))</f>
        <v/>
      </c>
      <c r="K811" s="54">
        <f>IF(B811="","",IF(G811="✅ Выполнена","✔ ",IF(G811="❌ Отменена","✖ ",IF(AND(F811&lt;&gt;"",F811&lt;TODAY()),"❗ ","☐ ")))&amp;B811&amp;IF(E811="🔥 Высокий"," 🔥",""))</f>
        <v/>
      </c>
      <c r="L811" s="54">
        <f>IF(OR(B811="",F811="",G811="❌ Отменена"),"",F811&amp;"#"&amp;COUNTIFS($F$5:F811,F811,$B$5:B811,"?*",$G$5:G811,"&lt;&gt;❌ Отменена"))</f>
        <v/>
      </c>
      <c r="M811" s="54">
        <f>IF(AND(B811&lt;&gt;"",F811&lt;&gt;"",F811&lt;TODAY(),AND(G811&lt;&gt;"✅ Выполнена",G811&lt;&gt;"❌ Отменена")),MAX($M$4:M810)+1,"")</f>
        <v/>
      </c>
    </row>
    <row r="812">
      <c r="A812" s="49">
        <f>IF(B812="","",COUNTA($B$5:B812))</f>
        <v/>
      </c>
      <c r="B812" s="50" t="n"/>
      <c r="C812" s="51" t="n"/>
      <c r="D812" s="51" t="n"/>
      <c r="E812" s="52" t="n"/>
      <c r="F812" s="53" t="n"/>
      <c r="G812" s="51" t="n"/>
      <c r="H812" s="53" t="n"/>
      <c r="I812" s="51" t="n"/>
      <c r="J812" s="54">
        <f>IF(OR(B812="",F812="",NOT(AND(G812&lt;&gt;"✅ Выполнена",G812&lt;&gt;"❌ Отменена"))),"",IF(F812&lt;TODAY(),"❗ просрочено "&amp;(TODAY()-F812)&amp;" дн.",IF(F812=TODAY(),"🔥 сегодня",IF(F812-TODAY()&lt;=3,"⏳ через "&amp;(F812-TODAY())&amp;" дн.",""))))</f>
        <v/>
      </c>
      <c r="K812" s="54">
        <f>IF(B812="","",IF(G812="✅ Выполнена","✔ ",IF(G812="❌ Отменена","✖ ",IF(AND(F812&lt;&gt;"",F812&lt;TODAY()),"❗ ","☐ ")))&amp;B812&amp;IF(E812="🔥 Высокий"," 🔥",""))</f>
        <v/>
      </c>
      <c r="L812" s="54">
        <f>IF(OR(B812="",F812="",G812="❌ Отменена"),"",F812&amp;"#"&amp;COUNTIFS($F$5:F812,F812,$B$5:B812,"?*",$G$5:G812,"&lt;&gt;❌ Отменена"))</f>
        <v/>
      </c>
      <c r="M812" s="54">
        <f>IF(AND(B812&lt;&gt;"",F812&lt;&gt;"",F812&lt;TODAY(),AND(G812&lt;&gt;"✅ Выполнена",G812&lt;&gt;"❌ Отменена")),MAX($M$4:M811)+1,"")</f>
        <v/>
      </c>
    </row>
    <row r="813">
      <c r="A813" s="49">
        <f>IF(B813="","",COUNTA($B$5:B813))</f>
        <v/>
      </c>
      <c r="B813" s="50" t="n"/>
      <c r="C813" s="51" t="n"/>
      <c r="D813" s="51" t="n"/>
      <c r="E813" s="52" t="n"/>
      <c r="F813" s="53" t="n"/>
      <c r="G813" s="51" t="n"/>
      <c r="H813" s="53" t="n"/>
      <c r="I813" s="51" t="n"/>
      <c r="J813" s="54">
        <f>IF(OR(B813="",F813="",NOT(AND(G813&lt;&gt;"✅ Выполнена",G813&lt;&gt;"❌ Отменена"))),"",IF(F813&lt;TODAY(),"❗ просрочено "&amp;(TODAY()-F813)&amp;" дн.",IF(F813=TODAY(),"🔥 сегодня",IF(F813-TODAY()&lt;=3,"⏳ через "&amp;(F813-TODAY())&amp;" дн.",""))))</f>
        <v/>
      </c>
      <c r="K813" s="54">
        <f>IF(B813="","",IF(G813="✅ Выполнена","✔ ",IF(G813="❌ Отменена","✖ ",IF(AND(F813&lt;&gt;"",F813&lt;TODAY()),"❗ ","☐ ")))&amp;B813&amp;IF(E813="🔥 Высокий"," 🔥",""))</f>
        <v/>
      </c>
      <c r="L813" s="54">
        <f>IF(OR(B813="",F813="",G813="❌ Отменена"),"",F813&amp;"#"&amp;COUNTIFS($F$5:F813,F813,$B$5:B813,"?*",$G$5:G813,"&lt;&gt;❌ Отменена"))</f>
        <v/>
      </c>
      <c r="M813" s="54">
        <f>IF(AND(B813&lt;&gt;"",F813&lt;&gt;"",F813&lt;TODAY(),AND(G813&lt;&gt;"✅ Выполнена",G813&lt;&gt;"❌ Отменена")),MAX($M$4:M812)+1,"")</f>
        <v/>
      </c>
    </row>
    <row r="814">
      <c r="A814" s="49">
        <f>IF(B814="","",COUNTA($B$5:B814))</f>
        <v/>
      </c>
      <c r="B814" s="50" t="n"/>
      <c r="C814" s="51" t="n"/>
      <c r="D814" s="51" t="n"/>
      <c r="E814" s="52" t="n"/>
      <c r="F814" s="53" t="n"/>
      <c r="G814" s="51" t="n"/>
      <c r="H814" s="53" t="n"/>
      <c r="I814" s="51" t="n"/>
      <c r="J814" s="54">
        <f>IF(OR(B814="",F814="",NOT(AND(G814&lt;&gt;"✅ Выполнена",G814&lt;&gt;"❌ Отменена"))),"",IF(F814&lt;TODAY(),"❗ просрочено "&amp;(TODAY()-F814)&amp;" дн.",IF(F814=TODAY(),"🔥 сегодня",IF(F814-TODAY()&lt;=3,"⏳ через "&amp;(F814-TODAY())&amp;" дн.",""))))</f>
        <v/>
      </c>
      <c r="K814" s="54">
        <f>IF(B814="","",IF(G814="✅ Выполнена","✔ ",IF(G814="❌ Отменена","✖ ",IF(AND(F814&lt;&gt;"",F814&lt;TODAY()),"❗ ","☐ ")))&amp;B814&amp;IF(E814="🔥 Высокий"," 🔥",""))</f>
        <v/>
      </c>
      <c r="L814" s="54">
        <f>IF(OR(B814="",F814="",G814="❌ Отменена"),"",F814&amp;"#"&amp;COUNTIFS($F$5:F814,F814,$B$5:B814,"?*",$G$5:G814,"&lt;&gt;❌ Отменена"))</f>
        <v/>
      </c>
      <c r="M814" s="54">
        <f>IF(AND(B814&lt;&gt;"",F814&lt;&gt;"",F814&lt;TODAY(),AND(G814&lt;&gt;"✅ Выполнена",G814&lt;&gt;"❌ Отменена")),MAX($M$4:M813)+1,"")</f>
        <v/>
      </c>
    </row>
    <row r="815">
      <c r="A815" s="49">
        <f>IF(B815="","",COUNTA($B$5:B815))</f>
        <v/>
      </c>
      <c r="B815" s="50" t="n"/>
      <c r="C815" s="51" t="n"/>
      <c r="D815" s="51" t="n"/>
      <c r="E815" s="52" t="n"/>
      <c r="F815" s="53" t="n"/>
      <c r="G815" s="51" t="n"/>
      <c r="H815" s="53" t="n"/>
      <c r="I815" s="51" t="n"/>
      <c r="J815" s="54">
        <f>IF(OR(B815="",F815="",NOT(AND(G815&lt;&gt;"✅ Выполнена",G815&lt;&gt;"❌ Отменена"))),"",IF(F815&lt;TODAY(),"❗ просрочено "&amp;(TODAY()-F815)&amp;" дн.",IF(F815=TODAY(),"🔥 сегодня",IF(F815-TODAY()&lt;=3,"⏳ через "&amp;(F815-TODAY())&amp;" дн.",""))))</f>
        <v/>
      </c>
      <c r="K815" s="54">
        <f>IF(B815="","",IF(G815="✅ Выполнена","✔ ",IF(G815="❌ Отменена","✖ ",IF(AND(F815&lt;&gt;"",F815&lt;TODAY()),"❗ ","☐ ")))&amp;B815&amp;IF(E815="🔥 Высокий"," 🔥",""))</f>
        <v/>
      </c>
      <c r="L815" s="54">
        <f>IF(OR(B815="",F815="",G815="❌ Отменена"),"",F815&amp;"#"&amp;COUNTIFS($F$5:F815,F815,$B$5:B815,"?*",$G$5:G815,"&lt;&gt;❌ Отменена"))</f>
        <v/>
      </c>
      <c r="M815" s="54">
        <f>IF(AND(B815&lt;&gt;"",F815&lt;&gt;"",F815&lt;TODAY(),AND(G815&lt;&gt;"✅ Выполнена",G815&lt;&gt;"❌ Отменена")),MAX($M$4:M814)+1,"")</f>
        <v/>
      </c>
    </row>
    <row r="816">
      <c r="A816" s="49">
        <f>IF(B816="","",COUNTA($B$5:B816))</f>
        <v/>
      </c>
      <c r="B816" s="50" t="n"/>
      <c r="C816" s="51" t="n"/>
      <c r="D816" s="51" t="n"/>
      <c r="E816" s="52" t="n"/>
      <c r="F816" s="53" t="n"/>
      <c r="G816" s="51" t="n"/>
      <c r="H816" s="53" t="n"/>
      <c r="I816" s="51" t="n"/>
      <c r="J816" s="54">
        <f>IF(OR(B816="",F816="",NOT(AND(G816&lt;&gt;"✅ Выполнена",G816&lt;&gt;"❌ Отменена"))),"",IF(F816&lt;TODAY(),"❗ просрочено "&amp;(TODAY()-F816)&amp;" дн.",IF(F816=TODAY(),"🔥 сегодня",IF(F816-TODAY()&lt;=3,"⏳ через "&amp;(F816-TODAY())&amp;" дн.",""))))</f>
        <v/>
      </c>
      <c r="K816" s="54">
        <f>IF(B816="","",IF(G816="✅ Выполнена","✔ ",IF(G816="❌ Отменена","✖ ",IF(AND(F816&lt;&gt;"",F816&lt;TODAY()),"❗ ","☐ ")))&amp;B816&amp;IF(E816="🔥 Высокий"," 🔥",""))</f>
        <v/>
      </c>
      <c r="L816" s="54">
        <f>IF(OR(B816="",F816="",G816="❌ Отменена"),"",F816&amp;"#"&amp;COUNTIFS($F$5:F816,F816,$B$5:B816,"?*",$G$5:G816,"&lt;&gt;❌ Отменена"))</f>
        <v/>
      </c>
      <c r="M816" s="54">
        <f>IF(AND(B816&lt;&gt;"",F816&lt;&gt;"",F816&lt;TODAY(),AND(G816&lt;&gt;"✅ Выполнена",G816&lt;&gt;"❌ Отменена")),MAX($M$4:M815)+1,"")</f>
        <v/>
      </c>
    </row>
    <row r="817">
      <c r="A817" s="49">
        <f>IF(B817="","",COUNTA($B$5:B817))</f>
        <v/>
      </c>
      <c r="B817" s="50" t="n"/>
      <c r="C817" s="51" t="n"/>
      <c r="D817" s="51" t="n"/>
      <c r="E817" s="52" t="n"/>
      <c r="F817" s="53" t="n"/>
      <c r="G817" s="51" t="n"/>
      <c r="H817" s="53" t="n"/>
      <c r="I817" s="51" t="n"/>
      <c r="J817" s="54">
        <f>IF(OR(B817="",F817="",NOT(AND(G817&lt;&gt;"✅ Выполнена",G817&lt;&gt;"❌ Отменена"))),"",IF(F817&lt;TODAY(),"❗ просрочено "&amp;(TODAY()-F817)&amp;" дн.",IF(F817=TODAY(),"🔥 сегодня",IF(F817-TODAY()&lt;=3,"⏳ через "&amp;(F817-TODAY())&amp;" дн.",""))))</f>
        <v/>
      </c>
      <c r="K817" s="54">
        <f>IF(B817="","",IF(G817="✅ Выполнена","✔ ",IF(G817="❌ Отменена","✖ ",IF(AND(F817&lt;&gt;"",F817&lt;TODAY()),"❗ ","☐ ")))&amp;B817&amp;IF(E817="🔥 Высокий"," 🔥",""))</f>
        <v/>
      </c>
      <c r="L817" s="54">
        <f>IF(OR(B817="",F817="",G817="❌ Отменена"),"",F817&amp;"#"&amp;COUNTIFS($F$5:F817,F817,$B$5:B817,"?*",$G$5:G817,"&lt;&gt;❌ Отменена"))</f>
        <v/>
      </c>
      <c r="M817" s="54">
        <f>IF(AND(B817&lt;&gt;"",F817&lt;&gt;"",F817&lt;TODAY(),AND(G817&lt;&gt;"✅ Выполнена",G817&lt;&gt;"❌ Отменена")),MAX($M$4:M816)+1,"")</f>
        <v/>
      </c>
    </row>
    <row r="818">
      <c r="A818" s="49">
        <f>IF(B818="","",COUNTA($B$5:B818))</f>
        <v/>
      </c>
      <c r="B818" s="50" t="n"/>
      <c r="C818" s="51" t="n"/>
      <c r="D818" s="51" t="n"/>
      <c r="E818" s="52" t="n"/>
      <c r="F818" s="53" t="n"/>
      <c r="G818" s="51" t="n"/>
      <c r="H818" s="53" t="n"/>
      <c r="I818" s="51" t="n"/>
      <c r="J818" s="54">
        <f>IF(OR(B818="",F818="",NOT(AND(G818&lt;&gt;"✅ Выполнена",G818&lt;&gt;"❌ Отменена"))),"",IF(F818&lt;TODAY(),"❗ просрочено "&amp;(TODAY()-F818)&amp;" дн.",IF(F818=TODAY(),"🔥 сегодня",IF(F818-TODAY()&lt;=3,"⏳ через "&amp;(F818-TODAY())&amp;" дн.",""))))</f>
        <v/>
      </c>
      <c r="K818" s="54">
        <f>IF(B818="","",IF(G818="✅ Выполнена","✔ ",IF(G818="❌ Отменена","✖ ",IF(AND(F818&lt;&gt;"",F818&lt;TODAY()),"❗ ","☐ ")))&amp;B818&amp;IF(E818="🔥 Высокий"," 🔥",""))</f>
        <v/>
      </c>
      <c r="L818" s="54">
        <f>IF(OR(B818="",F818="",G818="❌ Отменена"),"",F818&amp;"#"&amp;COUNTIFS($F$5:F818,F818,$B$5:B818,"?*",$G$5:G818,"&lt;&gt;❌ Отменена"))</f>
        <v/>
      </c>
      <c r="M818" s="54">
        <f>IF(AND(B818&lt;&gt;"",F818&lt;&gt;"",F818&lt;TODAY(),AND(G818&lt;&gt;"✅ Выполнена",G818&lt;&gt;"❌ Отменена")),MAX($M$4:M817)+1,"")</f>
        <v/>
      </c>
    </row>
    <row r="819">
      <c r="A819" s="49">
        <f>IF(B819="","",COUNTA($B$5:B819))</f>
        <v/>
      </c>
      <c r="B819" s="50" t="n"/>
      <c r="C819" s="51" t="n"/>
      <c r="D819" s="51" t="n"/>
      <c r="E819" s="52" t="n"/>
      <c r="F819" s="53" t="n"/>
      <c r="G819" s="51" t="n"/>
      <c r="H819" s="53" t="n"/>
      <c r="I819" s="51" t="n"/>
      <c r="J819" s="54">
        <f>IF(OR(B819="",F819="",NOT(AND(G819&lt;&gt;"✅ Выполнена",G819&lt;&gt;"❌ Отменена"))),"",IF(F819&lt;TODAY(),"❗ просрочено "&amp;(TODAY()-F819)&amp;" дн.",IF(F819=TODAY(),"🔥 сегодня",IF(F819-TODAY()&lt;=3,"⏳ через "&amp;(F819-TODAY())&amp;" дн.",""))))</f>
        <v/>
      </c>
      <c r="K819" s="54">
        <f>IF(B819="","",IF(G819="✅ Выполнена","✔ ",IF(G819="❌ Отменена","✖ ",IF(AND(F819&lt;&gt;"",F819&lt;TODAY()),"❗ ","☐ ")))&amp;B819&amp;IF(E819="🔥 Высокий"," 🔥",""))</f>
        <v/>
      </c>
      <c r="L819" s="54">
        <f>IF(OR(B819="",F819="",G819="❌ Отменена"),"",F819&amp;"#"&amp;COUNTIFS($F$5:F819,F819,$B$5:B819,"?*",$G$5:G819,"&lt;&gt;❌ Отменена"))</f>
        <v/>
      </c>
      <c r="M819" s="54">
        <f>IF(AND(B819&lt;&gt;"",F819&lt;&gt;"",F819&lt;TODAY(),AND(G819&lt;&gt;"✅ Выполнена",G819&lt;&gt;"❌ Отменена")),MAX($M$4:M818)+1,"")</f>
        <v/>
      </c>
    </row>
    <row r="820">
      <c r="A820" s="49">
        <f>IF(B820="","",COUNTA($B$5:B820))</f>
        <v/>
      </c>
      <c r="B820" s="50" t="n"/>
      <c r="C820" s="51" t="n"/>
      <c r="D820" s="51" t="n"/>
      <c r="E820" s="52" t="n"/>
      <c r="F820" s="53" t="n"/>
      <c r="G820" s="51" t="n"/>
      <c r="H820" s="53" t="n"/>
      <c r="I820" s="51" t="n"/>
      <c r="J820" s="54">
        <f>IF(OR(B820="",F820="",NOT(AND(G820&lt;&gt;"✅ Выполнена",G820&lt;&gt;"❌ Отменена"))),"",IF(F820&lt;TODAY(),"❗ просрочено "&amp;(TODAY()-F820)&amp;" дн.",IF(F820=TODAY(),"🔥 сегодня",IF(F820-TODAY()&lt;=3,"⏳ через "&amp;(F820-TODAY())&amp;" дн.",""))))</f>
        <v/>
      </c>
      <c r="K820" s="54">
        <f>IF(B820="","",IF(G820="✅ Выполнена","✔ ",IF(G820="❌ Отменена","✖ ",IF(AND(F820&lt;&gt;"",F820&lt;TODAY()),"❗ ","☐ ")))&amp;B820&amp;IF(E820="🔥 Высокий"," 🔥",""))</f>
        <v/>
      </c>
      <c r="L820" s="54">
        <f>IF(OR(B820="",F820="",G820="❌ Отменена"),"",F820&amp;"#"&amp;COUNTIFS($F$5:F820,F820,$B$5:B820,"?*",$G$5:G820,"&lt;&gt;❌ Отменена"))</f>
        <v/>
      </c>
      <c r="M820" s="54">
        <f>IF(AND(B820&lt;&gt;"",F820&lt;&gt;"",F820&lt;TODAY(),AND(G820&lt;&gt;"✅ Выполнена",G820&lt;&gt;"❌ Отменена")),MAX($M$4:M819)+1,"")</f>
        <v/>
      </c>
    </row>
    <row r="821">
      <c r="A821" s="49">
        <f>IF(B821="","",COUNTA($B$5:B821))</f>
        <v/>
      </c>
      <c r="B821" s="50" t="n"/>
      <c r="C821" s="51" t="n"/>
      <c r="D821" s="51" t="n"/>
      <c r="E821" s="52" t="n"/>
      <c r="F821" s="53" t="n"/>
      <c r="G821" s="51" t="n"/>
      <c r="H821" s="53" t="n"/>
      <c r="I821" s="51" t="n"/>
      <c r="J821" s="54">
        <f>IF(OR(B821="",F821="",NOT(AND(G821&lt;&gt;"✅ Выполнена",G821&lt;&gt;"❌ Отменена"))),"",IF(F821&lt;TODAY(),"❗ просрочено "&amp;(TODAY()-F821)&amp;" дн.",IF(F821=TODAY(),"🔥 сегодня",IF(F821-TODAY()&lt;=3,"⏳ через "&amp;(F821-TODAY())&amp;" дн.",""))))</f>
        <v/>
      </c>
      <c r="K821" s="54">
        <f>IF(B821="","",IF(G821="✅ Выполнена","✔ ",IF(G821="❌ Отменена","✖ ",IF(AND(F821&lt;&gt;"",F821&lt;TODAY()),"❗ ","☐ ")))&amp;B821&amp;IF(E821="🔥 Высокий"," 🔥",""))</f>
        <v/>
      </c>
      <c r="L821" s="54">
        <f>IF(OR(B821="",F821="",G821="❌ Отменена"),"",F821&amp;"#"&amp;COUNTIFS($F$5:F821,F821,$B$5:B821,"?*",$G$5:G821,"&lt;&gt;❌ Отменена"))</f>
        <v/>
      </c>
      <c r="M821" s="54">
        <f>IF(AND(B821&lt;&gt;"",F821&lt;&gt;"",F821&lt;TODAY(),AND(G821&lt;&gt;"✅ Выполнена",G821&lt;&gt;"❌ Отменена")),MAX($M$4:M820)+1,"")</f>
        <v/>
      </c>
    </row>
    <row r="822">
      <c r="A822" s="49">
        <f>IF(B822="","",COUNTA($B$5:B822))</f>
        <v/>
      </c>
      <c r="B822" s="50" t="n"/>
      <c r="C822" s="51" t="n"/>
      <c r="D822" s="51" t="n"/>
      <c r="E822" s="52" t="n"/>
      <c r="F822" s="53" t="n"/>
      <c r="G822" s="51" t="n"/>
      <c r="H822" s="53" t="n"/>
      <c r="I822" s="51" t="n"/>
      <c r="J822" s="54">
        <f>IF(OR(B822="",F822="",NOT(AND(G822&lt;&gt;"✅ Выполнена",G822&lt;&gt;"❌ Отменена"))),"",IF(F822&lt;TODAY(),"❗ просрочено "&amp;(TODAY()-F822)&amp;" дн.",IF(F822=TODAY(),"🔥 сегодня",IF(F822-TODAY()&lt;=3,"⏳ через "&amp;(F822-TODAY())&amp;" дн.",""))))</f>
        <v/>
      </c>
      <c r="K822" s="54">
        <f>IF(B822="","",IF(G822="✅ Выполнена","✔ ",IF(G822="❌ Отменена","✖ ",IF(AND(F822&lt;&gt;"",F822&lt;TODAY()),"❗ ","☐ ")))&amp;B822&amp;IF(E822="🔥 Высокий"," 🔥",""))</f>
        <v/>
      </c>
      <c r="L822" s="54">
        <f>IF(OR(B822="",F822="",G822="❌ Отменена"),"",F822&amp;"#"&amp;COUNTIFS($F$5:F822,F822,$B$5:B822,"?*",$G$5:G822,"&lt;&gt;❌ Отменена"))</f>
        <v/>
      </c>
      <c r="M822" s="54">
        <f>IF(AND(B822&lt;&gt;"",F822&lt;&gt;"",F822&lt;TODAY(),AND(G822&lt;&gt;"✅ Выполнена",G822&lt;&gt;"❌ Отменена")),MAX($M$4:M821)+1,"")</f>
        <v/>
      </c>
    </row>
    <row r="823">
      <c r="A823" s="49">
        <f>IF(B823="","",COUNTA($B$5:B823))</f>
        <v/>
      </c>
      <c r="B823" s="50" t="n"/>
      <c r="C823" s="51" t="n"/>
      <c r="D823" s="51" t="n"/>
      <c r="E823" s="52" t="n"/>
      <c r="F823" s="53" t="n"/>
      <c r="G823" s="51" t="n"/>
      <c r="H823" s="53" t="n"/>
      <c r="I823" s="51" t="n"/>
      <c r="J823" s="54">
        <f>IF(OR(B823="",F823="",NOT(AND(G823&lt;&gt;"✅ Выполнена",G823&lt;&gt;"❌ Отменена"))),"",IF(F823&lt;TODAY(),"❗ просрочено "&amp;(TODAY()-F823)&amp;" дн.",IF(F823=TODAY(),"🔥 сегодня",IF(F823-TODAY()&lt;=3,"⏳ через "&amp;(F823-TODAY())&amp;" дн.",""))))</f>
        <v/>
      </c>
      <c r="K823" s="54">
        <f>IF(B823="","",IF(G823="✅ Выполнена","✔ ",IF(G823="❌ Отменена","✖ ",IF(AND(F823&lt;&gt;"",F823&lt;TODAY()),"❗ ","☐ ")))&amp;B823&amp;IF(E823="🔥 Высокий"," 🔥",""))</f>
        <v/>
      </c>
      <c r="L823" s="54">
        <f>IF(OR(B823="",F823="",G823="❌ Отменена"),"",F823&amp;"#"&amp;COUNTIFS($F$5:F823,F823,$B$5:B823,"?*",$G$5:G823,"&lt;&gt;❌ Отменена"))</f>
        <v/>
      </c>
      <c r="M823" s="54">
        <f>IF(AND(B823&lt;&gt;"",F823&lt;&gt;"",F823&lt;TODAY(),AND(G823&lt;&gt;"✅ Выполнена",G823&lt;&gt;"❌ Отменена")),MAX($M$4:M822)+1,"")</f>
        <v/>
      </c>
    </row>
    <row r="824">
      <c r="A824" s="49">
        <f>IF(B824="","",COUNTA($B$5:B824))</f>
        <v/>
      </c>
      <c r="B824" s="50" t="n"/>
      <c r="C824" s="51" t="n"/>
      <c r="D824" s="51" t="n"/>
      <c r="E824" s="52" t="n"/>
      <c r="F824" s="53" t="n"/>
      <c r="G824" s="51" t="n"/>
      <c r="H824" s="53" t="n"/>
      <c r="I824" s="51" t="n"/>
      <c r="J824" s="54">
        <f>IF(OR(B824="",F824="",NOT(AND(G824&lt;&gt;"✅ Выполнена",G824&lt;&gt;"❌ Отменена"))),"",IF(F824&lt;TODAY(),"❗ просрочено "&amp;(TODAY()-F824)&amp;" дн.",IF(F824=TODAY(),"🔥 сегодня",IF(F824-TODAY()&lt;=3,"⏳ через "&amp;(F824-TODAY())&amp;" дн.",""))))</f>
        <v/>
      </c>
      <c r="K824" s="54">
        <f>IF(B824="","",IF(G824="✅ Выполнена","✔ ",IF(G824="❌ Отменена","✖ ",IF(AND(F824&lt;&gt;"",F824&lt;TODAY()),"❗ ","☐ ")))&amp;B824&amp;IF(E824="🔥 Высокий"," 🔥",""))</f>
        <v/>
      </c>
      <c r="L824" s="54">
        <f>IF(OR(B824="",F824="",G824="❌ Отменена"),"",F824&amp;"#"&amp;COUNTIFS($F$5:F824,F824,$B$5:B824,"?*",$G$5:G824,"&lt;&gt;❌ Отменена"))</f>
        <v/>
      </c>
      <c r="M824" s="54">
        <f>IF(AND(B824&lt;&gt;"",F824&lt;&gt;"",F824&lt;TODAY(),AND(G824&lt;&gt;"✅ Выполнена",G824&lt;&gt;"❌ Отменена")),MAX($M$4:M823)+1,"")</f>
        <v/>
      </c>
    </row>
    <row r="825">
      <c r="A825" s="49">
        <f>IF(B825="","",COUNTA($B$5:B825))</f>
        <v/>
      </c>
      <c r="B825" s="50" t="n"/>
      <c r="C825" s="51" t="n"/>
      <c r="D825" s="51" t="n"/>
      <c r="E825" s="52" t="n"/>
      <c r="F825" s="53" t="n"/>
      <c r="G825" s="51" t="n"/>
      <c r="H825" s="53" t="n"/>
      <c r="I825" s="51" t="n"/>
      <c r="J825" s="54">
        <f>IF(OR(B825="",F825="",NOT(AND(G825&lt;&gt;"✅ Выполнена",G825&lt;&gt;"❌ Отменена"))),"",IF(F825&lt;TODAY(),"❗ просрочено "&amp;(TODAY()-F825)&amp;" дн.",IF(F825=TODAY(),"🔥 сегодня",IF(F825-TODAY()&lt;=3,"⏳ через "&amp;(F825-TODAY())&amp;" дн.",""))))</f>
        <v/>
      </c>
      <c r="K825" s="54">
        <f>IF(B825="","",IF(G825="✅ Выполнена","✔ ",IF(G825="❌ Отменена","✖ ",IF(AND(F825&lt;&gt;"",F825&lt;TODAY()),"❗ ","☐ ")))&amp;B825&amp;IF(E825="🔥 Высокий"," 🔥",""))</f>
        <v/>
      </c>
      <c r="L825" s="54">
        <f>IF(OR(B825="",F825="",G825="❌ Отменена"),"",F825&amp;"#"&amp;COUNTIFS($F$5:F825,F825,$B$5:B825,"?*",$G$5:G825,"&lt;&gt;❌ Отменена"))</f>
        <v/>
      </c>
      <c r="M825" s="54">
        <f>IF(AND(B825&lt;&gt;"",F825&lt;&gt;"",F825&lt;TODAY(),AND(G825&lt;&gt;"✅ Выполнена",G825&lt;&gt;"❌ Отменена")),MAX($M$4:M824)+1,"")</f>
        <v/>
      </c>
    </row>
    <row r="826">
      <c r="A826" s="49">
        <f>IF(B826="","",COUNTA($B$5:B826))</f>
        <v/>
      </c>
      <c r="B826" s="50" t="n"/>
      <c r="C826" s="51" t="n"/>
      <c r="D826" s="51" t="n"/>
      <c r="E826" s="52" t="n"/>
      <c r="F826" s="53" t="n"/>
      <c r="G826" s="51" t="n"/>
      <c r="H826" s="53" t="n"/>
      <c r="I826" s="51" t="n"/>
      <c r="J826" s="54">
        <f>IF(OR(B826="",F826="",NOT(AND(G826&lt;&gt;"✅ Выполнена",G826&lt;&gt;"❌ Отменена"))),"",IF(F826&lt;TODAY(),"❗ просрочено "&amp;(TODAY()-F826)&amp;" дн.",IF(F826=TODAY(),"🔥 сегодня",IF(F826-TODAY()&lt;=3,"⏳ через "&amp;(F826-TODAY())&amp;" дн.",""))))</f>
        <v/>
      </c>
      <c r="K826" s="54">
        <f>IF(B826="","",IF(G826="✅ Выполнена","✔ ",IF(G826="❌ Отменена","✖ ",IF(AND(F826&lt;&gt;"",F826&lt;TODAY()),"❗ ","☐ ")))&amp;B826&amp;IF(E826="🔥 Высокий"," 🔥",""))</f>
        <v/>
      </c>
      <c r="L826" s="54">
        <f>IF(OR(B826="",F826="",G826="❌ Отменена"),"",F826&amp;"#"&amp;COUNTIFS($F$5:F826,F826,$B$5:B826,"?*",$G$5:G826,"&lt;&gt;❌ Отменена"))</f>
        <v/>
      </c>
      <c r="M826" s="54">
        <f>IF(AND(B826&lt;&gt;"",F826&lt;&gt;"",F826&lt;TODAY(),AND(G826&lt;&gt;"✅ Выполнена",G826&lt;&gt;"❌ Отменена")),MAX($M$4:M825)+1,"")</f>
        <v/>
      </c>
    </row>
    <row r="827">
      <c r="A827" s="49">
        <f>IF(B827="","",COUNTA($B$5:B827))</f>
        <v/>
      </c>
      <c r="B827" s="50" t="n"/>
      <c r="C827" s="51" t="n"/>
      <c r="D827" s="51" t="n"/>
      <c r="E827" s="52" t="n"/>
      <c r="F827" s="53" t="n"/>
      <c r="G827" s="51" t="n"/>
      <c r="H827" s="53" t="n"/>
      <c r="I827" s="51" t="n"/>
      <c r="J827" s="54">
        <f>IF(OR(B827="",F827="",NOT(AND(G827&lt;&gt;"✅ Выполнена",G827&lt;&gt;"❌ Отменена"))),"",IF(F827&lt;TODAY(),"❗ просрочено "&amp;(TODAY()-F827)&amp;" дн.",IF(F827=TODAY(),"🔥 сегодня",IF(F827-TODAY()&lt;=3,"⏳ через "&amp;(F827-TODAY())&amp;" дн.",""))))</f>
        <v/>
      </c>
      <c r="K827" s="54">
        <f>IF(B827="","",IF(G827="✅ Выполнена","✔ ",IF(G827="❌ Отменена","✖ ",IF(AND(F827&lt;&gt;"",F827&lt;TODAY()),"❗ ","☐ ")))&amp;B827&amp;IF(E827="🔥 Высокий"," 🔥",""))</f>
        <v/>
      </c>
      <c r="L827" s="54">
        <f>IF(OR(B827="",F827="",G827="❌ Отменена"),"",F827&amp;"#"&amp;COUNTIFS($F$5:F827,F827,$B$5:B827,"?*",$G$5:G827,"&lt;&gt;❌ Отменена"))</f>
        <v/>
      </c>
      <c r="M827" s="54">
        <f>IF(AND(B827&lt;&gt;"",F827&lt;&gt;"",F827&lt;TODAY(),AND(G827&lt;&gt;"✅ Выполнена",G827&lt;&gt;"❌ Отменена")),MAX($M$4:M826)+1,"")</f>
        <v/>
      </c>
    </row>
    <row r="828">
      <c r="A828" s="49">
        <f>IF(B828="","",COUNTA($B$5:B828))</f>
        <v/>
      </c>
      <c r="B828" s="50" t="n"/>
      <c r="C828" s="51" t="n"/>
      <c r="D828" s="51" t="n"/>
      <c r="E828" s="52" t="n"/>
      <c r="F828" s="53" t="n"/>
      <c r="G828" s="51" t="n"/>
      <c r="H828" s="53" t="n"/>
      <c r="I828" s="51" t="n"/>
      <c r="J828" s="54">
        <f>IF(OR(B828="",F828="",NOT(AND(G828&lt;&gt;"✅ Выполнена",G828&lt;&gt;"❌ Отменена"))),"",IF(F828&lt;TODAY(),"❗ просрочено "&amp;(TODAY()-F828)&amp;" дн.",IF(F828=TODAY(),"🔥 сегодня",IF(F828-TODAY()&lt;=3,"⏳ через "&amp;(F828-TODAY())&amp;" дн.",""))))</f>
        <v/>
      </c>
      <c r="K828" s="54">
        <f>IF(B828="","",IF(G828="✅ Выполнена","✔ ",IF(G828="❌ Отменена","✖ ",IF(AND(F828&lt;&gt;"",F828&lt;TODAY()),"❗ ","☐ ")))&amp;B828&amp;IF(E828="🔥 Высокий"," 🔥",""))</f>
        <v/>
      </c>
      <c r="L828" s="54">
        <f>IF(OR(B828="",F828="",G828="❌ Отменена"),"",F828&amp;"#"&amp;COUNTIFS($F$5:F828,F828,$B$5:B828,"?*",$G$5:G828,"&lt;&gt;❌ Отменена"))</f>
        <v/>
      </c>
      <c r="M828" s="54">
        <f>IF(AND(B828&lt;&gt;"",F828&lt;&gt;"",F828&lt;TODAY(),AND(G828&lt;&gt;"✅ Выполнена",G828&lt;&gt;"❌ Отменена")),MAX($M$4:M827)+1,"")</f>
        <v/>
      </c>
    </row>
    <row r="829">
      <c r="A829" s="49">
        <f>IF(B829="","",COUNTA($B$5:B829))</f>
        <v/>
      </c>
      <c r="B829" s="50" t="n"/>
      <c r="C829" s="51" t="n"/>
      <c r="D829" s="51" t="n"/>
      <c r="E829" s="52" t="n"/>
      <c r="F829" s="53" t="n"/>
      <c r="G829" s="51" t="n"/>
      <c r="H829" s="53" t="n"/>
      <c r="I829" s="51" t="n"/>
      <c r="J829" s="54">
        <f>IF(OR(B829="",F829="",NOT(AND(G829&lt;&gt;"✅ Выполнена",G829&lt;&gt;"❌ Отменена"))),"",IF(F829&lt;TODAY(),"❗ просрочено "&amp;(TODAY()-F829)&amp;" дн.",IF(F829=TODAY(),"🔥 сегодня",IF(F829-TODAY()&lt;=3,"⏳ через "&amp;(F829-TODAY())&amp;" дн.",""))))</f>
        <v/>
      </c>
      <c r="K829" s="54">
        <f>IF(B829="","",IF(G829="✅ Выполнена","✔ ",IF(G829="❌ Отменена","✖ ",IF(AND(F829&lt;&gt;"",F829&lt;TODAY()),"❗ ","☐ ")))&amp;B829&amp;IF(E829="🔥 Высокий"," 🔥",""))</f>
        <v/>
      </c>
      <c r="L829" s="54">
        <f>IF(OR(B829="",F829="",G829="❌ Отменена"),"",F829&amp;"#"&amp;COUNTIFS($F$5:F829,F829,$B$5:B829,"?*",$G$5:G829,"&lt;&gt;❌ Отменена"))</f>
        <v/>
      </c>
      <c r="M829" s="54">
        <f>IF(AND(B829&lt;&gt;"",F829&lt;&gt;"",F829&lt;TODAY(),AND(G829&lt;&gt;"✅ Выполнена",G829&lt;&gt;"❌ Отменена")),MAX($M$4:M828)+1,"")</f>
        <v/>
      </c>
    </row>
    <row r="830">
      <c r="A830" s="49">
        <f>IF(B830="","",COUNTA($B$5:B830))</f>
        <v/>
      </c>
      <c r="B830" s="50" t="n"/>
      <c r="C830" s="51" t="n"/>
      <c r="D830" s="51" t="n"/>
      <c r="E830" s="52" t="n"/>
      <c r="F830" s="53" t="n"/>
      <c r="G830" s="51" t="n"/>
      <c r="H830" s="53" t="n"/>
      <c r="I830" s="51" t="n"/>
      <c r="J830" s="54">
        <f>IF(OR(B830="",F830="",NOT(AND(G830&lt;&gt;"✅ Выполнена",G830&lt;&gt;"❌ Отменена"))),"",IF(F830&lt;TODAY(),"❗ просрочено "&amp;(TODAY()-F830)&amp;" дн.",IF(F830=TODAY(),"🔥 сегодня",IF(F830-TODAY()&lt;=3,"⏳ через "&amp;(F830-TODAY())&amp;" дн.",""))))</f>
        <v/>
      </c>
      <c r="K830" s="54">
        <f>IF(B830="","",IF(G830="✅ Выполнена","✔ ",IF(G830="❌ Отменена","✖ ",IF(AND(F830&lt;&gt;"",F830&lt;TODAY()),"❗ ","☐ ")))&amp;B830&amp;IF(E830="🔥 Высокий"," 🔥",""))</f>
        <v/>
      </c>
      <c r="L830" s="54">
        <f>IF(OR(B830="",F830="",G830="❌ Отменена"),"",F830&amp;"#"&amp;COUNTIFS($F$5:F830,F830,$B$5:B830,"?*",$G$5:G830,"&lt;&gt;❌ Отменена"))</f>
        <v/>
      </c>
      <c r="M830" s="54">
        <f>IF(AND(B830&lt;&gt;"",F830&lt;&gt;"",F830&lt;TODAY(),AND(G830&lt;&gt;"✅ Выполнена",G830&lt;&gt;"❌ Отменена")),MAX($M$4:M829)+1,"")</f>
        <v/>
      </c>
    </row>
    <row r="831">
      <c r="A831" s="49">
        <f>IF(B831="","",COUNTA($B$5:B831))</f>
        <v/>
      </c>
      <c r="B831" s="50" t="n"/>
      <c r="C831" s="51" t="n"/>
      <c r="D831" s="51" t="n"/>
      <c r="E831" s="52" t="n"/>
      <c r="F831" s="53" t="n"/>
      <c r="G831" s="51" t="n"/>
      <c r="H831" s="53" t="n"/>
      <c r="I831" s="51" t="n"/>
      <c r="J831" s="54">
        <f>IF(OR(B831="",F831="",NOT(AND(G831&lt;&gt;"✅ Выполнена",G831&lt;&gt;"❌ Отменена"))),"",IF(F831&lt;TODAY(),"❗ просрочено "&amp;(TODAY()-F831)&amp;" дн.",IF(F831=TODAY(),"🔥 сегодня",IF(F831-TODAY()&lt;=3,"⏳ через "&amp;(F831-TODAY())&amp;" дн.",""))))</f>
        <v/>
      </c>
      <c r="K831" s="54">
        <f>IF(B831="","",IF(G831="✅ Выполнена","✔ ",IF(G831="❌ Отменена","✖ ",IF(AND(F831&lt;&gt;"",F831&lt;TODAY()),"❗ ","☐ ")))&amp;B831&amp;IF(E831="🔥 Высокий"," 🔥",""))</f>
        <v/>
      </c>
      <c r="L831" s="54">
        <f>IF(OR(B831="",F831="",G831="❌ Отменена"),"",F831&amp;"#"&amp;COUNTIFS($F$5:F831,F831,$B$5:B831,"?*",$G$5:G831,"&lt;&gt;❌ Отменена"))</f>
        <v/>
      </c>
      <c r="M831" s="54">
        <f>IF(AND(B831&lt;&gt;"",F831&lt;&gt;"",F831&lt;TODAY(),AND(G831&lt;&gt;"✅ Выполнена",G831&lt;&gt;"❌ Отменена")),MAX($M$4:M830)+1,"")</f>
        <v/>
      </c>
    </row>
    <row r="832">
      <c r="A832" s="49">
        <f>IF(B832="","",COUNTA($B$5:B832))</f>
        <v/>
      </c>
      <c r="B832" s="50" t="n"/>
      <c r="C832" s="51" t="n"/>
      <c r="D832" s="51" t="n"/>
      <c r="E832" s="52" t="n"/>
      <c r="F832" s="53" t="n"/>
      <c r="G832" s="51" t="n"/>
      <c r="H832" s="53" t="n"/>
      <c r="I832" s="51" t="n"/>
      <c r="J832" s="54">
        <f>IF(OR(B832="",F832="",NOT(AND(G832&lt;&gt;"✅ Выполнена",G832&lt;&gt;"❌ Отменена"))),"",IF(F832&lt;TODAY(),"❗ просрочено "&amp;(TODAY()-F832)&amp;" дн.",IF(F832=TODAY(),"🔥 сегодня",IF(F832-TODAY()&lt;=3,"⏳ через "&amp;(F832-TODAY())&amp;" дн.",""))))</f>
        <v/>
      </c>
      <c r="K832" s="54">
        <f>IF(B832="","",IF(G832="✅ Выполнена","✔ ",IF(G832="❌ Отменена","✖ ",IF(AND(F832&lt;&gt;"",F832&lt;TODAY()),"❗ ","☐ ")))&amp;B832&amp;IF(E832="🔥 Высокий"," 🔥",""))</f>
        <v/>
      </c>
      <c r="L832" s="54">
        <f>IF(OR(B832="",F832="",G832="❌ Отменена"),"",F832&amp;"#"&amp;COUNTIFS($F$5:F832,F832,$B$5:B832,"?*",$G$5:G832,"&lt;&gt;❌ Отменена"))</f>
        <v/>
      </c>
      <c r="M832" s="54">
        <f>IF(AND(B832&lt;&gt;"",F832&lt;&gt;"",F832&lt;TODAY(),AND(G832&lt;&gt;"✅ Выполнена",G832&lt;&gt;"❌ Отменена")),MAX($M$4:M831)+1,"")</f>
        <v/>
      </c>
    </row>
    <row r="833">
      <c r="A833" s="49">
        <f>IF(B833="","",COUNTA($B$5:B833))</f>
        <v/>
      </c>
      <c r="B833" s="50" t="n"/>
      <c r="C833" s="51" t="n"/>
      <c r="D833" s="51" t="n"/>
      <c r="E833" s="52" t="n"/>
      <c r="F833" s="53" t="n"/>
      <c r="G833" s="51" t="n"/>
      <c r="H833" s="53" t="n"/>
      <c r="I833" s="51" t="n"/>
      <c r="J833" s="54">
        <f>IF(OR(B833="",F833="",NOT(AND(G833&lt;&gt;"✅ Выполнена",G833&lt;&gt;"❌ Отменена"))),"",IF(F833&lt;TODAY(),"❗ просрочено "&amp;(TODAY()-F833)&amp;" дн.",IF(F833=TODAY(),"🔥 сегодня",IF(F833-TODAY()&lt;=3,"⏳ через "&amp;(F833-TODAY())&amp;" дн.",""))))</f>
        <v/>
      </c>
      <c r="K833" s="54">
        <f>IF(B833="","",IF(G833="✅ Выполнена","✔ ",IF(G833="❌ Отменена","✖ ",IF(AND(F833&lt;&gt;"",F833&lt;TODAY()),"❗ ","☐ ")))&amp;B833&amp;IF(E833="🔥 Высокий"," 🔥",""))</f>
        <v/>
      </c>
      <c r="L833" s="54">
        <f>IF(OR(B833="",F833="",G833="❌ Отменена"),"",F833&amp;"#"&amp;COUNTIFS($F$5:F833,F833,$B$5:B833,"?*",$G$5:G833,"&lt;&gt;❌ Отменена"))</f>
        <v/>
      </c>
      <c r="M833" s="54">
        <f>IF(AND(B833&lt;&gt;"",F833&lt;&gt;"",F833&lt;TODAY(),AND(G833&lt;&gt;"✅ Выполнена",G833&lt;&gt;"❌ Отменена")),MAX($M$4:M832)+1,"")</f>
        <v/>
      </c>
    </row>
    <row r="834">
      <c r="A834" s="49">
        <f>IF(B834="","",COUNTA($B$5:B834))</f>
        <v/>
      </c>
      <c r="B834" s="50" t="n"/>
      <c r="C834" s="51" t="n"/>
      <c r="D834" s="51" t="n"/>
      <c r="E834" s="52" t="n"/>
      <c r="F834" s="53" t="n"/>
      <c r="G834" s="51" t="n"/>
      <c r="H834" s="53" t="n"/>
      <c r="I834" s="51" t="n"/>
      <c r="J834" s="54">
        <f>IF(OR(B834="",F834="",NOT(AND(G834&lt;&gt;"✅ Выполнена",G834&lt;&gt;"❌ Отменена"))),"",IF(F834&lt;TODAY(),"❗ просрочено "&amp;(TODAY()-F834)&amp;" дн.",IF(F834=TODAY(),"🔥 сегодня",IF(F834-TODAY()&lt;=3,"⏳ через "&amp;(F834-TODAY())&amp;" дн.",""))))</f>
        <v/>
      </c>
      <c r="K834" s="54">
        <f>IF(B834="","",IF(G834="✅ Выполнена","✔ ",IF(G834="❌ Отменена","✖ ",IF(AND(F834&lt;&gt;"",F834&lt;TODAY()),"❗ ","☐ ")))&amp;B834&amp;IF(E834="🔥 Высокий"," 🔥",""))</f>
        <v/>
      </c>
      <c r="L834" s="54">
        <f>IF(OR(B834="",F834="",G834="❌ Отменена"),"",F834&amp;"#"&amp;COUNTIFS($F$5:F834,F834,$B$5:B834,"?*",$G$5:G834,"&lt;&gt;❌ Отменена"))</f>
        <v/>
      </c>
      <c r="M834" s="54">
        <f>IF(AND(B834&lt;&gt;"",F834&lt;&gt;"",F834&lt;TODAY(),AND(G834&lt;&gt;"✅ Выполнена",G834&lt;&gt;"❌ Отменена")),MAX($M$4:M833)+1,"")</f>
        <v/>
      </c>
    </row>
    <row r="835">
      <c r="A835" s="49">
        <f>IF(B835="","",COUNTA($B$5:B835))</f>
        <v/>
      </c>
      <c r="B835" s="50" t="n"/>
      <c r="C835" s="51" t="n"/>
      <c r="D835" s="51" t="n"/>
      <c r="E835" s="52" t="n"/>
      <c r="F835" s="53" t="n"/>
      <c r="G835" s="51" t="n"/>
      <c r="H835" s="53" t="n"/>
      <c r="I835" s="51" t="n"/>
      <c r="J835" s="54">
        <f>IF(OR(B835="",F835="",NOT(AND(G835&lt;&gt;"✅ Выполнена",G835&lt;&gt;"❌ Отменена"))),"",IF(F835&lt;TODAY(),"❗ просрочено "&amp;(TODAY()-F835)&amp;" дн.",IF(F835=TODAY(),"🔥 сегодня",IF(F835-TODAY()&lt;=3,"⏳ через "&amp;(F835-TODAY())&amp;" дн.",""))))</f>
        <v/>
      </c>
      <c r="K835" s="54">
        <f>IF(B835="","",IF(G835="✅ Выполнена","✔ ",IF(G835="❌ Отменена","✖ ",IF(AND(F835&lt;&gt;"",F835&lt;TODAY()),"❗ ","☐ ")))&amp;B835&amp;IF(E835="🔥 Высокий"," 🔥",""))</f>
        <v/>
      </c>
      <c r="L835" s="54">
        <f>IF(OR(B835="",F835="",G835="❌ Отменена"),"",F835&amp;"#"&amp;COUNTIFS($F$5:F835,F835,$B$5:B835,"?*",$G$5:G835,"&lt;&gt;❌ Отменена"))</f>
        <v/>
      </c>
      <c r="M835" s="54">
        <f>IF(AND(B835&lt;&gt;"",F835&lt;&gt;"",F835&lt;TODAY(),AND(G835&lt;&gt;"✅ Выполнена",G835&lt;&gt;"❌ Отменена")),MAX($M$4:M834)+1,"")</f>
        <v/>
      </c>
    </row>
    <row r="836">
      <c r="A836" s="49">
        <f>IF(B836="","",COUNTA($B$5:B836))</f>
        <v/>
      </c>
      <c r="B836" s="50" t="n"/>
      <c r="C836" s="51" t="n"/>
      <c r="D836" s="51" t="n"/>
      <c r="E836" s="52" t="n"/>
      <c r="F836" s="53" t="n"/>
      <c r="G836" s="51" t="n"/>
      <c r="H836" s="53" t="n"/>
      <c r="I836" s="51" t="n"/>
      <c r="J836" s="54">
        <f>IF(OR(B836="",F836="",NOT(AND(G836&lt;&gt;"✅ Выполнена",G836&lt;&gt;"❌ Отменена"))),"",IF(F836&lt;TODAY(),"❗ просрочено "&amp;(TODAY()-F836)&amp;" дн.",IF(F836=TODAY(),"🔥 сегодня",IF(F836-TODAY()&lt;=3,"⏳ через "&amp;(F836-TODAY())&amp;" дн.",""))))</f>
        <v/>
      </c>
      <c r="K836" s="54">
        <f>IF(B836="","",IF(G836="✅ Выполнена","✔ ",IF(G836="❌ Отменена","✖ ",IF(AND(F836&lt;&gt;"",F836&lt;TODAY()),"❗ ","☐ ")))&amp;B836&amp;IF(E836="🔥 Высокий"," 🔥",""))</f>
        <v/>
      </c>
      <c r="L836" s="54">
        <f>IF(OR(B836="",F836="",G836="❌ Отменена"),"",F836&amp;"#"&amp;COUNTIFS($F$5:F836,F836,$B$5:B836,"?*",$G$5:G836,"&lt;&gt;❌ Отменена"))</f>
        <v/>
      </c>
      <c r="M836" s="54">
        <f>IF(AND(B836&lt;&gt;"",F836&lt;&gt;"",F836&lt;TODAY(),AND(G836&lt;&gt;"✅ Выполнена",G836&lt;&gt;"❌ Отменена")),MAX($M$4:M835)+1,"")</f>
        <v/>
      </c>
    </row>
    <row r="837">
      <c r="A837" s="49">
        <f>IF(B837="","",COUNTA($B$5:B837))</f>
        <v/>
      </c>
      <c r="B837" s="50" t="n"/>
      <c r="C837" s="51" t="n"/>
      <c r="D837" s="51" t="n"/>
      <c r="E837" s="52" t="n"/>
      <c r="F837" s="53" t="n"/>
      <c r="G837" s="51" t="n"/>
      <c r="H837" s="53" t="n"/>
      <c r="I837" s="51" t="n"/>
      <c r="J837" s="54">
        <f>IF(OR(B837="",F837="",NOT(AND(G837&lt;&gt;"✅ Выполнена",G837&lt;&gt;"❌ Отменена"))),"",IF(F837&lt;TODAY(),"❗ просрочено "&amp;(TODAY()-F837)&amp;" дн.",IF(F837=TODAY(),"🔥 сегодня",IF(F837-TODAY()&lt;=3,"⏳ через "&amp;(F837-TODAY())&amp;" дн.",""))))</f>
        <v/>
      </c>
      <c r="K837" s="54">
        <f>IF(B837="","",IF(G837="✅ Выполнена","✔ ",IF(G837="❌ Отменена","✖ ",IF(AND(F837&lt;&gt;"",F837&lt;TODAY()),"❗ ","☐ ")))&amp;B837&amp;IF(E837="🔥 Высокий"," 🔥",""))</f>
        <v/>
      </c>
      <c r="L837" s="54">
        <f>IF(OR(B837="",F837="",G837="❌ Отменена"),"",F837&amp;"#"&amp;COUNTIFS($F$5:F837,F837,$B$5:B837,"?*",$G$5:G837,"&lt;&gt;❌ Отменена"))</f>
        <v/>
      </c>
      <c r="M837" s="54">
        <f>IF(AND(B837&lt;&gt;"",F837&lt;&gt;"",F837&lt;TODAY(),AND(G837&lt;&gt;"✅ Выполнена",G837&lt;&gt;"❌ Отменена")),MAX($M$4:M836)+1,"")</f>
        <v/>
      </c>
    </row>
    <row r="838">
      <c r="A838" s="49">
        <f>IF(B838="","",COUNTA($B$5:B838))</f>
        <v/>
      </c>
      <c r="B838" s="50" t="n"/>
      <c r="C838" s="51" t="n"/>
      <c r="D838" s="51" t="n"/>
      <c r="E838" s="52" t="n"/>
      <c r="F838" s="53" t="n"/>
      <c r="G838" s="51" t="n"/>
      <c r="H838" s="53" t="n"/>
      <c r="I838" s="51" t="n"/>
      <c r="J838" s="54">
        <f>IF(OR(B838="",F838="",NOT(AND(G838&lt;&gt;"✅ Выполнена",G838&lt;&gt;"❌ Отменена"))),"",IF(F838&lt;TODAY(),"❗ просрочено "&amp;(TODAY()-F838)&amp;" дн.",IF(F838=TODAY(),"🔥 сегодня",IF(F838-TODAY()&lt;=3,"⏳ через "&amp;(F838-TODAY())&amp;" дн.",""))))</f>
        <v/>
      </c>
      <c r="K838" s="54">
        <f>IF(B838="","",IF(G838="✅ Выполнена","✔ ",IF(G838="❌ Отменена","✖ ",IF(AND(F838&lt;&gt;"",F838&lt;TODAY()),"❗ ","☐ ")))&amp;B838&amp;IF(E838="🔥 Высокий"," 🔥",""))</f>
        <v/>
      </c>
      <c r="L838" s="54">
        <f>IF(OR(B838="",F838="",G838="❌ Отменена"),"",F838&amp;"#"&amp;COUNTIFS($F$5:F838,F838,$B$5:B838,"?*",$G$5:G838,"&lt;&gt;❌ Отменена"))</f>
        <v/>
      </c>
      <c r="M838" s="54">
        <f>IF(AND(B838&lt;&gt;"",F838&lt;&gt;"",F838&lt;TODAY(),AND(G838&lt;&gt;"✅ Выполнена",G838&lt;&gt;"❌ Отменена")),MAX($M$4:M837)+1,"")</f>
        <v/>
      </c>
    </row>
    <row r="839">
      <c r="A839" s="49">
        <f>IF(B839="","",COUNTA($B$5:B839))</f>
        <v/>
      </c>
      <c r="B839" s="50" t="n"/>
      <c r="C839" s="51" t="n"/>
      <c r="D839" s="51" t="n"/>
      <c r="E839" s="52" t="n"/>
      <c r="F839" s="53" t="n"/>
      <c r="G839" s="51" t="n"/>
      <c r="H839" s="53" t="n"/>
      <c r="I839" s="51" t="n"/>
      <c r="J839" s="54">
        <f>IF(OR(B839="",F839="",NOT(AND(G839&lt;&gt;"✅ Выполнена",G839&lt;&gt;"❌ Отменена"))),"",IF(F839&lt;TODAY(),"❗ просрочено "&amp;(TODAY()-F839)&amp;" дн.",IF(F839=TODAY(),"🔥 сегодня",IF(F839-TODAY()&lt;=3,"⏳ через "&amp;(F839-TODAY())&amp;" дн.",""))))</f>
        <v/>
      </c>
      <c r="K839" s="54">
        <f>IF(B839="","",IF(G839="✅ Выполнена","✔ ",IF(G839="❌ Отменена","✖ ",IF(AND(F839&lt;&gt;"",F839&lt;TODAY()),"❗ ","☐ ")))&amp;B839&amp;IF(E839="🔥 Высокий"," 🔥",""))</f>
        <v/>
      </c>
      <c r="L839" s="54">
        <f>IF(OR(B839="",F839="",G839="❌ Отменена"),"",F839&amp;"#"&amp;COUNTIFS($F$5:F839,F839,$B$5:B839,"?*",$G$5:G839,"&lt;&gt;❌ Отменена"))</f>
        <v/>
      </c>
      <c r="M839" s="54">
        <f>IF(AND(B839&lt;&gt;"",F839&lt;&gt;"",F839&lt;TODAY(),AND(G839&lt;&gt;"✅ Выполнена",G839&lt;&gt;"❌ Отменена")),MAX($M$4:M838)+1,"")</f>
        <v/>
      </c>
    </row>
    <row r="840">
      <c r="A840" s="49">
        <f>IF(B840="","",COUNTA($B$5:B840))</f>
        <v/>
      </c>
      <c r="B840" s="50" t="n"/>
      <c r="C840" s="51" t="n"/>
      <c r="D840" s="51" t="n"/>
      <c r="E840" s="52" t="n"/>
      <c r="F840" s="53" t="n"/>
      <c r="G840" s="51" t="n"/>
      <c r="H840" s="53" t="n"/>
      <c r="I840" s="51" t="n"/>
      <c r="J840" s="54">
        <f>IF(OR(B840="",F840="",NOT(AND(G840&lt;&gt;"✅ Выполнена",G840&lt;&gt;"❌ Отменена"))),"",IF(F840&lt;TODAY(),"❗ просрочено "&amp;(TODAY()-F840)&amp;" дн.",IF(F840=TODAY(),"🔥 сегодня",IF(F840-TODAY()&lt;=3,"⏳ через "&amp;(F840-TODAY())&amp;" дн.",""))))</f>
        <v/>
      </c>
      <c r="K840" s="54">
        <f>IF(B840="","",IF(G840="✅ Выполнена","✔ ",IF(G840="❌ Отменена","✖ ",IF(AND(F840&lt;&gt;"",F840&lt;TODAY()),"❗ ","☐ ")))&amp;B840&amp;IF(E840="🔥 Высокий"," 🔥",""))</f>
        <v/>
      </c>
      <c r="L840" s="54">
        <f>IF(OR(B840="",F840="",G840="❌ Отменена"),"",F840&amp;"#"&amp;COUNTIFS($F$5:F840,F840,$B$5:B840,"?*",$G$5:G840,"&lt;&gt;❌ Отменена"))</f>
        <v/>
      </c>
      <c r="M840" s="54">
        <f>IF(AND(B840&lt;&gt;"",F840&lt;&gt;"",F840&lt;TODAY(),AND(G840&lt;&gt;"✅ Выполнена",G840&lt;&gt;"❌ Отменена")),MAX($M$4:M839)+1,"")</f>
        <v/>
      </c>
    </row>
    <row r="841">
      <c r="A841" s="49">
        <f>IF(B841="","",COUNTA($B$5:B841))</f>
        <v/>
      </c>
      <c r="B841" s="50" t="n"/>
      <c r="C841" s="51" t="n"/>
      <c r="D841" s="51" t="n"/>
      <c r="E841" s="52" t="n"/>
      <c r="F841" s="53" t="n"/>
      <c r="G841" s="51" t="n"/>
      <c r="H841" s="53" t="n"/>
      <c r="I841" s="51" t="n"/>
      <c r="J841" s="54">
        <f>IF(OR(B841="",F841="",NOT(AND(G841&lt;&gt;"✅ Выполнена",G841&lt;&gt;"❌ Отменена"))),"",IF(F841&lt;TODAY(),"❗ просрочено "&amp;(TODAY()-F841)&amp;" дн.",IF(F841=TODAY(),"🔥 сегодня",IF(F841-TODAY()&lt;=3,"⏳ через "&amp;(F841-TODAY())&amp;" дн.",""))))</f>
        <v/>
      </c>
      <c r="K841" s="54">
        <f>IF(B841="","",IF(G841="✅ Выполнена","✔ ",IF(G841="❌ Отменена","✖ ",IF(AND(F841&lt;&gt;"",F841&lt;TODAY()),"❗ ","☐ ")))&amp;B841&amp;IF(E841="🔥 Высокий"," 🔥",""))</f>
        <v/>
      </c>
      <c r="L841" s="54">
        <f>IF(OR(B841="",F841="",G841="❌ Отменена"),"",F841&amp;"#"&amp;COUNTIFS($F$5:F841,F841,$B$5:B841,"?*",$G$5:G841,"&lt;&gt;❌ Отменена"))</f>
        <v/>
      </c>
      <c r="M841" s="54">
        <f>IF(AND(B841&lt;&gt;"",F841&lt;&gt;"",F841&lt;TODAY(),AND(G841&lt;&gt;"✅ Выполнена",G841&lt;&gt;"❌ Отменена")),MAX($M$4:M840)+1,"")</f>
        <v/>
      </c>
    </row>
    <row r="842">
      <c r="A842" s="49">
        <f>IF(B842="","",COUNTA($B$5:B842))</f>
        <v/>
      </c>
      <c r="B842" s="50" t="n"/>
      <c r="C842" s="51" t="n"/>
      <c r="D842" s="51" t="n"/>
      <c r="E842" s="52" t="n"/>
      <c r="F842" s="53" t="n"/>
      <c r="G842" s="51" t="n"/>
      <c r="H842" s="53" t="n"/>
      <c r="I842" s="51" t="n"/>
      <c r="J842" s="54">
        <f>IF(OR(B842="",F842="",NOT(AND(G842&lt;&gt;"✅ Выполнена",G842&lt;&gt;"❌ Отменена"))),"",IF(F842&lt;TODAY(),"❗ просрочено "&amp;(TODAY()-F842)&amp;" дн.",IF(F842=TODAY(),"🔥 сегодня",IF(F842-TODAY()&lt;=3,"⏳ через "&amp;(F842-TODAY())&amp;" дн.",""))))</f>
        <v/>
      </c>
      <c r="K842" s="54">
        <f>IF(B842="","",IF(G842="✅ Выполнена","✔ ",IF(G842="❌ Отменена","✖ ",IF(AND(F842&lt;&gt;"",F842&lt;TODAY()),"❗ ","☐ ")))&amp;B842&amp;IF(E842="🔥 Высокий"," 🔥",""))</f>
        <v/>
      </c>
      <c r="L842" s="54">
        <f>IF(OR(B842="",F842="",G842="❌ Отменена"),"",F842&amp;"#"&amp;COUNTIFS($F$5:F842,F842,$B$5:B842,"?*",$G$5:G842,"&lt;&gt;❌ Отменена"))</f>
        <v/>
      </c>
      <c r="M842" s="54">
        <f>IF(AND(B842&lt;&gt;"",F842&lt;&gt;"",F842&lt;TODAY(),AND(G842&lt;&gt;"✅ Выполнена",G842&lt;&gt;"❌ Отменена")),MAX($M$4:M841)+1,"")</f>
        <v/>
      </c>
    </row>
    <row r="843">
      <c r="A843" s="49">
        <f>IF(B843="","",COUNTA($B$5:B843))</f>
        <v/>
      </c>
      <c r="B843" s="50" t="n"/>
      <c r="C843" s="51" t="n"/>
      <c r="D843" s="51" t="n"/>
      <c r="E843" s="52" t="n"/>
      <c r="F843" s="53" t="n"/>
      <c r="G843" s="51" t="n"/>
      <c r="H843" s="53" t="n"/>
      <c r="I843" s="51" t="n"/>
      <c r="J843" s="54">
        <f>IF(OR(B843="",F843="",NOT(AND(G843&lt;&gt;"✅ Выполнена",G843&lt;&gt;"❌ Отменена"))),"",IF(F843&lt;TODAY(),"❗ просрочено "&amp;(TODAY()-F843)&amp;" дн.",IF(F843=TODAY(),"🔥 сегодня",IF(F843-TODAY()&lt;=3,"⏳ через "&amp;(F843-TODAY())&amp;" дн.",""))))</f>
        <v/>
      </c>
      <c r="K843" s="54">
        <f>IF(B843="","",IF(G843="✅ Выполнена","✔ ",IF(G843="❌ Отменена","✖ ",IF(AND(F843&lt;&gt;"",F843&lt;TODAY()),"❗ ","☐ ")))&amp;B843&amp;IF(E843="🔥 Высокий"," 🔥",""))</f>
        <v/>
      </c>
      <c r="L843" s="54">
        <f>IF(OR(B843="",F843="",G843="❌ Отменена"),"",F843&amp;"#"&amp;COUNTIFS($F$5:F843,F843,$B$5:B843,"?*",$G$5:G843,"&lt;&gt;❌ Отменена"))</f>
        <v/>
      </c>
      <c r="M843" s="54">
        <f>IF(AND(B843&lt;&gt;"",F843&lt;&gt;"",F843&lt;TODAY(),AND(G843&lt;&gt;"✅ Выполнена",G843&lt;&gt;"❌ Отменена")),MAX($M$4:M842)+1,"")</f>
        <v/>
      </c>
    </row>
    <row r="844">
      <c r="A844" s="49">
        <f>IF(B844="","",COUNTA($B$5:B844))</f>
        <v/>
      </c>
      <c r="B844" s="50" t="n"/>
      <c r="C844" s="51" t="n"/>
      <c r="D844" s="51" t="n"/>
      <c r="E844" s="52" t="n"/>
      <c r="F844" s="53" t="n"/>
      <c r="G844" s="51" t="n"/>
      <c r="H844" s="53" t="n"/>
      <c r="I844" s="51" t="n"/>
      <c r="J844" s="54">
        <f>IF(OR(B844="",F844="",NOT(AND(G844&lt;&gt;"✅ Выполнена",G844&lt;&gt;"❌ Отменена"))),"",IF(F844&lt;TODAY(),"❗ просрочено "&amp;(TODAY()-F844)&amp;" дн.",IF(F844=TODAY(),"🔥 сегодня",IF(F844-TODAY()&lt;=3,"⏳ через "&amp;(F844-TODAY())&amp;" дн.",""))))</f>
        <v/>
      </c>
      <c r="K844" s="54">
        <f>IF(B844="","",IF(G844="✅ Выполнена","✔ ",IF(G844="❌ Отменена","✖ ",IF(AND(F844&lt;&gt;"",F844&lt;TODAY()),"❗ ","☐ ")))&amp;B844&amp;IF(E844="🔥 Высокий"," 🔥",""))</f>
        <v/>
      </c>
      <c r="L844" s="54">
        <f>IF(OR(B844="",F844="",G844="❌ Отменена"),"",F844&amp;"#"&amp;COUNTIFS($F$5:F844,F844,$B$5:B844,"?*",$G$5:G844,"&lt;&gt;❌ Отменена"))</f>
        <v/>
      </c>
      <c r="M844" s="54">
        <f>IF(AND(B844&lt;&gt;"",F844&lt;&gt;"",F844&lt;TODAY(),AND(G844&lt;&gt;"✅ Выполнена",G844&lt;&gt;"❌ Отменена")),MAX($M$4:M843)+1,"")</f>
        <v/>
      </c>
    </row>
    <row r="845">
      <c r="A845" s="49">
        <f>IF(B845="","",COUNTA($B$5:B845))</f>
        <v/>
      </c>
      <c r="B845" s="50" t="n"/>
      <c r="C845" s="51" t="n"/>
      <c r="D845" s="51" t="n"/>
      <c r="E845" s="52" t="n"/>
      <c r="F845" s="53" t="n"/>
      <c r="G845" s="51" t="n"/>
      <c r="H845" s="53" t="n"/>
      <c r="I845" s="51" t="n"/>
      <c r="J845" s="54">
        <f>IF(OR(B845="",F845="",NOT(AND(G845&lt;&gt;"✅ Выполнена",G845&lt;&gt;"❌ Отменена"))),"",IF(F845&lt;TODAY(),"❗ просрочено "&amp;(TODAY()-F845)&amp;" дн.",IF(F845=TODAY(),"🔥 сегодня",IF(F845-TODAY()&lt;=3,"⏳ через "&amp;(F845-TODAY())&amp;" дн.",""))))</f>
        <v/>
      </c>
      <c r="K845" s="54">
        <f>IF(B845="","",IF(G845="✅ Выполнена","✔ ",IF(G845="❌ Отменена","✖ ",IF(AND(F845&lt;&gt;"",F845&lt;TODAY()),"❗ ","☐ ")))&amp;B845&amp;IF(E845="🔥 Высокий"," 🔥",""))</f>
        <v/>
      </c>
      <c r="L845" s="54">
        <f>IF(OR(B845="",F845="",G845="❌ Отменена"),"",F845&amp;"#"&amp;COUNTIFS($F$5:F845,F845,$B$5:B845,"?*",$G$5:G845,"&lt;&gt;❌ Отменена"))</f>
        <v/>
      </c>
      <c r="M845" s="54">
        <f>IF(AND(B845&lt;&gt;"",F845&lt;&gt;"",F845&lt;TODAY(),AND(G845&lt;&gt;"✅ Выполнена",G845&lt;&gt;"❌ Отменена")),MAX($M$4:M844)+1,"")</f>
        <v/>
      </c>
    </row>
    <row r="846">
      <c r="A846" s="49">
        <f>IF(B846="","",COUNTA($B$5:B846))</f>
        <v/>
      </c>
      <c r="B846" s="50" t="n"/>
      <c r="C846" s="51" t="n"/>
      <c r="D846" s="51" t="n"/>
      <c r="E846" s="52" t="n"/>
      <c r="F846" s="53" t="n"/>
      <c r="G846" s="51" t="n"/>
      <c r="H846" s="53" t="n"/>
      <c r="I846" s="51" t="n"/>
      <c r="J846" s="54">
        <f>IF(OR(B846="",F846="",NOT(AND(G846&lt;&gt;"✅ Выполнена",G846&lt;&gt;"❌ Отменена"))),"",IF(F846&lt;TODAY(),"❗ просрочено "&amp;(TODAY()-F846)&amp;" дн.",IF(F846=TODAY(),"🔥 сегодня",IF(F846-TODAY()&lt;=3,"⏳ через "&amp;(F846-TODAY())&amp;" дн.",""))))</f>
        <v/>
      </c>
      <c r="K846" s="54">
        <f>IF(B846="","",IF(G846="✅ Выполнена","✔ ",IF(G846="❌ Отменена","✖ ",IF(AND(F846&lt;&gt;"",F846&lt;TODAY()),"❗ ","☐ ")))&amp;B846&amp;IF(E846="🔥 Высокий"," 🔥",""))</f>
        <v/>
      </c>
      <c r="L846" s="54">
        <f>IF(OR(B846="",F846="",G846="❌ Отменена"),"",F846&amp;"#"&amp;COUNTIFS($F$5:F846,F846,$B$5:B846,"?*",$G$5:G846,"&lt;&gt;❌ Отменена"))</f>
        <v/>
      </c>
      <c r="M846" s="54">
        <f>IF(AND(B846&lt;&gt;"",F846&lt;&gt;"",F846&lt;TODAY(),AND(G846&lt;&gt;"✅ Выполнена",G846&lt;&gt;"❌ Отменена")),MAX($M$4:M845)+1,"")</f>
        <v/>
      </c>
    </row>
    <row r="847">
      <c r="A847" s="49">
        <f>IF(B847="","",COUNTA($B$5:B847))</f>
        <v/>
      </c>
      <c r="B847" s="50" t="n"/>
      <c r="C847" s="51" t="n"/>
      <c r="D847" s="51" t="n"/>
      <c r="E847" s="52" t="n"/>
      <c r="F847" s="53" t="n"/>
      <c r="G847" s="51" t="n"/>
      <c r="H847" s="53" t="n"/>
      <c r="I847" s="51" t="n"/>
      <c r="J847" s="54">
        <f>IF(OR(B847="",F847="",NOT(AND(G847&lt;&gt;"✅ Выполнена",G847&lt;&gt;"❌ Отменена"))),"",IF(F847&lt;TODAY(),"❗ просрочено "&amp;(TODAY()-F847)&amp;" дн.",IF(F847=TODAY(),"🔥 сегодня",IF(F847-TODAY()&lt;=3,"⏳ через "&amp;(F847-TODAY())&amp;" дн.",""))))</f>
        <v/>
      </c>
      <c r="K847" s="54">
        <f>IF(B847="","",IF(G847="✅ Выполнена","✔ ",IF(G847="❌ Отменена","✖ ",IF(AND(F847&lt;&gt;"",F847&lt;TODAY()),"❗ ","☐ ")))&amp;B847&amp;IF(E847="🔥 Высокий"," 🔥",""))</f>
        <v/>
      </c>
      <c r="L847" s="54">
        <f>IF(OR(B847="",F847="",G847="❌ Отменена"),"",F847&amp;"#"&amp;COUNTIFS($F$5:F847,F847,$B$5:B847,"?*",$G$5:G847,"&lt;&gt;❌ Отменена"))</f>
        <v/>
      </c>
      <c r="M847" s="54">
        <f>IF(AND(B847&lt;&gt;"",F847&lt;&gt;"",F847&lt;TODAY(),AND(G847&lt;&gt;"✅ Выполнена",G847&lt;&gt;"❌ Отменена")),MAX($M$4:M846)+1,"")</f>
        <v/>
      </c>
    </row>
    <row r="848">
      <c r="A848" s="49">
        <f>IF(B848="","",COUNTA($B$5:B848))</f>
        <v/>
      </c>
      <c r="B848" s="50" t="n"/>
      <c r="C848" s="51" t="n"/>
      <c r="D848" s="51" t="n"/>
      <c r="E848" s="52" t="n"/>
      <c r="F848" s="53" t="n"/>
      <c r="G848" s="51" t="n"/>
      <c r="H848" s="53" t="n"/>
      <c r="I848" s="51" t="n"/>
      <c r="J848" s="54">
        <f>IF(OR(B848="",F848="",NOT(AND(G848&lt;&gt;"✅ Выполнена",G848&lt;&gt;"❌ Отменена"))),"",IF(F848&lt;TODAY(),"❗ просрочено "&amp;(TODAY()-F848)&amp;" дн.",IF(F848=TODAY(),"🔥 сегодня",IF(F848-TODAY()&lt;=3,"⏳ через "&amp;(F848-TODAY())&amp;" дн.",""))))</f>
        <v/>
      </c>
      <c r="K848" s="54">
        <f>IF(B848="","",IF(G848="✅ Выполнена","✔ ",IF(G848="❌ Отменена","✖ ",IF(AND(F848&lt;&gt;"",F848&lt;TODAY()),"❗ ","☐ ")))&amp;B848&amp;IF(E848="🔥 Высокий"," 🔥",""))</f>
        <v/>
      </c>
      <c r="L848" s="54">
        <f>IF(OR(B848="",F848="",G848="❌ Отменена"),"",F848&amp;"#"&amp;COUNTIFS($F$5:F848,F848,$B$5:B848,"?*",$G$5:G848,"&lt;&gt;❌ Отменена"))</f>
        <v/>
      </c>
      <c r="M848" s="54">
        <f>IF(AND(B848&lt;&gt;"",F848&lt;&gt;"",F848&lt;TODAY(),AND(G848&lt;&gt;"✅ Выполнена",G848&lt;&gt;"❌ Отменена")),MAX($M$4:M847)+1,"")</f>
        <v/>
      </c>
    </row>
    <row r="849">
      <c r="A849" s="49">
        <f>IF(B849="","",COUNTA($B$5:B849))</f>
        <v/>
      </c>
      <c r="B849" s="50" t="n"/>
      <c r="C849" s="51" t="n"/>
      <c r="D849" s="51" t="n"/>
      <c r="E849" s="52" t="n"/>
      <c r="F849" s="53" t="n"/>
      <c r="G849" s="51" t="n"/>
      <c r="H849" s="53" t="n"/>
      <c r="I849" s="51" t="n"/>
      <c r="J849" s="54">
        <f>IF(OR(B849="",F849="",NOT(AND(G849&lt;&gt;"✅ Выполнена",G849&lt;&gt;"❌ Отменена"))),"",IF(F849&lt;TODAY(),"❗ просрочено "&amp;(TODAY()-F849)&amp;" дн.",IF(F849=TODAY(),"🔥 сегодня",IF(F849-TODAY()&lt;=3,"⏳ через "&amp;(F849-TODAY())&amp;" дн.",""))))</f>
        <v/>
      </c>
      <c r="K849" s="54">
        <f>IF(B849="","",IF(G849="✅ Выполнена","✔ ",IF(G849="❌ Отменена","✖ ",IF(AND(F849&lt;&gt;"",F849&lt;TODAY()),"❗ ","☐ ")))&amp;B849&amp;IF(E849="🔥 Высокий"," 🔥",""))</f>
        <v/>
      </c>
      <c r="L849" s="54">
        <f>IF(OR(B849="",F849="",G849="❌ Отменена"),"",F849&amp;"#"&amp;COUNTIFS($F$5:F849,F849,$B$5:B849,"?*",$G$5:G849,"&lt;&gt;❌ Отменена"))</f>
        <v/>
      </c>
      <c r="M849" s="54">
        <f>IF(AND(B849&lt;&gt;"",F849&lt;&gt;"",F849&lt;TODAY(),AND(G849&lt;&gt;"✅ Выполнена",G849&lt;&gt;"❌ Отменена")),MAX($M$4:M848)+1,"")</f>
        <v/>
      </c>
    </row>
    <row r="850">
      <c r="A850" s="49">
        <f>IF(B850="","",COUNTA($B$5:B850))</f>
        <v/>
      </c>
      <c r="B850" s="50" t="n"/>
      <c r="C850" s="51" t="n"/>
      <c r="D850" s="51" t="n"/>
      <c r="E850" s="52" t="n"/>
      <c r="F850" s="53" t="n"/>
      <c r="G850" s="51" t="n"/>
      <c r="H850" s="53" t="n"/>
      <c r="I850" s="51" t="n"/>
      <c r="J850" s="54">
        <f>IF(OR(B850="",F850="",NOT(AND(G850&lt;&gt;"✅ Выполнена",G850&lt;&gt;"❌ Отменена"))),"",IF(F850&lt;TODAY(),"❗ просрочено "&amp;(TODAY()-F850)&amp;" дн.",IF(F850=TODAY(),"🔥 сегодня",IF(F850-TODAY()&lt;=3,"⏳ через "&amp;(F850-TODAY())&amp;" дн.",""))))</f>
        <v/>
      </c>
      <c r="K850" s="54">
        <f>IF(B850="","",IF(G850="✅ Выполнена","✔ ",IF(G850="❌ Отменена","✖ ",IF(AND(F850&lt;&gt;"",F850&lt;TODAY()),"❗ ","☐ ")))&amp;B850&amp;IF(E850="🔥 Высокий"," 🔥",""))</f>
        <v/>
      </c>
      <c r="L850" s="54">
        <f>IF(OR(B850="",F850="",G850="❌ Отменена"),"",F850&amp;"#"&amp;COUNTIFS($F$5:F850,F850,$B$5:B850,"?*",$G$5:G850,"&lt;&gt;❌ Отменена"))</f>
        <v/>
      </c>
      <c r="M850" s="54">
        <f>IF(AND(B850&lt;&gt;"",F850&lt;&gt;"",F850&lt;TODAY(),AND(G850&lt;&gt;"✅ Выполнена",G850&lt;&gt;"❌ Отменена")),MAX($M$4:M849)+1,"")</f>
        <v/>
      </c>
    </row>
    <row r="851">
      <c r="A851" s="49">
        <f>IF(B851="","",COUNTA($B$5:B851))</f>
        <v/>
      </c>
      <c r="B851" s="50" t="n"/>
      <c r="C851" s="51" t="n"/>
      <c r="D851" s="51" t="n"/>
      <c r="E851" s="52" t="n"/>
      <c r="F851" s="53" t="n"/>
      <c r="G851" s="51" t="n"/>
      <c r="H851" s="53" t="n"/>
      <c r="I851" s="51" t="n"/>
      <c r="J851" s="54">
        <f>IF(OR(B851="",F851="",NOT(AND(G851&lt;&gt;"✅ Выполнена",G851&lt;&gt;"❌ Отменена"))),"",IF(F851&lt;TODAY(),"❗ просрочено "&amp;(TODAY()-F851)&amp;" дн.",IF(F851=TODAY(),"🔥 сегодня",IF(F851-TODAY()&lt;=3,"⏳ через "&amp;(F851-TODAY())&amp;" дн.",""))))</f>
        <v/>
      </c>
      <c r="K851" s="54">
        <f>IF(B851="","",IF(G851="✅ Выполнена","✔ ",IF(G851="❌ Отменена","✖ ",IF(AND(F851&lt;&gt;"",F851&lt;TODAY()),"❗ ","☐ ")))&amp;B851&amp;IF(E851="🔥 Высокий"," 🔥",""))</f>
        <v/>
      </c>
      <c r="L851" s="54">
        <f>IF(OR(B851="",F851="",G851="❌ Отменена"),"",F851&amp;"#"&amp;COUNTIFS($F$5:F851,F851,$B$5:B851,"?*",$G$5:G851,"&lt;&gt;❌ Отменена"))</f>
        <v/>
      </c>
      <c r="M851" s="54">
        <f>IF(AND(B851&lt;&gt;"",F851&lt;&gt;"",F851&lt;TODAY(),AND(G851&lt;&gt;"✅ Выполнена",G851&lt;&gt;"❌ Отменена")),MAX($M$4:M850)+1,"")</f>
        <v/>
      </c>
    </row>
    <row r="852">
      <c r="A852" s="49">
        <f>IF(B852="","",COUNTA($B$5:B852))</f>
        <v/>
      </c>
      <c r="B852" s="50" t="n"/>
      <c r="C852" s="51" t="n"/>
      <c r="D852" s="51" t="n"/>
      <c r="E852" s="52" t="n"/>
      <c r="F852" s="53" t="n"/>
      <c r="G852" s="51" t="n"/>
      <c r="H852" s="53" t="n"/>
      <c r="I852" s="51" t="n"/>
      <c r="J852" s="54">
        <f>IF(OR(B852="",F852="",NOT(AND(G852&lt;&gt;"✅ Выполнена",G852&lt;&gt;"❌ Отменена"))),"",IF(F852&lt;TODAY(),"❗ просрочено "&amp;(TODAY()-F852)&amp;" дн.",IF(F852=TODAY(),"🔥 сегодня",IF(F852-TODAY()&lt;=3,"⏳ через "&amp;(F852-TODAY())&amp;" дн.",""))))</f>
        <v/>
      </c>
      <c r="K852" s="54">
        <f>IF(B852="","",IF(G852="✅ Выполнена","✔ ",IF(G852="❌ Отменена","✖ ",IF(AND(F852&lt;&gt;"",F852&lt;TODAY()),"❗ ","☐ ")))&amp;B852&amp;IF(E852="🔥 Высокий"," 🔥",""))</f>
        <v/>
      </c>
      <c r="L852" s="54">
        <f>IF(OR(B852="",F852="",G852="❌ Отменена"),"",F852&amp;"#"&amp;COUNTIFS($F$5:F852,F852,$B$5:B852,"?*",$G$5:G852,"&lt;&gt;❌ Отменена"))</f>
        <v/>
      </c>
      <c r="M852" s="54">
        <f>IF(AND(B852&lt;&gt;"",F852&lt;&gt;"",F852&lt;TODAY(),AND(G852&lt;&gt;"✅ Выполнена",G852&lt;&gt;"❌ Отменена")),MAX($M$4:M851)+1,"")</f>
        <v/>
      </c>
    </row>
    <row r="853">
      <c r="A853" s="49">
        <f>IF(B853="","",COUNTA($B$5:B853))</f>
        <v/>
      </c>
      <c r="B853" s="50" t="n"/>
      <c r="C853" s="51" t="n"/>
      <c r="D853" s="51" t="n"/>
      <c r="E853" s="52" t="n"/>
      <c r="F853" s="53" t="n"/>
      <c r="G853" s="51" t="n"/>
      <c r="H853" s="53" t="n"/>
      <c r="I853" s="51" t="n"/>
      <c r="J853" s="54">
        <f>IF(OR(B853="",F853="",NOT(AND(G853&lt;&gt;"✅ Выполнена",G853&lt;&gt;"❌ Отменена"))),"",IF(F853&lt;TODAY(),"❗ просрочено "&amp;(TODAY()-F853)&amp;" дн.",IF(F853=TODAY(),"🔥 сегодня",IF(F853-TODAY()&lt;=3,"⏳ через "&amp;(F853-TODAY())&amp;" дн.",""))))</f>
        <v/>
      </c>
      <c r="K853" s="54">
        <f>IF(B853="","",IF(G853="✅ Выполнена","✔ ",IF(G853="❌ Отменена","✖ ",IF(AND(F853&lt;&gt;"",F853&lt;TODAY()),"❗ ","☐ ")))&amp;B853&amp;IF(E853="🔥 Высокий"," 🔥",""))</f>
        <v/>
      </c>
      <c r="L853" s="54">
        <f>IF(OR(B853="",F853="",G853="❌ Отменена"),"",F853&amp;"#"&amp;COUNTIFS($F$5:F853,F853,$B$5:B853,"?*",$G$5:G853,"&lt;&gt;❌ Отменена"))</f>
        <v/>
      </c>
      <c r="M853" s="54">
        <f>IF(AND(B853&lt;&gt;"",F853&lt;&gt;"",F853&lt;TODAY(),AND(G853&lt;&gt;"✅ Выполнена",G853&lt;&gt;"❌ Отменена")),MAX($M$4:M852)+1,"")</f>
        <v/>
      </c>
    </row>
    <row r="854">
      <c r="A854" s="49">
        <f>IF(B854="","",COUNTA($B$5:B854))</f>
        <v/>
      </c>
      <c r="B854" s="50" t="n"/>
      <c r="C854" s="51" t="n"/>
      <c r="D854" s="51" t="n"/>
      <c r="E854" s="52" t="n"/>
      <c r="F854" s="53" t="n"/>
      <c r="G854" s="51" t="n"/>
      <c r="H854" s="53" t="n"/>
      <c r="I854" s="51" t="n"/>
      <c r="J854" s="54">
        <f>IF(OR(B854="",F854="",NOT(AND(G854&lt;&gt;"✅ Выполнена",G854&lt;&gt;"❌ Отменена"))),"",IF(F854&lt;TODAY(),"❗ просрочено "&amp;(TODAY()-F854)&amp;" дн.",IF(F854=TODAY(),"🔥 сегодня",IF(F854-TODAY()&lt;=3,"⏳ через "&amp;(F854-TODAY())&amp;" дн.",""))))</f>
        <v/>
      </c>
      <c r="K854" s="54">
        <f>IF(B854="","",IF(G854="✅ Выполнена","✔ ",IF(G854="❌ Отменена","✖ ",IF(AND(F854&lt;&gt;"",F854&lt;TODAY()),"❗ ","☐ ")))&amp;B854&amp;IF(E854="🔥 Высокий"," 🔥",""))</f>
        <v/>
      </c>
      <c r="L854" s="54">
        <f>IF(OR(B854="",F854="",G854="❌ Отменена"),"",F854&amp;"#"&amp;COUNTIFS($F$5:F854,F854,$B$5:B854,"?*",$G$5:G854,"&lt;&gt;❌ Отменена"))</f>
        <v/>
      </c>
      <c r="M854" s="54">
        <f>IF(AND(B854&lt;&gt;"",F854&lt;&gt;"",F854&lt;TODAY(),AND(G854&lt;&gt;"✅ Выполнена",G854&lt;&gt;"❌ Отменена")),MAX($M$4:M853)+1,"")</f>
        <v/>
      </c>
    </row>
    <row r="855">
      <c r="A855" s="49">
        <f>IF(B855="","",COUNTA($B$5:B855))</f>
        <v/>
      </c>
      <c r="B855" s="50" t="n"/>
      <c r="C855" s="51" t="n"/>
      <c r="D855" s="51" t="n"/>
      <c r="E855" s="52" t="n"/>
      <c r="F855" s="53" t="n"/>
      <c r="G855" s="51" t="n"/>
      <c r="H855" s="53" t="n"/>
      <c r="I855" s="51" t="n"/>
      <c r="J855" s="54">
        <f>IF(OR(B855="",F855="",NOT(AND(G855&lt;&gt;"✅ Выполнена",G855&lt;&gt;"❌ Отменена"))),"",IF(F855&lt;TODAY(),"❗ просрочено "&amp;(TODAY()-F855)&amp;" дн.",IF(F855=TODAY(),"🔥 сегодня",IF(F855-TODAY()&lt;=3,"⏳ через "&amp;(F855-TODAY())&amp;" дн.",""))))</f>
        <v/>
      </c>
      <c r="K855" s="54">
        <f>IF(B855="","",IF(G855="✅ Выполнена","✔ ",IF(G855="❌ Отменена","✖ ",IF(AND(F855&lt;&gt;"",F855&lt;TODAY()),"❗ ","☐ ")))&amp;B855&amp;IF(E855="🔥 Высокий"," 🔥",""))</f>
        <v/>
      </c>
      <c r="L855" s="54">
        <f>IF(OR(B855="",F855="",G855="❌ Отменена"),"",F855&amp;"#"&amp;COUNTIFS($F$5:F855,F855,$B$5:B855,"?*",$G$5:G855,"&lt;&gt;❌ Отменена"))</f>
        <v/>
      </c>
      <c r="M855" s="54">
        <f>IF(AND(B855&lt;&gt;"",F855&lt;&gt;"",F855&lt;TODAY(),AND(G855&lt;&gt;"✅ Выполнена",G855&lt;&gt;"❌ Отменена")),MAX($M$4:M854)+1,"")</f>
        <v/>
      </c>
    </row>
    <row r="856">
      <c r="A856" s="49">
        <f>IF(B856="","",COUNTA($B$5:B856))</f>
        <v/>
      </c>
      <c r="B856" s="50" t="n"/>
      <c r="C856" s="51" t="n"/>
      <c r="D856" s="51" t="n"/>
      <c r="E856" s="52" t="n"/>
      <c r="F856" s="53" t="n"/>
      <c r="G856" s="51" t="n"/>
      <c r="H856" s="53" t="n"/>
      <c r="I856" s="51" t="n"/>
      <c r="J856" s="54">
        <f>IF(OR(B856="",F856="",NOT(AND(G856&lt;&gt;"✅ Выполнена",G856&lt;&gt;"❌ Отменена"))),"",IF(F856&lt;TODAY(),"❗ просрочено "&amp;(TODAY()-F856)&amp;" дн.",IF(F856=TODAY(),"🔥 сегодня",IF(F856-TODAY()&lt;=3,"⏳ через "&amp;(F856-TODAY())&amp;" дн.",""))))</f>
        <v/>
      </c>
      <c r="K856" s="54">
        <f>IF(B856="","",IF(G856="✅ Выполнена","✔ ",IF(G856="❌ Отменена","✖ ",IF(AND(F856&lt;&gt;"",F856&lt;TODAY()),"❗ ","☐ ")))&amp;B856&amp;IF(E856="🔥 Высокий"," 🔥",""))</f>
        <v/>
      </c>
      <c r="L856" s="54">
        <f>IF(OR(B856="",F856="",G856="❌ Отменена"),"",F856&amp;"#"&amp;COUNTIFS($F$5:F856,F856,$B$5:B856,"?*",$G$5:G856,"&lt;&gt;❌ Отменена"))</f>
        <v/>
      </c>
      <c r="M856" s="54">
        <f>IF(AND(B856&lt;&gt;"",F856&lt;&gt;"",F856&lt;TODAY(),AND(G856&lt;&gt;"✅ Выполнена",G856&lt;&gt;"❌ Отменена")),MAX($M$4:M855)+1,"")</f>
        <v/>
      </c>
    </row>
    <row r="857">
      <c r="A857" s="49">
        <f>IF(B857="","",COUNTA($B$5:B857))</f>
        <v/>
      </c>
      <c r="B857" s="50" t="n"/>
      <c r="C857" s="51" t="n"/>
      <c r="D857" s="51" t="n"/>
      <c r="E857" s="52" t="n"/>
      <c r="F857" s="53" t="n"/>
      <c r="G857" s="51" t="n"/>
      <c r="H857" s="53" t="n"/>
      <c r="I857" s="51" t="n"/>
      <c r="J857" s="54">
        <f>IF(OR(B857="",F857="",NOT(AND(G857&lt;&gt;"✅ Выполнена",G857&lt;&gt;"❌ Отменена"))),"",IF(F857&lt;TODAY(),"❗ просрочено "&amp;(TODAY()-F857)&amp;" дн.",IF(F857=TODAY(),"🔥 сегодня",IF(F857-TODAY()&lt;=3,"⏳ через "&amp;(F857-TODAY())&amp;" дн.",""))))</f>
        <v/>
      </c>
      <c r="K857" s="54">
        <f>IF(B857="","",IF(G857="✅ Выполнена","✔ ",IF(G857="❌ Отменена","✖ ",IF(AND(F857&lt;&gt;"",F857&lt;TODAY()),"❗ ","☐ ")))&amp;B857&amp;IF(E857="🔥 Высокий"," 🔥",""))</f>
        <v/>
      </c>
      <c r="L857" s="54">
        <f>IF(OR(B857="",F857="",G857="❌ Отменена"),"",F857&amp;"#"&amp;COUNTIFS($F$5:F857,F857,$B$5:B857,"?*",$G$5:G857,"&lt;&gt;❌ Отменена"))</f>
        <v/>
      </c>
      <c r="M857" s="54">
        <f>IF(AND(B857&lt;&gt;"",F857&lt;&gt;"",F857&lt;TODAY(),AND(G857&lt;&gt;"✅ Выполнена",G857&lt;&gt;"❌ Отменена")),MAX($M$4:M856)+1,"")</f>
        <v/>
      </c>
    </row>
    <row r="858">
      <c r="A858" s="49">
        <f>IF(B858="","",COUNTA($B$5:B858))</f>
        <v/>
      </c>
      <c r="B858" s="50" t="n"/>
      <c r="C858" s="51" t="n"/>
      <c r="D858" s="51" t="n"/>
      <c r="E858" s="52" t="n"/>
      <c r="F858" s="53" t="n"/>
      <c r="G858" s="51" t="n"/>
      <c r="H858" s="53" t="n"/>
      <c r="I858" s="51" t="n"/>
      <c r="J858" s="54">
        <f>IF(OR(B858="",F858="",NOT(AND(G858&lt;&gt;"✅ Выполнена",G858&lt;&gt;"❌ Отменена"))),"",IF(F858&lt;TODAY(),"❗ просрочено "&amp;(TODAY()-F858)&amp;" дн.",IF(F858=TODAY(),"🔥 сегодня",IF(F858-TODAY()&lt;=3,"⏳ через "&amp;(F858-TODAY())&amp;" дн.",""))))</f>
        <v/>
      </c>
      <c r="K858" s="54">
        <f>IF(B858="","",IF(G858="✅ Выполнена","✔ ",IF(G858="❌ Отменена","✖ ",IF(AND(F858&lt;&gt;"",F858&lt;TODAY()),"❗ ","☐ ")))&amp;B858&amp;IF(E858="🔥 Высокий"," 🔥",""))</f>
        <v/>
      </c>
      <c r="L858" s="54">
        <f>IF(OR(B858="",F858="",G858="❌ Отменена"),"",F858&amp;"#"&amp;COUNTIFS($F$5:F858,F858,$B$5:B858,"?*",$G$5:G858,"&lt;&gt;❌ Отменена"))</f>
        <v/>
      </c>
      <c r="M858" s="54">
        <f>IF(AND(B858&lt;&gt;"",F858&lt;&gt;"",F858&lt;TODAY(),AND(G858&lt;&gt;"✅ Выполнена",G858&lt;&gt;"❌ Отменена")),MAX($M$4:M857)+1,"")</f>
        <v/>
      </c>
    </row>
    <row r="859">
      <c r="A859" s="49">
        <f>IF(B859="","",COUNTA($B$5:B859))</f>
        <v/>
      </c>
      <c r="B859" s="50" t="n"/>
      <c r="C859" s="51" t="n"/>
      <c r="D859" s="51" t="n"/>
      <c r="E859" s="52" t="n"/>
      <c r="F859" s="53" t="n"/>
      <c r="G859" s="51" t="n"/>
      <c r="H859" s="53" t="n"/>
      <c r="I859" s="51" t="n"/>
      <c r="J859" s="54">
        <f>IF(OR(B859="",F859="",NOT(AND(G859&lt;&gt;"✅ Выполнена",G859&lt;&gt;"❌ Отменена"))),"",IF(F859&lt;TODAY(),"❗ просрочено "&amp;(TODAY()-F859)&amp;" дн.",IF(F859=TODAY(),"🔥 сегодня",IF(F859-TODAY()&lt;=3,"⏳ через "&amp;(F859-TODAY())&amp;" дн.",""))))</f>
        <v/>
      </c>
      <c r="K859" s="54">
        <f>IF(B859="","",IF(G859="✅ Выполнена","✔ ",IF(G859="❌ Отменена","✖ ",IF(AND(F859&lt;&gt;"",F859&lt;TODAY()),"❗ ","☐ ")))&amp;B859&amp;IF(E859="🔥 Высокий"," 🔥",""))</f>
        <v/>
      </c>
      <c r="L859" s="54">
        <f>IF(OR(B859="",F859="",G859="❌ Отменена"),"",F859&amp;"#"&amp;COUNTIFS($F$5:F859,F859,$B$5:B859,"?*",$G$5:G859,"&lt;&gt;❌ Отменена"))</f>
        <v/>
      </c>
      <c r="M859" s="54">
        <f>IF(AND(B859&lt;&gt;"",F859&lt;&gt;"",F859&lt;TODAY(),AND(G859&lt;&gt;"✅ Выполнена",G859&lt;&gt;"❌ Отменена")),MAX($M$4:M858)+1,"")</f>
        <v/>
      </c>
    </row>
    <row r="860">
      <c r="A860" s="49">
        <f>IF(B860="","",COUNTA($B$5:B860))</f>
        <v/>
      </c>
      <c r="B860" s="50" t="n"/>
      <c r="C860" s="51" t="n"/>
      <c r="D860" s="51" t="n"/>
      <c r="E860" s="52" t="n"/>
      <c r="F860" s="53" t="n"/>
      <c r="G860" s="51" t="n"/>
      <c r="H860" s="53" t="n"/>
      <c r="I860" s="51" t="n"/>
      <c r="J860" s="54">
        <f>IF(OR(B860="",F860="",NOT(AND(G860&lt;&gt;"✅ Выполнена",G860&lt;&gt;"❌ Отменена"))),"",IF(F860&lt;TODAY(),"❗ просрочено "&amp;(TODAY()-F860)&amp;" дн.",IF(F860=TODAY(),"🔥 сегодня",IF(F860-TODAY()&lt;=3,"⏳ через "&amp;(F860-TODAY())&amp;" дн.",""))))</f>
        <v/>
      </c>
      <c r="K860" s="54">
        <f>IF(B860="","",IF(G860="✅ Выполнена","✔ ",IF(G860="❌ Отменена","✖ ",IF(AND(F860&lt;&gt;"",F860&lt;TODAY()),"❗ ","☐ ")))&amp;B860&amp;IF(E860="🔥 Высокий"," 🔥",""))</f>
        <v/>
      </c>
      <c r="L860" s="54">
        <f>IF(OR(B860="",F860="",G860="❌ Отменена"),"",F860&amp;"#"&amp;COUNTIFS($F$5:F860,F860,$B$5:B860,"?*",$G$5:G860,"&lt;&gt;❌ Отменена"))</f>
        <v/>
      </c>
      <c r="M860" s="54">
        <f>IF(AND(B860&lt;&gt;"",F860&lt;&gt;"",F860&lt;TODAY(),AND(G860&lt;&gt;"✅ Выполнена",G860&lt;&gt;"❌ Отменена")),MAX($M$4:M859)+1,"")</f>
        <v/>
      </c>
    </row>
    <row r="861">
      <c r="A861" s="49">
        <f>IF(B861="","",COUNTA($B$5:B861))</f>
        <v/>
      </c>
      <c r="B861" s="50" t="n"/>
      <c r="C861" s="51" t="n"/>
      <c r="D861" s="51" t="n"/>
      <c r="E861" s="52" t="n"/>
      <c r="F861" s="53" t="n"/>
      <c r="G861" s="51" t="n"/>
      <c r="H861" s="53" t="n"/>
      <c r="I861" s="51" t="n"/>
      <c r="J861" s="54">
        <f>IF(OR(B861="",F861="",NOT(AND(G861&lt;&gt;"✅ Выполнена",G861&lt;&gt;"❌ Отменена"))),"",IF(F861&lt;TODAY(),"❗ просрочено "&amp;(TODAY()-F861)&amp;" дн.",IF(F861=TODAY(),"🔥 сегодня",IF(F861-TODAY()&lt;=3,"⏳ через "&amp;(F861-TODAY())&amp;" дн.",""))))</f>
        <v/>
      </c>
      <c r="K861" s="54">
        <f>IF(B861="","",IF(G861="✅ Выполнена","✔ ",IF(G861="❌ Отменена","✖ ",IF(AND(F861&lt;&gt;"",F861&lt;TODAY()),"❗ ","☐ ")))&amp;B861&amp;IF(E861="🔥 Высокий"," 🔥",""))</f>
        <v/>
      </c>
      <c r="L861" s="54">
        <f>IF(OR(B861="",F861="",G861="❌ Отменена"),"",F861&amp;"#"&amp;COUNTIFS($F$5:F861,F861,$B$5:B861,"?*",$G$5:G861,"&lt;&gt;❌ Отменена"))</f>
        <v/>
      </c>
      <c r="M861" s="54">
        <f>IF(AND(B861&lt;&gt;"",F861&lt;&gt;"",F861&lt;TODAY(),AND(G861&lt;&gt;"✅ Выполнена",G861&lt;&gt;"❌ Отменена")),MAX($M$4:M860)+1,"")</f>
        <v/>
      </c>
    </row>
    <row r="862">
      <c r="A862" s="49">
        <f>IF(B862="","",COUNTA($B$5:B862))</f>
        <v/>
      </c>
      <c r="B862" s="50" t="n"/>
      <c r="C862" s="51" t="n"/>
      <c r="D862" s="51" t="n"/>
      <c r="E862" s="52" t="n"/>
      <c r="F862" s="53" t="n"/>
      <c r="G862" s="51" t="n"/>
      <c r="H862" s="53" t="n"/>
      <c r="I862" s="51" t="n"/>
      <c r="J862" s="54">
        <f>IF(OR(B862="",F862="",NOT(AND(G862&lt;&gt;"✅ Выполнена",G862&lt;&gt;"❌ Отменена"))),"",IF(F862&lt;TODAY(),"❗ просрочено "&amp;(TODAY()-F862)&amp;" дн.",IF(F862=TODAY(),"🔥 сегодня",IF(F862-TODAY()&lt;=3,"⏳ через "&amp;(F862-TODAY())&amp;" дн.",""))))</f>
        <v/>
      </c>
      <c r="K862" s="54">
        <f>IF(B862="","",IF(G862="✅ Выполнена","✔ ",IF(G862="❌ Отменена","✖ ",IF(AND(F862&lt;&gt;"",F862&lt;TODAY()),"❗ ","☐ ")))&amp;B862&amp;IF(E862="🔥 Высокий"," 🔥",""))</f>
        <v/>
      </c>
      <c r="L862" s="54">
        <f>IF(OR(B862="",F862="",G862="❌ Отменена"),"",F862&amp;"#"&amp;COUNTIFS($F$5:F862,F862,$B$5:B862,"?*",$G$5:G862,"&lt;&gt;❌ Отменена"))</f>
        <v/>
      </c>
      <c r="M862" s="54">
        <f>IF(AND(B862&lt;&gt;"",F862&lt;&gt;"",F862&lt;TODAY(),AND(G862&lt;&gt;"✅ Выполнена",G862&lt;&gt;"❌ Отменена")),MAX($M$4:M861)+1,"")</f>
        <v/>
      </c>
    </row>
    <row r="863">
      <c r="A863" s="49">
        <f>IF(B863="","",COUNTA($B$5:B863))</f>
        <v/>
      </c>
      <c r="B863" s="50" t="n"/>
      <c r="C863" s="51" t="n"/>
      <c r="D863" s="51" t="n"/>
      <c r="E863" s="52" t="n"/>
      <c r="F863" s="53" t="n"/>
      <c r="G863" s="51" t="n"/>
      <c r="H863" s="53" t="n"/>
      <c r="I863" s="51" t="n"/>
      <c r="J863" s="54">
        <f>IF(OR(B863="",F863="",NOT(AND(G863&lt;&gt;"✅ Выполнена",G863&lt;&gt;"❌ Отменена"))),"",IF(F863&lt;TODAY(),"❗ просрочено "&amp;(TODAY()-F863)&amp;" дн.",IF(F863=TODAY(),"🔥 сегодня",IF(F863-TODAY()&lt;=3,"⏳ через "&amp;(F863-TODAY())&amp;" дн.",""))))</f>
        <v/>
      </c>
      <c r="K863" s="54">
        <f>IF(B863="","",IF(G863="✅ Выполнена","✔ ",IF(G863="❌ Отменена","✖ ",IF(AND(F863&lt;&gt;"",F863&lt;TODAY()),"❗ ","☐ ")))&amp;B863&amp;IF(E863="🔥 Высокий"," 🔥",""))</f>
        <v/>
      </c>
      <c r="L863" s="54">
        <f>IF(OR(B863="",F863="",G863="❌ Отменена"),"",F863&amp;"#"&amp;COUNTIFS($F$5:F863,F863,$B$5:B863,"?*",$G$5:G863,"&lt;&gt;❌ Отменена"))</f>
        <v/>
      </c>
      <c r="M863" s="54">
        <f>IF(AND(B863&lt;&gt;"",F863&lt;&gt;"",F863&lt;TODAY(),AND(G863&lt;&gt;"✅ Выполнена",G863&lt;&gt;"❌ Отменена")),MAX($M$4:M862)+1,"")</f>
        <v/>
      </c>
    </row>
    <row r="864">
      <c r="A864" s="49">
        <f>IF(B864="","",COUNTA($B$5:B864))</f>
        <v/>
      </c>
      <c r="B864" s="50" t="n"/>
      <c r="C864" s="51" t="n"/>
      <c r="D864" s="51" t="n"/>
      <c r="E864" s="52" t="n"/>
      <c r="F864" s="53" t="n"/>
      <c r="G864" s="51" t="n"/>
      <c r="H864" s="53" t="n"/>
      <c r="I864" s="51" t="n"/>
      <c r="J864" s="54">
        <f>IF(OR(B864="",F864="",NOT(AND(G864&lt;&gt;"✅ Выполнена",G864&lt;&gt;"❌ Отменена"))),"",IF(F864&lt;TODAY(),"❗ просрочено "&amp;(TODAY()-F864)&amp;" дн.",IF(F864=TODAY(),"🔥 сегодня",IF(F864-TODAY()&lt;=3,"⏳ через "&amp;(F864-TODAY())&amp;" дн.",""))))</f>
        <v/>
      </c>
      <c r="K864" s="54">
        <f>IF(B864="","",IF(G864="✅ Выполнена","✔ ",IF(G864="❌ Отменена","✖ ",IF(AND(F864&lt;&gt;"",F864&lt;TODAY()),"❗ ","☐ ")))&amp;B864&amp;IF(E864="🔥 Высокий"," 🔥",""))</f>
        <v/>
      </c>
      <c r="L864" s="54">
        <f>IF(OR(B864="",F864="",G864="❌ Отменена"),"",F864&amp;"#"&amp;COUNTIFS($F$5:F864,F864,$B$5:B864,"?*",$G$5:G864,"&lt;&gt;❌ Отменена"))</f>
        <v/>
      </c>
      <c r="M864" s="54">
        <f>IF(AND(B864&lt;&gt;"",F864&lt;&gt;"",F864&lt;TODAY(),AND(G864&lt;&gt;"✅ Выполнена",G864&lt;&gt;"❌ Отменена")),MAX($M$4:M863)+1,"")</f>
        <v/>
      </c>
    </row>
    <row r="865">
      <c r="A865" s="49">
        <f>IF(B865="","",COUNTA($B$5:B865))</f>
        <v/>
      </c>
      <c r="B865" s="50" t="n"/>
      <c r="C865" s="51" t="n"/>
      <c r="D865" s="51" t="n"/>
      <c r="E865" s="52" t="n"/>
      <c r="F865" s="53" t="n"/>
      <c r="G865" s="51" t="n"/>
      <c r="H865" s="53" t="n"/>
      <c r="I865" s="51" t="n"/>
      <c r="J865" s="54">
        <f>IF(OR(B865="",F865="",NOT(AND(G865&lt;&gt;"✅ Выполнена",G865&lt;&gt;"❌ Отменена"))),"",IF(F865&lt;TODAY(),"❗ просрочено "&amp;(TODAY()-F865)&amp;" дн.",IF(F865=TODAY(),"🔥 сегодня",IF(F865-TODAY()&lt;=3,"⏳ через "&amp;(F865-TODAY())&amp;" дн.",""))))</f>
        <v/>
      </c>
      <c r="K865" s="54">
        <f>IF(B865="","",IF(G865="✅ Выполнена","✔ ",IF(G865="❌ Отменена","✖ ",IF(AND(F865&lt;&gt;"",F865&lt;TODAY()),"❗ ","☐ ")))&amp;B865&amp;IF(E865="🔥 Высокий"," 🔥",""))</f>
        <v/>
      </c>
      <c r="L865" s="54">
        <f>IF(OR(B865="",F865="",G865="❌ Отменена"),"",F865&amp;"#"&amp;COUNTIFS($F$5:F865,F865,$B$5:B865,"?*",$G$5:G865,"&lt;&gt;❌ Отменена"))</f>
        <v/>
      </c>
      <c r="M865" s="54">
        <f>IF(AND(B865&lt;&gt;"",F865&lt;&gt;"",F865&lt;TODAY(),AND(G865&lt;&gt;"✅ Выполнена",G865&lt;&gt;"❌ Отменена")),MAX($M$4:M864)+1,"")</f>
        <v/>
      </c>
    </row>
    <row r="866">
      <c r="A866" s="49">
        <f>IF(B866="","",COUNTA($B$5:B866))</f>
        <v/>
      </c>
      <c r="B866" s="50" t="n"/>
      <c r="C866" s="51" t="n"/>
      <c r="D866" s="51" t="n"/>
      <c r="E866" s="52" t="n"/>
      <c r="F866" s="53" t="n"/>
      <c r="G866" s="51" t="n"/>
      <c r="H866" s="53" t="n"/>
      <c r="I866" s="51" t="n"/>
      <c r="J866" s="54">
        <f>IF(OR(B866="",F866="",NOT(AND(G866&lt;&gt;"✅ Выполнена",G866&lt;&gt;"❌ Отменена"))),"",IF(F866&lt;TODAY(),"❗ просрочено "&amp;(TODAY()-F866)&amp;" дн.",IF(F866=TODAY(),"🔥 сегодня",IF(F866-TODAY()&lt;=3,"⏳ через "&amp;(F866-TODAY())&amp;" дн.",""))))</f>
        <v/>
      </c>
      <c r="K866" s="54">
        <f>IF(B866="","",IF(G866="✅ Выполнена","✔ ",IF(G866="❌ Отменена","✖ ",IF(AND(F866&lt;&gt;"",F866&lt;TODAY()),"❗ ","☐ ")))&amp;B866&amp;IF(E866="🔥 Высокий"," 🔥",""))</f>
        <v/>
      </c>
      <c r="L866" s="54">
        <f>IF(OR(B866="",F866="",G866="❌ Отменена"),"",F866&amp;"#"&amp;COUNTIFS($F$5:F866,F866,$B$5:B866,"?*",$G$5:G866,"&lt;&gt;❌ Отменена"))</f>
        <v/>
      </c>
      <c r="M866" s="54">
        <f>IF(AND(B866&lt;&gt;"",F866&lt;&gt;"",F866&lt;TODAY(),AND(G866&lt;&gt;"✅ Выполнена",G866&lt;&gt;"❌ Отменена")),MAX($M$4:M865)+1,"")</f>
        <v/>
      </c>
    </row>
    <row r="867">
      <c r="A867" s="49">
        <f>IF(B867="","",COUNTA($B$5:B867))</f>
        <v/>
      </c>
      <c r="B867" s="50" t="n"/>
      <c r="C867" s="51" t="n"/>
      <c r="D867" s="51" t="n"/>
      <c r="E867" s="52" t="n"/>
      <c r="F867" s="53" t="n"/>
      <c r="G867" s="51" t="n"/>
      <c r="H867" s="53" t="n"/>
      <c r="I867" s="51" t="n"/>
      <c r="J867" s="54">
        <f>IF(OR(B867="",F867="",NOT(AND(G867&lt;&gt;"✅ Выполнена",G867&lt;&gt;"❌ Отменена"))),"",IF(F867&lt;TODAY(),"❗ просрочено "&amp;(TODAY()-F867)&amp;" дн.",IF(F867=TODAY(),"🔥 сегодня",IF(F867-TODAY()&lt;=3,"⏳ через "&amp;(F867-TODAY())&amp;" дн.",""))))</f>
        <v/>
      </c>
      <c r="K867" s="54">
        <f>IF(B867="","",IF(G867="✅ Выполнена","✔ ",IF(G867="❌ Отменена","✖ ",IF(AND(F867&lt;&gt;"",F867&lt;TODAY()),"❗ ","☐ ")))&amp;B867&amp;IF(E867="🔥 Высокий"," 🔥",""))</f>
        <v/>
      </c>
      <c r="L867" s="54">
        <f>IF(OR(B867="",F867="",G867="❌ Отменена"),"",F867&amp;"#"&amp;COUNTIFS($F$5:F867,F867,$B$5:B867,"?*",$G$5:G867,"&lt;&gt;❌ Отменена"))</f>
        <v/>
      </c>
      <c r="M867" s="54">
        <f>IF(AND(B867&lt;&gt;"",F867&lt;&gt;"",F867&lt;TODAY(),AND(G867&lt;&gt;"✅ Выполнена",G867&lt;&gt;"❌ Отменена")),MAX($M$4:M866)+1,"")</f>
        <v/>
      </c>
    </row>
    <row r="868">
      <c r="A868" s="49">
        <f>IF(B868="","",COUNTA($B$5:B868))</f>
        <v/>
      </c>
      <c r="B868" s="50" t="n"/>
      <c r="C868" s="51" t="n"/>
      <c r="D868" s="51" t="n"/>
      <c r="E868" s="52" t="n"/>
      <c r="F868" s="53" t="n"/>
      <c r="G868" s="51" t="n"/>
      <c r="H868" s="53" t="n"/>
      <c r="I868" s="51" t="n"/>
      <c r="J868" s="54">
        <f>IF(OR(B868="",F868="",NOT(AND(G868&lt;&gt;"✅ Выполнена",G868&lt;&gt;"❌ Отменена"))),"",IF(F868&lt;TODAY(),"❗ просрочено "&amp;(TODAY()-F868)&amp;" дн.",IF(F868=TODAY(),"🔥 сегодня",IF(F868-TODAY()&lt;=3,"⏳ через "&amp;(F868-TODAY())&amp;" дн.",""))))</f>
        <v/>
      </c>
      <c r="K868" s="54">
        <f>IF(B868="","",IF(G868="✅ Выполнена","✔ ",IF(G868="❌ Отменена","✖ ",IF(AND(F868&lt;&gt;"",F868&lt;TODAY()),"❗ ","☐ ")))&amp;B868&amp;IF(E868="🔥 Высокий"," 🔥",""))</f>
        <v/>
      </c>
      <c r="L868" s="54">
        <f>IF(OR(B868="",F868="",G868="❌ Отменена"),"",F868&amp;"#"&amp;COUNTIFS($F$5:F868,F868,$B$5:B868,"?*",$G$5:G868,"&lt;&gt;❌ Отменена"))</f>
        <v/>
      </c>
      <c r="M868" s="54">
        <f>IF(AND(B868&lt;&gt;"",F868&lt;&gt;"",F868&lt;TODAY(),AND(G868&lt;&gt;"✅ Выполнена",G868&lt;&gt;"❌ Отменена")),MAX($M$4:M867)+1,"")</f>
        <v/>
      </c>
    </row>
    <row r="869">
      <c r="A869" s="49">
        <f>IF(B869="","",COUNTA($B$5:B869))</f>
        <v/>
      </c>
      <c r="B869" s="50" t="n"/>
      <c r="C869" s="51" t="n"/>
      <c r="D869" s="51" t="n"/>
      <c r="E869" s="52" t="n"/>
      <c r="F869" s="53" t="n"/>
      <c r="G869" s="51" t="n"/>
      <c r="H869" s="53" t="n"/>
      <c r="I869" s="51" t="n"/>
      <c r="J869" s="54">
        <f>IF(OR(B869="",F869="",NOT(AND(G869&lt;&gt;"✅ Выполнена",G869&lt;&gt;"❌ Отменена"))),"",IF(F869&lt;TODAY(),"❗ просрочено "&amp;(TODAY()-F869)&amp;" дн.",IF(F869=TODAY(),"🔥 сегодня",IF(F869-TODAY()&lt;=3,"⏳ через "&amp;(F869-TODAY())&amp;" дн.",""))))</f>
        <v/>
      </c>
      <c r="K869" s="54">
        <f>IF(B869="","",IF(G869="✅ Выполнена","✔ ",IF(G869="❌ Отменена","✖ ",IF(AND(F869&lt;&gt;"",F869&lt;TODAY()),"❗ ","☐ ")))&amp;B869&amp;IF(E869="🔥 Высокий"," 🔥",""))</f>
        <v/>
      </c>
      <c r="L869" s="54">
        <f>IF(OR(B869="",F869="",G869="❌ Отменена"),"",F869&amp;"#"&amp;COUNTIFS($F$5:F869,F869,$B$5:B869,"?*",$G$5:G869,"&lt;&gt;❌ Отменена"))</f>
        <v/>
      </c>
      <c r="M869" s="54">
        <f>IF(AND(B869&lt;&gt;"",F869&lt;&gt;"",F869&lt;TODAY(),AND(G869&lt;&gt;"✅ Выполнена",G869&lt;&gt;"❌ Отменена")),MAX($M$4:M868)+1,"")</f>
        <v/>
      </c>
    </row>
    <row r="870">
      <c r="A870" s="49">
        <f>IF(B870="","",COUNTA($B$5:B870))</f>
        <v/>
      </c>
      <c r="B870" s="50" t="n"/>
      <c r="C870" s="51" t="n"/>
      <c r="D870" s="51" t="n"/>
      <c r="E870" s="52" t="n"/>
      <c r="F870" s="53" t="n"/>
      <c r="G870" s="51" t="n"/>
      <c r="H870" s="53" t="n"/>
      <c r="I870" s="51" t="n"/>
      <c r="J870" s="54">
        <f>IF(OR(B870="",F870="",NOT(AND(G870&lt;&gt;"✅ Выполнена",G870&lt;&gt;"❌ Отменена"))),"",IF(F870&lt;TODAY(),"❗ просрочено "&amp;(TODAY()-F870)&amp;" дн.",IF(F870=TODAY(),"🔥 сегодня",IF(F870-TODAY()&lt;=3,"⏳ через "&amp;(F870-TODAY())&amp;" дн.",""))))</f>
        <v/>
      </c>
      <c r="K870" s="54">
        <f>IF(B870="","",IF(G870="✅ Выполнена","✔ ",IF(G870="❌ Отменена","✖ ",IF(AND(F870&lt;&gt;"",F870&lt;TODAY()),"❗ ","☐ ")))&amp;B870&amp;IF(E870="🔥 Высокий"," 🔥",""))</f>
        <v/>
      </c>
      <c r="L870" s="54">
        <f>IF(OR(B870="",F870="",G870="❌ Отменена"),"",F870&amp;"#"&amp;COUNTIFS($F$5:F870,F870,$B$5:B870,"?*",$G$5:G870,"&lt;&gt;❌ Отменена"))</f>
        <v/>
      </c>
      <c r="M870" s="54">
        <f>IF(AND(B870&lt;&gt;"",F870&lt;&gt;"",F870&lt;TODAY(),AND(G870&lt;&gt;"✅ Выполнена",G870&lt;&gt;"❌ Отменена")),MAX($M$4:M869)+1,"")</f>
        <v/>
      </c>
    </row>
    <row r="871">
      <c r="A871" s="49">
        <f>IF(B871="","",COUNTA($B$5:B871))</f>
        <v/>
      </c>
      <c r="B871" s="50" t="n"/>
      <c r="C871" s="51" t="n"/>
      <c r="D871" s="51" t="n"/>
      <c r="E871" s="52" t="n"/>
      <c r="F871" s="53" t="n"/>
      <c r="G871" s="51" t="n"/>
      <c r="H871" s="53" t="n"/>
      <c r="I871" s="51" t="n"/>
      <c r="J871" s="54">
        <f>IF(OR(B871="",F871="",NOT(AND(G871&lt;&gt;"✅ Выполнена",G871&lt;&gt;"❌ Отменена"))),"",IF(F871&lt;TODAY(),"❗ просрочено "&amp;(TODAY()-F871)&amp;" дн.",IF(F871=TODAY(),"🔥 сегодня",IF(F871-TODAY()&lt;=3,"⏳ через "&amp;(F871-TODAY())&amp;" дн.",""))))</f>
        <v/>
      </c>
      <c r="K871" s="54">
        <f>IF(B871="","",IF(G871="✅ Выполнена","✔ ",IF(G871="❌ Отменена","✖ ",IF(AND(F871&lt;&gt;"",F871&lt;TODAY()),"❗ ","☐ ")))&amp;B871&amp;IF(E871="🔥 Высокий"," 🔥",""))</f>
        <v/>
      </c>
      <c r="L871" s="54">
        <f>IF(OR(B871="",F871="",G871="❌ Отменена"),"",F871&amp;"#"&amp;COUNTIFS($F$5:F871,F871,$B$5:B871,"?*",$G$5:G871,"&lt;&gt;❌ Отменена"))</f>
        <v/>
      </c>
      <c r="M871" s="54">
        <f>IF(AND(B871&lt;&gt;"",F871&lt;&gt;"",F871&lt;TODAY(),AND(G871&lt;&gt;"✅ Выполнена",G871&lt;&gt;"❌ Отменена")),MAX($M$4:M870)+1,"")</f>
        <v/>
      </c>
    </row>
    <row r="872">
      <c r="A872" s="49">
        <f>IF(B872="","",COUNTA($B$5:B872))</f>
        <v/>
      </c>
      <c r="B872" s="50" t="n"/>
      <c r="C872" s="51" t="n"/>
      <c r="D872" s="51" t="n"/>
      <c r="E872" s="52" t="n"/>
      <c r="F872" s="53" t="n"/>
      <c r="G872" s="51" t="n"/>
      <c r="H872" s="53" t="n"/>
      <c r="I872" s="51" t="n"/>
      <c r="J872" s="54">
        <f>IF(OR(B872="",F872="",NOT(AND(G872&lt;&gt;"✅ Выполнена",G872&lt;&gt;"❌ Отменена"))),"",IF(F872&lt;TODAY(),"❗ просрочено "&amp;(TODAY()-F872)&amp;" дн.",IF(F872=TODAY(),"🔥 сегодня",IF(F872-TODAY()&lt;=3,"⏳ через "&amp;(F872-TODAY())&amp;" дн.",""))))</f>
        <v/>
      </c>
      <c r="K872" s="54">
        <f>IF(B872="","",IF(G872="✅ Выполнена","✔ ",IF(G872="❌ Отменена","✖ ",IF(AND(F872&lt;&gt;"",F872&lt;TODAY()),"❗ ","☐ ")))&amp;B872&amp;IF(E872="🔥 Высокий"," 🔥",""))</f>
        <v/>
      </c>
      <c r="L872" s="54">
        <f>IF(OR(B872="",F872="",G872="❌ Отменена"),"",F872&amp;"#"&amp;COUNTIFS($F$5:F872,F872,$B$5:B872,"?*",$G$5:G872,"&lt;&gt;❌ Отменена"))</f>
        <v/>
      </c>
      <c r="M872" s="54">
        <f>IF(AND(B872&lt;&gt;"",F872&lt;&gt;"",F872&lt;TODAY(),AND(G872&lt;&gt;"✅ Выполнена",G872&lt;&gt;"❌ Отменена")),MAX($M$4:M871)+1,"")</f>
        <v/>
      </c>
    </row>
    <row r="873">
      <c r="A873" s="49">
        <f>IF(B873="","",COUNTA($B$5:B873))</f>
        <v/>
      </c>
      <c r="B873" s="50" t="n"/>
      <c r="C873" s="51" t="n"/>
      <c r="D873" s="51" t="n"/>
      <c r="E873" s="52" t="n"/>
      <c r="F873" s="53" t="n"/>
      <c r="G873" s="51" t="n"/>
      <c r="H873" s="53" t="n"/>
      <c r="I873" s="51" t="n"/>
      <c r="J873" s="54">
        <f>IF(OR(B873="",F873="",NOT(AND(G873&lt;&gt;"✅ Выполнена",G873&lt;&gt;"❌ Отменена"))),"",IF(F873&lt;TODAY(),"❗ просрочено "&amp;(TODAY()-F873)&amp;" дн.",IF(F873=TODAY(),"🔥 сегодня",IF(F873-TODAY()&lt;=3,"⏳ через "&amp;(F873-TODAY())&amp;" дн.",""))))</f>
        <v/>
      </c>
      <c r="K873" s="54">
        <f>IF(B873="","",IF(G873="✅ Выполнена","✔ ",IF(G873="❌ Отменена","✖ ",IF(AND(F873&lt;&gt;"",F873&lt;TODAY()),"❗ ","☐ ")))&amp;B873&amp;IF(E873="🔥 Высокий"," 🔥",""))</f>
        <v/>
      </c>
      <c r="L873" s="54">
        <f>IF(OR(B873="",F873="",G873="❌ Отменена"),"",F873&amp;"#"&amp;COUNTIFS($F$5:F873,F873,$B$5:B873,"?*",$G$5:G873,"&lt;&gt;❌ Отменена"))</f>
        <v/>
      </c>
      <c r="M873" s="54">
        <f>IF(AND(B873&lt;&gt;"",F873&lt;&gt;"",F873&lt;TODAY(),AND(G873&lt;&gt;"✅ Выполнена",G873&lt;&gt;"❌ Отменена")),MAX($M$4:M872)+1,"")</f>
        <v/>
      </c>
    </row>
    <row r="874">
      <c r="A874" s="49">
        <f>IF(B874="","",COUNTA($B$5:B874))</f>
        <v/>
      </c>
      <c r="B874" s="50" t="n"/>
      <c r="C874" s="51" t="n"/>
      <c r="D874" s="51" t="n"/>
      <c r="E874" s="52" t="n"/>
      <c r="F874" s="53" t="n"/>
      <c r="G874" s="51" t="n"/>
      <c r="H874" s="53" t="n"/>
      <c r="I874" s="51" t="n"/>
      <c r="J874" s="54">
        <f>IF(OR(B874="",F874="",NOT(AND(G874&lt;&gt;"✅ Выполнена",G874&lt;&gt;"❌ Отменена"))),"",IF(F874&lt;TODAY(),"❗ просрочено "&amp;(TODAY()-F874)&amp;" дн.",IF(F874=TODAY(),"🔥 сегодня",IF(F874-TODAY()&lt;=3,"⏳ через "&amp;(F874-TODAY())&amp;" дн.",""))))</f>
        <v/>
      </c>
      <c r="K874" s="54">
        <f>IF(B874="","",IF(G874="✅ Выполнена","✔ ",IF(G874="❌ Отменена","✖ ",IF(AND(F874&lt;&gt;"",F874&lt;TODAY()),"❗ ","☐ ")))&amp;B874&amp;IF(E874="🔥 Высокий"," 🔥",""))</f>
        <v/>
      </c>
      <c r="L874" s="54">
        <f>IF(OR(B874="",F874="",G874="❌ Отменена"),"",F874&amp;"#"&amp;COUNTIFS($F$5:F874,F874,$B$5:B874,"?*",$G$5:G874,"&lt;&gt;❌ Отменена"))</f>
        <v/>
      </c>
      <c r="M874" s="54">
        <f>IF(AND(B874&lt;&gt;"",F874&lt;&gt;"",F874&lt;TODAY(),AND(G874&lt;&gt;"✅ Выполнена",G874&lt;&gt;"❌ Отменена")),MAX($M$4:M873)+1,"")</f>
        <v/>
      </c>
    </row>
    <row r="875">
      <c r="A875" s="49">
        <f>IF(B875="","",COUNTA($B$5:B875))</f>
        <v/>
      </c>
      <c r="B875" s="50" t="n"/>
      <c r="C875" s="51" t="n"/>
      <c r="D875" s="51" t="n"/>
      <c r="E875" s="52" t="n"/>
      <c r="F875" s="53" t="n"/>
      <c r="G875" s="51" t="n"/>
      <c r="H875" s="53" t="n"/>
      <c r="I875" s="51" t="n"/>
      <c r="J875" s="54">
        <f>IF(OR(B875="",F875="",NOT(AND(G875&lt;&gt;"✅ Выполнена",G875&lt;&gt;"❌ Отменена"))),"",IF(F875&lt;TODAY(),"❗ просрочено "&amp;(TODAY()-F875)&amp;" дн.",IF(F875=TODAY(),"🔥 сегодня",IF(F875-TODAY()&lt;=3,"⏳ через "&amp;(F875-TODAY())&amp;" дн.",""))))</f>
        <v/>
      </c>
      <c r="K875" s="54">
        <f>IF(B875="","",IF(G875="✅ Выполнена","✔ ",IF(G875="❌ Отменена","✖ ",IF(AND(F875&lt;&gt;"",F875&lt;TODAY()),"❗ ","☐ ")))&amp;B875&amp;IF(E875="🔥 Высокий"," 🔥",""))</f>
        <v/>
      </c>
      <c r="L875" s="54">
        <f>IF(OR(B875="",F875="",G875="❌ Отменена"),"",F875&amp;"#"&amp;COUNTIFS($F$5:F875,F875,$B$5:B875,"?*",$G$5:G875,"&lt;&gt;❌ Отменена"))</f>
        <v/>
      </c>
      <c r="M875" s="54">
        <f>IF(AND(B875&lt;&gt;"",F875&lt;&gt;"",F875&lt;TODAY(),AND(G875&lt;&gt;"✅ Выполнена",G875&lt;&gt;"❌ Отменена")),MAX($M$4:M874)+1,"")</f>
        <v/>
      </c>
    </row>
    <row r="876">
      <c r="A876" s="49">
        <f>IF(B876="","",COUNTA($B$5:B876))</f>
        <v/>
      </c>
      <c r="B876" s="50" t="n"/>
      <c r="C876" s="51" t="n"/>
      <c r="D876" s="51" t="n"/>
      <c r="E876" s="52" t="n"/>
      <c r="F876" s="53" t="n"/>
      <c r="G876" s="51" t="n"/>
      <c r="H876" s="53" t="n"/>
      <c r="I876" s="51" t="n"/>
      <c r="J876" s="54">
        <f>IF(OR(B876="",F876="",NOT(AND(G876&lt;&gt;"✅ Выполнена",G876&lt;&gt;"❌ Отменена"))),"",IF(F876&lt;TODAY(),"❗ просрочено "&amp;(TODAY()-F876)&amp;" дн.",IF(F876=TODAY(),"🔥 сегодня",IF(F876-TODAY()&lt;=3,"⏳ через "&amp;(F876-TODAY())&amp;" дн.",""))))</f>
        <v/>
      </c>
      <c r="K876" s="54">
        <f>IF(B876="","",IF(G876="✅ Выполнена","✔ ",IF(G876="❌ Отменена","✖ ",IF(AND(F876&lt;&gt;"",F876&lt;TODAY()),"❗ ","☐ ")))&amp;B876&amp;IF(E876="🔥 Высокий"," 🔥",""))</f>
        <v/>
      </c>
      <c r="L876" s="54">
        <f>IF(OR(B876="",F876="",G876="❌ Отменена"),"",F876&amp;"#"&amp;COUNTIFS($F$5:F876,F876,$B$5:B876,"?*",$G$5:G876,"&lt;&gt;❌ Отменена"))</f>
        <v/>
      </c>
      <c r="M876" s="54">
        <f>IF(AND(B876&lt;&gt;"",F876&lt;&gt;"",F876&lt;TODAY(),AND(G876&lt;&gt;"✅ Выполнена",G876&lt;&gt;"❌ Отменена")),MAX($M$4:M875)+1,"")</f>
        <v/>
      </c>
    </row>
    <row r="877">
      <c r="A877" s="49">
        <f>IF(B877="","",COUNTA($B$5:B877))</f>
        <v/>
      </c>
      <c r="B877" s="50" t="n"/>
      <c r="C877" s="51" t="n"/>
      <c r="D877" s="51" t="n"/>
      <c r="E877" s="52" t="n"/>
      <c r="F877" s="53" t="n"/>
      <c r="G877" s="51" t="n"/>
      <c r="H877" s="53" t="n"/>
      <c r="I877" s="51" t="n"/>
      <c r="J877" s="54">
        <f>IF(OR(B877="",F877="",NOT(AND(G877&lt;&gt;"✅ Выполнена",G877&lt;&gt;"❌ Отменена"))),"",IF(F877&lt;TODAY(),"❗ просрочено "&amp;(TODAY()-F877)&amp;" дн.",IF(F877=TODAY(),"🔥 сегодня",IF(F877-TODAY()&lt;=3,"⏳ через "&amp;(F877-TODAY())&amp;" дн.",""))))</f>
        <v/>
      </c>
      <c r="K877" s="54">
        <f>IF(B877="","",IF(G877="✅ Выполнена","✔ ",IF(G877="❌ Отменена","✖ ",IF(AND(F877&lt;&gt;"",F877&lt;TODAY()),"❗ ","☐ ")))&amp;B877&amp;IF(E877="🔥 Высокий"," 🔥",""))</f>
        <v/>
      </c>
      <c r="L877" s="54">
        <f>IF(OR(B877="",F877="",G877="❌ Отменена"),"",F877&amp;"#"&amp;COUNTIFS($F$5:F877,F877,$B$5:B877,"?*",$G$5:G877,"&lt;&gt;❌ Отменена"))</f>
        <v/>
      </c>
      <c r="M877" s="54">
        <f>IF(AND(B877&lt;&gt;"",F877&lt;&gt;"",F877&lt;TODAY(),AND(G877&lt;&gt;"✅ Выполнена",G877&lt;&gt;"❌ Отменена")),MAX($M$4:M876)+1,"")</f>
        <v/>
      </c>
    </row>
    <row r="878">
      <c r="A878" s="49">
        <f>IF(B878="","",COUNTA($B$5:B878))</f>
        <v/>
      </c>
      <c r="B878" s="50" t="n"/>
      <c r="C878" s="51" t="n"/>
      <c r="D878" s="51" t="n"/>
      <c r="E878" s="52" t="n"/>
      <c r="F878" s="53" t="n"/>
      <c r="G878" s="51" t="n"/>
      <c r="H878" s="53" t="n"/>
      <c r="I878" s="51" t="n"/>
      <c r="J878" s="54">
        <f>IF(OR(B878="",F878="",NOT(AND(G878&lt;&gt;"✅ Выполнена",G878&lt;&gt;"❌ Отменена"))),"",IF(F878&lt;TODAY(),"❗ просрочено "&amp;(TODAY()-F878)&amp;" дн.",IF(F878=TODAY(),"🔥 сегодня",IF(F878-TODAY()&lt;=3,"⏳ через "&amp;(F878-TODAY())&amp;" дн.",""))))</f>
        <v/>
      </c>
      <c r="K878" s="54">
        <f>IF(B878="","",IF(G878="✅ Выполнена","✔ ",IF(G878="❌ Отменена","✖ ",IF(AND(F878&lt;&gt;"",F878&lt;TODAY()),"❗ ","☐ ")))&amp;B878&amp;IF(E878="🔥 Высокий"," 🔥",""))</f>
        <v/>
      </c>
      <c r="L878" s="54">
        <f>IF(OR(B878="",F878="",G878="❌ Отменена"),"",F878&amp;"#"&amp;COUNTIFS($F$5:F878,F878,$B$5:B878,"?*",$G$5:G878,"&lt;&gt;❌ Отменена"))</f>
        <v/>
      </c>
      <c r="M878" s="54">
        <f>IF(AND(B878&lt;&gt;"",F878&lt;&gt;"",F878&lt;TODAY(),AND(G878&lt;&gt;"✅ Выполнена",G878&lt;&gt;"❌ Отменена")),MAX($M$4:M877)+1,"")</f>
        <v/>
      </c>
    </row>
    <row r="879">
      <c r="A879" s="49">
        <f>IF(B879="","",COUNTA($B$5:B879))</f>
        <v/>
      </c>
      <c r="B879" s="50" t="n"/>
      <c r="C879" s="51" t="n"/>
      <c r="D879" s="51" t="n"/>
      <c r="E879" s="52" t="n"/>
      <c r="F879" s="53" t="n"/>
      <c r="G879" s="51" t="n"/>
      <c r="H879" s="53" t="n"/>
      <c r="I879" s="51" t="n"/>
      <c r="J879" s="54">
        <f>IF(OR(B879="",F879="",NOT(AND(G879&lt;&gt;"✅ Выполнена",G879&lt;&gt;"❌ Отменена"))),"",IF(F879&lt;TODAY(),"❗ просрочено "&amp;(TODAY()-F879)&amp;" дн.",IF(F879=TODAY(),"🔥 сегодня",IF(F879-TODAY()&lt;=3,"⏳ через "&amp;(F879-TODAY())&amp;" дн.",""))))</f>
        <v/>
      </c>
      <c r="K879" s="54">
        <f>IF(B879="","",IF(G879="✅ Выполнена","✔ ",IF(G879="❌ Отменена","✖ ",IF(AND(F879&lt;&gt;"",F879&lt;TODAY()),"❗ ","☐ ")))&amp;B879&amp;IF(E879="🔥 Высокий"," 🔥",""))</f>
        <v/>
      </c>
      <c r="L879" s="54">
        <f>IF(OR(B879="",F879="",G879="❌ Отменена"),"",F879&amp;"#"&amp;COUNTIFS($F$5:F879,F879,$B$5:B879,"?*",$G$5:G879,"&lt;&gt;❌ Отменена"))</f>
        <v/>
      </c>
      <c r="M879" s="54">
        <f>IF(AND(B879&lt;&gt;"",F879&lt;&gt;"",F879&lt;TODAY(),AND(G879&lt;&gt;"✅ Выполнена",G879&lt;&gt;"❌ Отменена")),MAX($M$4:M878)+1,"")</f>
        <v/>
      </c>
    </row>
    <row r="880">
      <c r="A880" s="49">
        <f>IF(B880="","",COUNTA($B$5:B880))</f>
        <v/>
      </c>
      <c r="B880" s="50" t="n"/>
      <c r="C880" s="51" t="n"/>
      <c r="D880" s="51" t="n"/>
      <c r="E880" s="52" t="n"/>
      <c r="F880" s="53" t="n"/>
      <c r="G880" s="51" t="n"/>
      <c r="H880" s="53" t="n"/>
      <c r="I880" s="51" t="n"/>
      <c r="J880" s="54">
        <f>IF(OR(B880="",F880="",NOT(AND(G880&lt;&gt;"✅ Выполнена",G880&lt;&gt;"❌ Отменена"))),"",IF(F880&lt;TODAY(),"❗ просрочено "&amp;(TODAY()-F880)&amp;" дн.",IF(F880=TODAY(),"🔥 сегодня",IF(F880-TODAY()&lt;=3,"⏳ через "&amp;(F880-TODAY())&amp;" дн.",""))))</f>
        <v/>
      </c>
      <c r="K880" s="54">
        <f>IF(B880="","",IF(G880="✅ Выполнена","✔ ",IF(G880="❌ Отменена","✖ ",IF(AND(F880&lt;&gt;"",F880&lt;TODAY()),"❗ ","☐ ")))&amp;B880&amp;IF(E880="🔥 Высокий"," 🔥",""))</f>
        <v/>
      </c>
      <c r="L880" s="54">
        <f>IF(OR(B880="",F880="",G880="❌ Отменена"),"",F880&amp;"#"&amp;COUNTIFS($F$5:F880,F880,$B$5:B880,"?*",$G$5:G880,"&lt;&gt;❌ Отменена"))</f>
        <v/>
      </c>
      <c r="M880" s="54">
        <f>IF(AND(B880&lt;&gt;"",F880&lt;&gt;"",F880&lt;TODAY(),AND(G880&lt;&gt;"✅ Выполнена",G880&lt;&gt;"❌ Отменена")),MAX($M$4:M879)+1,"")</f>
        <v/>
      </c>
    </row>
    <row r="881">
      <c r="A881" s="49">
        <f>IF(B881="","",COUNTA($B$5:B881))</f>
        <v/>
      </c>
      <c r="B881" s="50" t="n"/>
      <c r="C881" s="51" t="n"/>
      <c r="D881" s="51" t="n"/>
      <c r="E881" s="52" t="n"/>
      <c r="F881" s="53" t="n"/>
      <c r="G881" s="51" t="n"/>
      <c r="H881" s="53" t="n"/>
      <c r="I881" s="51" t="n"/>
      <c r="J881" s="54">
        <f>IF(OR(B881="",F881="",NOT(AND(G881&lt;&gt;"✅ Выполнена",G881&lt;&gt;"❌ Отменена"))),"",IF(F881&lt;TODAY(),"❗ просрочено "&amp;(TODAY()-F881)&amp;" дн.",IF(F881=TODAY(),"🔥 сегодня",IF(F881-TODAY()&lt;=3,"⏳ через "&amp;(F881-TODAY())&amp;" дн.",""))))</f>
        <v/>
      </c>
      <c r="K881" s="54">
        <f>IF(B881="","",IF(G881="✅ Выполнена","✔ ",IF(G881="❌ Отменена","✖ ",IF(AND(F881&lt;&gt;"",F881&lt;TODAY()),"❗ ","☐ ")))&amp;B881&amp;IF(E881="🔥 Высокий"," 🔥",""))</f>
        <v/>
      </c>
      <c r="L881" s="54">
        <f>IF(OR(B881="",F881="",G881="❌ Отменена"),"",F881&amp;"#"&amp;COUNTIFS($F$5:F881,F881,$B$5:B881,"?*",$G$5:G881,"&lt;&gt;❌ Отменена"))</f>
        <v/>
      </c>
      <c r="M881" s="54">
        <f>IF(AND(B881&lt;&gt;"",F881&lt;&gt;"",F881&lt;TODAY(),AND(G881&lt;&gt;"✅ Выполнена",G881&lt;&gt;"❌ Отменена")),MAX($M$4:M880)+1,"")</f>
        <v/>
      </c>
    </row>
    <row r="882">
      <c r="A882" s="49">
        <f>IF(B882="","",COUNTA($B$5:B882))</f>
        <v/>
      </c>
      <c r="B882" s="50" t="n"/>
      <c r="C882" s="51" t="n"/>
      <c r="D882" s="51" t="n"/>
      <c r="E882" s="52" t="n"/>
      <c r="F882" s="53" t="n"/>
      <c r="G882" s="51" t="n"/>
      <c r="H882" s="53" t="n"/>
      <c r="I882" s="51" t="n"/>
      <c r="J882" s="54">
        <f>IF(OR(B882="",F882="",NOT(AND(G882&lt;&gt;"✅ Выполнена",G882&lt;&gt;"❌ Отменена"))),"",IF(F882&lt;TODAY(),"❗ просрочено "&amp;(TODAY()-F882)&amp;" дн.",IF(F882=TODAY(),"🔥 сегодня",IF(F882-TODAY()&lt;=3,"⏳ через "&amp;(F882-TODAY())&amp;" дн.",""))))</f>
        <v/>
      </c>
      <c r="K882" s="54">
        <f>IF(B882="","",IF(G882="✅ Выполнена","✔ ",IF(G882="❌ Отменена","✖ ",IF(AND(F882&lt;&gt;"",F882&lt;TODAY()),"❗ ","☐ ")))&amp;B882&amp;IF(E882="🔥 Высокий"," 🔥",""))</f>
        <v/>
      </c>
      <c r="L882" s="54">
        <f>IF(OR(B882="",F882="",G882="❌ Отменена"),"",F882&amp;"#"&amp;COUNTIFS($F$5:F882,F882,$B$5:B882,"?*",$G$5:G882,"&lt;&gt;❌ Отменена"))</f>
        <v/>
      </c>
      <c r="M882" s="54">
        <f>IF(AND(B882&lt;&gt;"",F882&lt;&gt;"",F882&lt;TODAY(),AND(G882&lt;&gt;"✅ Выполнена",G882&lt;&gt;"❌ Отменена")),MAX($M$4:M881)+1,"")</f>
        <v/>
      </c>
    </row>
    <row r="883">
      <c r="A883" s="49">
        <f>IF(B883="","",COUNTA($B$5:B883))</f>
        <v/>
      </c>
      <c r="B883" s="50" t="n"/>
      <c r="C883" s="51" t="n"/>
      <c r="D883" s="51" t="n"/>
      <c r="E883" s="52" t="n"/>
      <c r="F883" s="53" t="n"/>
      <c r="G883" s="51" t="n"/>
      <c r="H883" s="53" t="n"/>
      <c r="I883" s="51" t="n"/>
      <c r="J883" s="54">
        <f>IF(OR(B883="",F883="",NOT(AND(G883&lt;&gt;"✅ Выполнена",G883&lt;&gt;"❌ Отменена"))),"",IF(F883&lt;TODAY(),"❗ просрочено "&amp;(TODAY()-F883)&amp;" дн.",IF(F883=TODAY(),"🔥 сегодня",IF(F883-TODAY()&lt;=3,"⏳ через "&amp;(F883-TODAY())&amp;" дн.",""))))</f>
        <v/>
      </c>
      <c r="K883" s="54">
        <f>IF(B883="","",IF(G883="✅ Выполнена","✔ ",IF(G883="❌ Отменена","✖ ",IF(AND(F883&lt;&gt;"",F883&lt;TODAY()),"❗ ","☐ ")))&amp;B883&amp;IF(E883="🔥 Высокий"," 🔥",""))</f>
        <v/>
      </c>
      <c r="L883" s="54">
        <f>IF(OR(B883="",F883="",G883="❌ Отменена"),"",F883&amp;"#"&amp;COUNTIFS($F$5:F883,F883,$B$5:B883,"?*",$G$5:G883,"&lt;&gt;❌ Отменена"))</f>
        <v/>
      </c>
      <c r="M883" s="54">
        <f>IF(AND(B883&lt;&gt;"",F883&lt;&gt;"",F883&lt;TODAY(),AND(G883&lt;&gt;"✅ Выполнена",G883&lt;&gt;"❌ Отменена")),MAX($M$4:M882)+1,"")</f>
        <v/>
      </c>
    </row>
    <row r="884">
      <c r="A884" s="49">
        <f>IF(B884="","",COUNTA($B$5:B884))</f>
        <v/>
      </c>
      <c r="B884" s="50" t="n"/>
      <c r="C884" s="51" t="n"/>
      <c r="D884" s="51" t="n"/>
      <c r="E884" s="52" t="n"/>
      <c r="F884" s="53" t="n"/>
      <c r="G884" s="51" t="n"/>
      <c r="H884" s="53" t="n"/>
      <c r="I884" s="51" t="n"/>
      <c r="J884" s="54">
        <f>IF(OR(B884="",F884="",NOT(AND(G884&lt;&gt;"✅ Выполнена",G884&lt;&gt;"❌ Отменена"))),"",IF(F884&lt;TODAY(),"❗ просрочено "&amp;(TODAY()-F884)&amp;" дн.",IF(F884=TODAY(),"🔥 сегодня",IF(F884-TODAY()&lt;=3,"⏳ через "&amp;(F884-TODAY())&amp;" дн.",""))))</f>
        <v/>
      </c>
      <c r="K884" s="54">
        <f>IF(B884="","",IF(G884="✅ Выполнена","✔ ",IF(G884="❌ Отменена","✖ ",IF(AND(F884&lt;&gt;"",F884&lt;TODAY()),"❗ ","☐ ")))&amp;B884&amp;IF(E884="🔥 Высокий"," 🔥",""))</f>
        <v/>
      </c>
      <c r="L884" s="54">
        <f>IF(OR(B884="",F884="",G884="❌ Отменена"),"",F884&amp;"#"&amp;COUNTIFS($F$5:F884,F884,$B$5:B884,"?*",$G$5:G884,"&lt;&gt;❌ Отменена"))</f>
        <v/>
      </c>
      <c r="M884" s="54">
        <f>IF(AND(B884&lt;&gt;"",F884&lt;&gt;"",F884&lt;TODAY(),AND(G884&lt;&gt;"✅ Выполнена",G884&lt;&gt;"❌ Отменена")),MAX($M$4:M883)+1,"")</f>
        <v/>
      </c>
    </row>
    <row r="885">
      <c r="A885" s="49">
        <f>IF(B885="","",COUNTA($B$5:B885))</f>
        <v/>
      </c>
      <c r="B885" s="50" t="n"/>
      <c r="C885" s="51" t="n"/>
      <c r="D885" s="51" t="n"/>
      <c r="E885" s="52" t="n"/>
      <c r="F885" s="53" t="n"/>
      <c r="G885" s="51" t="n"/>
      <c r="H885" s="53" t="n"/>
      <c r="I885" s="51" t="n"/>
      <c r="J885" s="54">
        <f>IF(OR(B885="",F885="",NOT(AND(G885&lt;&gt;"✅ Выполнена",G885&lt;&gt;"❌ Отменена"))),"",IF(F885&lt;TODAY(),"❗ просрочено "&amp;(TODAY()-F885)&amp;" дн.",IF(F885=TODAY(),"🔥 сегодня",IF(F885-TODAY()&lt;=3,"⏳ через "&amp;(F885-TODAY())&amp;" дн.",""))))</f>
        <v/>
      </c>
      <c r="K885" s="54">
        <f>IF(B885="","",IF(G885="✅ Выполнена","✔ ",IF(G885="❌ Отменена","✖ ",IF(AND(F885&lt;&gt;"",F885&lt;TODAY()),"❗ ","☐ ")))&amp;B885&amp;IF(E885="🔥 Высокий"," 🔥",""))</f>
        <v/>
      </c>
      <c r="L885" s="54">
        <f>IF(OR(B885="",F885="",G885="❌ Отменена"),"",F885&amp;"#"&amp;COUNTIFS($F$5:F885,F885,$B$5:B885,"?*",$G$5:G885,"&lt;&gt;❌ Отменена"))</f>
        <v/>
      </c>
      <c r="M885" s="54">
        <f>IF(AND(B885&lt;&gt;"",F885&lt;&gt;"",F885&lt;TODAY(),AND(G885&lt;&gt;"✅ Выполнена",G885&lt;&gt;"❌ Отменена")),MAX($M$4:M884)+1,"")</f>
        <v/>
      </c>
    </row>
    <row r="886">
      <c r="A886" s="49">
        <f>IF(B886="","",COUNTA($B$5:B886))</f>
        <v/>
      </c>
      <c r="B886" s="50" t="n"/>
      <c r="C886" s="51" t="n"/>
      <c r="D886" s="51" t="n"/>
      <c r="E886" s="52" t="n"/>
      <c r="F886" s="53" t="n"/>
      <c r="G886" s="51" t="n"/>
      <c r="H886" s="53" t="n"/>
      <c r="I886" s="51" t="n"/>
      <c r="J886" s="54">
        <f>IF(OR(B886="",F886="",NOT(AND(G886&lt;&gt;"✅ Выполнена",G886&lt;&gt;"❌ Отменена"))),"",IF(F886&lt;TODAY(),"❗ просрочено "&amp;(TODAY()-F886)&amp;" дн.",IF(F886=TODAY(),"🔥 сегодня",IF(F886-TODAY()&lt;=3,"⏳ через "&amp;(F886-TODAY())&amp;" дн.",""))))</f>
        <v/>
      </c>
      <c r="K886" s="54">
        <f>IF(B886="","",IF(G886="✅ Выполнена","✔ ",IF(G886="❌ Отменена","✖ ",IF(AND(F886&lt;&gt;"",F886&lt;TODAY()),"❗ ","☐ ")))&amp;B886&amp;IF(E886="🔥 Высокий"," 🔥",""))</f>
        <v/>
      </c>
      <c r="L886" s="54">
        <f>IF(OR(B886="",F886="",G886="❌ Отменена"),"",F886&amp;"#"&amp;COUNTIFS($F$5:F886,F886,$B$5:B886,"?*",$G$5:G886,"&lt;&gt;❌ Отменена"))</f>
        <v/>
      </c>
      <c r="M886" s="54">
        <f>IF(AND(B886&lt;&gt;"",F886&lt;&gt;"",F886&lt;TODAY(),AND(G886&lt;&gt;"✅ Выполнена",G886&lt;&gt;"❌ Отменена")),MAX($M$4:M885)+1,"")</f>
        <v/>
      </c>
    </row>
    <row r="887">
      <c r="A887" s="49">
        <f>IF(B887="","",COUNTA($B$5:B887))</f>
        <v/>
      </c>
      <c r="B887" s="50" t="n"/>
      <c r="C887" s="51" t="n"/>
      <c r="D887" s="51" t="n"/>
      <c r="E887" s="52" t="n"/>
      <c r="F887" s="53" t="n"/>
      <c r="G887" s="51" t="n"/>
      <c r="H887" s="53" t="n"/>
      <c r="I887" s="51" t="n"/>
      <c r="J887" s="54">
        <f>IF(OR(B887="",F887="",NOT(AND(G887&lt;&gt;"✅ Выполнена",G887&lt;&gt;"❌ Отменена"))),"",IF(F887&lt;TODAY(),"❗ просрочено "&amp;(TODAY()-F887)&amp;" дн.",IF(F887=TODAY(),"🔥 сегодня",IF(F887-TODAY()&lt;=3,"⏳ через "&amp;(F887-TODAY())&amp;" дн.",""))))</f>
        <v/>
      </c>
      <c r="K887" s="54">
        <f>IF(B887="","",IF(G887="✅ Выполнена","✔ ",IF(G887="❌ Отменена","✖ ",IF(AND(F887&lt;&gt;"",F887&lt;TODAY()),"❗ ","☐ ")))&amp;B887&amp;IF(E887="🔥 Высокий"," 🔥",""))</f>
        <v/>
      </c>
      <c r="L887" s="54">
        <f>IF(OR(B887="",F887="",G887="❌ Отменена"),"",F887&amp;"#"&amp;COUNTIFS($F$5:F887,F887,$B$5:B887,"?*",$G$5:G887,"&lt;&gt;❌ Отменена"))</f>
        <v/>
      </c>
      <c r="M887" s="54">
        <f>IF(AND(B887&lt;&gt;"",F887&lt;&gt;"",F887&lt;TODAY(),AND(G887&lt;&gt;"✅ Выполнена",G887&lt;&gt;"❌ Отменена")),MAX($M$4:M886)+1,"")</f>
        <v/>
      </c>
    </row>
    <row r="888">
      <c r="A888" s="49">
        <f>IF(B888="","",COUNTA($B$5:B888))</f>
        <v/>
      </c>
      <c r="B888" s="50" t="n"/>
      <c r="C888" s="51" t="n"/>
      <c r="D888" s="51" t="n"/>
      <c r="E888" s="52" t="n"/>
      <c r="F888" s="53" t="n"/>
      <c r="G888" s="51" t="n"/>
      <c r="H888" s="53" t="n"/>
      <c r="I888" s="51" t="n"/>
      <c r="J888" s="54">
        <f>IF(OR(B888="",F888="",NOT(AND(G888&lt;&gt;"✅ Выполнена",G888&lt;&gt;"❌ Отменена"))),"",IF(F888&lt;TODAY(),"❗ просрочено "&amp;(TODAY()-F888)&amp;" дн.",IF(F888=TODAY(),"🔥 сегодня",IF(F888-TODAY()&lt;=3,"⏳ через "&amp;(F888-TODAY())&amp;" дн.",""))))</f>
        <v/>
      </c>
      <c r="K888" s="54">
        <f>IF(B888="","",IF(G888="✅ Выполнена","✔ ",IF(G888="❌ Отменена","✖ ",IF(AND(F888&lt;&gt;"",F888&lt;TODAY()),"❗ ","☐ ")))&amp;B888&amp;IF(E888="🔥 Высокий"," 🔥",""))</f>
        <v/>
      </c>
      <c r="L888" s="54">
        <f>IF(OR(B888="",F888="",G888="❌ Отменена"),"",F888&amp;"#"&amp;COUNTIFS($F$5:F888,F888,$B$5:B888,"?*",$G$5:G888,"&lt;&gt;❌ Отменена"))</f>
        <v/>
      </c>
      <c r="M888" s="54">
        <f>IF(AND(B888&lt;&gt;"",F888&lt;&gt;"",F888&lt;TODAY(),AND(G888&lt;&gt;"✅ Выполнена",G888&lt;&gt;"❌ Отменена")),MAX($M$4:M887)+1,"")</f>
        <v/>
      </c>
    </row>
    <row r="889">
      <c r="A889" s="49">
        <f>IF(B889="","",COUNTA($B$5:B889))</f>
        <v/>
      </c>
      <c r="B889" s="50" t="n"/>
      <c r="C889" s="51" t="n"/>
      <c r="D889" s="51" t="n"/>
      <c r="E889" s="52" t="n"/>
      <c r="F889" s="53" t="n"/>
      <c r="G889" s="51" t="n"/>
      <c r="H889" s="53" t="n"/>
      <c r="I889" s="51" t="n"/>
      <c r="J889" s="54">
        <f>IF(OR(B889="",F889="",NOT(AND(G889&lt;&gt;"✅ Выполнена",G889&lt;&gt;"❌ Отменена"))),"",IF(F889&lt;TODAY(),"❗ просрочено "&amp;(TODAY()-F889)&amp;" дн.",IF(F889=TODAY(),"🔥 сегодня",IF(F889-TODAY()&lt;=3,"⏳ через "&amp;(F889-TODAY())&amp;" дн.",""))))</f>
        <v/>
      </c>
      <c r="K889" s="54">
        <f>IF(B889="","",IF(G889="✅ Выполнена","✔ ",IF(G889="❌ Отменена","✖ ",IF(AND(F889&lt;&gt;"",F889&lt;TODAY()),"❗ ","☐ ")))&amp;B889&amp;IF(E889="🔥 Высокий"," 🔥",""))</f>
        <v/>
      </c>
      <c r="L889" s="54">
        <f>IF(OR(B889="",F889="",G889="❌ Отменена"),"",F889&amp;"#"&amp;COUNTIFS($F$5:F889,F889,$B$5:B889,"?*",$G$5:G889,"&lt;&gt;❌ Отменена"))</f>
        <v/>
      </c>
      <c r="M889" s="54">
        <f>IF(AND(B889&lt;&gt;"",F889&lt;&gt;"",F889&lt;TODAY(),AND(G889&lt;&gt;"✅ Выполнена",G889&lt;&gt;"❌ Отменена")),MAX($M$4:M888)+1,"")</f>
        <v/>
      </c>
    </row>
    <row r="890">
      <c r="A890" s="49">
        <f>IF(B890="","",COUNTA($B$5:B890))</f>
        <v/>
      </c>
      <c r="B890" s="50" t="n"/>
      <c r="C890" s="51" t="n"/>
      <c r="D890" s="51" t="n"/>
      <c r="E890" s="52" t="n"/>
      <c r="F890" s="53" t="n"/>
      <c r="G890" s="51" t="n"/>
      <c r="H890" s="53" t="n"/>
      <c r="I890" s="51" t="n"/>
      <c r="J890" s="54">
        <f>IF(OR(B890="",F890="",NOT(AND(G890&lt;&gt;"✅ Выполнена",G890&lt;&gt;"❌ Отменена"))),"",IF(F890&lt;TODAY(),"❗ просрочено "&amp;(TODAY()-F890)&amp;" дн.",IF(F890=TODAY(),"🔥 сегодня",IF(F890-TODAY()&lt;=3,"⏳ через "&amp;(F890-TODAY())&amp;" дн.",""))))</f>
        <v/>
      </c>
      <c r="K890" s="54">
        <f>IF(B890="","",IF(G890="✅ Выполнена","✔ ",IF(G890="❌ Отменена","✖ ",IF(AND(F890&lt;&gt;"",F890&lt;TODAY()),"❗ ","☐ ")))&amp;B890&amp;IF(E890="🔥 Высокий"," 🔥",""))</f>
        <v/>
      </c>
      <c r="L890" s="54">
        <f>IF(OR(B890="",F890="",G890="❌ Отменена"),"",F890&amp;"#"&amp;COUNTIFS($F$5:F890,F890,$B$5:B890,"?*",$G$5:G890,"&lt;&gt;❌ Отменена"))</f>
        <v/>
      </c>
      <c r="M890" s="54">
        <f>IF(AND(B890&lt;&gt;"",F890&lt;&gt;"",F890&lt;TODAY(),AND(G890&lt;&gt;"✅ Выполнена",G890&lt;&gt;"❌ Отменена")),MAX($M$4:M889)+1,"")</f>
        <v/>
      </c>
    </row>
    <row r="891">
      <c r="A891" s="49">
        <f>IF(B891="","",COUNTA($B$5:B891))</f>
        <v/>
      </c>
      <c r="B891" s="50" t="n"/>
      <c r="C891" s="51" t="n"/>
      <c r="D891" s="51" t="n"/>
      <c r="E891" s="52" t="n"/>
      <c r="F891" s="53" t="n"/>
      <c r="G891" s="51" t="n"/>
      <c r="H891" s="53" t="n"/>
      <c r="I891" s="51" t="n"/>
      <c r="J891" s="54">
        <f>IF(OR(B891="",F891="",NOT(AND(G891&lt;&gt;"✅ Выполнена",G891&lt;&gt;"❌ Отменена"))),"",IF(F891&lt;TODAY(),"❗ просрочено "&amp;(TODAY()-F891)&amp;" дн.",IF(F891=TODAY(),"🔥 сегодня",IF(F891-TODAY()&lt;=3,"⏳ через "&amp;(F891-TODAY())&amp;" дн.",""))))</f>
        <v/>
      </c>
      <c r="K891" s="54">
        <f>IF(B891="","",IF(G891="✅ Выполнена","✔ ",IF(G891="❌ Отменена","✖ ",IF(AND(F891&lt;&gt;"",F891&lt;TODAY()),"❗ ","☐ ")))&amp;B891&amp;IF(E891="🔥 Высокий"," 🔥",""))</f>
        <v/>
      </c>
      <c r="L891" s="54">
        <f>IF(OR(B891="",F891="",G891="❌ Отменена"),"",F891&amp;"#"&amp;COUNTIFS($F$5:F891,F891,$B$5:B891,"?*",$G$5:G891,"&lt;&gt;❌ Отменена"))</f>
        <v/>
      </c>
      <c r="M891" s="54">
        <f>IF(AND(B891&lt;&gt;"",F891&lt;&gt;"",F891&lt;TODAY(),AND(G891&lt;&gt;"✅ Выполнена",G891&lt;&gt;"❌ Отменена")),MAX($M$4:M890)+1,"")</f>
        <v/>
      </c>
    </row>
    <row r="892">
      <c r="A892" s="49">
        <f>IF(B892="","",COUNTA($B$5:B892))</f>
        <v/>
      </c>
      <c r="B892" s="50" t="n"/>
      <c r="C892" s="51" t="n"/>
      <c r="D892" s="51" t="n"/>
      <c r="E892" s="52" t="n"/>
      <c r="F892" s="53" t="n"/>
      <c r="G892" s="51" t="n"/>
      <c r="H892" s="53" t="n"/>
      <c r="I892" s="51" t="n"/>
      <c r="J892" s="54">
        <f>IF(OR(B892="",F892="",NOT(AND(G892&lt;&gt;"✅ Выполнена",G892&lt;&gt;"❌ Отменена"))),"",IF(F892&lt;TODAY(),"❗ просрочено "&amp;(TODAY()-F892)&amp;" дн.",IF(F892=TODAY(),"🔥 сегодня",IF(F892-TODAY()&lt;=3,"⏳ через "&amp;(F892-TODAY())&amp;" дн.",""))))</f>
        <v/>
      </c>
      <c r="K892" s="54">
        <f>IF(B892="","",IF(G892="✅ Выполнена","✔ ",IF(G892="❌ Отменена","✖ ",IF(AND(F892&lt;&gt;"",F892&lt;TODAY()),"❗ ","☐ ")))&amp;B892&amp;IF(E892="🔥 Высокий"," 🔥",""))</f>
        <v/>
      </c>
      <c r="L892" s="54">
        <f>IF(OR(B892="",F892="",G892="❌ Отменена"),"",F892&amp;"#"&amp;COUNTIFS($F$5:F892,F892,$B$5:B892,"?*",$G$5:G892,"&lt;&gt;❌ Отменена"))</f>
        <v/>
      </c>
      <c r="M892" s="54">
        <f>IF(AND(B892&lt;&gt;"",F892&lt;&gt;"",F892&lt;TODAY(),AND(G892&lt;&gt;"✅ Выполнена",G892&lt;&gt;"❌ Отменена")),MAX($M$4:M891)+1,"")</f>
        <v/>
      </c>
    </row>
    <row r="893">
      <c r="A893" s="49">
        <f>IF(B893="","",COUNTA($B$5:B893))</f>
        <v/>
      </c>
      <c r="B893" s="50" t="n"/>
      <c r="C893" s="51" t="n"/>
      <c r="D893" s="51" t="n"/>
      <c r="E893" s="52" t="n"/>
      <c r="F893" s="53" t="n"/>
      <c r="G893" s="51" t="n"/>
      <c r="H893" s="53" t="n"/>
      <c r="I893" s="51" t="n"/>
      <c r="J893" s="54">
        <f>IF(OR(B893="",F893="",NOT(AND(G893&lt;&gt;"✅ Выполнена",G893&lt;&gt;"❌ Отменена"))),"",IF(F893&lt;TODAY(),"❗ просрочено "&amp;(TODAY()-F893)&amp;" дн.",IF(F893=TODAY(),"🔥 сегодня",IF(F893-TODAY()&lt;=3,"⏳ через "&amp;(F893-TODAY())&amp;" дн.",""))))</f>
        <v/>
      </c>
      <c r="K893" s="54">
        <f>IF(B893="","",IF(G893="✅ Выполнена","✔ ",IF(G893="❌ Отменена","✖ ",IF(AND(F893&lt;&gt;"",F893&lt;TODAY()),"❗ ","☐ ")))&amp;B893&amp;IF(E893="🔥 Высокий"," 🔥",""))</f>
        <v/>
      </c>
      <c r="L893" s="54">
        <f>IF(OR(B893="",F893="",G893="❌ Отменена"),"",F893&amp;"#"&amp;COUNTIFS($F$5:F893,F893,$B$5:B893,"?*",$G$5:G893,"&lt;&gt;❌ Отменена"))</f>
        <v/>
      </c>
      <c r="M893" s="54">
        <f>IF(AND(B893&lt;&gt;"",F893&lt;&gt;"",F893&lt;TODAY(),AND(G893&lt;&gt;"✅ Выполнена",G893&lt;&gt;"❌ Отменена")),MAX($M$4:M892)+1,"")</f>
        <v/>
      </c>
    </row>
    <row r="894">
      <c r="A894" s="49">
        <f>IF(B894="","",COUNTA($B$5:B894))</f>
        <v/>
      </c>
      <c r="B894" s="50" t="n"/>
      <c r="C894" s="51" t="n"/>
      <c r="D894" s="51" t="n"/>
      <c r="E894" s="52" t="n"/>
      <c r="F894" s="53" t="n"/>
      <c r="G894" s="51" t="n"/>
      <c r="H894" s="53" t="n"/>
      <c r="I894" s="51" t="n"/>
      <c r="J894" s="54">
        <f>IF(OR(B894="",F894="",NOT(AND(G894&lt;&gt;"✅ Выполнена",G894&lt;&gt;"❌ Отменена"))),"",IF(F894&lt;TODAY(),"❗ просрочено "&amp;(TODAY()-F894)&amp;" дн.",IF(F894=TODAY(),"🔥 сегодня",IF(F894-TODAY()&lt;=3,"⏳ через "&amp;(F894-TODAY())&amp;" дн.",""))))</f>
        <v/>
      </c>
      <c r="K894" s="54">
        <f>IF(B894="","",IF(G894="✅ Выполнена","✔ ",IF(G894="❌ Отменена","✖ ",IF(AND(F894&lt;&gt;"",F894&lt;TODAY()),"❗ ","☐ ")))&amp;B894&amp;IF(E894="🔥 Высокий"," 🔥",""))</f>
        <v/>
      </c>
      <c r="L894" s="54">
        <f>IF(OR(B894="",F894="",G894="❌ Отменена"),"",F894&amp;"#"&amp;COUNTIFS($F$5:F894,F894,$B$5:B894,"?*",$G$5:G894,"&lt;&gt;❌ Отменена"))</f>
        <v/>
      </c>
      <c r="M894" s="54">
        <f>IF(AND(B894&lt;&gt;"",F894&lt;&gt;"",F894&lt;TODAY(),AND(G894&lt;&gt;"✅ Выполнена",G894&lt;&gt;"❌ Отменена")),MAX($M$4:M893)+1,"")</f>
        <v/>
      </c>
    </row>
    <row r="895">
      <c r="A895" s="49">
        <f>IF(B895="","",COUNTA($B$5:B895))</f>
        <v/>
      </c>
      <c r="B895" s="50" t="n"/>
      <c r="C895" s="51" t="n"/>
      <c r="D895" s="51" t="n"/>
      <c r="E895" s="52" t="n"/>
      <c r="F895" s="53" t="n"/>
      <c r="G895" s="51" t="n"/>
      <c r="H895" s="53" t="n"/>
      <c r="I895" s="51" t="n"/>
      <c r="J895" s="54">
        <f>IF(OR(B895="",F895="",NOT(AND(G895&lt;&gt;"✅ Выполнена",G895&lt;&gt;"❌ Отменена"))),"",IF(F895&lt;TODAY(),"❗ просрочено "&amp;(TODAY()-F895)&amp;" дн.",IF(F895=TODAY(),"🔥 сегодня",IF(F895-TODAY()&lt;=3,"⏳ через "&amp;(F895-TODAY())&amp;" дн.",""))))</f>
        <v/>
      </c>
      <c r="K895" s="54">
        <f>IF(B895="","",IF(G895="✅ Выполнена","✔ ",IF(G895="❌ Отменена","✖ ",IF(AND(F895&lt;&gt;"",F895&lt;TODAY()),"❗ ","☐ ")))&amp;B895&amp;IF(E895="🔥 Высокий"," 🔥",""))</f>
        <v/>
      </c>
      <c r="L895" s="54">
        <f>IF(OR(B895="",F895="",G895="❌ Отменена"),"",F895&amp;"#"&amp;COUNTIFS($F$5:F895,F895,$B$5:B895,"?*",$G$5:G895,"&lt;&gt;❌ Отменена"))</f>
        <v/>
      </c>
      <c r="M895" s="54">
        <f>IF(AND(B895&lt;&gt;"",F895&lt;&gt;"",F895&lt;TODAY(),AND(G895&lt;&gt;"✅ Выполнена",G895&lt;&gt;"❌ Отменена")),MAX($M$4:M894)+1,"")</f>
        <v/>
      </c>
    </row>
    <row r="896">
      <c r="A896" s="49">
        <f>IF(B896="","",COUNTA($B$5:B896))</f>
        <v/>
      </c>
      <c r="B896" s="50" t="n"/>
      <c r="C896" s="51" t="n"/>
      <c r="D896" s="51" t="n"/>
      <c r="E896" s="52" t="n"/>
      <c r="F896" s="53" t="n"/>
      <c r="G896" s="51" t="n"/>
      <c r="H896" s="53" t="n"/>
      <c r="I896" s="51" t="n"/>
      <c r="J896" s="54">
        <f>IF(OR(B896="",F896="",NOT(AND(G896&lt;&gt;"✅ Выполнена",G896&lt;&gt;"❌ Отменена"))),"",IF(F896&lt;TODAY(),"❗ просрочено "&amp;(TODAY()-F896)&amp;" дн.",IF(F896=TODAY(),"🔥 сегодня",IF(F896-TODAY()&lt;=3,"⏳ через "&amp;(F896-TODAY())&amp;" дн.",""))))</f>
        <v/>
      </c>
      <c r="K896" s="54">
        <f>IF(B896="","",IF(G896="✅ Выполнена","✔ ",IF(G896="❌ Отменена","✖ ",IF(AND(F896&lt;&gt;"",F896&lt;TODAY()),"❗ ","☐ ")))&amp;B896&amp;IF(E896="🔥 Высокий"," 🔥",""))</f>
        <v/>
      </c>
      <c r="L896" s="54">
        <f>IF(OR(B896="",F896="",G896="❌ Отменена"),"",F896&amp;"#"&amp;COUNTIFS($F$5:F896,F896,$B$5:B896,"?*",$G$5:G896,"&lt;&gt;❌ Отменена"))</f>
        <v/>
      </c>
      <c r="M896" s="54">
        <f>IF(AND(B896&lt;&gt;"",F896&lt;&gt;"",F896&lt;TODAY(),AND(G896&lt;&gt;"✅ Выполнена",G896&lt;&gt;"❌ Отменена")),MAX($M$4:M895)+1,"")</f>
        <v/>
      </c>
    </row>
    <row r="897">
      <c r="A897" s="49">
        <f>IF(B897="","",COUNTA($B$5:B897))</f>
        <v/>
      </c>
      <c r="B897" s="50" t="n"/>
      <c r="C897" s="51" t="n"/>
      <c r="D897" s="51" t="n"/>
      <c r="E897" s="52" t="n"/>
      <c r="F897" s="53" t="n"/>
      <c r="G897" s="51" t="n"/>
      <c r="H897" s="53" t="n"/>
      <c r="I897" s="51" t="n"/>
      <c r="J897" s="54">
        <f>IF(OR(B897="",F897="",NOT(AND(G897&lt;&gt;"✅ Выполнена",G897&lt;&gt;"❌ Отменена"))),"",IF(F897&lt;TODAY(),"❗ просрочено "&amp;(TODAY()-F897)&amp;" дн.",IF(F897=TODAY(),"🔥 сегодня",IF(F897-TODAY()&lt;=3,"⏳ через "&amp;(F897-TODAY())&amp;" дн.",""))))</f>
        <v/>
      </c>
      <c r="K897" s="54">
        <f>IF(B897="","",IF(G897="✅ Выполнена","✔ ",IF(G897="❌ Отменена","✖ ",IF(AND(F897&lt;&gt;"",F897&lt;TODAY()),"❗ ","☐ ")))&amp;B897&amp;IF(E897="🔥 Высокий"," 🔥",""))</f>
        <v/>
      </c>
      <c r="L897" s="54">
        <f>IF(OR(B897="",F897="",G897="❌ Отменена"),"",F897&amp;"#"&amp;COUNTIFS($F$5:F897,F897,$B$5:B897,"?*",$G$5:G897,"&lt;&gt;❌ Отменена"))</f>
        <v/>
      </c>
      <c r="M897" s="54">
        <f>IF(AND(B897&lt;&gt;"",F897&lt;&gt;"",F897&lt;TODAY(),AND(G897&lt;&gt;"✅ Выполнена",G897&lt;&gt;"❌ Отменена")),MAX($M$4:M896)+1,"")</f>
        <v/>
      </c>
    </row>
    <row r="898">
      <c r="A898" s="49">
        <f>IF(B898="","",COUNTA($B$5:B898))</f>
        <v/>
      </c>
      <c r="B898" s="50" t="n"/>
      <c r="C898" s="51" t="n"/>
      <c r="D898" s="51" t="n"/>
      <c r="E898" s="52" t="n"/>
      <c r="F898" s="53" t="n"/>
      <c r="G898" s="51" t="n"/>
      <c r="H898" s="53" t="n"/>
      <c r="I898" s="51" t="n"/>
      <c r="J898" s="54">
        <f>IF(OR(B898="",F898="",NOT(AND(G898&lt;&gt;"✅ Выполнена",G898&lt;&gt;"❌ Отменена"))),"",IF(F898&lt;TODAY(),"❗ просрочено "&amp;(TODAY()-F898)&amp;" дн.",IF(F898=TODAY(),"🔥 сегодня",IF(F898-TODAY()&lt;=3,"⏳ через "&amp;(F898-TODAY())&amp;" дн.",""))))</f>
        <v/>
      </c>
      <c r="K898" s="54">
        <f>IF(B898="","",IF(G898="✅ Выполнена","✔ ",IF(G898="❌ Отменена","✖ ",IF(AND(F898&lt;&gt;"",F898&lt;TODAY()),"❗ ","☐ ")))&amp;B898&amp;IF(E898="🔥 Высокий"," 🔥",""))</f>
        <v/>
      </c>
      <c r="L898" s="54">
        <f>IF(OR(B898="",F898="",G898="❌ Отменена"),"",F898&amp;"#"&amp;COUNTIFS($F$5:F898,F898,$B$5:B898,"?*",$G$5:G898,"&lt;&gt;❌ Отменена"))</f>
        <v/>
      </c>
      <c r="M898" s="54">
        <f>IF(AND(B898&lt;&gt;"",F898&lt;&gt;"",F898&lt;TODAY(),AND(G898&lt;&gt;"✅ Выполнена",G898&lt;&gt;"❌ Отменена")),MAX($M$4:M897)+1,"")</f>
        <v/>
      </c>
    </row>
    <row r="899">
      <c r="A899" s="49">
        <f>IF(B899="","",COUNTA($B$5:B899))</f>
        <v/>
      </c>
      <c r="B899" s="50" t="n"/>
      <c r="C899" s="51" t="n"/>
      <c r="D899" s="51" t="n"/>
      <c r="E899" s="52" t="n"/>
      <c r="F899" s="53" t="n"/>
      <c r="G899" s="51" t="n"/>
      <c r="H899" s="53" t="n"/>
      <c r="I899" s="51" t="n"/>
      <c r="J899" s="54">
        <f>IF(OR(B899="",F899="",NOT(AND(G899&lt;&gt;"✅ Выполнена",G899&lt;&gt;"❌ Отменена"))),"",IF(F899&lt;TODAY(),"❗ просрочено "&amp;(TODAY()-F899)&amp;" дн.",IF(F899=TODAY(),"🔥 сегодня",IF(F899-TODAY()&lt;=3,"⏳ через "&amp;(F899-TODAY())&amp;" дн.",""))))</f>
        <v/>
      </c>
      <c r="K899" s="54">
        <f>IF(B899="","",IF(G899="✅ Выполнена","✔ ",IF(G899="❌ Отменена","✖ ",IF(AND(F899&lt;&gt;"",F899&lt;TODAY()),"❗ ","☐ ")))&amp;B899&amp;IF(E899="🔥 Высокий"," 🔥",""))</f>
        <v/>
      </c>
      <c r="L899" s="54">
        <f>IF(OR(B899="",F899="",G899="❌ Отменена"),"",F899&amp;"#"&amp;COUNTIFS($F$5:F899,F899,$B$5:B899,"?*",$G$5:G899,"&lt;&gt;❌ Отменена"))</f>
        <v/>
      </c>
      <c r="M899" s="54">
        <f>IF(AND(B899&lt;&gt;"",F899&lt;&gt;"",F899&lt;TODAY(),AND(G899&lt;&gt;"✅ Выполнена",G899&lt;&gt;"❌ Отменена")),MAX($M$4:M898)+1,"")</f>
        <v/>
      </c>
    </row>
    <row r="900">
      <c r="A900" s="49">
        <f>IF(B900="","",COUNTA($B$5:B900))</f>
        <v/>
      </c>
      <c r="B900" s="50" t="n"/>
      <c r="C900" s="51" t="n"/>
      <c r="D900" s="51" t="n"/>
      <c r="E900" s="52" t="n"/>
      <c r="F900" s="53" t="n"/>
      <c r="G900" s="51" t="n"/>
      <c r="H900" s="53" t="n"/>
      <c r="I900" s="51" t="n"/>
      <c r="J900" s="54">
        <f>IF(OR(B900="",F900="",NOT(AND(G900&lt;&gt;"✅ Выполнена",G900&lt;&gt;"❌ Отменена"))),"",IF(F900&lt;TODAY(),"❗ просрочено "&amp;(TODAY()-F900)&amp;" дн.",IF(F900=TODAY(),"🔥 сегодня",IF(F900-TODAY()&lt;=3,"⏳ через "&amp;(F900-TODAY())&amp;" дн.",""))))</f>
        <v/>
      </c>
      <c r="K900" s="54">
        <f>IF(B900="","",IF(G900="✅ Выполнена","✔ ",IF(G900="❌ Отменена","✖ ",IF(AND(F900&lt;&gt;"",F900&lt;TODAY()),"❗ ","☐ ")))&amp;B900&amp;IF(E900="🔥 Высокий"," 🔥",""))</f>
        <v/>
      </c>
      <c r="L900" s="54">
        <f>IF(OR(B900="",F900="",G900="❌ Отменена"),"",F900&amp;"#"&amp;COUNTIFS($F$5:F900,F900,$B$5:B900,"?*",$G$5:G900,"&lt;&gt;❌ Отменена"))</f>
        <v/>
      </c>
      <c r="M900" s="54">
        <f>IF(AND(B900&lt;&gt;"",F900&lt;&gt;"",F900&lt;TODAY(),AND(G900&lt;&gt;"✅ Выполнена",G900&lt;&gt;"❌ Отменена")),MAX($M$4:M899)+1,"")</f>
        <v/>
      </c>
    </row>
    <row r="901">
      <c r="A901" s="49">
        <f>IF(B901="","",COUNTA($B$5:B901))</f>
        <v/>
      </c>
      <c r="B901" s="50" t="n"/>
      <c r="C901" s="51" t="n"/>
      <c r="D901" s="51" t="n"/>
      <c r="E901" s="52" t="n"/>
      <c r="F901" s="53" t="n"/>
      <c r="G901" s="51" t="n"/>
      <c r="H901" s="53" t="n"/>
      <c r="I901" s="51" t="n"/>
      <c r="J901" s="54">
        <f>IF(OR(B901="",F901="",NOT(AND(G901&lt;&gt;"✅ Выполнена",G901&lt;&gt;"❌ Отменена"))),"",IF(F901&lt;TODAY(),"❗ просрочено "&amp;(TODAY()-F901)&amp;" дн.",IF(F901=TODAY(),"🔥 сегодня",IF(F901-TODAY()&lt;=3,"⏳ через "&amp;(F901-TODAY())&amp;" дн.",""))))</f>
        <v/>
      </c>
      <c r="K901" s="54">
        <f>IF(B901="","",IF(G901="✅ Выполнена","✔ ",IF(G901="❌ Отменена","✖ ",IF(AND(F901&lt;&gt;"",F901&lt;TODAY()),"❗ ","☐ ")))&amp;B901&amp;IF(E901="🔥 Высокий"," 🔥",""))</f>
        <v/>
      </c>
      <c r="L901" s="54">
        <f>IF(OR(B901="",F901="",G901="❌ Отменена"),"",F901&amp;"#"&amp;COUNTIFS($F$5:F901,F901,$B$5:B901,"?*",$G$5:G901,"&lt;&gt;❌ Отменена"))</f>
        <v/>
      </c>
      <c r="M901" s="54">
        <f>IF(AND(B901&lt;&gt;"",F901&lt;&gt;"",F901&lt;TODAY(),AND(G901&lt;&gt;"✅ Выполнена",G901&lt;&gt;"❌ Отменена")),MAX($M$4:M900)+1,"")</f>
        <v/>
      </c>
    </row>
    <row r="902">
      <c r="A902" s="49">
        <f>IF(B902="","",COUNTA($B$5:B902))</f>
        <v/>
      </c>
      <c r="B902" s="50" t="n"/>
      <c r="C902" s="51" t="n"/>
      <c r="D902" s="51" t="n"/>
      <c r="E902" s="52" t="n"/>
      <c r="F902" s="53" t="n"/>
      <c r="G902" s="51" t="n"/>
      <c r="H902" s="53" t="n"/>
      <c r="I902" s="51" t="n"/>
      <c r="J902" s="54">
        <f>IF(OR(B902="",F902="",NOT(AND(G902&lt;&gt;"✅ Выполнена",G902&lt;&gt;"❌ Отменена"))),"",IF(F902&lt;TODAY(),"❗ просрочено "&amp;(TODAY()-F902)&amp;" дн.",IF(F902=TODAY(),"🔥 сегодня",IF(F902-TODAY()&lt;=3,"⏳ через "&amp;(F902-TODAY())&amp;" дн.",""))))</f>
        <v/>
      </c>
      <c r="K902" s="54">
        <f>IF(B902="","",IF(G902="✅ Выполнена","✔ ",IF(G902="❌ Отменена","✖ ",IF(AND(F902&lt;&gt;"",F902&lt;TODAY()),"❗ ","☐ ")))&amp;B902&amp;IF(E902="🔥 Высокий"," 🔥",""))</f>
        <v/>
      </c>
      <c r="L902" s="54">
        <f>IF(OR(B902="",F902="",G902="❌ Отменена"),"",F902&amp;"#"&amp;COUNTIFS($F$5:F902,F902,$B$5:B902,"?*",$G$5:G902,"&lt;&gt;❌ Отменена"))</f>
        <v/>
      </c>
      <c r="M902" s="54">
        <f>IF(AND(B902&lt;&gt;"",F902&lt;&gt;"",F902&lt;TODAY(),AND(G902&lt;&gt;"✅ Выполнена",G902&lt;&gt;"❌ Отменена")),MAX($M$4:M901)+1,"")</f>
        <v/>
      </c>
    </row>
    <row r="903">
      <c r="A903" s="49">
        <f>IF(B903="","",COUNTA($B$5:B903))</f>
        <v/>
      </c>
      <c r="B903" s="50" t="n"/>
      <c r="C903" s="51" t="n"/>
      <c r="D903" s="51" t="n"/>
      <c r="E903" s="52" t="n"/>
      <c r="F903" s="53" t="n"/>
      <c r="G903" s="51" t="n"/>
      <c r="H903" s="53" t="n"/>
      <c r="I903" s="51" t="n"/>
      <c r="J903" s="54">
        <f>IF(OR(B903="",F903="",NOT(AND(G903&lt;&gt;"✅ Выполнена",G903&lt;&gt;"❌ Отменена"))),"",IF(F903&lt;TODAY(),"❗ просрочено "&amp;(TODAY()-F903)&amp;" дн.",IF(F903=TODAY(),"🔥 сегодня",IF(F903-TODAY()&lt;=3,"⏳ через "&amp;(F903-TODAY())&amp;" дн.",""))))</f>
        <v/>
      </c>
      <c r="K903" s="54">
        <f>IF(B903="","",IF(G903="✅ Выполнена","✔ ",IF(G903="❌ Отменена","✖ ",IF(AND(F903&lt;&gt;"",F903&lt;TODAY()),"❗ ","☐ ")))&amp;B903&amp;IF(E903="🔥 Высокий"," 🔥",""))</f>
        <v/>
      </c>
      <c r="L903" s="54">
        <f>IF(OR(B903="",F903="",G903="❌ Отменена"),"",F903&amp;"#"&amp;COUNTIFS($F$5:F903,F903,$B$5:B903,"?*",$G$5:G903,"&lt;&gt;❌ Отменена"))</f>
        <v/>
      </c>
      <c r="M903" s="54">
        <f>IF(AND(B903&lt;&gt;"",F903&lt;&gt;"",F903&lt;TODAY(),AND(G903&lt;&gt;"✅ Выполнена",G903&lt;&gt;"❌ Отменена")),MAX($M$4:M902)+1,"")</f>
        <v/>
      </c>
    </row>
    <row r="904">
      <c r="A904" s="49">
        <f>IF(B904="","",COUNTA($B$5:B904))</f>
        <v/>
      </c>
      <c r="B904" s="50" t="n"/>
      <c r="C904" s="51" t="n"/>
      <c r="D904" s="51" t="n"/>
      <c r="E904" s="52" t="n"/>
      <c r="F904" s="53" t="n"/>
      <c r="G904" s="51" t="n"/>
      <c r="H904" s="53" t="n"/>
      <c r="I904" s="51" t="n"/>
      <c r="J904" s="54">
        <f>IF(OR(B904="",F904="",NOT(AND(G904&lt;&gt;"✅ Выполнена",G904&lt;&gt;"❌ Отменена"))),"",IF(F904&lt;TODAY(),"❗ просрочено "&amp;(TODAY()-F904)&amp;" дн.",IF(F904=TODAY(),"🔥 сегодня",IF(F904-TODAY()&lt;=3,"⏳ через "&amp;(F904-TODAY())&amp;" дн.",""))))</f>
        <v/>
      </c>
      <c r="K904" s="54">
        <f>IF(B904="","",IF(G904="✅ Выполнена","✔ ",IF(G904="❌ Отменена","✖ ",IF(AND(F904&lt;&gt;"",F904&lt;TODAY()),"❗ ","☐ ")))&amp;B904&amp;IF(E904="🔥 Высокий"," 🔥",""))</f>
        <v/>
      </c>
      <c r="L904" s="54">
        <f>IF(OR(B904="",F904="",G904="❌ Отменена"),"",F904&amp;"#"&amp;COUNTIFS($F$5:F904,F904,$B$5:B904,"?*",$G$5:G904,"&lt;&gt;❌ Отменена"))</f>
        <v/>
      </c>
      <c r="M904" s="54">
        <f>IF(AND(B904&lt;&gt;"",F904&lt;&gt;"",F904&lt;TODAY(),AND(G904&lt;&gt;"✅ Выполнена",G904&lt;&gt;"❌ Отменена")),MAX($M$4:M903)+1,"")</f>
        <v/>
      </c>
    </row>
    <row r="905">
      <c r="A905" s="49">
        <f>IF(B905="","",COUNTA($B$5:B905))</f>
        <v/>
      </c>
      <c r="B905" s="50" t="n"/>
      <c r="C905" s="51" t="n"/>
      <c r="D905" s="51" t="n"/>
      <c r="E905" s="52" t="n"/>
      <c r="F905" s="53" t="n"/>
      <c r="G905" s="51" t="n"/>
      <c r="H905" s="53" t="n"/>
      <c r="I905" s="51" t="n"/>
      <c r="J905" s="54">
        <f>IF(OR(B905="",F905="",NOT(AND(G905&lt;&gt;"✅ Выполнена",G905&lt;&gt;"❌ Отменена"))),"",IF(F905&lt;TODAY(),"❗ просрочено "&amp;(TODAY()-F905)&amp;" дн.",IF(F905=TODAY(),"🔥 сегодня",IF(F905-TODAY()&lt;=3,"⏳ через "&amp;(F905-TODAY())&amp;" дн.",""))))</f>
        <v/>
      </c>
      <c r="K905" s="54">
        <f>IF(B905="","",IF(G905="✅ Выполнена","✔ ",IF(G905="❌ Отменена","✖ ",IF(AND(F905&lt;&gt;"",F905&lt;TODAY()),"❗ ","☐ ")))&amp;B905&amp;IF(E905="🔥 Высокий"," 🔥",""))</f>
        <v/>
      </c>
      <c r="L905" s="54">
        <f>IF(OR(B905="",F905="",G905="❌ Отменена"),"",F905&amp;"#"&amp;COUNTIFS($F$5:F905,F905,$B$5:B905,"?*",$G$5:G905,"&lt;&gt;❌ Отменена"))</f>
        <v/>
      </c>
      <c r="M905" s="54">
        <f>IF(AND(B905&lt;&gt;"",F905&lt;&gt;"",F905&lt;TODAY(),AND(G905&lt;&gt;"✅ Выполнена",G905&lt;&gt;"❌ Отменена")),MAX($M$4:M904)+1,"")</f>
        <v/>
      </c>
    </row>
    <row r="906">
      <c r="A906" s="49">
        <f>IF(B906="","",COUNTA($B$5:B906))</f>
        <v/>
      </c>
      <c r="B906" s="50" t="n"/>
      <c r="C906" s="51" t="n"/>
      <c r="D906" s="51" t="n"/>
      <c r="E906" s="52" t="n"/>
      <c r="F906" s="53" t="n"/>
      <c r="G906" s="51" t="n"/>
      <c r="H906" s="53" t="n"/>
      <c r="I906" s="51" t="n"/>
      <c r="J906" s="54">
        <f>IF(OR(B906="",F906="",NOT(AND(G906&lt;&gt;"✅ Выполнена",G906&lt;&gt;"❌ Отменена"))),"",IF(F906&lt;TODAY(),"❗ просрочено "&amp;(TODAY()-F906)&amp;" дн.",IF(F906=TODAY(),"🔥 сегодня",IF(F906-TODAY()&lt;=3,"⏳ через "&amp;(F906-TODAY())&amp;" дн.",""))))</f>
        <v/>
      </c>
      <c r="K906" s="54">
        <f>IF(B906="","",IF(G906="✅ Выполнена","✔ ",IF(G906="❌ Отменена","✖ ",IF(AND(F906&lt;&gt;"",F906&lt;TODAY()),"❗ ","☐ ")))&amp;B906&amp;IF(E906="🔥 Высокий"," 🔥",""))</f>
        <v/>
      </c>
      <c r="L906" s="54">
        <f>IF(OR(B906="",F906="",G906="❌ Отменена"),"",F906&amp;"#"&amp;COUNTIFS($F$5:F906,F906,$B$5:B906,"?*",$G$5:G906,"&lt;&gt;❌ Отменена"))</f>
        <v/>
      </c>
      <c r="M906" s="54">
        <f>IF(AND(B906&lt;&gt;"",F906&lt;&gt;"",F906&lt;TODAY(),AND(G906&lt;&gt;"✅ Выполнена",G906&lt;&gt;"❌ Отменена")),MAX($M$4:M905)+1,"")</f>
        <v/>
      </c>
    </row>
    <row r="907">
      <c r="A907" s="49">
        <f>IF(B907="","",COUNTA($B$5:B907))</f>
        <v/>
      </c>
      <c r="B907" s="50" t="n"/>
      <c r="C907" s="51" t="n"/>
      <c r="D907" s="51" t="n"/>
      <c r="E907" s="52" t="n"/>
      <c r="F907" s="53" t="n"/>
      <c r="G907" s="51" t="n"/>
      <c r="H907" s="53" t="n"/>
      <c r="I907" s="51" t="n"/>
      <c r="J907" s="54">
        <f>IF(OR(B907="",F907="",NOT(AND(G907&lt;&gt;"✅ Выполнена",G907&lt;&gt;"❌ Отменена"))),"",IF(F907&lt;TODAY(),"❗ просрочено "&amp;(TODAY()-F907)&amp;" дн.",IF(F907=TODAY(),"🔥 сегодня",IF(F907-TODAY()&lt;=3,"⏳ через "&amp;(F907-TODAY())&amp;" дн.",""))))</f>
        <v/>
      </c>
      <c r="K907" s="54">
        <f>IF(B907="","",IF(G907="✅ Выполнена","✔ ",IF(G907="❌ Отменена","✖ ",IF(AND(F907&lt;&gt;"",F907&lt;TODAY()),"❗ ","☐ ")))&amp;B907&amp;IF(E907="🔥 Высокий"," 🔥",""))</f>
        <v/>
      </c>
      <c r="L907" s="54">
        <f>IF(OR(B907="",F907="",G907="❌ Отменена"),"",F907&amp;"#"&amp;COUNTIFS($F$5:F907,F907,$B$5:B907,"?*",$G$5:G907,"&lt;&gt;❌ Отменена"))</f>
        <v/>
      </c>
      <c r="M907" s="54">
        <f>IF(AND(B907&lt;&gt;"",F907&lt;&gt;"",F907&lt;TODAY(),AND(G907&lt;&gt;"✅ Выполнена",G907&lt;&gt;"❌ Отменена")),MAX($M$4:M906)+1,"")</f>
        <v/>
      </c>
    </row>
    <row r="908">
      <c r="A908" s="49">
        <f>IF(B908="","",COUNTA($B$5:B908))</f>
        <v/>
      </c>
      <c r="B908" s="50" t="n"/>
      <c r="C908" s="51" t="n"/>
      <c r="D908" s="51" t="n"/>
      <c r="E908" s="52" t="n"/>
      <c r="F908" s="53" t="n"/>
      <c r="G908" s="51" t="n"/>
      <c r="H908" s="53" t="n"/>
      <c r="I908" s="51" t="n"/>
      <c r="J908" s="54">
        <f>IF(OR(B908="",F908="",NOT(AND(G908&lt;&gt;"✅ Выполнена",G908&lt;&gt;"❌ Отменена"))),"",IF(F908&lt;TODAY(),"❗ просрочено "&amp;(TODAY()-F908)&amp;" дн.",IF(F908=TODAY(),"🔥 сегодня",IF(F908-TODAY()&lt;=3,"⏳ через "&amp;(F908-TODAY())&amp;" дн.",""))))</f>
        <v/>
      </c>
      <c r="K908" s="54">
        <f>IF(B908="","",IF(G908="✅ Выполнена","✔ ",IF(G908="❌ Отменена","✖ ",IF(AND(F908&lt;&gt;"",F908&lt;TODAY()),"❗ ","☐ ")))&amp;B908&amp;IF(E908="🔥 Высокий"," 🔥",""))</f>
        <v/>
      </c>
      <c r="L908" s="54">
        <f>IF(OR(B908="",F908="",G908="❌ Отменена"),"",F908&amp;"#"&amp;COUNTIFS($F$5:F908,F908,$B$5:B908,"?*",$G$5:G908,"&lt;&gt;❌ Отменена"))</f>
        <v/>
      </c>
      <c r="M908" s="54">
        <f>IF(AND(B908&lt;&gt;"",F908&lt;&gt;"",F908&lt;TODAY(),AND(G908&lt;&gt;"✅ Выполнена",G908&lt;&gt;"❌ Отменена")),MAX($M$4:M907)+1,"")</f>
        <v/>
      </c>
    </row>
    <row r="909">
      <c r="A909" s="49">
        <f>IF(B909="","",COUNTA($B$5:B909))</f>
        <v/>
      </c>
      <c r="B909" s="50" t="n"/>
      <c r="C909" s="51" t="n"/>
      <c r="D909" s="51" t="n"/>
      <c r="E909" s="52" t="n"/>
      <c r="F909" s="53" t="n"/>
      <c r="G909" s="51" t="n"/>
      <c r="H909" s="53" t="n"/>
      <c r="I909" s="51" t="n"/>
      <c r="J909" s="54">
        <f>IF(OR(B909="",F909="",NOT(AND(G909&lt;&gt;"✅ Выполнена",G909&lt;&gt;"❌ Отменена"))),"",IF(F909&lt;TODAY(),"❗ просрочено "&amp;(TODAY()-F909)&amp;" дн.",IF(F909=TODAY(),"🔥 сегодня",IF(F909-TODAY()&lt;=3,"⏳ через "&amp;(F909-TODAY())&amp;" дн.",""))))</f>
        <v/>
      </c>
      <c r="K909" s="54">
        <f>IF(B909="","",IF(G909="✅ Выполнена","✔ ",IF(G909="❌ Отменена","✖ ",IF(AND(F909&lt;&gt;"",F909&lt;TODAY()),"❗ ","☐ ")))&amp;B909&amp;IF(E909="🔥 Высокий"," 🔥",""))</f>
        <v/>
      </c>
      <c r="L909" s="54">
        <f>IF(OR(B909="",F909="",G909="❌ Отменена"),"",F909&amp;"#"&amp;COUNTIFS($F$5:F909,F909,$B$5:B909,"?*",$G$5:G909,"&lt;&gt;❌ Отменена"))</f>
        <v/>
      </c>
      <c r="M909" s="54">
        <f>IF(AND(B909&lt;&gt;"",F909&lt;&gt;"",F909&lt;TODAY(),AND(G909&lt;&gt;"✅ Выполнена",G909&lt;&gt;"❌ Отменена")),MAX($M$4:M908)+1,"")</f>
        <v/>
      </c>
    </row>
    <row r="910">
      <c r="A910" s="49">
        <f>IF(B910="","",COUNTA($B$5:B910))</f>
        <v/>
      </c>
      <c r="B910" s="50" t="n"/>
      <c r="C910" s="51" t="n"/>
      <c r="D910" s="51" t="n"/>
      <c r="E910" s="52" t="n"/>
      <c r="F910" s="53" t="n"/>
      <c r="G910" s="51" t="n"/>
      <c r="H910" s="53" t="n"/>
      <c r="I910" s="51" t="n"/>
      <c r="J910" s="54">
        <f>IF(OR(B910="",F910="",NOT(AND(G910&lt;&gt;"✅ Выполнена",G910&lt;&gt;"❌ Отменена"))),"",IF(F910&lt;TODAY(),"❗ просрочено "&amp;(TODAY()-F910)&amp;" дн.",IF(F910=TODAY(),"🔥 сегодня",IF(F910-TODAY()&lt;=3,"⏳ через "&amp;(F910-TODAY())&amp;" дн.",""))))</f>
        <v/>
      </c>
      <c r="K910" s="54">
        <f>IF(B910="","",IF(G910="✅ Выполнена","✔ ",IF(G910="❌ Отменена","✖ ",IF(AND(F910&lt;&gt;"",F910&lt;TODAY()),"❗ ","☐ ")))&amp;B910&amp;IF(E910="🔥 Высокий"," 🔥",""))</f>
        <v/>
      </c>
      <c r="L910" s="54">
        <f>IF(OR(B910="",F910="",G910="❌ Отменена"),"",F910&amp;"#"&amp;COUNTIFS($F$5:F910,F910,$B$5:B910,"?*",$G$5:G910,"&lt;&gt;❌ Отменена"))</f>
        <v/>
      </c>
      <c r="M910" s="54">
        <f>IF(AND(B910&lt;&gt;"",F910&lt;&gt;"",F910&lt;TODAY(),AND(G910&lt;&gt;"✅ Выполнена",G910&lt;&gt;"❌ Отменена")),MAX($M$4:M909)+1,"")</f>
        <v/>
      </c>
    </row>
    <row r="911">
      <c r="A911" s="49">
        <f>IF(B911="","",COUNTA($B$5:B911))</f>
        <v/>
      </c>
      <c r="B911" s="50" t="n"/>
      <c r="C911" s="51" t="n"/>
      <c r="D911" s="51" t="n"/>
      <c r="E911" s="52" t="n"/>
      <c r="F911" s="53" t="n"/>
      <c r="G911" s="51" t="n"/>
      <c r="H911" s="53" t="n"/>
      <c r="I911" s="51" t="n"/>
      <c r="J911" s="54">
        <f>IF(OR(B911="",F911="",NOT(AND(G911&lt;&gt;"✅ Выполнена",G911&lt;&gt;"❌ Отменена"))),"",IF(F911&lt;TODAY(),"❗ просрочено "&amp;(TODAY()-F911)&amp;" дн.",IF(F911=TODAY(),"🔥 сегодня",IF(F911-TODAY()&lt;=3,"⏳ через "&amp;(F911-TODAY())&amp;" дн.",""))))</f>
        <v/>
      </c>
      <c r="K911" s="54">
        <f>IF(B911="","",IF(G911="✅ Выполнена","✔ ",IF(G911="❌ Отменена","✖ ",IF(AND(F911&lt;&gt;"",F911&lt;TODAY()),"❗ ","☐ ")))&amp;B911&amp;IF(E911="🔥 Высокий"," 🔥",""))</f>
        <v/>
      </c>
      <c r="L911" s="54">
        <f>IF(OR(B911="",F911="",G911="❌ Отменена"),"",F911&amp;"#"&amp;COUNTIFS($F$5:F911,F911,$B$5:B911,"?*",$G$5:G911,"&lt;&gt;❌ Отменена"))</f>
        <v/>
      </c>
      <c r="M911" s="54">
        <f>IF(AND(B911&lt;&gt;"",F911&lt;&gt;"",F911&lt;TODAY(),AND(G911&lt;&gt;"✅ Выполнена",G911&lt;&gt;"❌ Отменена")),MAX($M$4:M910)+1,"")</f>
        <v/>
      </c>
    </row>
    <row r="912">
      <c r="A912" s="49">
        <f>IF(B912="","",COUNTA($B$5:B912))</f>
        <v/>
      </c>
      <c r="B912" s="50" t="n"/>
      <c r="C912" s="51" t="n"/>
      <c r="D912" s="51" t="n"/>
      <c r="E912" s="52" t="n"/>
      <c r="F912" s="53" t="n"/>
      <c r="G912" s="51" t="n"/>
      <c r="H912" s="53" t="n"/>
      <c r="I912" s="51" t="n"/>
      <c r="J912" s="54">
        <f>IF(OR(B912="",F912="",NOT(AND(G912&lt;&gt;"✅ Выполнена",G912&lt;&gt;"❌ Отменена"))),"",IF(F912&lt;TODAY(),"❗ просрочено "&amp;(TODAY()-F912)&amp;" дн.",IF(F912=TODAY(),"🔥 сегодня",IF(F912-TODAY()&lt;=3,"⏳ через "&amp;(F912-TODAY())&amp;" дн.",""))))</f>
        <v/>
      </c>
      <c r="K912" s="54">
        <f>IF(B912="","",IF(G912="✅ Выполнена","✔ ",IF(G912="❌ Отменена","✖ ",IF(AND(F912&lt;&gt;"",F912&lt;TODAY()),"❗ ","☐ ")))&amp;B912&amp;IF(E912="🔥 Высокий"," 🔥",""))</f>
        <v/>
      </c>
      <c r="L912" s="54">
        <f>IF(OR(B912="",F912="",G912="❌ Отменена"),"",F912&amp;"#"&amp;COUNTIFS($F$5:F912,F912,$B$5:B912,"?*",$G$5:G912,"&lt;&gt;❌ Отменена"))</f>
        <v/>
      </c>
      <c r="M912" s="54">
        <f>IF(AND(B912&lt;&gt;"",F912&lt;&gt;"",F912&lt;TODAY(),AND(G912&lt;&gt;"✅ Выполнена",G912&lt;&gt;"❌ Отменена")),MAX($M$4:M911)+1,"")</f>
        <v/>
      </c>
    </row>
    <row r="913">
      <c r="A913" s="49">
        <f>IF(B913="","",COUNTA($B$5:B913))</f>
        <v/>
      </c>
      <c r="B913" s="50" t="n"/>
      <c r="C913" s="51" t="n"/>
      <c r="D913" s="51" t="n"/>
      <c r="E913" s="52" t="n"/>
      <c r="F913" s="53" t="n"/>
      <c r="G913" s="51" t="n"/>
      <c r="H913" s="53" t="n"/>
      <c r="I913" s="51" t="n"/>
      <c r="J913" s="54">
        <f>IF(OR(B913="",F913="",NOT(AND(G913&lt;&gt;"✅ Выполнена",G913&lt;&gt;"❌ Отменена"))),"",IF(F913&lt;TODAY(),"❗ просрочено "&amp;(TODAY()-F913)&amp;" дн.",IF(F913=TODAY(),"🔥 сегодня",IF(F913-TODAY()&lt;=3,"⏳ через "&amp;(F913-TODAY())&amp;" дн.",""))))</f>
        <v/>
      </c>
      <c r="K913" s="54">
        <f>IF(B913="","",IF(G913="✅ Выполнена","✔ ",IF(G913="❌ Отменена","✖ ",IF(AND(F913&lt;&gt;"",F913&lt;TODAY()),"❗ ","☐ ")))&amp;B913&amp;IF(E913="🔥 Высокий"," 🔥",""))</f>
        <v/>
      </c>
      <c r="L913" s="54">
        <f>IF(OR(B913="",F913="",G913="❌ Отменена"),"",F913&amp;"#"&amp;COUNTIFS($F$5:F913,F913,$B$5:B913,"?*",$G$5:G913,"&lt;&gt;❌ Отменена"))</f>
        <v/>
      </c>
      <c r="M913" s="54">
        <f>IF(AND(B913&lt;&gt;"",F913&lt;&gt;"",F913&lt;TODAY(),AND(G913&lt;&gt;"✅ Выполнена",G913&lt;&gt;"❌ Отменена")),MAX($M$4:M912)+1,"")</f>
        <v/>
      </c>
    </row>
    <row r="914">
      <c r="A914" s="49">
        <f>IF(B914="","",COUNTA($B$5:B914))</f>
        <v/>
      </c>
      <c r="B914" s="50" t="n"/>
      <c r="C914" s="51" t="n"/>
      <c r="D914" s="51" t="n"/>
      <c r="E914" s="52" t="n"/>
      <c r="F914" s="53" t="n"/>
      <c r="G914" s="51" t="n"/>
      <c r="H914" s="53" t="n"/>
      <c r="I914" s="51" t="n"/>
      <c r="J914" s="54">
        <f>IF(OR(B914="",F914="",NOT(AND(G914&lt;&gt;"✅ Выполнена",G914&lt;&gt;"❌ Отменена"))),"",IF(F914&lt;TODAY(),"❗ просрочено "&amp;(TODAY()-F914)&amp;" дн.",IF(F914=TODAY(),"🔥 сегодня",IF(F914-TODAY()&lt;=3,"⏳ через "&amp;(F914-TODAY())&amp;" дн.",""))))</f>
        <v/>
      </c>
      <c r="K914" s="54">
        <f>IF(B914="","",IF(G914="✅ Выполнена","✔ ",IF(G914="❌ Отменена","✖ ",IF(AND(F914&lt;&gt;"",F914&lt;TODAY()),"❗ ","☐ ")))&amp;B914&amp;IF(E914="🔥 Высокий"," 🔥",""))</f>
        <v/>
      </c>
      <c r="L914" s="54">
        <f>IF(OR(B914="",F914="",G914="❌ Отменена"),"",F914&amp;"#"&amp;COUNTIFS($F$5:F914,F914,$B$5:B914,"?*",$G$5:G914,"&lt;&gt;❌ Отменена"))</f>
        <v/>
      </c>
      <c r="M914" s="54">
        <f>IF(AND(B914&lt;&gt;"",F914&lt;&gt;"",F914&lt;TODAY(),AND(G914&lt;&gt;"✅ Выполнена",G914&lt;&gt;"❌ Отменена")),MAX($M$4:M913)+1,"")</f>
        <v/>
      </c>
    </row>
    <row r="915">
      <c r="A915" s="49">
        <f>IF(B915="","",COUNTA($B$5:B915))</f>
        <v/>
      </c>
      <c r="B915" s="50" t="n"/>
      <c r="C915" s="51" t="n"/>
      <c r="D915" s="51" t="n"/>
      <c r="E915" s="52" t="n"/>
      <c r="F915" s="53" t="n"/>
      <c r="G915" s="51" t="n"/>
      <c r="H915" s="53" t="n"/>
      <c r="I915" s="51" t="n"/>
      <c r="J915" s="54">
        <f>IF(OR(B915="",F915="",NOT(AND(G915&lt;&gt;"✅ Выполнена",G915&lt;&gt;"❌ Отменена"))),"",IF(F915&lt;TODAY(),"❗ просрочено "&amp;(TODAY()-F915)&amp;" дн.",IF(F915=TODAY(),"🔥 сегодня",IF(F915-TODAY()&lt;=3,"⏳ через "&amp;(F915-TODAY())&amp;" дн.",""))))</f>
        <v/>
      </c>
      <c r="K915" s="54">
        <f>IF(B915="","",IF(G915="✅ Выполнена","✔ ",IF(G915="❌ Отменена","✖ ",IF(AND(F915&lt;&gt;"",F915&lt;TODAY()),"❗ ","☐ ")))&amp;B915&amp;IF(E915="🔥 Высокий"," 🔥",""))</f>
        <v/>
      </c>
      <c r="L915" s="54">
        <f>IF(OR(B915="",F915="",G915="❌ Отменена"),"",F915&amp;"#"&amp;COUNTIFS($F$5:F915,F915,$B$5:B915,"?*",$G$5:G915,"&lt;&gt;❌ Отменена"))</f>
        <v/>
      </c>
      <c r="M915" s="54">
        <f>IF(AND(B915&lt;&gt;"",F915&lt;&gt;"",F915&lt;TODAY(),AND(G915&lt;&gt;"✅ Выполнена",G915&lt;&gt;"❌ Отменена")),MAX($M$4:M914)+1,"")</f>
        <v/>
      </c>
    </row>
    <row r="916">
      <c r="A916" s="49">
        <f>IF(B916="","",COUNTA($B$5:B916))</f>
        <v/>
      </c>
      <c r="B916" s="50" t="n"/>
      <c r="C916" s="51" t="n"/>
      <c r="D916" s="51" t="n"/>
      <c r="E916" s="52" t="n"/>
      <c r="F916" s="53" t="n"/>
      <c r="G916" s="51" t="n"/>
      <c r="H916" s="53" t="n"/>
      <c r="I916" s="51" t="n"/>
      <c r="J916" s="54">
        <f>IF(OR(B916="",F916="",NOT(AND(G916&lt;&gt;"✅ Выполнена",G916&lt;&gt;"❌ Отменена"))),"",IF(F916&lt;TODAY(),"❗ просрочено "&amp;(TODAY()-F916)&amp;" дн.",IF(F916=TODAY(),"🔥 сегодня",IF(F916-TODAY()&lt;=3,"⏳ через "&amp;(F916-TODAY())&amp;" дн.",""))))</f>
        <v/>
      </c>
      <c r="K916" s="54">
        <f>IF(B916="","",IF(G916="✅ Выполнена","✔ ",IF(G916="❌ Отменена","✖ ",IF(AND(F916&lt;&gt;"",F916&lt;TODAY()),"❗ ","☐ ")))&amp;B916&amp;IF(E916="🔥 Высокий"," 🔥",""))</f>
        <v/>
      </c>
      <c r="L916" s="54">
        <f>IF(OR(B916="",F916="",G916="❌ Отменена"),"",F916&amp;"#"&amp;COUNTIFS($F$5:F916,F916,$B$5:B916,"?*",$G$5:G916,"&lt;&gt;❌ Отменена"))</f>
        <v/>
      </c>
      <c r="M916" s="54">
        <f>IF(AND(B916&lt;&gt;"",F916&lt;&gt;"",F916&lt;TODAY(),AND(G916&lt;&gt;"✅ Выполнена",G916&lt;&gt;"❌ Отменена")),MAX($M$4:M915)+1,"")</f>
        <v/>
      </c>
    </row>
    <row r="917">
      <c r="A917" s="49">
        <f>IF(B917="","",COUNTA($B$5:B917))</f>
        <v/>
      </c>
      <c r="B917" s="50" t="n"/>
      <c r="C917" s="51" t="n"/>
      <c r="D917" s="51" t="n"/>
      <c r="E917" s="52" t="n"/>
      <c r="F917" s="53" t="n"/>
      <c r="G917" s="51" t="n"/>
      <c r="H917" s="53" t="n"/>
      <c r="I917" s="51" t="n"/>
      <c r="J917" s="54">
        <f>IF(OR(B917="",F917="",NOT(AND(G917&lt;&gt;"✅ Выполнена",G917&lt;&gt;"❌ Отменена"))),"",IF(F917&lt;TODAY(),"❗ просрочено "&amp;(TODAY()-F917)&amp;" дн.",IF(F917=TODAY(),"🔥 сегодня",IF(F917-TODAY()&lt;=3,"⏳ через "&amp;(F917-TODAY())&amp;" дн.",""))))</f>
        <v/>
      </c>
      <c r="K917" s="54">
        <f>IF(B917="","",IF(G917="✅ Выполнена","✔ ",IF(G917="❌ Отменена","✖ ",IF(AND(F917&lt;&gt;"",F917&lt;TODAY()),"❗ ","☐ ")))&amp;B917&amp;IF(E917="🔥 Высокий"," 🔥",""))</f>
        <v/>
      </c>
      <c r="L917" s="54">
        <f>IF(OR(B917="",F917="",G917="❌ Отменена"),"",F917&amp;"#"&amp;COUNTIFS($F$5:F917,F917,$B$5:B917,"?*",$G$5:G917,"&lt;&gt;❌ Отменена"))</f>
        <v/>
      </c>
      <c r="M917" s="54">
        <f>IF(AND(B917&lt;&gt;"",F917&lt;&gt;"",F917&lt;TODAY(),AND(G917&lt;&gt;"✅ Выполнена",G917&lt;&gt;"❌ Отменена")),MAX($M$4:M916)+1,"")</f>
        <v/>
      </c>
    </row>
    <row r="918">
      <c r="A918" s="49">
        <f>IF(B918="","",COUNTA($B$5:B918))</f>
        <v/>
      </c>
      <c r="B918" s="50" t="n"/>
      <c r="C918" s="51" t="n"/>
      <c r="D918" s="51" t="n"/>
      <c r="E918" s="52" t="n"/>
      <c r="F918" s="53" t="n"/>
      <c r="G918" s="51" t="n"/>
      <c r="H918" s="53" t="n"/>
      <c r="I918" s="51" t="n"/>
      <c r="J918" s="54">
        <f>IF(OR(B918="",F918="",NOT(AND(G918&lt;&gt;"✅ Выполнена",G918&lt;&gt;"❌ Отменена"))),"",IF(F918&lt;TODAY(),"❗ просрочено "&amp;(TODAY()-F918)&amp;" дн.",IF(F918=TODAY(),"🔥 сегодня",IF(F918-TODAY()&lt;=3,"⏳ через "&amp;(F918-TODAY())&amp;" дн.",""))))</f>
        <v/>
      </c>
      <c r="K918" s="54">
        <f>IF(B918="","",IF(G918="✅ Выполнена","✔ ",IF(G918="❌ Отменена","✖ ",IF(AND(F918&lt;&gt;"",F918&lt;TODAY()),"❗ ","☐ ")))&amp;B918&amp;IF(E918="🔥 Высокий"," 🔥",""))</f>
        <v/>
      </c>
      <c r="L918" s="54">
        <f>IF(OR(B918="",F918="",G918="❌ Отменена"),"",F918&amp;"#"&amp;COUNTIFS($F$5:F918,F918,$B$5:B918,"?*",$G$5:G918,"&lt;&gt;❌ Отменена"))</f>
        <v/>
      </c>
      <c r="M918" s="54">
        <f>IF(AND(B918&lt;&gt;"",F918&lt;&gt;"",F918&lt;TODAY(),AND(G918&lt;&gt;"✅ Выполнена",G918&lt;&gt;"❌ Отменена")),MAX($M$4:M917)+1,"")</f>
        <v/>
      </c>
    </row>
    <row r="919">
      <c r="A919" s="49">
        <f>IF(B919="","",COUNTA($B$5:B919))</f>
        <v/>
      </c>
      <c r="B919" s="50" t="n"/>
      <c r="C919" s="51" t="n"/>
      <c r="D919" s="51" t="n"/>
      <c r="E919" s="52" t="n"/>
      <c r="F919" s="53" t="n"/>
      <c r="G919" s="51" t="n"/>
      <c r="H919" s="53" t="n"/>
      <c r="I919" s="51" t="n"/>
      <c r="J919" s="54">
        <f>IF(OR(B919="",F919="",NOT(AND(G919&lt;&gt;"✅ Выполнена",G919&lt;&gt;"❌ Отменена"))),"",IF(F919&lt;TODAY(),"❗ просрочено "&amp;(TODAY()-F919)&amp;" дн.",IF(F919=TODAY(),"🔥 сегодня",IF(F919-TODAY()&lt;=3,"⏳ через "&amp;(F919-TODAY())&amp;" дн.",""))))</f>
        <v/>
      </c>
      <c r="K919" s="54">
        <f>IF(B919="","",IF(G919="✅ Выполнена","✔ ",IF(G919="❌ Отменена","✖ ",IF(AND(F919&lt;&gt;"",F919&lt;TODAY()),"❗ ","☐ ")))&amp;B919&amp;IF(E919="🔥 Высокий"," 🔥",""))</f>
        <v/>
      </c>
      <c r="L919" s="54">
        <f>IF(OR(B919="",F919="",G919="❌ Отменена"),"",F919&amp;"#"&amp;COUNTIFS($F$5:F919,F919,$B$5:B919,"?*",$G$5:G919,"&lt;&gt;❌ Отменена"))</f>
        <v/>
      </c>
      <c r="M919" s="54">
        <f>IF(AND(B919&lt;&gt;"",F919&lt;&gt;"",F919&lt;TODAY(),AND(G919&lt;&gt;"✅ Выполнена",G919&lt;&gt;"❌ Отменена")),MAX($M$4:M918)+1,"")</f>
        <v/>
      </c>
    </row>
    <row r="920">
      <c r="A920" s="49">
        <f>IF(B920="","",COUNTA($B$5:B920))</f>
        <v/>
      </c>
      <c r="B920" s="50" t="n"/>
      <c r="C920" s="51" t="n"/>
      <c r="D920" s="51" t="n"/>
      <c r="E920" s="52" t="n"/>
      <c r="F920" s="53" t="n"/>
      <c r="G920" s="51" t="n"/>
      <c r="H920" s="53" t="n"/>
      <c r="I920" s="51" t="n"/>
      <c r="J920" s="54">
        <f>IF(OR(B920="",F920="",NOT(AND(G920&lt;&gt;"✅ Выполнена",G920&lt;&gt;"❌ Отменена"))),"",IF(F920&lt;TODAY(),"❗ просрочено "&amp;(TODAY()-F920)&amp;" дн.",IF(F920=TODAY(),"🔥 сегодня",IF(F920-TODAY()&lt;=3,"⏳ через "&amp;(F920-TODAY())&amp;" дн.",""))))</f>
        <v/>
      </c>
      <c r="K920" s="54">
        <f>IF(B920="","",IF(G920="✅ Выполнена","✔ ",IF(G920="❌ Отменена","✖ ",IF(AND(F920&lt;&gt;"",F920&lt;TODAY()),"❗ ","☐ ")))&amp;B920&amp;IF(E920="🔥 Высокий"," 🔥",""))</f>
        <v/>
      </c>
      <c r="L920" s="54">
        <f>IF(OR(B920="",F920="",G920="❌ Отменена"),"",F920&amp;"#"&amp;COUNTIFS($F$5:F920,F920,$B$5:B920,"?*",$G$5:G920,"&lt;&gt;❌ Отменена"))</f>
        <v/>
      </c>
      <c r="M920" s="54">
        <f>IF(AND(B920&lt;&gt;"",F920&lt;&gt;"",F920&lt;TODAY(),AND(G920&lt;&gt;"✅ Выполнена",G920&lt;&gt;"❌ Отменена")),MAX($M$4:M919)+1,"")</f>
        <v/>
      </c>
    </row>
    <row r="921">
      <c r="A921" s="49">
        <f>IF(B921="","",COUNTA($B$5:B921))</f>
        <v/>
      </c>
      <c r="B921" s="50" t="n"/>
      <c r="C921" s="51" t="n"/>
      <c r="D921" s="51" t="n"/>
      <c r="E921" s="52" t="n"/>
      <c r="F921" s="53" t="n"/>
      <c r="G921" s="51" t="n"/>
      <c r="H921" s="53" t="n"/>
      <c r="I921" s="51" t="n"/>
      <c r="J921" s="54">
        <f>IF(OR(B921="",F921="",NOT(AND(G921&lt;&gt;"✅ Выполнена",G921&lt;&gt;"❌ Отменена"))),"",IF(F921&lt;TODAY(),"❗ просрочено "&amp;(TODAY()-F921)&amp;" дн.",IF(F921=TODAY(),"🔥 сегодня",IF(F921-TODAY()&lt;=3,"⏳ через "&amp;(F921-TODAY())&amp;" дн.",""))))</f>
        <v/>
      </c>
      <c r="K921" s="54">
        <f>IF(B921="","",IF(G921="✅ Выполнена","✔ ",IF(G921="❌ Отменена","✖ ",IF(AND(F921&lt;&gt;"",F921&lt;TODAY()),"❗ ","☐ ")))&amp;B921&amp;IF(E921="🔥 Высокий"," 🔥",""))</f>
        <v/>
      </c>
      <c r="L921" s="54">
        <f>IF(OR(B921="",F921="",G921="❌ Отменена"),"",F921&amp;"#"&amp;COUNTIFS($F$5:F921,F921,$B$5:B921,"?*",$G$5:G921,"&lt;&gt;❌ Отменена"))</f>
        <v/>
      </c>
      <c r="M921" s="54">
        <f>IF(AND(B921&lt;&gt;"",F921&lt;&gt;"",F921&lt;TODAY(),AND(G921&lt;&gt;"✅ Выполнена",G921&lt;&gt;"❌ Отменена")),MAX($M$4:M920)+1,"")</f>
        <v/>
      </c>
    </row>
    <row r="922">
      <c r="A922" s="49">
        <f>IF(B922="","",COUNTA($B$5:B922))</f>
        <v/>
      </c>
      <c r="B922" s="50" t="n"/>
      <c r="C922" s="51" t="n"/>
      <c r="D922" s="51" t="n"/>
      <c r="E922" s="52" t="n"/>
      <c r="F922" s="53" t="n"/>
      <c r="G922" s="51" t="n"/>
      <c r="H922" s="53" t="n"/>
      <c r="I922" s="51" t="n"/>
      <c r="J922" s="54">
        <f>IF(OR(B922="",F922="",NOT(AND(G922&lt;&gt;"✅ Выполнена",G922&lt;&gt;"❌ Отменена"))),"",IF(F922&lt;TODAY(),"❗ просрочено "&amp;(TODAY()-F922)&amp;" дн.",IF(F922=TODAY(),"🔥 сегодня",IF(F922-TODAY()&lt;=3,"⏳ через "&amp;(F922-TODAY())&amp;" дн.",""))))</f>
        <v/>
      </c>
      <c r="K922" s="54">
        <f>IF(B922="","",IF(G922="✅ Выполнена","✔ ",IF(G922="❌ Отменена","✖ ",IF(AND(F922&lt;&gt;"",F922&lt;TODAY()),"❗ ","☐ ")))&amp;B922&amp;IF(E922="🔥 Высокий"," 🔥",""))</f>
        <v/>
      </c>
      <c r="L922" s="54">
        <f>IF(OR(B922="",F922="",G922="❌ Отменена"),"",F922&amp;"#"&amp;COUNTIFS($F$5:F922,F922,$B$5:B922,"?*",$G$5:G922,"&lt;&gt;❌ Отменена"))</f>
        <v/>
      </c>
      <c r="M922" s="54">
        <f>IF(AND(B922&lt;&gt;"",F922&lt;&gt;"",F922&lt;TODAY(),AND(G922&lt;&gt;"✅ Выполнена",G922&lt;&gt;"❌ Отменена")),MAX($M$4:M921)+1,"")</f>
        <v/>
      </c>
    </row>
    <row r="923">
      <c r="A923" s="49">
        <f>IF(B923="","",COUNTA($B$5:B923))</f>
        <v/>
      </c>
      <c r="B923" s="50" t="n"/>
      <c r="C923" s="51" t="n"/>
      <c r="D923" s="51" t="n"/>
      <c r="E923" s="52" t="n"/>
      <c r="F923" s="53" t="n"/>
      <c r="G923" s="51" t="n"/>
      <c r="H923" s="53" t="n"/>
      <c r="I923" s="51" t="n"/>
      <c r="J923" s="54">
        <f>IF(OR(B923="",F923="",NOT(AND(G923&lt;&gt;"✅ Выполнена",G923&lt;&gt;"❌ Отменена"))),"",IF(F923&lt;TODAY(),"❗ просрочено "&amp;(TODAY()-F923)&amp;" дн.",IF(F923=TODAY(),"🔥 сегодня",IF(F923-TODAY()&lt;=3,"⏳ через "&amp;(F923-TODAY())&amp;" дн.",""))))</f>
        <v/>
      </c>
      <c r="K923" s="54">
        <f>IF(B923="","",IF(G923="✅ Выполнена","✔ ",IF(G923="❌ Отменена","✖ ",IF(AND(F923&lt;&gt;"",F923&lt;TODAY()),"❗ ","☐ ")))&amp;B923&amp;IF(E923="🔥 Высокий"," 🔥",""))</f>
        <v/>
      </c>
      <c r="L923" s="54">
        <f>IF(OR(B923="",F923="",G923="❌ Отменена"),"",F923&amp;"#"&amp;COUNTIFS($F$5:F923,F923,$B$5:B923,"?*",$G$5:G923,"&lt;&gt;❌ Отменена"))</f>
        <v/>
      </c>
      <c r="M923" s="54">
        <f>IF(AND(B923&lt;&gt;"",F923&lt;&gt;"",F923&lt;TODAY(),AND(G923&lt;&gt;"✅ Выполнена",G923&lt;&gt;"❌ Отменена")),MAX($M$4:M922)+1,"")</f>
        <v/>
      </c>
    </row>
    <row r="924">
      <c r="A924" s="49">
        <f>IF(B924="","",COUNTA($B$5:B924))</f>
        <v/>
      </c>
      <c r="B924" s="50" t="n"/>
      <c r="C924" s="51" t="n"/>
      <c r="D924" s="51" t="n"/>
      <c r="E924" s="52" t="n"/>
      <c r="F924" s="53" t="n"/>
      <c r="G924" s="51" t="n"/>
      <c r="H924" s="53" t="n"/>
      <c r="I924" s="51" t="n"/>
      <c r="J924" s="54">
        <f>IF(OR(B924="",F924="",NOT(AND(G924&lt;&gt;"✅ Выполнена",G924&lt;&gt;"❌ Отменена"))),"",IF(F924&lt;TODAY(),"❗ просрочено "&amp;(TODAY()-F924)&amp;" дн.",IF(F924=TODAY(),"🔥 сегодня",IF(F924-TODAY()&lt;=3,"⏳ через "&amp;(F924-TODAY())&amp;" дн.",""))))</f>
        <v/>
      </c>
      <c r="K924" s="54">
        <f>IF(B924="","",IF(G924="✅ Выполнена","✔ ",IF(G924="❌ Отменена","✖ ",IF(AND(F924&lt;&gt;"",F924&lt;TODAY()),"❗ ","☐ ")))&amp;B924&amp;IF(E924="🔥 Высокий"," 🔥",""))</f>
        <v/>
      </c>
      <c r="L924" s="54">
        <f>IF(OR(B924="",F924="",G924="❌ Отменена"),"",F924&amp;"#"&amp;COUNTIFS($F$5:F924,F924,$B$5:B924,"?*",$G$5:G924,"&lt;&gt;❌ Отменена"))</f>
        <v/>
      </c>
      <c r="M924" s="54">
        <f>IF(AND(B924&lt;&gt;"",F924&lt;&gt;"",F924&lt;TODAY(),AND(G924&lt;&gt;"✅ Выполнена",G924&lt;&gt;"❌ Отменена")),MAX($M$4:M923)+1,"")</f>
        <v/>
      </c>
    </row>
    <row r="925">
      <c r="A925" s="49">
        <f>IF(B925="","",COUNTA($B$5:B925))</f>
        <v/>
      </c>
      <c r="B925" s="50" t="n"/>
      <c r="C925" s="51" t="n"/>
      <c r="D925" s="51" t="n"/>
      <c r="E925" s="52" t="n"/>
      <c r="F925" s="53" t="n"/>
      <c r="G925" s="51" t="n"/>
      <c r="H925" s="53" t="n"/>
      <c r="I925" s="51" t="n"/>
      <c r="J925" s="54">
        <f>IF(OR(B925="",F925="",NOT(AND(G925&lt;&gt;"✅ Выполнена",G925&lt;&gt;"❌ Отменена"))),"",IF(F925&lt;TODAY(),"❗ просрочено "&amp;(TODAY()-F925)&amp;" дн.",IF(F925=TODAY(),"🔥 сегодня",IF(F925-TODAY()&lt;=3,"⏳ через "&amp;(F925-TODAY())&amp;" дн.",""))))</f>
        <v/>
      </c>
      <c r="K925" s="54">
        <f>IF(B925="","",IF(G925="✅ Выполнена","✔ ",IF(G925="❌ Отменена","✖ ",IF(AND(F925&lt;&gt;"",F925&lt;TODAY()),"❗ ","☐ ")))&amp;B925&amp;IF(E925="🔥 Высокий"," 🔥",""))</f>
        <v/>
      </c>
      <c r="L925" s="54">
        <f>IF(OR(B925="",F925="",G925="❌ Отменена"),"",F925&amp;"#"&amp;COUNTIFS($F$5:F925,F925,$B$5:B925,"?*",$G$5:G925,"&lt;&gt;❌ Отменена"))</f>
        <v/>
      </c>
      <c r="M925" s="54">
        <f>IF(AND(B925&lt;&gt;"",F925&lt;&gt;"",F925&lt;TODAY(),AND(G925&lt;&gt;"✅ Выполнена",G925&lt;&gt;"❌ Отменена")),MAX($M$4:M924)+1,"")</f>
        <v/>
      </c>
    </row>
    <row r="926">
      <c r="A926" s="49">
        <f>IF(B926="","",COUNTA($B$5:B926))</f>
        <v/>
      </c>
      <c r="B926" s="50" t="n"/>
      <c r="C926" s="51" t="n"/>
      <c r="D926" s="51" t="n"/>
      <c r="E926" s="52" t="n"/>
      <c r="F926" s="53" t="n"/>
      <c r="G926" s="51" t="n"/>
      <c r="H926" s="53" t="n"/>
      <c r="I926" s="51" t="n"/>
      <c r="J926" s="54">
        <f>IF(OR(B926="",F926="",NOT(AND(G926&lt;&gt;"✅ Выполнена",G926&lt;&gt;"❌ Отменена"))),"",IF(F926&lt;TODAY(),"❗ просрочено "&amp;(TODAY()-F926)&amp;" дн.",IF(F926=TODAY(),"🔥 сегодня",IF(F926-TODAY()&lt;=3,"⏳ через "&amp;(F926-TODAY())&amp;" дн.",""))))</f>
        <v/>
      </c>
      <c r="K926" s="54">
        <f>IF(B926="","",IF(G926="✅ Выполнена","✔ ",IF(G926="❌ Отменена","✖ ",IF(AND(F926&lt;&gt;"",F926&lt;TODAY()),"❗ ","☐ ")))&amp;B926&amp;IF(E926="🔥 Высокий"," 🔥",""))</f>
        <v/>
      </c>
      <c r="L926" s="54">
        <f>IF(OR(B926="",F926="",G926="❌ Отменена"),"",F926&amp;"#"&amp;COUNTIFS($F$5:F926,F926,$B$5:B926,"?*",$G$5:G926,"&lt;&gt;❌ Отменена"))</f>
        <v/>
      </c>
      <c r="M926" s="54">
        <f>IF(AND(B926&lt;&gt;"",F926&lt;&gt;"",F926&lt;TODAY(),AND(G926&lt;&gt;"✅ Выполнена",G926&lt;&gt;"❌ Отменена")),MAX($M$4:M925)+1,"")</f>
        <v/>
      </c>
    </row>
    <row r="927">
      <c r="A927" s="49">
        <f>IF(B927="","",COUNTA($B$5:B927))</f>
        <v/>
      </c>
      <c r="B927" s="50" t="n"/>
      <c r="C927" s="51" t="n"/>
      <c r="D927" s="51" t="n"/>
      <c r="E927" s="52" t="n"/>
      <c r="F927" s="53" t="n"/>
      <c r="G927" s="51" t="n"/>
      <c r="H927" s="53" t="n"/>
      <c r="I927" s="51" t="n"/>
      <c r="J927" s="54">
        <f>IF(OR(B927="",F927="",NOT(AND(G927&lt;&gt;"✅ Выполнена",G927&lt;&gt;"❌ Отменена"))),"",IF(F927&lt;TODAY(),"❗ просрочено "&amp;(TODAY()-F927)&amp;" дн.",IF(F927=TODAY(),"🔥 сегодня",IF(F927-TODAY()&lt;=3,"⏳ через "&amp;(F927-TODAY())&amp;" дн.",""))))</f>
        <v/>
      </c>
      <c r="K927" s="54">
        <f>IF(B927="","",IF(G927="✅ Выполнена","✔ ",IF(G927="❌ Отменена","✖ ",IF(AND(F927&lt;&gt;"",F927&lt;TODAY()),"❗ ","☐ ")))&amp;B927&amp;IF(E927="🔥 Высокий"," 🔥",""))</f>
        <v/>
      </c>
      <c r="L927" s="54">
        <f>IF(OR(B927="",F927="",G927="❌ Отменена"),"",F927&amp;"#"&amp;COUNTIFS($F$5:F927,F927,$B$5:B927,"?*",$G$5:G927,"&lt;&gt;❌ Отменена"))</f>
        <v/>
      </c>
      <c r="M927" s="54">
        <f>IF(AND(B927&lt;&gt;"",F927&lt;&gt;"",F927&lt;TODAY(),AND(G927&lt;&gt;"✅ Выполнена",G927&lt;&gt;"❌ Отменена")),MAX($M$4:M926)+1,"")</f>
        <v/>
      </c>
    </row>
    <row r="928">
      <c r="A928" s="49">
        <f>IF(B928="","",COUNTA($B$5:B928))</f>
        <v/>
      </c>
      <c r="B928" s="50" t="n"/>
      <c r="C928" s="51" t="n"/>
      <c r="D928" s="51" t="n"/>
      <c r="E928" s="52" t="n"/>
      <c r="F928" s="53" t="n"/>
      <c r="G928" s="51" t="n"/>
      <c r="H928" s="53" t="n"/>
      <c r="I928" s="51" t="n"/>
      <c r="J928" s="54">
        <f>IF(OR(B928="",F928="",NOT(AND(G928&lt;&gt;"✅ Выполнена",G928&lt;&gt;"❌ Отменена"))),"",IF(F928&lt;TODAY(),"❗ просрочено "&amp;(TODAY()-F928)&amp;" дн.",IF(F928=TODAY(),"🔥 сегодня",IF(F928-TODAY()&lt;=3,"⏳ через "&amp;(F928-TODAY())&amp;" дн.",""))))</f>
        <v/>
      </c>
      <c r="K928" s="54">
        <f>IF(B928="","",IF(G928="✅ Выполнена","✔ ",IF(G928="❌ Отменена","✖ ",IF(AND(F928&lt;&gt;"",F928&lt;TODAY()),"❗ ","☐ ")))&amp;B928&amp;IF(E928="🔥 Высокий"," 🔥",""))</f>
        <v/>
      </c>
      <c r="L928" s="54">
        <f>IF(OR(B928="",F928="",G928="❌ Отменена"),"",F928&amp;"#"&amp;COUNTIFS($F$5:F928,F928,$B$5:B928,"?*",$G$5:G928,"&lt;&gt;❌ Отменена"))</f>
        <v/>
      </c>
      <c r="M928" s="54">
        <f>IF(AND(B928&lt;&gt;"",F928&lt;&gt;"",F928&lt;TODAY(),AND(G928&lt;&gt;"✅ Выполнена",G928&lt;&gt;"❌ Отменена")),MAX($M$4:M927)+1,"")</f>
        <v/>
      </c>
    </row>
    <row r="929">
      <c r="A929" s="49">
        <f>IF(B929="","",COUNTA($B$5:B929))</f>
        <v/>
      </c>
      <c r="B929" s="50" t="n"/>
      <c r="C929" s="51" t="n"/>
      <c r="D929" s="51" t="n"/>
      <c r="E929" s="52" t="n"/>
      <c r="F929" s="53" t="n"/>
      <c r="G929" s="51" t="n"/>
      <c r="H929" s="53" t="n"/>
      <c r="I929" s="51" t="n"/>
      <c r="J929" s="54">
        <f>IF(OR(B929="",F929="",NOT(AND(G929&lt;&gt;"✅ Выполнена",G929&lt;&gt;"❌ Отменена"))),"",IF(F929&lt;TODAY(),"❗ просрочено "&amp;(TODAY()-F929)&amp;" дн.",IF(F929=TODAY(),"🔥 сегодня",IF(F929-TODAY()&lt;=3,"⏳ через "&amp;(F929-TODAY())&amp;" дн.",""))))</f>
        <v/>
      </c>
      <c r="K929" s="54">
        <f>IF(B929="","",IF(G929="✅ Выполнена","✔ ",IF(G929="❌ Отменена","✖ ",IF(AND(F929&lt;&gt;"",F929&lt;TODAY()),"❗ ","☐ ")))&amp;B929&amp;IF(E929="🔥 Высокий"," 🔥",""))</f>
        <v/>
      </c>
      <c r="L929" s="54">
        <f>IF(OR(B929="",F929="",G929="❌ Отменена"),"",F929&amp;"#"&amp;COUNTIFS($F$5:F929,F929,$B$5:B929,"?*",$G$5:G929,"&lt;&gt;❌ Отменена"))</f>
        <v/>
      </c>
      <c r="M929" s="54">
        <f>IF(AND(B929&lt;&gt;"",F929&lt;&gt;"",F929&lt;TODAY(),AND(G929&lt;&gt;"✅ Выполнена",G929&lt;&gt;"❌ Отменена")),MAX($M$4:M928)+1,"")</f>
        <v/>
      </c>
    </row>
    <row r="930">
      <c r="A930" s="49">
        <f>IF(B930="","",COUNTA($B$5:B930))</f>
        <v/>
      </c>
      <c r="B930" s="50" t="n"/>
      <c r="C930" s="51" t="n"/>
      <c r="D930" s="51" t="n"/>
      <c r="E930" s="52" t="n"/>
      <c r="F930" s="53" t="n"/>
      <c r="G930" s="51" t="n"/>
      <c r="H930" s="53" t="n"/>
      <c r="I930" s="51" t="n"/>
      <c r="J930" s="54">
        <f>IF(OR(B930="",F930="",NOT(AND(G930&lt;&gt;"✅ Выполнена",G930&lt;&gt;"❌ Отменена"))),"",IF(F930&lt;TODAY(),"❗ просрочено "&amp;(TODAY()-F930)&amp;" дн.",IF(F930=TODAY(),"🔥 сегодня",IF(F930-TODAY()&lt;=3,"⏳ через "&amp;(F930-TODAY())&amp;" дн.",""))))</f>
        <v/>
      </c>
      <c r="K930" s="54">
        <f>IF(B930="","",IF(G930="✅ Выполнена","✔ ",IF(G930="❌ Отменена","✖ ",IF(AND(F930&lt;&gt;"",F930&lt;TODAY()),"❗ ","☐ ")))&amp;B930&amp;IF(E930="🔥 Высокий"," 🔥",""))</f>
        <v/>
      </c>
      <c r="L930" s="54">
        <f>IF(OR(B930="",F930="",G930="❌ Отменена"),"",F930&amp;"#"&amp;COUNTIFS($F$5:F930,F930,$B$5:B930,"?*",$G$5:G930,"&lt;&gt;❌ Отменена"))</f>
        <v/>
      </c>
      <c r="M930" s="54">
        <f>IF(AND(B930&lt;&gt;"",F930&lt;&gt;"",F930&lt;TODAY(),AND(G930&lt;&gt;"✅ Выполнена",G930&lt;&gt;"❌ Отменена")),MAX($M$4:M929)+1,"")</f>
        <v/>
      </c>
    </row>
    <row r="931">
      <c r="A931" s="49">
        <f>IF(B931="","",COUNTA($B$5:B931))</f>
        <v/>
      </c>
      <c r="B931" s="50" t="n"/>
      <c r="C931" s="51" t="n"/>
      <c r="D931" s="51" t="n"/>
      <c r="E931" s="52" t="n"/>
      <c r="F931" s="53" t="n"/>
      <c r="G931" s="51" t="n"/>
      <c r="H931" s="53" t="n"/>
      <c r="I931" s="51" t="n"/>
      <c r="J931" s="54">
        <f>IF(OR(B931="",F931="",NOT(AND(G931&lt;&gt;"✅ Выполнена",G931&lt;&gt;"❌ Отменена"))),"",IF(F931&lt;TODAY(),"❗ просрочено "&amp;(TODAY()-F931)&amp;" дн.",IF(F931=TODAY(),"🔥 сегодня",IF(F931-TODAY()&lt;=3,"⏳ через "&amp;(F931-TODAY())&amp;" дн.",""))))</f>
        <v/>
      </c>
      <c r="K931" s="54">
        <f>IF(B931="","",IF(G931="✅ Выполнена","✔ ",IF(G931="❌ Отменена","✖ ",IF(AND(F931&lt;&gt;"",F931&lt;TODAY()),"❗ ","☐ ")))&amp;B931&amp;IF(E931="🔥 Высокий"," 🔥",""))</f>
        <v/>
      </c>
      <c r="L931" s="54">
        <f>IF(OR(B931="",F931="",G931="❌ Отменена"),"",F931&amp;"#"&amp;COUNTIFS($F$5:F931,F931,$B$5:B931,"?*",$G$5:G931,"&lt;&gt;❌ Отменена"))</f>
        <v/>
      </c>
      <c r="M931" s="54">
        <f>IF(AND(B931&lt;&gt;"",F931&lt;&gt;"",F931&lt;TODAY(),AND(G931&lt;&gt;"✅ Выполнена",G931&lt;&gt;"❌ Отменена")),MAX($M$4:M930)+1,"")</f>
        <v/>
      </c>
    </row>
    <row r="932">
      <c r="A932" s="49">
        <f>IF(B932="","",COUNTA($B$5:B932))</f>
        <v/>
      </c>
      <c r="B932" s="50" t="n"/>
      <c r="C932" s="51" t="n"/>
      <c r="D932" s="51" t="n"/>
      <c r="E932" s="52" t="n"/>
      <c r="F932" s="53" t="n"/>
      <c r="G932" s="51" t="n"/>
      <c r="H932" s="53" t="n"/>
      <c r="I932" s="51" t="n"/>
      <c r="J932" s="54">
        <f>IF(OR(B932="",F932="",NOT(AND(G932&lt;&gt;"✅ Выполнена",G932&lt;&gt;"❌ Отменена"))),"",IF(F932&lt;TODAY(),"❗ просрочено "&amp;(TODAY()-F932)&amp;" дн.",IF(F932=TODAY(),"🔥 сегодня",IF(F932-TODAY()&lt;=3,"⏳ через "&amp;(F932-TODAY())&amp;" дн.",""))))</f>
        <v/>
      </c>
      <c r="K932" s="54">
        <f>IF(B932="","",IF(G932="✅ Выполнена","✔ ",IF(G932="❌ Отменена","✖ ",IF(AND(F932&lt;&gt;"",F932&lt;TODAY()),"❗ ","☐ ")))&amp;B932&amp;IF(E932="🔥 Высокий"," 🔥",""))</f>
        <v/>
      </c>
      <c r="L932" s="54">
        <f>IF(OR(B932="",F932="",G932="❌ Отменена"),"",F932&amp;"#"&amp;COUNTIFS($F$5:F932,F932,$B$5:B932,"?*",$G$5:G932,"&lt;&gt;❌ Отменена"))</f>
        <v/>
      </c>
      <c r="M932" s="54">
        <f>IF(AND(B932&lt;&gt;"",F932&lt;&gt;"",F932&lt;TODAY(),AND(G932&lt;&gt;"✅ Выполнена",G932&lt;&gt;"❌ Отменена")),MAX($M$4:M931)+1,"")</f>
        <v/>
      </c>
    </row>
    <row r="933">
      <c r="A933" s="49">
        <f>IF(B933="","",COUNTA($B$5:B933))</f>
        <v/>
      </c>
      <c r="B933" s="50" t="n"/>
      <c r="C933" s="51" t="n"/>
      <c r="D933" s="51" t="n"/>
      <c r="E933" s="52" t="n"/>
      <c r="F933" s="53" t="n"/>
      <c r="G933" s="51" t="n"/>
      <c r="H933" s="53" t="n"/>
      <c r="I933" s="51" t="n"/>
      <c r="J933" s="54">
        <f>IF(OR(B933="",F933="",NOT(AND(G933&lt;&gt;"✅ Выполнена",G933&lt;&gt;"❌ Отменена"))),"",IF(F933&lt;TODAY(),"❗ просрочено "&amp;(TODAY()-F933)&amp;" дн.",IF(F933=TODAY(),"🔥 сегодня",IF(F933-TODAY()&lt;=3,"⏳ через "&amp;(F933-TODAY())&amp;" дн.",""))))</f>
        <v/>
      </c>
      <c r="K933" s="54">
        <f>IF(B933="","",IF(G933="✅ Выполнена","✔ ",IF(G933="❌ Отменена","✖ ",IF(AND(F933&lt;&gt;"",F933&lt;TODAY()),"❗ ","☐ ")))&amp;B933&amp;IF(E933="🔥 Высокий"," 🔥",""))</f>
        <v/>
      </c>
      <c r="L933" s="54">
        <f>IF(OR(B933="",F933="",G933="❌ Отменена"),"",F933&amp;"#"&amp;COUNTIFS($F$5:F933,F933,$B$5:B933,"?*",$G$5:G933,"&lt;&gt;❌ Отменена"))</f>
        <v/>
      </c>
      <c r="M933" s="54">
        <f>IF(AND(B933&lt;&gt;"",F933&lt;&gt;"",F933&lt;TODAY(),AND(G933&lt;&gt;"✅ Выполнена",G933&lt;&gt;"❌ Отменена")),MAX($M$4:M932)+1,"")</f>
        <v/>
      </c>
    </row>
    <row r="934">
      <c r="A934" s="49">
        <f>IF(B934="","",COUNTA($B$5:B934))</f>
        <v/>
      </c>
      <c r="B934" s="50" t="n"/>
      <c r="C934" s="51" t="n"/>
      <c r="D934" s="51" t="n"/>
      <c r="E934" s="52" t="n"/>
      <c r="F934" s="53" t="n"/>
      <c r="G934" s="51" t="n"/>
      <c r="H934" s="53" t="n"/>
      <c r="I934" s="51" t="n"/>
      <c r="J934" s="54">
        <f>IF(OR(B934="",F934="",NOT(AND(G934&lt;&gt;"✅ Выполнена",G934&lt;&gt;"❌ Отменена"))),"",IF(F934&lt;TODAY(),"❗ просрочено "&amp;(TODAY()-F934)&amp;" дн.",IF(F934=TODAY(),"🔥 сегодня",IF(F934-TODAY()&lt;=3,"⏳ через "&amp;(F934-TODAY())&amp;" дн.",""))))</f>
        <v/>
      </c>
      <c r="K934" s="54">
        <f>IF(B934="","",IF(G934="✅ Выполнена","✔ ",IF(G934="❌ Отменена","✖ ",IF(AND(F934&lt;&gt;"",F934&lt;TODAY()),"❗ ","☐ ")))&amp;B934&amp;IF(E934="🔥 Высокий"," 🔥",""))</f>
        <v/>
      </c>
      <c r="L934" s="54">
        <f>IF(OR(B934="",F934="",G934="❌ Отменена"),"",F934&amp;"#"&amp;COUNTIFS($F$5:F934,F934,$B$5:B934,"?*",$G$5:G934,"&lt;&gt;❌ Отменена"))</f>
        <v/>
      </c>
      <c r="M934" s="54">
        <f>IF(AND(B934&lt;&gt;"",F934&lt;&gt;"",F934&lt;TODAY(),AND(G934&lt;&gt;"✅ Выполнена",G934&lt;&gt;"❌ Отменена")),MAX($M$4:M933)+1,"")</f>
        <v/>
      </c>
    </row>
    <row r="935">
      <c r="A935" s="49">
        <f>IF(B935="","",COUNTA($B$5:B935))</f>
        <v/>
      </c>
      <c r="B935" s="50" t="n"/>
      <c r="C935" s="51" t="n"/>
      <c r="D935" s="51" t="n"/>
      <c r="E935" s="52" t="n"/>
      <c r="F935" s="53" t="n"/>
      <c r="G935" s="51" t="n"/>
      <c r="H935" s="53" t="n"/>
      <c r="I935" s="51" t="n"/>
      <c r="J935" s="54">
        <f>IF(OR(B935="",F935="",NOT(AND(G935&lt;&gt;"✅ Выполнена",G935&lt;&gt;"❌ Отменена"))),"",IF(F935&lt;TODAY(),"❗ просрочено "&amp;(TODAY()-F935)&amp;" дн.",IF(F935=TODAY(),"🔥 сегодня",IF(F935-TODAY()&lt;=3,"⏳ через "&amp;(F935-TODAY())&amp;" дн.",""))))</f>
        <v/>
      </c>
      <c r="K935" s="54">
        <f>IF(B935="","",IF(G935="✅ Выполнена","✔ ",IF(G935="❌ Отменена","✖ ",IF(AND(F935&lt;&gt;"",F935&lt;TODAY()),"❗ ","☐ ")))&amp;B935&amp;IF(E935="🔥 Высокий"," 🔥",""))</f>
        <v/>
      </c>
      <c r="L935" s="54">
        <f>IF(OR(B935="",F935="",G935="❌ Отменена"),"",F935&amp;"#"&amp;COUNTIFS($F$5:F935,F935,$B$5:B935,"?*",$G$5:G935,"&lt;&gt;❌ Отменена"))</f>
        <v/>
      </c>
      <c r="M935" s="54">
        <f>IF(AND(B935&lt;&gt;"",F935&lt;&gt;"",F935&lt;TODAY(),AND(G935&lt;&gt;"✅ Выполнена",G935&lt;&gt;"❌ Отменена")),MAX($M$4:M934)+1,"")</f>
        <v/>
      </c>
    </row>
    <row r="936">
      <c r="A936" s="49">
        <f>IF(B936="","",COUNTA($B$5:B936))</f>
        <v/>
      </c>
      <c r="B936" s="50" t="n"/>
      <c r="C936" s="51" t="n"/>
      <c r="D936" s="51" t="n"/>
      <c r="E936" s="52" t="n"/>
      <c r="F936" s="53" t="n"/>
      <c r="G936" s="51" t="n"/>
      <c r="H936" s="53" t="n"/>
      <c r="I936" s="51" t="n"/>
      <c r="J936" s="54">
        <f>IF(OR(B936="",F936="",NOT(AND(G936&lt;&gt;"✅ Выполнена",G936&lt;&gt;"❌ Отменена"))),"",IF(F936&lt;TODAY(),"❗ просрочено "&amp;(TODAY()-F936)&amp;" дн.",IF(F936=TODAY(),"🔥 сегодня",IF(F936-TODAY()&lt;=3,"⏳ через "&amp;(F936-TODAY())&amp;" дн.",""))))</f>
        <v/>
      </c>
      <c r="K936" s="54">
        <f>IF(B936="","",IF(G936="✅ Выполнена","✔ ",IF(G936="❌ Отменена","✖ ",IF(AND(F936&lt;&gt;"",F936&lt;TODAY()),"❗ ","☐ ")))&amp;B936&amp;IF(E936="🔥 Высокий"," 🔥",""))</f>
        <v/>
      </c>
      <c r="L936" s="54">
        <f>IF(OR(B936="",F936="",G936="❌ Отменена"),"",F936&amp;"#"&amp;COUNTIFS($F$5:F936,F936,$B$5:B936,"?*",$G$5:G936,"&lt;&gt;❌ Отменена"))</f>
        <v/>
      </c>
      <c r="M936" s="54">
        <f>IF(AND(B936&lt;&gt;"",F936&lt;&gt;"",F936&lt;TODAY(),AND(G936&lt;&gt;"✅ Выполнена",G936&lt;&gt;"❌ Отменена")),MAX($M$4:M935)+1,"")</f>
        <v/>
      </c>
    </row>
    <row r="937">
      <c r="A937" s="49">
        <f>IF(B937="","",COUNTA($B$5:B937))</f>
        <v/>
      </c>
      <c r="B937" s="50" t="n"/>
      <c r="C937" s="51" t="n"/>
      <c r="D937" s="51" t="n"/>
      <c r="E937" s="52" t="n"/>
      <c r="F937" s="53" t="n"/>
      <c r="G937" s="51" t="n"/>
      <c r="H937" s="53" t="n"/>
      <c r="I937" s="51" t="n"/>
      <c r="J937" s="54">
        <f>IF(OR(B937="",F937="",NOT(AND(G937&lt;&gt;"✅ Выполнена",G937&lt;&gt;"❌ Отменена"))),"",IF(F937&lt;TODAY(),"❗ просрочено "&amp;(TODAY()-F937)&amp;" дн.",IF(F937=TODAY(),"🔥 сегодня",IF(F937-TODAY()&lt;=3,"⏳ через "&amp;(F937-TODAY())&amp;" дн.",""))))</f>
        <v/>
      </c>
      <c r="K937" s="54">
        <f>IF(B937="","",IF(G937="✅ Выполнена","✔ ",IF(G937="❌ Отменена","✖ ",IF(AND(F937&lt;&gt;"",F937&lt;TODAY()),"❗ ","☐ ")))&amp;B937&amp;IF(E937="🔥 Высокий"," 🔥",""))</f>
        <v/>
      </c>
      <c r="L937" s="54">
        <f>IF(OR(B937="",F937="",G937="❌ Отменена"),"",F937&amp;"#"&amp;COUNTIFS($F$5:F937,F937,$B$5:B937,"?*",$G$5:G937,"&lt;&gt;❌ Отменена"))</f>
        <v/>
      </c>
      <c r="M937" s="54">
        <f>IF(AND(B937&lt;&gt;"",F937&lt;&gt;"",F937&lt;TODAY(),AND(G937&lt;&gt;"✅ Выполнена",G937&lt;&gt;"❌ Отменена")),MAX($M$4:M936)+1,"")</f>
        <v/>
      </c>
    </row>
    <row r="938">
      <c r="A938" s="49">
        <f>IF(B938="","",COUNTA($B$5:B938))</f>
        <v/>
      </c>
      <c r="B938" s="50" t="n"/>
      <c r="C938" s="51" t="n"/>
      <c r="D938" s="51" t="n"/>
      <c r="E938" s="52" t="n"/>
      <c r="F938" s="53" t="n"/>
      <c r="G938" s="51" t="n"/>
      <c r="H938" s="53" t="n"/>
      <c r="I938" s="51" t="n"/>
      <c r="J938" s="54">
        <f>IF(OR(B938="",F938="",NOT(AND(G938&lt;&gt;"✅ Выполнена",G938&lt;&gt;"❌ Отменена"))),"",IF(F938&lt;TODAY(),"❗ просрочено "&amp;(TODAY()-F938)&amp;" дн.",IF(F938=TODAY(),"🔥 сегодня",IF(F938-TODAY()&lt;=3,"⏳ через "&amp;(F938-TODAY())&amp;" дн.",""))))</f>
        <v/>
      </c>
      <c r="K938" s="54">
        <f>IF(B938="","",IF(G938="✅ Выполнена","✔ ",IF(G938="❌ Отменена","✖ ",IF(AND(F938&lt;&gt;"",F938&lt;TODAY()),"❗ ","☐ ")))&amp;B938&amp;IF(E938="🔥 Высокий"," 🔥",""))</f>
        <v/>
      </c>
      <c r="L938" s="54">
        <f>IF(OR(B938="",F938="",G938="❌ Отменена"),"",F938&amp;"#"&amp;COUNTIFS($F$5:F938,F938,$B$5:B938,"?*",$G$5:G938,"&lt;&gt;❌ Отменена"))</f>
        <v/>
      </c>
      <c r="M938" s="54">
        <f>IF(AND(B938&lt;&gt;"",F938&lt;&gt;"",F938&lt;TODAY(),AND(G938&lt;&gt;"✅ Выполнена",G938&lt;&gt;"❌ Отменена")),MAX($M$4:M937)+1,"")</f>
        <v/>
      </c>
    </row>
    <row r="939">
      <c r="A939" s="49">
        <f>IF(B939="","",COUNTA($B$5:B939))</f>
        <v/>
      </c>
      <c r="B939" s="50" t="n"/>
      <c r="C939" s="51" t="n"/>
      <c r="D939" s="51" t="n"/>
      <c r="E939" s="52" t="n"/>
      <c r="F939" s="53" t="n"/>
      <c r="G939" s="51" t="n"/>
      <c r="H939" s="53" t="n"/>
      <c r="I939" s="51" t="n"/>
      <c r="J939" s="54">
        <f>IF(OR(B939="",F939="",NOT(AND(G939&lt;&gt;"✅ Выполнена",G939&lt;&gt;"❌ Отменена"))),"",IF(F939&lt;TODAY(),"❗ просрочено "&amp;(TODAY()-F939)&amp;" дн.",IF(F939=TODAY(),"🔥 сегодня",IF(F939-TODAY()&lt;=3,"⏳ через "&amp;(F939-TODAY())&amp;" дн.",""))))</f>
        <v/>
      </c>
      <c r="K939" s="54">
        <f>IF(B939="","",IF(G939="✅ Выполнена","✔ ",IF(G939="❌ Отменена","✖ ",IF(AND(F939&lt;&gt;"",F939&lt;TODAY()),"❗ ","☐ ")))&amp;B939&amp;IF(E939="🔥 Высокий"," 🔥",""))</f>
        <v/>
      </c>
      <c r="L939" s="54">
        <f>IF(OR(B939="",F939="",G939="❌ Отменена"),"",F939&amp;"#"&amp;COUNTIFS($F$5:F939,F939,$B$5:B939,"?*",$G$5:G939,"&lt;&gt;❌ Отменена"))</f>
        <v/>
      </c>
      <c r="M939" s="54">
        <f>IF(AND(B939&lt;&gt;"",F939&lt;&gt;"",F939&lt;TODAY(),AND(G939&lt;&gt;"✅ Выполнена",G939&lt;&gt;"❌ Отменена")),MAX($M$4:M938)+1,"")</f>
        <v/>
      </c>
    </row>
    <row r="940">
      <c r="A940" s="49">
        <f>IF(B940="","",COUNTA($B$5:B940))</f>
        <v/>
      </c>
      <c r="B940" s="50" t="n"/>
      <c r="C940" s="51" t="n"/>
      <c r="D940" s="51" t="n"/>
      <c r="E940" s="52" t="n"/>
      <c r="F940" s="53" t="n"/>
      <c r="G940" s="51" t="n"/>
      <c r="H940" s="53" t="n"/>
      <c r="I940" s="51" t="n"/>
      <c r="J940" s="54">
        <f>IF(OR(B940="",F940="",NOT(AND(G940&lt;&gt;"✅ Выполнена",G940&lt;&gt;"❌ Отменена"))),"",IF(F940&lt;TODAY(),"❗ просрочено "&amp;(TODAY()-F940)&amp;" дн.",IF(F940=TODAY(),"🔥 сегодня",IF(F940-TODAY()&lt;=3,"⏳ через "&amp;(F940-TODAY())&amp;" дн.",""))))</f>
        <v/>
      </c>
      <c r="K940" s="54">
        <f>IF(B940="","",IF(G940="✅ Выполнена","✔ ",IF(G940="❌ Отменена","✖ ",IF(AND(F940&lt;&gt;"",F940&lt;TODAY()),"❗ ","☐ ")))&amp;B940&amp;IF(E940="🔥 Высокий"," 🔥",""))</f>
        <v/>
      </c>
      <c r="L940" s="54">
        <f>IF(OR(B940="",F940="",G940="❌ Отменена"),"",F940&amp;"#"&amp;COUNTIFS($F$5:F940,F940,$B$5:B940,"?*",$G$5:G940,"&lt;&gt;❌ Отменена"))</f>
        <v/>
      </c>
      <c r="M940" s="54">
        <f>IF(AND(B940&lt;&gt;"",F940&lt;&gt;"",F940&lt;TODAY(),AND(G940&lt;&gt;"✅ Выполнена",G940&lt;&gt;"❌ Отменена")),MAX($M$4:M939)+1,"")</f>
        <v/>
      </c>
    </row>
    <row r="941">
      <c r="A941" s="49">
        <f>IF(B941="","",COUNTA($B$5:B941))</f>
        <v/>
      </c>
      <c r="B941" s="50" t="n"/>
      <c r="C941" s="51" t="n"/>
      <c r="D941" s="51" t="n"/>
      <c r="E941" s="52" t="n"/>
      <c r="F941" s="53" t="n"/>
      <c r="G941" s="51" t="n"/>
      <c r="H941" s="53" t="n"/>
      <c r="I941" s="51" t="n"/>
      <c r="J941" s="54">
        <f>IF(OR(B941="",F941="",NOT(AND(G941&lt;&gt;"✅ Выполнена",G941&lt;&gt;"❌ Отменена"))),"",IF(F941&lt;TODAY(),"❗ просрочено "&amp;(TODAY()-F941)&amp;" дн.",IF(F941=TODAY(),"🔥 сегодня",IF(F941-TODAY()&lt;=3,"⏳ через "&amp;(F941-TODAY())&amp;" дн.",""))))</f>
        <v/>
      </c>
      <c r="K941" s="54">
        <f>IF(B941="","",IF(G941="✅ Выполнена","✔ ",IF(G941="❌ Отменена","✖ ",IF(AND(F941&lt;&gt;"",F941&lt;TODAY()),"❗ ","☐ ")))&amp;B941&amp;IF(E941="🔥 Высокий"," 🔥",""))</f>
        <v/>
      </c>
      <c r="L941" s="54">
        <f>IF(OR(B941="",F941="",G941="❌ Отменена"),"",F941&amp;"#"&amp;COUNTIFS($F$5:F941,F941,$B$5:B941,"?*",$G$5:G941,"&lt;&gt;❌ Отменена"))</f>
        <v/>
      </c>
      <c r="M941" s="54">
        <f>IF(AND(B941&lt;&gt;"",F941&lt;&gt;"",F941&lt;TODAY(),AND(G941&lt;&gt;"✅ Выполнена",G941&lt;&gt;"❌ Отменена")),MAX($M$4:M940)+1,"")</f>
        <v/>
      </c>
    </row>
    <row r="942">
      <c r="A942" s="49">
        <f>IF(B942="","",COUNTA($B$5:B942))</f>
        <v/>
      </c>
      <c r="B942" s="50" t="n"/>
      <c r="C942" s="51" t="n"/>
      <c r="D942" s="51" t="n"/>
      <c r="E942" s="52" t="n"/>
      <c r="F942" s="53" t="n"/>
      <c r="G942" s="51" t="n"/>
      <c r="H942" s="53" t="n"/>
      <c r="I942" s="51" t="n"/>
      <c r="J942" s="54">
        <f>IF(OR(B942="",F942="",NOT(AND(G942&lt;&gt;"✅ Выполнена",G942&lt;&gt;"❌ Отменена"))),"",IF(F942&lt;TODAY(),"❗ просрочено "&amp;(TODAY()-F942)&amp;" дн.",IF(F942=TODAY(),"🔥 сегодня",IF(F942-TODAY()&lt;=3,"⏳ через "&amp;(F942-TODAY())&amp;" дн.",""))))</f>
        <v/>
      </c>
      <c r="K942" s="54">
        <f>IF(B942="","",IF(G942="✅ Выполнена","✔ ",IF(G942="❌ Отменена","✖ ",IF(AND(F942&lt;&gt;"",F942&lt;TODAY()),"❗ ","☐ ")))&amp;B942&amp;IF(E942="🔥 Высокий"," 🔥",""))</f>
        <v/>
      </c>
      <c r="L942" s="54">
        <f>IF(OR(B942="",F942="",G942="❌ Отменена"),"",F942&amp;"#"&amp;COUNTIFS($F$5:F942,F942,$B$5:B942,"?*",$G$5:G942,"&lt;&gt;❌ Отменена"))</f>
        <v/>
      </c>
      <c r="M942" s="54">
        <f>IF(AND(B942&lt;&gt;"",F942&lt;&gt;"",F942&lt;TODAY(),AND(G942&lt;&gt;"✅ Выполнена",G942&lt;&gt;"❌ Отменена")),MAX($M$4:M941)+1,"")</f>
        <v/>
      </c>
    </row>
    <row r="943">
      <c r="A943" s="49">
        <f>IF(B943="","",COUNTA($B$5:B943))</f>
        <v/>
      </c>
      <c r="B943" s="50" t="n"/>
      <c r="C943" s="51" t="n"/>
      <c r="D943" s="51" t="n"/>
      <c r="E943" s="52" t="n"/>
      <c r="F943" s="53" t="n"/>
      <c r="G943" s="51" t="n"/>
      <c r="H943" s="53" t="n"/>
      <c r="I943" s="51" t="n"/>
      <c r="J943" s="54">
        <f>IF(OR(B943="",F943="",NOT(AND(G943&lt;&gt;"✅ Выполнена",G943&lt;&gt;"❌ Отменена"))),"",IF(F943&lt;TODAY(),"❗ просрочено "&amp;(TODAY()-F943)&amp;" дн.",IF(F943=TODAY(),"🔥 сегодня",IF(F943-TODAY()&lt;=3,"⏳ через "&amp;(F943-TODAY())&amp;" дн.",""))))</f>
        <v/>
      </c>
      <c r="K943" s="54">
        <f>IF(B943="","",IF(G943="✅ Выполнена","✔ ",IF(G943="❌ Отменена","✖ ",IF(AND(F943&lt;&gt;"",F943&lt;TODAY()),"❗ ","☐ ")))&amp;B943&amp;IF(E943="🔥 Высокий"," 🔥",""))</f>
        <v/>
      </c>
      <c r="L943" s="54">
        <f>IF(OR(B943="",F943="",G943="❌ Отменена"),"",F943&amp;"#"&amp;COUNTIFS($F$5:F943,F943,$B$5:B943,"?*",$G$5:G943,"&lt;&gt;❌ Отменена"))</f>
        <v/>
      </c>
      <c r="M943" s="54">
        <f>IF(AND(B943&lt;&gt;"",F943&lt;&gt;"",F943&lt;TODAY(),AND(G943&lt;&gt;"✅ Выполнена",G943&lt;&gt;"❌ Отменена")),MAX($M$4:M942)+1,"")</f>
        <v/>
      </c>
    </row>
    <row r="944">
      <c r="A944" s="49">
        <f>IF(B944="","",COUNTA($B$5:B944))</f>
        <v/>
      </c>
      <c r="B944" s="50" t="n"/>
      <c r="C944" s="51" t="n"/>
      <c r="D944" s="51" t="n"/>
      <c r="E944" s="52" t="n"/>
      <c r="F944" s="53" t="n"/>
      <c r="G944" s="51" t="n"/>
      <c r="H944" s="53" t="n"/>
      <c r="I944" s="51" t="n"/>
      <c r="J944" s="54">
        <f>IF(OR(B944="",F944="",NOT(AND(G944&lt;&gt;"✅ Выполнена",G944&lt;&gt;"❌ Отменена"))),"",IF(F944&lt;TODAY(),"❗ просрочено "&amp;(TODAY()-F944)&amp;" дн.",IF(F944=TODAY(),"🔥 сегодня",IF(F944-TODAY()&lt;=3,"⏳ через "&amp;(F944-TODAY())&amp;" дн.",""))))</f>
        <v/>
      </c>
      <c r="K944" s="54">
        <f>IF(B944="","",IF(G944="✅ Выполнена","✔ ",IF(G944="❌ Отменена","✖ ",IF(AND(F944&lt;&gt;"",F944&lt;TODAY()),"❗ ","☐ ")))&amp;B944&amp;IF(E944="🔥 Высокий"," 🔥",""))</f>
        <v/>
      </c>
      <c r="L944" s="54">
        <f>IF(OR(B944="",F944="",G944="❌ Отменена"),"",F944&amp;"#"&amp;COUNTIFS($F$5:F944,F944,$B$5:B944,"?*",$G$5:G944,"&lt;&gt;❌ Отменена"))</f>
        <v/>
      </c>
      <c r="M944" s="54">
        <f>IF(AND(B944&lt;&gt;"",F944&lt;&gt;"",F944&lt;TODAY(),AND(G944&lt;&gt;"✅ Выполнена",G944&lt;&gt;"❌ Отменена")),MAX($M$4:M943)+1,"")</f>
        <v/>
      </c>
    </row>
    <row r="945">
      <c r="A945" s="49">
        <f>IF(B945="","",COUNTA($B$5:B945))</f>
        <v/>
      </c>
      <c r="B945" s="50" t="n"/>
      <c r="C945" s="51" t="n"/>
      <c r="D945" s="51" t="n"/>
      <c r="E945" s="52" t="n"/>
      <c r="F945" s="53" t="n"/>
      <c r="G945" s="51" t="n"/>
      <c r="H945" s="53" t="n"/>
      <c r="I945" s="51" t="n"/>
      <c r="J945" s="54">
        <f>IF(OR(B945="",F945="",NOT(AND(G945&lt;&gt;"✅ Выполнена",G945&lt;&gt;"❌ Отменена"))),"",IF(F945&lt;TODAY(),"❗ просрочено "&amp;(TODAY()-F945)&amp;" дн.",IF(F945=TODAY(),"🔥 сегодня",IF(F945-TODAY()&lt;=3,"⏳ через "&amp;(F945-TODAY())&amp;" дн.",""))))</f>
        <v/>
      </c>
      <c r="K945" s="54">
        <f>IF(B945="","",IF(G945="✅ Выполнена","✔ ",IF(G945="❌ Отменена","✖ ",IF(AND(F945&lt;&gt;"",F945&lt;TODAY()),"❗ ","☐ ")))&amp;B945&amp;IF(E945="🔥 Высокий"," 🔥",""))</f>
        <v/>
      </c>
      <c r="L945" s="54">
        <f>IF(OR(B945="",F945="",G945="❌ Отменена"),"",F945&amp;"#"&amp;COUNTIFS($F$5:F945,F945,$B$5:B945,"?*",$G$5:G945,"&lt;&gt;❌ Отменена"))</f>
        <v/>
      </c>
      <c r="M945" s="54">
        <f>IF(AND(B945&lt;&gt;"",F945&lt;&gt;"",F945&lt;TODAY(),AND(G945&lt;&gt;"✅ Выполнена",G945&lt;&gt;"❌ Отменена")),MAX($M$4:M944)+1,"")</f>
        <v/>
      </c>
    </row>
    <row r="946">
      <c r="A946" s="49">
        <f>IF(B946="","",COUNTA($B$5:B946))</f>
        <v/>
      </c>
      <c r="B946" s="50" t="n"/>
      <c r="C946" s="51" t="n"/>
      <c r="D946" s="51" t="n"/>
      <c r="E946" s="52" t="n"/>
      <c r="F946" s="53" t="n"/>
      <c r="G946" s="51" t="n"/>
      <c r="H946" s="53" t="n"/>
      <c r="I946" s="51" t="n"/>
      <c r="J946" s="54">
        <f>IF(OR(B946="",F946="",NOT(AND(G946&lt;&gt;"✅ Выполнена",G946&lt;&gt;"❌ Отменена"))),"",IF(F946&lt;TODAY(),"❗ просрочено "&amp;(TODAY()-F946)&amp;" дн.",IF(F946=TODAY(),"🔥 сегодня",IF(F946-TODAY()&lt;=3,"⏳ через "&amp;(F946-TODAY())&amp;" дн.",""))))</f>
        <v/>
      </c>
      <c r="K946" s="54">
        <f>IF(B946="","",IF(G946="✅ Выполнена","✔ ",IF(G946="❌ Отменена","✖ ",IF(AND(F946&lt;&gt;"",F946&lt;TODAY()),"❗ ","☐ ")))&amp;B946&amp;IF(E946="🔥 Высокий"," 🔥",""))</f>
        <v/>
      </c>
      <c r="L946" s="54">
        <f>IF(OR(B946="",F946="",G946="❌ Отменена"),"",F946&amp;"#"&amp;COUNTIFS($F$5:F946,F946,$B$5:B946,"?*",$G$5:G946,"&lt;&gt;❌ Отменена"))</f>
        <v/>
      </c>
      <c r="M946" s="54">
        <f>IF(AND(B946&lt;&gt;"",F946&lt;&gt;"",F946&lt;TODAY(),AND(G946&lt;&gt;"✅ Выполнена",G946&lt;&gt;"❌ Отменена")),MAX($M$4:M945)+1,"")</f>
        <v/>
      </c>
    </row>
    <row r="947">
      <c r="A947" s="49">
        <f>IF(B947="","",COUNTA($B$5:B947))</f>
        <v/>
      </c>
      <c r="B947" s="50" t="n"/>
      <c r="C947" s="51" t="n"/>
      <c r="D947" s="51" t="n"/>
      <c r="E947" s="52" t="n"/>
      <c r="F947" s="53" t="n"/>
      <c r="G947" s="51" t="n"/>
      <c r="H947" s="53" t="n"/>
      <c r="I947" s="51" t="n"/>
      <c r="J947" s="54">
        <f>IF(OR(B947="",F947="",NOT(AND(G947&lt;&gt;"✅ Выполнена",G947&lt;&gt;"❌ Отменена"))),"",IF(F947&lt;TODAY(),"❗ просрочено "&amp;(TODAY()-F947)&amp;" дн.",IF(F947=TODAY(),"🔥 сегодня",IF(F947-TODAY()&lt;=3,"⏳ через "&amp;(F947-TODAY())&amp;" дн.",""))))</f>
        <v/>
      </c>
      <c r="K947" s="54">
        <f>IF(B947="","",IF(G947="✅ Выполнена","✔ ",IF(G947="❌ Отменена","✖ ",IF(AND(F947&lt;&gt;"",F947&lt;TODAY()),"❗ ","☐ ")))&amp;B947&amp;IF(E947="🔥 Высокий"," 🔥",""))</f>
        <v/>
      </c>
      <c r="L947" s="54">
        <f>IF(OR(B947="",F947="",G947="❌ Отменена"),"",F947&amp;"#"&amp;COUNTIFS($F$5:F947,F947,$B$5:B947,"?*",$G$5:G947,"&lt;&gt;❌ Отменена"))</f>
        <v/>
      </c>
      <c r="M947" s="54">
        <f>IF(AND(B947&lt;&gt;"",F947&lt;&gt;"",F947&lt;TODAY(),AND(G947&lt;&gt;"✅ Выполнена",G947&lt;&gt;"❌ Отменена")),MAX($M$4:M946)+1,"")</f>
        <v/>
      </c>
    </row>
    <row r="948">
      <c r="A948" s="49">
        <f>IF(B948="","",COUNTA($B$5:B948))</f>
        <v/>
      </c>
      <c r="B948" s="50" t="n"/>
      <c r="C948" s="51" t="n"/>
      <c r="D948" s="51" t="n"/>
      <c r="E948" s="52" t="n"/>
      <c r="F948" s="53" t="n"/>
      <c r="G948" s="51" t="n"/>
      <c r="H948" s="53" t="n"/>
      <c r="I948" s="51" t="n"/>
      <c r="J948" s="54">
        <f>IF(OR(B948="",F948="",NOT(AND(G948&lt;&gt;"✅ Выполнена",G948&lt;&gt;"❌ Отменена"))),"",IF(F948&lt;TODAY(),"❗ просрочено "&amp;(TODAY()-F948)&amp;" дн.",IF(F948=TODAY(),"🔥 сегодня",IF(F948-TODAY()&lt;=3,"⏳ через "&amp;(F948-TODAY())&amp;" дн.",""))))</f>
        <v/>
      </c>
      <c r="K948" s="54">
        <f>IF(B948="","",IF(G948="✅ Выполнена","✔ ",IF(G948="❌ Отменена","✖ ",IF(AND(F948&lt;&gt;"",F948&lt;TODAY()),"❗ ","☐ ")))&amp;B948&amp;IF(E948="🔥 Высокий"," 🔥",""))</f>
        <v/>
      </c>
      <c r="L948" s="54">
        <f>IF(OR(B948="",F948="",G948="❌ Отменена"),"",F948&amp;"#"&amp;COUNTIFS($F$5:F948,F948,$B$5:B948,"?*",$G$5:G948,"&lt;&gt;❌ Отменена"))</f>
        <v/>
      </c>
      <c r="M948" s="54">
        <f>IF(AND(B948&lt;&gt;"",F948&lt;&gt;"",F948&lt;TODAY(),AND(G948&lt;&gt;"✅ Выполнена",G948&lt;&gt;"❌ Отменена")),MAX($M$4:M947)+1,"")</f>
        <v/>
      </c>
    </row>
    <row r="949">
      <c r="A949" s="49">
        <f>IF(B949="","",COUNTA($B$5:B949))</f>
        <v/>
      </c>
      <c r="B949" s="50" t="n"/>
      <c r="C949" s="51" t="n"/>
      <c r="D949" s="51" t="n"/>
      <c r="E949" s="52" t="n"/>
      <c r="F949" s="53" t="n"/>
      <c r="G949" s="51" t="n"/>
      <c r="H949" s="53" t="n"/>
      <c r="I949" s="51" t="n"/>
      <c r="J949" s="54">
        <f>IF(OR(B949="",F949="",NOT(AND(G949&lt;&gt;"✅ Выполнена",G949&lt;&gt;"❌ Отменена"))),"",IF(F949&lt;TODAY(),"❗ просрочено "&amp;(TODAY()-F949)&amp;" дн.",IF(F949=TODAY(),"🔥 сегодня",IF(F949-TODAY()&lt;=3,"⏳ через "&amp;(F949-TODAY())&amp;" дн.",""))))</f>
        <v/>
      </c>
      <c r="K949" s="54">
        <f>IF(B949="","",IF(G949="✅ Выполнена","✔ ",IF(G949="❌ Отменена","✖ ",IF(AND(F949&lt;&gt;"",F949&lt;TODAY()),"❗ ","☐ ")))&amp;B949&amp;IF(E949="🔥 Высокий"," 🔥",""))</f>
        <v/>
      </c>
      <c r="L949" s="54">
        <f>IF(OR(B949="",F949="",G949="❌ Отменена"),"",F949&amp;"#"&amp;COUNTIFS($F$5:F949,F949,$B$5:B949,"?*",$G$5:G949,"&lt;&gt;❌ Отменена"))</f>
        <v/>
      </c>
      <c r="M949" s="54">
        <f>IF(AND(B949&lt;&gt;"",F949&lt;&gt;"",F949&lt;TODAY(),AND(G949&lt;&gt;"✅ Выполнена",G949&lt;&gt;"❌ Отменена")),MAX($M$4:M948)+1,"")</f>
        <v/>
      </c>
    </row>
    <row r="950">
      <c r="A950" s="49">
        <f>IF(B950="","",COUNTA($B$5:B950))</f>
        <v/>
      </c>
      <c r="B950" s="50" t="n"/>
      <c r="C950" s="51" t="n"/>
      <c r="D950" s="51" t="n"/>
      <c r="E950" s="52" t="n"/>
      <c r="F950" s="53" t="n"/>
      <c r="G950" s="51" t="n"/>
      <c r="H950" s="53" t="n"/>
      <c r="I950" s="51" t="n"/>
      <c r="J950" s="54">
        <f>IF(OR(B950="",F950="",NOT(AND(G950&lt;&gt;"✅ Выполнена",G950&lt;&gt;"❌ Отменена"))),"",IF(F950&lt;TODAY(),"❗ просрочено "&amp;(TODAY()-F950)&amp;" дн.",IF(F950=TODAY(),"🔥 сегодня",IF(F950-TODAY()&lt;=3,"⏳ через "&amp;(F950-TODAY())&amp;" дн.",""))))</f>
        <v/>
      </c>
      <c r="K950" s="54">
        <f>IF(B950="","",IF(G950="✅ Выполнена","✔ ",IF(G950="❌ Отменена","✖ ",IF(AND(F950&lt;&gt;"",F950&lt;TODAY()),"❗ ","☐ ")))&amp;B950&amp;IF(E950="🔥 Высокий"," 🔥",""))</f>
        <v/>
      </c>
      <c r="L950" s="54">
        <f>IF(OR(B950="",F950="",G950="❌ Отменена"),"",F950&amp;"#"&amp;COUNTIFS($F$5:F950,F950,$B$5:B950,"?*",$G$5:G950,"&lt;&gt;❌ Отменена"))</f>
        <v/>
      </c>
      <c r="M950" s="54">
        <f>IF(AND(B950&lt;&gt;"",F950&lt;&gt;"",F950&lt;TODAY(),AND(G950&lt;&gt;"✅ Выполнена",G950&lt;&gt;"❌ Отменена")),MAX($M$4:M949)+1,"")</f>
        <v/>
      </c>
    </row>
    <row r="951">
      <c r="A951" s="49">
        <f>IF(B951="","",COUNTA($B$5:B951))</f>
        <v/>
      </c>
      <c r="B951" s="50" t="n"/>
      <c r="C951" s="51" t="n"/>
      <c r="D951" s="51" t="n"/>
      <c r="E951" s="52" t="n"/>
      <c r="F951" s="53" t="n"/>
      <c r="G951" s="51" t="n"/>
      <c r="H951" s="53" t="n"/>
      <c r="I951" s="51" t="n"/>
      <c r="J951" s="54">
        <f>IF(OR(B951="",F951="",NOT(AND(G951&lt;&gt;"✅ Выполнена",G951&lt;&gt;"❌ Отменена"))),"",IF(F951&lt;TODAY(),"❗ просрочено "&amp;(TODAY()-F951)&amp;" дн.",IF(F951=TODAY(),"🔥 сегодня",IF(F951-TODAY()&lt;=3,"⏳ через "&amp;(F951-TODAY())&amp;" дн.",""))))</f>
        <v/>
      </c>
      <c r="K951" s="54">
        <f>IF(B951="","",IF(G951="✅ Выполнена","✔ ",IF(G951="❌ Отменена","✖ ",IF(AND(F951&lt;&gt;"",F951&lt;TODAY()),"❗ ","☐ ")))&amp;B951&amp;IF(E951="🔥 Высокий"," 🔥",""))</f>
        <v/>
      </c>
      <c r="L951" s="54">
        <f>IF(OR(B951="",F951="",G951="❌ Отменена"),"",F951&amp;"#"&amp;COUNTIFS($F$5:F951,F951,$B$5:B951,"?*",$G$5:G951,"&lt;&gt;❌ Отменена"))</f>
        <v/>
      </c>
      <c r="M951" s="54">
        <f>IF(AND(B951&lt;&gt;"",F951&lt;&gt;"",F951&lt;TODAY(),AND(G951&lt;&gt;"✅ Выполнена",G951&lt;&gt;"❌ Отменена")),MAX($M$4:M950)+1,"")</f>
        <v/>
      </c>
    </row>
    <row r="952">
      <c r="A952" s="49">
        <f>IF(B952="","",COUNTA($B$5:B952))</f>
        <v/>
      </c>
      <c r="B952" s="50" t="n"/>
      <c r="C952" s="51" t="n"/>
      <c r="D952" s="51" t="n"/>
      <c r="E952" s="52" t="n"/>
      <c r="F952" s="53" t="n"/>
      <c r="G952" s="51" t="n"/>
      <c r="H952" s="53" t="n"/>
      <c r="I952" s="51" t="n"/>
      <c r="J952" s="54">
        <f>IF(OR(B952="",F952="",NOT(AND(G952&lt;&gt;"✅ Выполнена",G952&lt;&gt;"❌ Отменена"))),"",IF(F952&lt;TODAY(),"❗ просрочено "&amp;(TODAY()-F952)&amp;" дн.",IF(F952=TODAY(),"🔥 сегодня",IF(F952-TODAY()&lt;=3,"⏳ через "&amp;(F952-TODAY())&amp;" дн.",""))))</f>
        <v/>
      </c>
      <c r="K952" s="54">
        <f>IF(B952="","",IF(G952="✅ Выполнена","✔ ",IF(G952="❌ Отменена","✖ ",IF(AND(F952&lt;&gt;"",F952&lt;TODAY()),"❗ ","☐ ")))&amp;B952&amp;IF(E952="🔥 Высокий"," 🔥",""))</f>
        <v/>
      </c>
      <c r="L952" s="54">
        <f>IF(OR(B952="",F952="",G952="❌ Отменена"),"",F952&amp;"#"&amp;COUNTIFS($F$5:F952,F952,$B$5:B952,"?*",$G$5:G952,"&lt;&gt;❌ Отменена"))</f>
        <v/>
      </c>
      <c r="M952" s="54">
        <f>IF(AND(B952&lt;&gt;"",F952&lt;&gt;"",F952&lt;TODAY(),AND(G952&lt;&gt;"✅ Выполнена",G952&lt;&gt;"❌ Отменена")),MAX($M$4:M951)+1,"")</f>
        <v/>
      </c>
    </row>
    <row r="953">
      <c r="A953" s="49">
        <f>IF(B953="","",COUNTA($B$5:B953))</f>
        <v/>
      </c>
      <c r="B953" s="50" t="n"/>
      <c r="C953" s="51" t="n"/>
      <c r="D953" s="51" t="n"/>
      <c r="E953" s="52" t="n"/>
      <c r="F953" s="53" t="n"/>
      <c r="G953" s="51" t="n"/>
      <c r="H953" s="53" t="n"/>
      <c r="I953" s="51" t="n"/>
      <c r="J953" s="54">
        <f>IF(OR(B953="",F953="",NOT(AND(G953&lt;&gt;"✅ Выполнена",G953&lt;&gt;"❌ Отменена"))),"",IF(F953&lt;TODAY(),"❗ просрочено "&amp;(TODAY()-F953)&amp;" дн.",IF(F953=TODAY(),"🔥 сегодня",IF(F953-TODAY()&lt;=3,"⏳ через "&amp;(F953-TODAY())&amp;" дн.",""))))</f>
        <v/>
      </c>
      <c r="K953" s="54">
        <f>IF(B953="","",IF(G953="✅ Выполнена","✔ ",IF(G953="❌ Отменена","✖ ",IF(AND(F953&lt;&gt;"",F953&lt;TODAY()),"❗ ","☐ ")))&amp;B953&amp;IF(E953="🔥 Высокий"," 🔥",""))</f>
        <v/>
      </c>
      <c r="L953" s="54">
        <f>IF(OR(B953="",F953="",G953="❌ Отменена"),"",F953&amp;"#"&amp;COUNTIFS($F$5:F953,F953,$B$5:B953,"?*",$G$5:G953,"&lt;&gt;❌ Отменена"))</f>
        <v/>
      </c>
      <c r="M953" s="54">
        <f>IF(AND(B953&lt;&gt;"",F953&lt;&gt;"",F953&lt;TODAY(),AND(G953&lt;&gt;"✅ Выполнена",G953&lt;&gt;"❌ Отменена")),MAX($M$4:M952)+1,"")</f>
        <v/>
      </c>
    </row>
    <row r="954">
      <c r="A954" s="49">
        <f>IF(B954="","",COUNTA($B$5:B954))</f>
        <v/>
      </c>
      <c r="B954" s="50" t="n"/>
      <c r="C954" s="51" t="n"/>
      <c r="D954" s="51" t="n"/>
      <c r="E954" s="52" t="n"/>
      <c r="F954" s="53" t="n"/>
      <c r="G954" s="51" t="n"/>
      <c r="H954" s="53" t="n"/>
      <c r="I954" s="51" t="n"/>
      <c r="J954" s="54">
        <f>IF(OR(B954="",F954="",NOT(AND(G954&lt;&gt;"✅ Выполнена",G954&lt;&gt;"❌ Отменена"))),"",IF(F954&lt;TODAY(),"❗ просрочено "&amp;(TODAY()-F954)&amp;" дн.",IF(F954=TODAY(),"🔥 сегодня",IF(F954-TODAY()&lt;=3,"⏳ через "&amp;(F954-TODAY())&amp;" дн.",""))))</f>
        <v/>
      </c>
      <c r="K954" s="54">
        <f>IF(B954="","",IF(G954="✅ Выполнена","✔ ",IF(G954="❌ Отменена","✖ ",IF(AND(F954&lt;&gt;"",F954&lt;TODAY()),"❗ ","☐ ")))&amp;B954&amp;IF(E954="🔥 Высокий"," 🔥",""))</f>
        <v/>
      </c>
      <c r="L954" s="54">
        <f>IF(OR(B954="",F954="",G954="❌ Отменена"),"",F954&amp;"#"&amp;COUNTIFS($F$5:F954,F954,$B$5:B954,"?*",$G$5:G954,"&lt;&gt;❌ Отменена"))</f>
        <v/>
      </c>
      <c r="M954" s="54">
        <f>IF(AND(B954&lt;&gt;"",F954&lt;&gt;"",F954&lt;TODAY(),AND(G954&lt;&gt;"✅ Выполнена",G954&lt;&gt;"❌ Отменена")),MAX($M$4:M953)+1,"")</f>
        <v/>
      </c>
    </row>
    <row r="955">
      <c r="A955" s="49">
        <f>IF(B955="","",COUNTA($B$5:B955))</f>
        <v/>
      </c>
      <c r="B955" s="50" t="n"/>
      <c r="C955" s="51" t="n"/>
      <c r="D955" s="51" t="n"/>
      <c r="E955" s="52" t="n"/>
      <c r="F955" s="53" t="n"/>
      <c r="G955" s="51" t="n"/>
      <c r="H955" s="53" t="n"/>
      <c r="I955" s="51" t="n"/>
      <c r="J955" s="54">
        <f>IF(OR(B955="",F955="",NOT(AND(G955&lt;&gt;"✅ Выполнена",G955&lt;&gt;"❌ Отменена"))),"",IF(F955&lt;TODAY(),"❗ просрочено "&amp;(TODAY()-F955)&amp;" дн.",IF(F955=TODAY(),"🔥 сегодня",IF(F955-TODAY()&lt;=3,"⏳ через "&amp;(F955-TODAY())&amp;" дн.",""))))</f>
        <v/>
      </c>
      <c r="K955" s="54">
        <f>IF(B955="","",IF(G955="✅ Выполнена","✔ ",IF(G955="❌ Отменена","✖ ",IF(AND(F955&lt;&gt;"",F955&lt;TODAY()),"❗ ","☐ ")))&amp;B955&amp;IF(E955="🔥 Высокий"," 🔥",""))</f>
        <v/>
      </c>
      <c r="L955" s="54">
        <f>IF(OR(B955="",F955="",G955="❌ Отменена"),"",F955&amp;"#"&amp;COUNTIFS($F$5:F955,F955,$B$5:B955,"?*",$G$5:G955,"&lt;&gt;❌ Отменена"))</f>
        <v/>
      </c>
      <c r="M955" s="54">
        <f>IF(AND(B955&lt;&gt;"",F955&lt;&gt;"",F955&lt;TODAY(),AND(G955&lt;&gt;"✅ Выполнена",G955&lt;&gt;"❌ Отменена")),MAX($M$4:M954)+1,"")</f>
        <v/>
      </c>
    </row>
    <row r="956">
      <c r="A956" s="49">
        <f>IF(B956="","",COUNTA($B$5:B956))</f>
        <v/>
      </c>
      <c r="B956" s="50" t="n"/>
      <c r="C956" s="51" t="n"/>
      <c r="D956" s="51" t="n"/>
      <c r="E956" s="52" t="n"/>
      <c r="F956" s="53" t="n"/>
      <c r="G956" s="51" t="n"/>
      <c r="H956" s="53" t="n"/>
      <c r="I956" s="51" t="n"/>
      <c r="J956" s="54">
        <f>IF(OR(B956="",F956="",NOT(AND(G956&lt;&gt;"✅ Выполнена",G956&lt;&gt;"❌ Отменена"))),"",IF(F956&lt;TODAY(),"❗ просрочено "&amp;(TODAY()-F956)&amp;" дн.",IF(F956=TODAY(),"🔥 сегодня",IF(F956-TODAY()&lt;=3,"⏳ через "&amp;(F956-TODAY())&amp;" дн.",""))))</f>
        <v/>
      </c>
      <c r="K956" s="54">
        <f>IF(B956="","",IF(G956="✅ Выполнена","✔ ",IF(G956="❌ Отменена","✖ ",IF(AND(F956&lt;&gt;"",F956&lt;TODAY()),"❗ ","☐ ")))&amp;B956&amp;IF(E956="🔥 Высокий"," 🔥",""))</f>
        <v/>
      </c>
      <c r="L956" s="54">
        <f>IF(OR(B956="",F956="",G956="❌ Отменена"),"",F956&amp;"#"&amp;COUNTIFS($F$5:F956,F956,$B$5:B956,"?*",$G$5:G956,"&lt;&gt;❌ Отменена"))</f>
        <v/>
      </c>
      <c r="M956" s="54">
        <f>IF(AND(B956&lt;&gt;"",F956&lt;&gt;"",F956&lt;TODAY(),AND(G956&lt;&gt;"✅ Выполнена",G956&lt;&gt;"❌ Отменена")),MAX($M$4:M955)+1,"")</f>
        <v/>
      </c>
    </row>
    <row r="957">
      <c r="A957" s="49">
        <f>IF(B957="","",COUNTA($B$5:B957))</f>
        <v/>
      </c>
      <c r="B957" s="50" t="n"/>
      <c r="C957" s="51" t="n"/>
      <c r="D957" s="51" t="n"/>
      <c r="E957" s="52" t="n"/>
      <c r="F957" s="53" t="n"/>
      <c r="G957" s="51" t="n"/>
      <c r="H957" s="53" t="n"/>
      <c r="I957" s="51" t="n"/>
      <c r="J957" s="54">
        <f>IF(OR(B957="",F957="",NOT(AND(G957&lt;&gt;"✅ Выполнена",G957&lt;&gt;"❌ Отменена"))),"",IF(F957&lt;TODAY(),"❗ просрочено "&amp;(TODAY()-F957)&amp;" дн.",IF(F957=TODAY(),"🔥 сегодня",IF(F957-TODAY()&lt;=3,"⏳ через "&amp;(F957-TODAY())&amp;" дн.",""))))</f>
        <v/>
      </c>
      <c r="K957" s="54">
        <f>IF(B957="","",IF(G957="✅ Выполнена","✔ ",IF(G957="❌ Отменена","✖ ",IF(AND(F957&lt;&gt;"",F957&lt;TODAY()),"❗ ","☐ ")))&amp;B957&amp;IF(E957="🔥 Высокий"," 🔥",""))</f>
        <v/>
      </c>
      <c r="L957" s="54">
        <f>IF(OR(B957="",F957="",G957="❌ Отменена"),"",F957&amp;"#"&amp;COUNTIFS($F$5:F957,F957,$B$5:B957,"?*",$G$5:G957,"&lt;&gt;❌ Отменена"))</f>
        <v/>
      </c>
      <c r="M957" s="54">
        <f>IF(AND(B957&lt;&gt;"",F957&lt;&gt;"",F957&lt;TODAY(),AND(G957&lt;&gt;"✅ Выполнена",G957&lt;&gt;"❌ Отменена")),MAX($M$4:M956)+1,"")</f>
        <v/>
      </c>
    </row>
    <row r="958">
      <c r="A958" s="49">
        <f>IF(B958="","",COUNTA($B$5:B958))</f>
        <v/>
      </c>
      <c r="B958" s="50" t="n"/>
      <c r="C958" s="51" t="n"/>
      <c r="D958" s="51" t="n"/>
      <c r="E958" s="52" t="n"/>
      <c r="F958" s="53" t="n"/>
      <c r="G958" s="51" t="n"/>
      <c r="H958" s="53" t="n"/>
      <c r="I958" s="51" t="n"/>
      <c r="J958" s="54">
        <f>IF(OR(B958="",F958="",NOT(AND(G958&lt;&gt;"✅ Выполнена",G958&lt;&gt;"❌ Отменена"))),"",IF(F958&lt;TODAY(),"❗ просрочено "&amp;(TODAY()-F958)&amp;" дн.",IF(F958=TODAY(),"🔥 сегодня",IF(F958-TODAY()&lt;=3,"⏳ через "&amp;(F958-TODAY())&amp;" дн.",""))))</f>
        <v/>
      </c>
      <c r="K958" s="54">
        <f>IF(B958="","",IF(G958="✅ Выполнена","✔ ",IF(G958="❌ Отменена","✖ ",IF(AND(F958&lt;&gt;"",F958&lt;TODAY()),"❗ ","☐ ")))&amp;B958&amp;IF(E958="🔥 Высокий"," 🔥",""))</f>
        <v/>
      </c>
      <c r="L958" s="54">
        <f>IF(OR(B958="",F958="",G958="❌ Отменена"),"",F958&amp;"#"&amp;COUNTIFS($F$5:F958,F958,$B$5:B958,"?*",$G$5:G958,"&lt;&gt;❌ Отменена"))</f>
        <v/>
      </c>
      <c r="M958" s="54">
        <f>IF(AND(B958&lt;&gt;"",F958&lt;&gt;"",F958&lt;TODAY(),AND(G958&lt;&gt;"✅ Выполнена",G958&lt;&gt;"❌ Отменена")),MAX($M$4:M957)+1,"")</f>
        <v/>
      </c>
    </row>
    <row r="959">
      <c r="A959" s="49">
        <f>IF(B959="","",COUNTA($B$5:B959))</f>
        <v/>
      </c>
      <c r="B959" s="50" t="n"/>
      <c r="C959" s="51" t="n"/>
      <c r="D959" s="51" t="n"/>
      <c r="E959" s="52" t="n"/>
      <c r="F959" s="53" t="n"/>
      <c r="G959" s="51" t="n"/>
      <c r="H959" s="53" t="n"/>
      <c r="I959" s="51" t="n"/>
      <c r="J959" s="54">
        <f>IF(OR(B959="",F959="",NOT(AND(G959&lt;&gt;"✅ Выполнена",G959&lt;&gt;"❌ Отменена"))),"",IF(F959&lt;TODAY(),"❗ просрочено "&amp;(TODAY()-F959)&amp;" дн.",IF(F959=TODAY(),"🔥 сегодня",IF(F959-TODAY()&lt;=3,"⏳ через "&amp;(F959-TODAY())&amp;" дн.",""))))</f>
        <v/>
      </c>
      <c r="K959" s="54">
        <f>IF(B959="","",IF(G959="✅ Выполнена","✔ ",IF(G959="❌ Отменена","✖ ",IF(AND(F959&lt;&gt;"",F959&lt;TODAY()),"❗ ","☐ ")))&amp;B959&amp;IF(E959="🔥 Высокий"," 🔥",""))</f>
        <v/>
      </c>
      <c r="L959" s="54">
        <f>IF(OR(B959="",F959="",G959="❌ Отменена"),"",F959&amp;"#"&amp;COUNTIFS($F$5:F959,F959,$B$5:B959,"?*",$G$5:G959,"&lt;&gt;❌ Отменена"))</f>
        <v/>
      </c>
      <c r="M959" s="54">
        <f>IF(AND(B959&lt;&gt;"",F959&lt;&gt;"",F959&lt;TODAY(),AND(G959&lt;&gt;"✅ Выполнена",G959&lt;&gt;"❌ Отменена")),MAX($M$4:M958)+1,"")</f>
        <v/>
      </c>
    </row>
    <row r="960">
      <c r="A960" s="49">
        <f>IF(B960="","",COUNTA($B$5:B960))</f>
        <v/>
      </c>
      <c r="B960" s="50" t="n"/>
      <c r="C960" s="51" t="n"/>
      <c r="D960" s="51" t="n"/>
      <c r="E960" s="52" t="n"/>
      <c r="F960" s="53" t="n"/>
      <c r="G960" s="51" t="n"/>
      <c r="H960" s="53" t="n"/>
      <c r="I960" s="51" t="n"/>
      <c r="J960" s="54">
        <f>IF(OR(B960="",F960="",NOT(AND(G960&lt;&gt;"✅ Выполнена",G960&lt;&gt;"❌ Отменена"))),"",IF(F960&lt;TODAY(),"❗ просрочено "&amp;(TODAY()-F960)&amp;" дн.",IF(F960=TODAY(),"🔥 сегодня",IF(F960-TODAY()&lt;=3,"⏳ через "&amp;(F960-TODAY())&amp;" дн.",""))))</f>
        <v/>
      </c>
      <c r="K960" s="54">
        <f>IF(B960="","",IF(G960="✅ Выполнена","✔ ",IF(G960="❌ Отменена","✖ ",IF(AND(F960&lt;&gt;"",F960&lt;TODAY()),"❗ ","☐ ")))&amp;B960&amp;IF(E960="🔥 Высокий"," 🔥",""))</f>
        <v/>
      </c>
      <c r="L960" s="54">
        <f>IF(OR(B960="",F960="",G960="❌ Отменена"),"",F960&amp;"#"&amp;COUNTIFS($F$5:F960,F960,$B$5:B960,"?*",$G$5:G960,"&lt;&gt;❌ Отменена"))</f>
        <v/>
      </c>
      <c r="M960" s="54">
        <f>IF(AND(B960&lt;&gt;"",F960&lt;&gt;"",F960&lt;TODAY(),AND(G960&lt;&gt;"✅ Выполнена",G960&lt;&gt;"❌ Отменена")),MAX($M$4:M959)+1,"")</f>
        <v/>
      </c>
    </row>
    <row r="961">
      <c r="A961" s="49">
        <f>IF(B961="","",COUNTA($B$5:B961))</f>
        <v/>
      </c>
      <c r="B961" s="50" t="n"/>
      <c r="C961" s="51" t="n"/>
      <c r="D961" s="51" t="n"/>
      <c r="E961" s="52" t="n"/>
      <c r="F961" s="53" t="n"/>
      <c r="G961" s="51" t="n"/>
      <c r="H961" s="53" t="n"/>
      <c r="I961" s="51" t="n"/>
      <c r="J961" s="54">
        <f>IF(OR(B961="",F961="",NOT(AND(G961&lt;&gt;"✅ Выполнена",G961&lt;&gt;"❌ Отменена"))),"",IF(F961&lt;TODAY(),"❗ просрочено "&amp;(TODAY()-F961)&amp;" дн.",IF(F961=TODAY(),"🔥 сегодня",IF(F961-TODAY()&lt;=3,"⏳ через "&amp;(F961-TODAY())&amp;" дн.",""))))</f>
        <v/>
      </c>
      <c r="K961" s="54">
        <f>IF(B961="","",IF(G961="✅ Выполнена","✔ ",IF(G961="❌ Отменена","✖ ",IF(AND(F961&lt;&gt;"",F961&lt;TODAY()),"❗ ","☐ ")))&amp;B961&amp;IF(E961="🔥 Высокий"," 🔥",""))</f>
        <v/>
      </c>
      <c r="L961" s="54">
        <f>IF(OR(B961="",F961="",G961="❌ Отменена"),"",F961&amp;"#"&amp;COUNTIFS($F$5:F961,F961,$B$5:B961,"?*",$G$5:G961,"&lt;&gt;❌ Отменена"))</f>
        <v/>
      </c>
      <c r="M961" s="54">
        <f>IF(AND(B961&lt;&gt;"",F961&lt;&gt;"",F961&lt;TODAY(),AND(G961&lt;&gt;"✅ Выполнена",G961&lt;&gt;"❌ Отменена")),MAX($M$4:M960)+1,"")</f>
        <v/>
      </c>
    </row>
    <row r="962">
      <c r="A962" s="49">
        <f>IF(B962="","",COUNTA($B$5:B962))</f>
        <v/>
      </c>
      <c r="B962" s="50" t="n"/>
      <c r="C962" s="51" t="n"/>
      <c r="D962" s="51" t="n"/>
      <c r="E962" s="52" t="n"/>
      <c r="F962" s="53" t="n"/>
      <c r="G962" s="51" t="n"/>
      <c r="H962" s="53" t="n"/>
      <c r="I962" s="51" t="n"/>
      <c r="J962" s="54">
        <f>IF(OR(B962="",F962="",NOT(AND(G962&lt;&gt;"✅ Выполнена",G962&lt;&gt;"❌ Отменена"))),"",IF(F962&lt;TODAY(),"❗ просрочено "&amp;(TODAY()-F962)&amp;" дн.",IF(F962=TODAY(),"🔥 сегодня",IF(F962-TODAY()&lt;=3,"⏳ через "&amp;(F962-TODAY())&amp;" дн.",""))))</f>
        <v/>
      </c>
      <c r="K962" s="54">
        <f>IF(B962="","",IF(G962="✅ Выполнена","✔ ",IF(G962="❌ Отменена","✖ ",IF(AND(F962&lt;&gt;"",F962&lt;TODAY()),"❗ ","☐ ")))&amp;B962&amp;IF(E962="🔥 Высокий"," 🔥",""))</f>
        <v/>
      </c>
      <c r="L962" s="54">
        <f>IF(OR(B962="",F962="",G962="❌ Отменена"),"",F962&amp;"#"&amp;COUNTIFS($F$5:F962,F962,$B$5:B962,"?*",$G$5:G962,"&lt;&gt;❌ Отменена"))</f>
        <v/>
      </c>
      <c r="M962" s="54">
        <f>IF(AND(B962&lt;&gt;"",F962&lt;&gt;"",F962&lt;TODAY(),AND(G962&lt;&gt;"✅ Выполнена",G962&lt;&gt;"❌ Отменена")),MAX($M$4:M961)+1,"")</f>
        <v/>
      </c>
    </row>
    <row r="963">
      <c r="A963" s="49">
        <f>IF(B963="","",COUNTA($B$5:B963))</f>
        <v/>
      </c>
      <c r="B963" s="50" t="n"/>
      <c r="C963" s="51" t="n"/>
      <c r="D963" s="51" t="n"/>
      <c r="E963" s="52" t="n"/>
      <c r="F963" s="53" t="n"/>
      <c r="G963" s="51" t="n"/>
      <c r="H963" s="53" t="n"/>
      <c r="I963" s="51" t="n"/>
      <c r="J963" s="54">
        <f>IF(OR(B963="",F963="",NOT(AND(G963&lt;&gt;"✅ Выполнена",G963&lt;&gt;"❌ Отменена"))),"",IF(F963&lt;TODAY(),"❗ просрочено "&amp;(TODAY()-F963)&amp;" дн.",IF(F963=TODAY(),"🔥 сегодня",IF(F963-TODAY()&lt;=3,"⏳ через "&amp;(F963-TODAY())&amp;" дн.",""))))</f>
        <v/>
      </c>
      <c r="K963" s="54">
        <f>IF(B963="","",IF(G963="✅ Выполнена","✔ ",IF(G963="❌ Отменена","✖ ",IF(AND(F963&lt;&gt;"",F963&lt;TODAY()),"❗ ","☐ ")))&amp;B963&amp;IF(E963="🔥 Высокий"," 🔥",""))</f>
        <v/>
      </c>
      <c r="L963" s="54">
        <f>IF(OR(B963="",F963="",G963="❌ Отменена"),"",F963&amp;"#"&amp;COUNTIFS($F$5:F963,F963,$B$5:B963,"?*",$G$5:G963,"&lt;&gt;❌ Отменена"))</f>
        <v/>
      </c>
      <c r="M963" s="54">
        <f>IF(AND(B963&lt;&gt;"",F963&lt;&gt;"",F963&lt;TODAY(),AND(G963&lt;&gt;"✅ Выполнена",G963&lt;&gt;"❌ Отменена")),MAX($M$4:M962)+1,"")</f>
        <v/>
      </c>
    </row>
    <row r="964">
      <c r="A964" s="49">
        <f>IF(B964="","",COUNTA($B$5:B964))</f>
        <v/>
      </c>
      <c r="B964" s="50" t="n"/>
      <c r="C964" s="51" t="n"/>
      <c r="D964" s="51" t="n"/>
      <c r="E964" s="52" t="n"/>
      <c r="F964" s="53" t="n"/>
      <c r="G964" s="51" t="n"/>
      <c r="H964" s="53" t="n"/>
      <c r="I964" s="51" t="n"/>
      <c r="J964" s="54">
        <f>IF(OR(B964="",F964="",NOT(AND(G964&lt;&gt;"✅ Выполнена",G964&lt;&gt;"❌ Отменена"))),"",IF(F964&lt;TODAY(),"❗ просрочено "&amp;(TODAY()-F964)&amp;" дн.",IF(F964=TODAY(),"🔥 сегодня",IF(F964-TODAY()&lt;=3,"⏳ через "&amp;(F964-TODAY())&amp;" дн.",""))))</f>
        <v/>
      </c>
      <c r="K964" s="54">
        <f>IF(B964="","",IF(G964="✅ Выполнена","✔ ",IF(G964="❌ Отменена","✖ ",IF(AND(F964&lt;&gt;"",F964&lt;TODAY()),"❗ ","☐ ")))&amp;B964&amp;IF(E964="🔥 Высокий"," 🔥",""))</f>
        <v/>
      </c>
      <c r="L964" s="54">
        <f>IF(OR(B964="",F964="",G964="❌ Отменена"),"",F964&amp;"#"&amp;COUNTIFS($F$5:F964,F964,$B$5:B964,"?*",$G$5:G964,"&lt;&gt;❌ Отменена"))</f>
        <v/>
      </c>
      <c r="M964" s="54">
        <f>IF(AND(B964&lt;&gt;"",F964&lt;&gt;"",F964&lt;TODAY(),AND(G964&lt;&gt;"✅ Выполнена",G964&lt;&gt;"❌ Отменена")),MAX($M$4:M963)+1,"")</f>
        <v/>
      </c>
    </row>
    <row r="965">
      <c r="A965" s="49">
        <f>IF(B965="","",COUNTA($B$5:B965))</f>
        <v/>
      </c>
      <c r="B965" s="50" t="n"/>
      <c r="C965" s="51" t="n"/>
      <c r="D965" s="51" t="n"/>
      <c r="E965" s="52" t="n"/>
      <c r="F965" s="53" t="n"/>
      <c r="G965" s="51" t="n"/>
      <c r="H965" s="53" t="n"/>
      <c r="I965" s="51" t="n"/>
      <c r="J965" s="54">
        <f>IF(OR(B965="",F965="",NOT(AND(G965&lt;&gt;"✅ Выполнена",G965&lt;&gt;"❌ Отменена"))),"",IF(F965&lt;TODAY(),"❗ просрочено "&amp;(TODAY()-F965)&amp;" дн.",IF(F965=TODAY(),"🔥 сегодня",IF(F965-TODAY()&lt;=3,"⏳ через "&amp;(F965-TODAY())&amp;" дн.",""))))</f>
        <v/>
      </c>
      <c r="K965" s="54">
        <f>IF(B965="","",IF(G965="✅ Выполнена","✔ ",IF(G965="❌ Отменена","✖ ",IF(AND(F965&lt;&gt;"",F965&lt;TODAY()),"❗ ","☐ ")))&amp;B965&amp;IF(E965="🔥 Высокий"," 🔥",""))</f>
        <v/>
      </c>
      <c r="L965" s="54">
        <f>IF(OR(B965="",F965="",G965="❌ Отменена"),"",F965&amp;"#"&amp;COUNTIFS($F$5:F965,F965,$B$5:B965,"?*",$G$5:G965,"&lt;&gt;❌ Отменена"))</f>
        <v/>
      </c>
      <c r="M965" s="54">
        <f>IF(AND(B965&lt;&gt;"",F965&lt;&gt;"",F965&lt;TODAY(),AND(G965&lt;&gt;"✅ Выполнена",G965&lt;&gt;"❌ Отменена")),MAX($M$4:M964)+1,"")</f>
        <v/>
      </c>
    </row>
    <row r="966">
      <c r="A966" s="49">
        <f>IF(B966="","",COUNTA($B$5:B966))</f>
        <v/>
      </c>
      <c r="B966" s="50" t="n"/>
      <c r="C966" s="51" t="n"/>
      <c r="D966" s="51" t="n"/>
      <c r="E966" s="52" t="n"/>
      <c r="F966" s="53" t="n"/>
      <c r="G966" s="51" t="n"/>
      <c r="H966" s="53" t="n"/>
      <c r="I966" s="51" t="n"/>
      <c r="J966" s="54">
        <f>IF(OR(B966="",F966="",NOT(AND(G966&lt;&gt;"✅ Выполнена",G966&lt;&gt;"❌ Отменена"))),"",IF(F966&lt;TODAY(),"❗ просрочено "&amp;(TODAY()-F966)&amp;" дн.",IF(F966=TODAY(),"🔥 сегодня",IF(F966-TODAY()&lt;=3,"⏳ через "&amp;(F966-TODAY())&amp;" дн.",""))))</f>
        <v/>
      </c>
      <c r="K966" s="54">
        <f>IF(B966="","",IF(G966="✅ Выполнена","✔ ",IF(G966="❌ Отменена","✖ ",IF(AND(F966&lt;&gt;"",F966&lt;TODAY()),"❗ ","☐ ")))&amp;B966&amp;IF(E966="🔥 Высокий"," 🔥",""))</f>
        <v/>
      </c>
      <c r="L966" s="54">
        <f>IF(OR(B966="",F966="",G966="❌ Отменена"),"",F966&amp;"#"&amp;COUNTIFS($F$5:F966,F966,$B$5:B966,"?*",$G$5:G966,"&lt;&gt;❌ Отменена"))</f>
        <v/>
      </c>
      <c r="M966" s="54">
        <f>IF(AND(B966&lt;&gt;"",F966&lt;&gt;"",F966&lt;TODAY(),AND(G966&lt;&gt;"✅ Выполнена",G966&lt;&gt;"❌ Отменена")),MAX($M$4:M965)+1,"")</f>
        <v/>
      </c>
    </row>
    <row r="967">
      <c r="A967" s="49">
        <f>IF(B967="","",COUNTA($B$5:B967))</f>
        <v/>
      </c>
      <c r="B967" s="50" t="n"/>
      <c r="C967" s="51" t="n"/>
      <c r="D967" s="51" t="n"/>
      <c r="E967" s="52" t="n"/>
      <c r="F967" s="53" t="n"/>
      <c r="G967" s="51" t="n"/>
      <c r="H967" s="53" t="n"/>
      <c r="I967" s="51" t="n"/>
      <c r="J967" s="54">
        <f>IF(OR(B967="",F967="",NOT(AND(G967&lt;&gt;"✅ Выполнена",G967&lt;&gt;"❌ Отменена"))),"",IF(F967&lt;TODAY(),"❗ просрочено "&amp;(TODAY()-F967)&amp;" дн.",IF(F967=TODAY(),"🔥 сегодня",IF(F967-TODAY()&lt;=3,"⏳ через "&amp;(F967-TODAY())&amp;" дн.",""))))</f>
        <v/>
      </c>
      <c r="K967" s="54">
        <f>IF(B967="","",IF(G967="✅ Выполнена","✔ ",IF(G967="❌ Отменена","✖ ",IF(AND(F967&lt;&gt;"",F967&lt;TODAY()),"❗ ","☐ ")))&amp;B967&amp;IF(E967="🔥 Высокий"," 🔥",""))</f>
        <v/>
      </c>
      <c r="L967" s="54">
        <f>IF(OR(B967="",F967="",G967="❌ Отменена"),"",F967&amp;"#"&amp;COUNTIFS($F$5:F967,F967,$B$5:B967,"?*",$G$5:G967,"&lt;&gt;❌ Отменена"))</f>
        <v/>
      </c>
      <c r="M967" s="54">
        <f>IF(AND(B967&lt;&gt;"",F967&lt;&gt;"",F967&lt;TODAY(),AND(G967&lt;&gt;"✅ Выполнена",G967&lt;&gt;"❌ Отменена")),MAX($M$4:M966)+1,"")</f>
        <v/>
      </c>
    </row>
    <row r="968">
      <c r="A968" s="49">
        <f>IF(B968="","",COUNTA($B$5:B968))</f>
        <v/>
      </c>
      <c r="B968" s="50" t="n"/>
      <c r="C968" s="51" t="n"/>
      <c r="D968" s="51" t="n"/>
      <c r="E968" s="52" t="n"/>
      <c r="F968" s="53" t="n"/>
      <c r="G968" s="51" t="n"/>
      <c r="H968" s="53" t="n"/>
      <c r="I968" s="51" t="n"/>
      <c r="J968" s="54">
        <f>IF(OR(B968="",F968="",NOT(AND(G968&lt;&gt;"✅ Выполнена",G968&lt;&gt;"❌ Отменена"))),"",IF(F968&lt;TODAY(),"❗ просрочено "&amp;(TODAY()-F968)&amp;" дн.",IF(F968=TODAY(),"🔥 сегодня",IF(F968-TODAY()&lt;=3,"⏳ через "&amp;(F968-TODAY())&amp;" дн.",""))))</f>
        <v/>
      </c>
      <c r="K968" s="54">
        <f>IF(B968="","",IF(G968="✅ Выполнена","✔ ",IF(G968="❌ Отменена","✖ ",IF(AND(F968&lt;&gt;"",F968&lt;TODAY()),"❗ ","☐ ")))&amp;B968&amp;IF(E968="🔥 Высокий"," 🔥",""))</f>
        <v/>
      </c>
      <c r="L968" s="54">
        <f>IF(OR(B968="",F968="",G968="❌ Отменена"),"",F968&amp;"#"&amp;COUNTIFS($F$5:F968,F968,$B$5:B968,"?*",$G$5:G968,"&lt;&gt;❌ Отменена"))</f>
        <v/>
      </c>
      <c r="M968" s="54">
        <f>IF(AND(B968&lt;&gt;"",F968&lt;&gt;"",F968&lt;TODAY(),AND(G968&lt;&gt;"✅ Выполнена",G968&lt;&gt;"❌ Отменена")),MAX($M$4:M967)+1,"")</f>
        <v/>
      </c>
    </row>
    <row r="969">
      <c r="A969" s="49">
        <f>IF(B969="","",COUNTA($B$5:B969))</f>
        <v/>
      </c>
      <c r="B969" s="50" t="n"/>
      <c r="C969" s="51" t="n"/>
      <c r="D969" s="51" t="n"/>
      <c r="E969" s="52" t="n"/>
      <c r="F969" s="53" t="n"/>
      <c r="G969" s="51" t="n"/>
      <c r="H969" s="53" t="n"/>
      <c r="I969" s="51" t="n"/>
      <c r="J969" s="54">
        <f>IF(OR(B969="",F969="",NOT(AND(G969&lt;&gt;"✅ Выполнена",G969&lt;&gt;"❌ Отменена"))),"",IF(F969&lt;TODAY(),"❗ просрочено "&amp;(TODAY()-F969)&amp;" дн.",IF(F969=TODAY(),"🔥 сегодня",IF(F969-TODAY()&lt;=3,"⏳ через "&amp;(F969-TODAY())&amp;" дн.",""))))</f>
        <v/>
      </c>
      <c r="K969" s="54">
        <f>IF(B969="","",IF(G969="✅ Выполнена","✔ ",IF(G969="❌ Отменена","✖ ",IF(AND(F969&lt;&gt;"",F969&lt;TODAY()),"❗ ","☐ ")))&amp;B969&amp;IF(E969="🔥 Высокий"," 🔥",""))</f>
        <v/>
      </c>
      <c r="L969" s="54">
        <f>IF(OR(B969="",F969="",G969="❌ Отменена"),"",F969&amp;"#"&amp;COUNTIFS($F$5:F969,F969,$B$5:B969,"?*",$G$5:G969,"&lt;&gt;❌ Отменена"))</f>
        <v/>
      </c>
      <c r="M969" s="54">
        <f>IF(AND(B969&lt;&gt;"",F969&lt;&gt;"",F969&lt;TODAY(),AND(G969&lt;&gt;"✅ Выполнена",G969&lt;&gt;"❌ Отменена")),MAX($M$4:M968)+1,"")</f>
        <v/>
      </c>
    </row>
    <row r="970">
      <c r="A970" s="49">
        <f>IF(B970="","",COUNTA($B$5:B970))</f>
        <v/>
      </c>
      <c r="B970" s="50" t="n"/>
      <c r="C970" s="51" t="n"/>
      <c r="D970" s="51" t="n"/>
      <c r="E970" s="52" t="n"/>
      <c r="F970" s="53" t="n"/>
      <c r="G970" s="51" t="n"/>
      <c r="H970" s="53" t="n"/>
      <c r="I970" s="51" t="n"/>
      <c r="J970" s="54">
        <f>IF(OR(B970="",F970="",NOT(AND(G970&lt;&gt;"✅ Выполнена",G970&lt;&gt;"❌ Отменена"))),"",IF(F970&lt;TODAY(),"❗ просрочено "&amp;(TODAY()-F970)&amp;" дн.",IF(F970=TODAY(),"🔥 сегодня",IF(F970-TODAY()&lt;=3,"⏳ через "&amp;(F970-TODAY())&amp;" дн.",""))))</f>
        <v/>
      </c>
      <c r="K970" s="54">
        <f>IF(B970="","",IF(G970="✅ Выполнена","✔ ",IF(G970="❌ Отменена","✖ ",IF(AND(F970&lt;&gt;"",F970&lt;TODAY()),"❗ ","☐ ")))&amp;B970&amp;IF(E970="🔥 Высокий"," 🔥",""))</f>
        <v/>
      </c>
      <c r="L970" s="54">
        <f>IF(OR(B970="",F970="",G970="❌ Отменена"),"",F970&amp;"#"&amp;COUNTIFS($F$5:F970,F970,$B$5:B970,"?*",$G$5:G970,"&lt;&gt;❌ Отменена"))</f>
        <v/>
      </c>
      <c r="M970" s="54">
        <f>IF(AND(B970&lt;&gt;"",F970&lt;&gt;"",F970&lt;TODAY(),AND(G970&lt;&gt;"✅ Выполнена",G970&lt;&gt;"❌ Отменена")),MAX($M$4:M969)+1,"")</f>
        <v/>
      </c>
    </row>
    <row r="971">
      <c r="A971" s="49">
        <f>IF(B971="","",COUNTA($B$5:B971))</f>
        <v/>
      </c>
      <c r="B971" s="50" t="n"/>
      <c r="C971" s="51" t="n"/>
      <c r="D971" s="51" t="n"/>
      <c r="E971" s="52" t="n"/>
      <c r="F971" s="53" t="n"/>
      <c r="G971" s="51" t="n"/>
      <c r="H971" s="53" t="n"/>
      <c r="I971" s="51" t="n"/>
      <c r="J971" s="54">
        <f>IF(OR(B971="",F971="",NOT(AND(G971&lt;&gt;"✅ Выполнена",G971&lt;&gt;"❌ Отменена"))),"",IF(F971&lt;TODAY(),"❗ просрочено "&amp;(TODAY()-F971)&amp;" дн.",IF(F971=TODAY(),"🔥 сегодня",IF(F971-TODAY()&lt;=3,"⏳ через "&amp;(F971-TODAY())&amp;" дн.",""))))</f>
        <v/>
      </c>
      <c r="K971" s="54">
        <f>IF(B971="","",IF(G971="✅ Выполнена","✔ ",IF(G971="❌ Отменена","✖ ",IF(AND(F971&lt;&gt;"",F971&lt;TODAY()),"❗ ","☐ ")))&amp;B971&amp;IF(E971="🔥 Высокий"," 🔥",""))</f>
        <v/>
      </c>
      <c r="L971" s="54">
        <f>IF(OR(B971="",F971="",G971="❌ Отменена"),"",F971&amp;"#"&amp;COUNTIFS($F$5:F971,F971,$B$5:B971,"?*",$G$5:G971,"&lt;&gt;❌ Отменена"))</f>
        <v/>
      </c>
      <c r="M971" s="54">
        <f>IF(AND(B971&lt;&gt;"",F971&lt;&gt;"",F971&lt;TODAY(),AND(G971&lt;&gt;"✅ Выполнена",G971&lt;&gt;"❌ Отменена")),MAX($M$4:M970)+1,"")</f>
        <v/>
      </c>
    </row>
    <row r="972">
      <c r="A972" s="49">
        <f>IF(B972="","",COUNTA($B$5:B972))</f>
        <v/>
      </c>
      <c r="B972" s="50" t="n"/>
      <c r="C972" s="51" t="n"/>
      <c r="D972" s="51" t="n"/>
      <c r="E972" s="52" t="n"/>
      <c r="F972" s="53" t="n"/>
      <c r="G972" s="51" t="n"/>
      <c r="H972" s="53" t="n"/>
      <c r="I972" s="51" t="n"/>
      <c r="J972" s="54">
        <f>IF(OR(B972="",F972="",NOT(AND(G972&lt;&gt;"✅ Выполнена",G972&lt;&gt;"❌ Отменена"))),"",IF(F972&lt;TODAY(),"❗ просрочено "&amp;(TODAY()-F972)&amp;" дн.",IF(F972=TODAY(),"🔥 сегодня",IF(F972-TODAY()&lt;=3,"⏳ через "&amp;(F972-TODAY())&amp;" дн.",""))))</f>
        <v/>
      </c>
      <c r="K972" s="54">
        <f>IF(B972="","",IF(G972="✅ Выполнена","✔ ",IF(G972="❌ Отменена","✖ ",IF(AND(F972&lt;&gt;"",F972&lt;TODAY()),"❗ ","☐ ")))&amp;B972&amp;IF(E972="🔥 Высокий"," 🔥",""))</f>
        <v/>
      </c>
      <c r="L972" s="54">
        <f>IF(OR(B972="",F972="",G972="❌ Отменена"),"",F972&amp;"#"&amp;COUNTIFS($F$5:F972,F972,$B$5:B972,"?*",$G$5:G972,"&lt;&gt;❌ Отменена"))</f>
        <v/>
      </c>
      <c r="M972" s="54">
        <f>IF(AND(B972&lt;&gt;"",F972&lt;&gt;"",F972&lt;TODAY(),AND(G972&lt;&gt;"✅ Выполнена",G972&lt;&gt;"❌ Отменена")),MAX($M$4:M971)+1,"")</f>
        <v/>
      </c>
    </row>
    <row r="973">
      <c r="A973" s="49">
        <f>IF(B973="","",COUNTA($B$5:B973))</f>
        <v/>
      </c>
      <c r="B973" s="50" t="n"/>
      <c r="C973" s="51" t="n"/>
      <c r="D973" s="51" t="n"/>
      <c r="E973" s="52" t="n"/>
      <c r="F973" s="53" t="n"/>
      <c r="G973" s="51" t="n"/>
      <c r="H973" s="53" t="n"/>
      <c r="I973" s="51" t="n"/>
      <c r="J973" s="54">
        <f>IF(OR(B973="",F973="",NOT(AND(G973&lt;&gt;"✅ Выполнена",G973&lt;&gt;"❌ Отменена"))),"",IF(F973&lt;TODAY(),"❗ просрочено "&amp;(TODAY()-F973)&amp;" дн.",IF(F973=TODAY(),"🔥 сегодня",IF(F973-TODAY()&lt;=3,"⏳ через "&amp;(F973-TODAY())&amp;" дн.",""))))</f>
        <v/>
      </c>
      <c r="K973" s="54">
        <f>IF(B973="","",IF(G973="✅ Выполнена","✔ ",IF(G973="❌ Отменена","✖ ",IF(AND(F973&lt;&gt;"",F973&lt;TODAY()),"❗ ","☐ ")))&amp;B973&amp;IF(E973="🔥 Высокий"," 🔥",""))</f>
        <v/>
      </c>
      <c r="L973" s="54">
        <f>IF(OR(B973="",F973="",G973="❌ Отменена"),"",F973&amp;"#"&amp;COUNTIFS($F$5:F973,F973,$B$5:B973,"?*",$G$5:G973,"&lt;&gt;❌ Отменена"))</f>
        <v/>
      </c>
      <c r="M973" s="54">
        <f>IF(AND(B973&lt;&gt;"",F973&lt;&gt;"",F973&lt;TODAY(),AND(G973&lt;&gt;"✅ Выполнена",G973&lt;&gt;"❌ Отменена")),MAX($M$4:M972)+1,"")</f>
        <v/>
      </c>
    </row>
    <row r="974">
      <c r="A974" s="49">
        <f>IF(B974="","",COUNTA($B$5:B974))</f>
        <v/>
      </c>
      <c r="B974" s="50" t="n"/>
      <c r="C974" s="51" t="n"/>
      <c r="D974" s="51" t="n"/>
      <c r="E974" s="52" t="n"/>
      <c r="F974" s="53" t="n"/>
      <c r="G974" s="51" t="n"/>
      <c r="H974" s="53" t="n"/>
      <c r="I974" s="51" t="n"/>
      <c r="J974" s="54">
        <f>IF(OR(B974="",F974="",NOT(AND(G974&lt;&gt;"✅ Выполнена",G974&lt;&gt;"❌ Отменена"))),"",IF(F974&lt;TODAY(),"❗ просрочено "&amp;(TODAY()-F974)&amp;" дн.",IF(F974=TODAY(),"🔥 сегодня",IF(F974-TODAY()&lt;=3,"⏳ через "&amp;(F974-TODAY())&amp;" дн.",""))))</f>
        <v/>
      </c>
      <c r="K974" s="54">
        <f>IF(B974="","",IF(G974="✅ Выполнена","✔ ",IF(G974="❌ Отменена","✖ ",IF(AND(F974&lt;&gt;"",F974&lt;TODAY()),"❗ ","☐ ")))&amp;B974&amp;IF(E974="🔥 Высокий"," 🔥",""))</f>
        <v/>
      </c>
      <c r="L974" s="54">
        <f>IF(OR(B974="",F974="",G974="❌ Отменена"),"",F974&amp;"#"&amp;COUNTIFS($F$5:F974,F974,$B$5:B974,"?*",$G$5:G974,"&lt;&gt;❌ Отменена"))</f>
        <v/>
      </c>
      <c r="M974" s="54">
        <f>IF(AND(B974&lt;&gt;"",F974&lt;&gt;"",F974&lt;TODAY(),AND(G974&lt;&gt;"✅ Выполнена",G974&lt;&gt;"❌ Отменена")),MAX($M$4:M973)+1,"")</f>
        <v/>
      </c>
    </row>
    <row r="975">
      <c r="A975" s="49">
        <f>IF(B975="","",COUNTA($B$5:B975))</f>
        <v/>
      </c>
      <c r="B975" s="50" t="n"/>
      <c r="C975" s="51" t="n"/>
      <c r="D975" s="51" t="n"/>
      <c r="E975" s="52" t="n"/>
      <c r="F975" s="53" t="n"/>
      <c r="G975" s="51" t="n"/>
      <c r="H975" s="53" t="n"/>
      <c r="I975" s="51" t="n"/>
      <c r="J975" s="54">
        <f>IF(OR(B975="",F975="",NOT(AND(G975&lt;&gt;"✅ Выполнена",G975&lt;&gt;"❌ Отменена"))),"",IF(F975&lt;TODAY(),"❗ просрочено "&amp;(TODAY()-F975)&amp;" дн.",IF(F975=TODAY(),"🔥 сегодня",IF(F975-TODAY()&lt;=3,"⏳ через "&amp;(F975-TODAY())&amp;" дн.",""))))</f>
        <v/>
      </c>
      <c r="K975" s="54">
        <f>IF(B975="","",IF(G975="✅ Выполнена","✔ ",IF(G975="❌ Отменена","✖ ",IF(AND(F975&lt;&gt;"",F975&lt;TODAY()),"❗ ","☐ ")))&amp;B975&amp;IF(E975="🔥 Высокий"," 🔥",""))</f>
        <v/>
      </c>
      <c r="L975" s="54">
        <f>IF(OR(B975="",F975="",G975="❌ Отменена"),"",F975&amp;"#"&amp;COUNTIFS($F$5:F975,F975,$B$5:B975,"?*",$G$5:G975,"&lt;&gt;❌ Отменена"))</f>
        <v/>
      </c>
      <c r="M975" s="54">
        <f>IF(AND(B975&lt;&gt;"",F975&lt;&gt;"",F975&lt;TODAY(),AND(G975&lt;&gt;"✅ Выполнена",G975&lt;&gt;"❌ Отменена")),MAX($M$4:M974)+1,"")</f>
        <v/>
      </c>
    </row>
    <row r="976">
      <c r="A976" s="49">
        <f>IF(B976="","",COUNTA($B$5:B976))</f>
        <v/>
      </c>
      <c r="B976" s="50" t="n"/>
      <c r="C976" s="51" t="n"/>
      <c r="D976" s="51" t="n"/>
      <c r="E976" s="52" t="n"/>
      <c r="F976" s="53" t="n"/>
      <c r="G976" s="51" t="n"/>
      <c r="H976" s="53" t="n"/>
      <c r="I976" s="51" t="n"/>
      <c r="J976" s="54">
        <f>IF(OR(B976="",F976="",NOT(AND(G976&lt;&gt;"✅ Выполнена",G976&lt;&gt;"❌ Отменена"))),"",IF(F976&lt;TODAY(),"❗ просрочено "&amp;(TODAY()-F976)&amp;" дн.",IF(F976=TODAY(),"🔥 сегодня",IF(F976-TODAY()&lt;=3,"⏳ через "&amp;(F976-TODAY())&amp;" дн.",""))))</f>
        <v/>
      </c>
      <c r="K976" s="54">
        <f>IF(B976="","",IF(G976="✅ Выполнена","✔ ",IF(G976="❌ Отменена","✖ ",IF(AND(F976&lt;&gt;"",F976&lt;TODAY()),"❗ ","☐ ")))&amp;B976&amp;IF(E976="🔥 Высокий"," 🔥",""))</f>
        <v/>
      </c>
      <c r="L976" s="54">
        <f>IF(OR(B976="",F976="",G976="❌ Отменена"),"",F976&amp;"#"&amp;COUNTIFS($F$5:F976,F976,$B$5:B976,"?*",$G$5:G976,"&lt;&gt;❌ Отменена"))</f>
        <v/>
      </c>
      <c r="M976" s="54">
        <f>IF(AND(B976&lt;&gt;"",F976&lt;&gt;"",F976&lt;TODAY(),AND(G976&lt;&gt;"✅ Выполнена",G976&lt;&gt;"❌ Отменена")),MAX($M$4:M975)+1,"")</f>
        <v/>
      </c>
    </row>
    <row r="977">
      <c r="A977" s="49">
        <f>IF(B977="","",COUNTA($B$5:B977))</f>
        <v/>
      </c>
      <c r="B977" s="50" t="n"/>
      <c r="C977" s="51" t="n"/>
      <c r="D977" s="51" t="n"/>
      <c r="E977" s="52" t="n"/>
      <c r="F977" s="53" t="n"/>
      <c r="G977" s="51" t="n"/>
      <c r="H977" s="53" t="n"/>
      <c r="I977" s="51" t="n"/>
      <c r="J977" s="54">
        <f>IF(OR(B977="",F977="",NOT(AND(G977&lt;&gt;"✅ Выполнена",G977&lt;&gt;"❌ Отменена"))),"",IF(F977&lt;TODAY(),"❗ просрочено "&amp;(TODAY()-F977)&amp;" дн.",IF(F977=TODAY(),"🔥 сегодня",IF(F977-TODAY()&lt;=3,"⏳ через "&amp;(F977-TODAY())&amp;" дн.",""))))</f>
        <v/>
      </c>
      <c r="K977" s="54">
        <f>IF(B977="","",IF(G977="✅ Выполнена","✔ ",IF(G977="❌ Отменена","✖ ",IF(AND(F977&lt;&gt;"",F977&lt;TODAY()),"❗ ","☐ ")))&amp;B977&amp;IF(E977="🔥 Высокий"," 🔥",""))</f>
        <v/>
      </c>
      <c r="L977" s="54">
        <f>IF(OR(B977="",F977="",G977="❌ Отменена"),"",F977&amp;"#"&amp;COUNTIFS($F$5:F977,F977,$B$5:B977,"?*",$G$5:G977,"&lt;&gt;❌ Отменена"))</f>
        <v/>
      </c>
      <c r="M977" s="54">
        <f>IF(AND(B977&lt;&gt;"",F977&lt;&gt;"",F977&lt;TODAY(),AND(G977&lt;&gt;"✅ Выполнена",G977&lt;&gt;"❌ Отменена")),MAX($M$4:M976)+1,"")</f>
        <v/>
      </c>
    </row>
    <row r="978">
      <c r="A978" s="49">
        <f>IF(B978="","",COUNTA($B$5:B978))</f>
        <v/>
      </c>
      <c r="B978" s="50" t="n"/>
      <c r="C978" s="51" t="n"/>
      <c r="D978" s="51" t="n"/>
      <c r="E978" s="52" t="n"/>
      <c r="F978" s="53" t="n"/>
      <c r="G978" s="51" t="n"/>
      <c r="H978" s="53" t="n"/>
      <c r="I978" s="51" t="n"/>
      <c r="J978" s="54">
        <f>IF(OR(B978="",F978="",NOT(AND(G978&lt;&gt;"✅ Выполнена",G978&lt;&gt;"❌ Отменена"))),"",IF(F978&lt;TODAY(),"❗ просрочено "&amp;(TODAY()-F978)&amp;" дн.",IF(F978=TODAY(),"🔥 сегодня",IF(F978-TODAY()&lt;=3,"⏳ через "&amp;(F978-TODAY())&amp;" дн.",""))))</f>
        <v/>
      </c>
      <c r="K978" s="54">
        <f>IF(B978="","",IF(G978="✅ Выполнена","✔ ",IF(G978="❌ Отменена","✖ ",IF(AND(F978&lt;&gt;"",F978&lt;TODAY()),"❗ ","☐ ")))&amp;B978&amp;IF(E978="🔥 Высокий"," 🔥",""))</f>
        <v/>
      </c>
      <c r="L978" s="54">
        <f>IF(OR(B978="",F978="",G978="❌ Отменена"),"",F978&amp;"#"&amp;COUNTIFS($F$5:F978,F978,$B$5:B978,"?*",$G$5:G978,"&lt;&gt;❌ Отменена"))</f>
        <v/>
      </c>
      <c r="M978" s="54">
        <f>IF(AND(B978&lt;&gt;"",F978&lt;&gt;"",F978&lt;TODAY(),AND(G978&lt;&gt;"✅ Выполнена",G978&lt;&gt;"❌ Отменена")),MAX($M$4:M977)+1,"")</f>
        <v/>
      </c>
    </row>
    <row r="979">
      <c r="A979" s="49">
        <f>IF(B979="","",COUNTA($B$5:B979))</f>
        <v/>
      </c>
      <c r="B979" s="50" t="n"/>
      <c r="C979" s="51" t="n"/>
      <c r="D979" s="51" t="n"/>
      <c r="E979" s="52" t="n"/>
      <c r="F979" s="53" t="n"/>
      <c r="G979" s="51" t="n"/>
      <c r="H979" s="53" t="n"/>
      <c r="I979" s="51" t="n"/>
      <c r="J979" s="54">
        <f>IF(OR(B979="",F979="",NOT(AND(G979&lt;&gt;"✅ Выполнена",G979&lt;&gt;"❌ Отменена"))),"",IF(F979&lt;TODAY(),"❗ просрочено "&amp;(TODAY()-F979)&amp;" дн.",IF(F979=TODAY(),"🔥 сегодня",IF(F979-TODAY()&lt;=3,"⏳ через "&amp;(F979-TODAY())&amp;" дн.",""))))</f>
        <v/>
      </c>
      <c r="K979" s="54">
        <f>IF(B979="","",IF(G979="✅ Выполнена","✔ ",IF(G979="❌ Отменена","✖ ",IF(AND(F979&lt;&gt;"",F979&lt;TODAY()),"❗ ","☐ ")))&amp;B979&amp;IF(E979="🔥 Высокий"," 🔥",""))</f>
        <v/>
      </c>
      <c r="L979" s="54">
        <f>IF(OR(B979="",F979="",G979="❌ Отменена"),"",F979&amp;"#"&amp;COUNTIFS($F$5:F979,F979,$B$5:B979,"?*",$G$5:G979,"&lt;&gt;❌ Отменена"))</f>
        <v/>
      </c>
      <c r="M979" s="54">
        <f>IF(AND(B979&lt;&gt;"",F979&lt;&gt;"",F979&lt;TODAY(),AND(G979&lt;&gt;"✅ Выполнена",G979&lt;&gt;"❌ Отменена")),MAX($M$4:M978)+1,"")</f>
        <v/>
      </c>
    </row>
    <row r="980">
      <c r="A980" s="49">
        <f>IF(B980="","",COUNTA($B$5:B980))</f>
        <v/>
      </c>
      <c r="B980" s="50" t="n"/>
      <c r="C980" s="51" t="n"/>
      <c r="D980" s="51" t="n"/>
      <c r="E980" s="52" t="n"/>
      <c r="F980" s="53" t="n"/>
      <c r="G980" s="51" t="n"/>
      <c r="H980" s="53" t="n"/>
      <c r="I980" s="51" t="n"/>
      <c r="J980" s="54">
        <f>IF(OR(B980="",F980="",NOT(AND(G980&lt;&gt;"✅ Выполнена",G980&lt;&gt;"❌ Отменена"))),"",IF(F980&lt;TODAY(),"❗ просрочено "&amp;(TODAY()-F980)&amp;" дн.",IF(F980=TODAY(),"🔥 сегодня",IF(F980-TODAY()&lt;=3,"⏳ через "&amp;(F980-TODAY())&amp;" дн.",""))))</f>
        <v/>
      </c>
      <c r="K980" s="54">
        <f>IF(B980="","",IF(G980="✅ Выполнена","✔ ",IF(G980="❌ Отменена","✖ ",IF(AND(F980&lt;&gt;"",F980&lt;TODAY()),"❗ ","☐ ")))&amp;B980&amp;IF(E980="🔥 Высокий"," 🔥",""))</f>
        <v/>
      </c>
      <c r="L980" s="54">
        <f>IF(OR(B980="",F980="",G980="❌ Отменена"),"",F980&amp;"#"&amp;COUNTIFS($F$5:F980,F980,$B$5:B980,"?*",$G$5:G980,"&lt;&gt;❌ Отменена"))</f>
        <v/>
      </c>
      <c r="M980" s="54">
        <f>IF(AND(B980&lt;&gt;"",F980&lt;&gt;"",F980&lt;TODAY(),AND(G980&lt;&gt;"✅ Выполнена",G980&lt;&gt;"❌ Отменена")),MAX($M$4:M979)+1,"")</f>
        <v/>
      </c>
    </row>
    <row r="981">
      <c r="A981" s="49">
        <f>IF(B981="","",COUNTA($B$5:B981))</f>
        <v/>
      </c>
      <c r="B981" s="50" t="n"/>
      <c r="C981" s="51" t="n"/>
      <c r="D981" s="51" t="n"/>
      <c r="E981" s="52" t="n"/>
      <c r="F981" s="53" t="n"/>
      <c r="G981" s="51" t="n"/>
      <c r="H981" s="53" t="n"/>
      <c r="I981" s="51" t="n"/>
      <c r="J981" s="54">
        <f>IF(OR(B981="",F981="",NOT(AND(G981&lt;&gt;"✅ Выполнена",G981&lt;&gt;"❌ Отменена"))),"",IF(F981&lt;TODAY(),"❗ просрочено "&amp;(TODAY()-F981)&amp;" дн.",IF(F981=TODAY(),"🔥 сегодня",IF(F981-TODAY()&lt;=3,"⏳ через "&amp;(F981-TODAY())&amp;" дн.",""))))</f>
        <v/>
      </c>
      <c r="K981" s="54">
        <f>IF(B981="","",IF(G981="✅ Выполнена","✔ ",IF(G981="❌ Отменена","✖ ",IF(AND(F981&lt;&gt;"",F981&lt;TODAY()),"❗ ","☐ ")))&amp;B981&amp;IF(E981="🔥 Высокий"," 🔥",""))</f>
        <v/>
      </c>
      <c r="L981" s="54">
        <f>IF(OR(B981="",F981="",G981="❌ Отменена"),"",F981&amp;"#"&amp;COUNTIFS($F$5:F981,F981,$B$5:B981,"?*",$G$5:G981,"&lt;&gt;❌ Отменена"))</f>
        <v/>
      </c>
      <c r="M981" s="54">
        <f>IF(AND(B981&lt;&gt;"",F981&lt;&gt;"",F981&lt;TODAY(),AND(G981&lt;&gt;"✅ Выполнена",G981&lt;&gt;"❌ Отменена")),MAX($M$4:M980)+1,"")</f>
        <v/>
      </c>
    </row>
    <row r="982">
      <c r="A982" s="49">
        <f>IF(B982="","",COUNTA($B$5:B982))</f>
        <v/>
      </c>
      <c r="B982" s="50" t="n"/>
      <c r="C982" s="51" t="n"/>
      <c r="D982" s="51" t="n"/>
      <c r="E982" s="52" t="n"/>
      <c r="F982" s="53" t="n"/>
      <c r="G982" s="51" t="n"/>
      <c r="H982" s="53" t="n"/>
      <c r="I982" s="51" t="n"/>
      <c r="J982" s="54">
        <f>IF(OR(B982="",F982="",NOT(AND(G982&lt;&gt;"✅ Выполнена",G982&lt;&gt;"❌ Отменена"))),"",IF(F982&lt;TODAY(),"❗ просрочено "&amp;(TODAY()-F982)&amp;" дн.",IF(F982=TODAY(),"🔥 сегодня",IF(F982-TODAY()&lt;=3,"⏳ через "&amp;(F982-TODAY())&amp;" дн.",""))))</f>
        <v/>
      </c>
      <c r="K982" s="54">
        <f>IF(B982="","",IF(G982="✅ Выполнена","✔ ",IF(G982="❌ Отменена","✖ ",IF(AND(F982&lt;&gt;"",F982&lt;TODAY()),"❗ ","☐ ")))&amp;B982&amp;IF(E982="🔥 Высокий"," 🔥",""))</f>
        <v/>
      </c>
      <c r="L982" s="54">
        <f>IF(OR(B982="",F982="",G982="❌ Отменена"),"",F982&amp;"#"&amp;COUNTIFS($F$5:F982,F982,$B$5:B982,"?*",$G$5:G982,"&lt;&gt;❌ Отменена"))</f>
        <v/>
      </c>
      <c r="M982" s="54">
        <f>IF(AND(B982&lt;&gt;"",F982&lt;&gt;"",F982&lt;TODAY(),AND(G982&lt;&gt;"✅ Выполнена",G982&lt;&gt;"❌ Отменена")),MAX($M$4:M981)+1,"")</f>
        <v/>
      </c>
    </row>
    <row r="983">
      <c r="A983" s="49">
        <f>IF(B983="","",COUNTA($B$5:B983))</f>
        <v/>
      </c>
      <c r="B983" s="50" t="n"/>
      <c r="C983" s="51" t="n"/>
      <c r="D983" s="51" t="n"/>
      <c r="E983" s="52" t="n"/>
      <c r="F983" s="53" t="n"/>
      <c r="G983" s="51" t="n"/>
      <c r="H983" s="53" t="n"/>
      <c r="I983" s="51" t="n"/>
      <c r="J983" s="54">
        <f>IF(OR(B983="",F983="",NOT(AND(G983&lt;&gt;"✅ Выполнена",G983&lt;&gt;"❌ Отменена"))),"",IF(F983&lt;TODAY(),"❗ просрочено "&amp;(TODAY()-F983)&amp;" дн.",IF(F983=TODAY(),"🔥 сегодня",IF(F983-TODAY()&lt;=3,"⏳ через "&amp;(F983-TODAY())&amp;" дн.",""))))</f>
        <v/>
      </c>
      <c r="K983" s="54">
        <f>IF(B983="","",IF(G983="✅ Выполнена","✔ ",IF(G983="❌ Отменена","✖ ",IF(AND(F983&lt;&gt;"",F983&lt;TODAY()),"❗ ","☐ ")))&amp;B983&amp;IF(E983="🔥 Высокий"," 🔥",""))</f>
        <v/>
      </c>
      <c r="L983" s="54">
        <f>IF(OR(B983="",F983="",G983="❌ Отменена"),"",F983&amp;"#"&amp;COUNTIFS($F$5:F983,F983,$B$5:B983,"?*",$G$5:G983,"&lt;&gt;❌ Отменена"))</f>
        <v/>
      </c>
      <c r="M983" s="54">
        <f>IF(AND(B983&lt;&gt;"",F983&lt;&gt;"",F983&lt;TODAY(),AND(G983&lt;&gt;"✅ Выполнена",G983&lt;&gt;"❌ Отменена")),MAX($M$4:M982)+1,"")</f>
        <v/>
      </c>
    </row>
    <row r="984">
      <c r="A984" s="49">
        <f>IF(B984="","",COUNTA($B$5:B984))</f>
        <v/>
      </c>
      <c r="B984" s="50" t="n"/>
      <c r="C984" s="51" t="n"/>
      <c r="D984" s="51" t="n"/>
      <c r="E984" s="52" t="n"/>
      <c r="F984" s="53" t="n"/>
      <c r="G984" s="51" t="n"/>
      <c r="H984" s="53" t="n"/>
      <c r="I984" s="51" t="n"/>
      <c r="J984" s="54">
        <f>IF(OR(B984="",F984="",NOT(AND(G984&lt;&gt;"✅ Выполнена",G984&lt;&gt;"❌ Отменена"))),"",IF(F984&lt;TODAY(),"❗ просрочено "&amp;(TODAY()-F984)&amp;" дн.",IF(F984=TODAY(),"🔥 сегодня",IF(F984-TODAY()&lt;=3,"⏳ через "&amp;(F984-TODAY())&amp;" дн.",""))))</f>
        <v/>
      </c>
      <c r="K984" s="54">
        <f>IF(B984="","",IF(G984="✅ Выполнена","✔ ",IF(G984="❌ Отменена","✖ ",IF(AND(F984&lt;&gt;"",F984&lt;TODAY()),"❗ ","☐ ")))&amp;B984&amp;IF(E984="🔥 Высокий"," 🔥",""))</f>
        <v/>
      </c>
      <c r="L984" s="54">
        <f>IF(OR(B984="",F984="",G984="❌ Отменена"),"",F984&amp;"#"&amp;COUNTIFS($F$5:F984,F984,$B$5:B984,"?*",$G$5:G984,"&lt;&gt;❌ Отменена"))</f>
        <v/>
      </c>
      <c r="M984" s="54">
        <f>IF(AND(B984&lt;&gt;"",F984&lt;&gt;"",F984&lt;TODAY(),AND(G984&lt;&gt;"✅ Выполнена",G984&lt;&gt;"❌ Отменена")),MAX($M$4:M983)+1,"")</f>
        <v/>
      </c>
    </row>
    <row r="985">
      <c r="A985" s="49">
        <f>IF(B985="","",COUNTA($B$5:B985))</f>
        <v/>
      </c>
      <c r="B985" s="50" t="n"/>
      <c r="C985" s="51" t="n"/>
      <c r="D985" s="51" t="n"/>
      <c r="E985" s="52" t="n"/>
      <c r="F985" s="53" t="n"/>
      <c r="G985" s="51" t="n"/>
      <c r="H985" s="53" t="n"/>
      <c r="I985" s="51" t="n"/>
      <c r="J985" s="54">
        <f>IF(OR(B985="",F985="",NOT(AND(G985&lt;&gt;"✅ Выполнена",G985&lt;&gt;"❌ Отменена"))),"",IF(F985&lt;TODAY(),"❗ просрочено "&amp;(TODAY()-F985)&amp;" дн.",IF(F985=TODAY(),"🔥 сегодня",IF(F985-TODAY()&lt;=3,"⏳ через "&amp;(F985-TODAY())&amp;" дн.",""))))</f>
        <v/>
      </c>
      <c r="K985" s="54">
        <f>IF(B985="","",IF(G985="✅ Выполнена","✔ ",IF(G985="❌ Отменена","✖ ",IF(AND(F985&lt;&gt;"",F985&lt;TODAY()),"❗ ","☐ ")))&amp;B985&amp;IF(E985="🔥 Высокий"," 🔥",""))</f>
        <v/>
      </c>
      <c r="L985" s="54">
        <f>IF(OR(B985="",F985="",G985="❌ Отменена"),"",F985&amp;"#"&amp;COUNTIFS($F$5:F985,F985,$B$5:B985,"?*",$G$5:G985,"&lt;&gt;❌ Отменена"))</f>
        <v/>
      </c>
      <c r="M985" s="54">
        <f>IF(AND(B985&lt;&gt;"",F985&lt;&gt;"",F985&lt;TODAY(),AND(G985&lt;&gt;"✅ Выполнена",G985&lt;&gt;"❌ Отменена")),MAX($M$4:M984)+1,"")</f>
        <v/>
      </c>
    </row>
    <row r="986">
      <c r="A986" s="49">
        <f>IF(B986="","",COUNTA($B$5:B986))</f>
        <v/>
      </c>
      <c r="B986" s="50" t="n"/>
      <c r="C986" s="51" t="n"/>
      <c r="D986" s="51" t="n"/>
      <c r="E986" s="52" t="n"/>
      <c r="F986" s="53" t="n"/>
      <c r="G986" s="51" t="n"/>
      <c r="H986" s="53" t="n"/>
      <c r="I986" s="51" t="n"/>
      <c r="J986" s="54">
        <f>IF(OR(B986="",F986="",NOT(AND(G986&lt;&gt;"✅ Выполнена",G986&lt;&gt;"❌ Отменена"))),"",IF(F986&lt;TODAY(),"❗ просрочено "&amp;(TODAY()-F986)&amp;" дн.",IF(F986=TODAY(),"🔥 сегодня",IF(F986-TODAY()&lt;=3,"⏳ через "&amp;(F986-TODAY())&amp;" дн.",""))))</f>
        <v/>
      </c>
      <c r="K986" s="54">
        <f>IF(B986="","",IF(G986="✅ Выполнена","✔ ",IF(G986="❌ Отменена","✖ ",IF(AND(F986&lt;&gt;"",F986&lt;TODAY()),"❗ ","☐ ")))&amp;B986&amp;IF(E986="🔥 Высокий"," 🔥",""))</f>
        <v/>
      </c>
      <c r="L986" s="54">
        <f>IF(OR(B986="",F986="",G986="❌ Отменена"),"",F986&amp;"#"&amp;COUNTIFS($F$5:F986,F986,$B$5:B986,"?*",$G$5:G986,"&lt;&gt;❌ Отменена"))</f>
        <v/>
      </c>
      <c r="M986" s="54">
        <f>IF(AND(B986&lt;&gt;"",F986&lt;&gt;"",F986&lt;TODAY(),AND(G986&lt;&gt;"✅ Выполнена",G986&lt;&gt;"❌ Отменена")),MAX($M$4:M985)+1,"")</f>
        <v/>
      </c>
    </row>
    <row r="987">
      <c r="A987" s="49">
        <f>IF(B987="","",COUNTA($B$5:B987))</f>
        <v/>
      </c>
      <c r="B987" s="50" t="n"/>
      <c r="C987" s="51" t="n"/>
      <c r="D987" s="51" t="n"/>
      <c r="E987" s="52" t="n"/>
      <c r="F987" s="53" t="n"/>
      <c r="G987" s="51" t="n"/>
      <c r="H987" s="53" t="n"/>
      <c r="I987" s="51" t="n"/>
      <c r="J987" s="54">
        <f>IF(OR(B987="",F987="",NOT(AND(G987&lt;&gt;"✅ Выполнена",G987&lt;&gt;"❌ Отменена"))),"",IF(F987&lt;TODAY(),"❗ просрочено "&amp;(TODAY()-F987)&amp;" дн.",IF(F987=TODAY(),"🔥 сегодня",IF(F987-TODAY()&lt;=3,"⏳ через "&amp;(F987-TODAY())&amp;" дн.",""))))</f>
        <v/>
      </c>
      <c r="K987" s="54">
        <f>IF(B987="","",IF(G987="✅ Выполнена","✔ ",IF(G987="❌ Отменена","✖ ",IF(AND(F987&lt;&gt;"",F987&lt;TODAY()),"❗ ","☐ ")))&amp;B987&amp;IF(E987="🔥 Высокий"," 🔥",""))</f>
        <v/>
      </c>
      <c r="L987" s="54">
        <f>IF(OR(B987="",F987="",G987="❌ Отменена"),"",F987&amp;"#"&amp;COUNTIFS($F$5:F987,F987,$B$5:B987,"?*",$G$5:G987,"&lt;&gt;❌ Отменена"))</f>
        <v/>
      </c>
      <c r="M987" s="54">
        <f>IF(AND(B987&lt;&gt;"",F987&lt;&gt;"",F987&lt;TODAY(),AND(G987&lt;&gt;"✅ Выполнена",G987&lt;&gt;"❌ Отменена")),MAX($M$4:M986)+1,"")</f>
        <v/>
      </c>
    </row>
    <row r="988">
      <c r="A988" s="49">
        <f>IF(B988="","",COUNTA($B$5:B988))</f>
        <v/>
      </c>
      <c r="B988" s="50" t="n"/>
      <c r="C988" s="51" t="n"/>
      <c r="D988" s="51" t="n"/>
      <c r="E988" s="52" t="n"/>
      <c r="F988" s="53" t="n"/>
      <c r="G988" s="51" t="n"/>
      <c r="H988" s="53" t="n"/>
      <c r="I988" s="51" t="n"/>
      <c r="J988" s="54">
        <f>IF(OR(B988="",F988="",NOT(AND(G988&lt;&gt;"✅ Выполнена",G988&lt;&gt;"❌ Отменена"))),"",IF(F988&lt;TODAY(),"❗ просрочено "&amp;(TODAY()-F988)&amp;" дн.",IF(F988=TODAY(),"🔥 сегодня",IF(F988-TODAY()&lt;=3,"⏳ через "&amp;(F988-TODAY())&amp;" дн.",""))))</f>
        <v/>
      </c>
      <c r="K988" s="54">
        <f>IF(B988="","",IF(G988="✅ Выполнена","✔ ",IF(G988="❌ Отменена","✖ ",IF(AND(F988&lt;&gt;"",F988&lt;TODAY()),"❗ ","☐ ")))&amp;B988&amp;IF(E988="🔥 Высокий"," 🔥",""))</f>
        <v/>
      </c>
      <c r="L988" s="54">
        <f>IF(OR(B988="",F988="",G988="❌ Отменена"),"",F988&amp;"#"&amp;COUNTIFS($F$5:F988,F988,$B$5:B988,"?*",$G$5:G988,"&lt;&gt;❌ Отменена"))</f>
        <v/>
      </c>
      <c r="M988" s="54">
        <f>IF(AND(B988&lt;&gt;"",F988&lt;&gt;"",F988&lt;TODAY(),AND(G988&lt;&gt;"✅ Выполнена",G988&lt;&gt;"❌ Отменена")),MAX($M$4:M987)+1,"")</f>
        <v/>
      </c>
    </row>
    <row r="989">
      <c r="A989" s="49">
        <f>IF(B989="","",COUNTA($B$5:B989))</f>
        <v/>
      </c>
      <c r="B989" s="50" t="n"/>
      <c r="C989" s="51" t="n"/>
      <c r="D989" s="51" t="n"/>
      <c r="E989" s="52" t="n"/>
      <c r="F989" s="53" t="n"/>
      <c r="G989" s="51" t="n"/>
      <c r="H989" s="53" t="n"/>
      <c r="I989" s="51" t="n"/>
      <c r="J989" s="54">
        <f>IF(OR(B989="",F989="",NOT(AND(G989&lt;&gt;"✅ Выполнена",G989&lt;&gt;"❌ Отменена"))),"",IF(F989&lt;TODAY(),"❗ просрочено "&amp;(TODAY()-F989)&amp;" дн.",IF(F989=TODAY(),"🔥 сегодня",IF(F989-TODAY()&lt;=3,"⏳ через "&amp;(F989-TODAY())&amp;" дн.",""))))</f>
        <v/>
      </c>
      <c r="K989" s="54">
        <f>IF(B989="","",IF(G989="✅ Выполнена","✔ ",IF(G989="❌ Отменена","✖ ",IF(AND(F989&lt;&gt;"",F989&lt;TODAY()),"❗ ","☐ ")))&amp;B989&amp;IF(E989="🔥 Высокий"," 🔥",""))</f>
        <v/>
      </c>
      <c r="L989" s="54">
        <f>IF(OR(B989="",F989="",G989="❌ Отменена"),"",F989&amp;"#"&amp;COUNTIFS($F$5:F989,F989,$B$5:B989,"?*",$G$5:G989,"&lt;&gt;❌ Отменена"))</f>
        <v/>
      </c>
      <c r="M989" s="54">
        <f>IF(AND(B989&lt;&gt;"",F989&lt;&gt;"",F989&lt;TODAY(),AND(G989&lt;&gt;"✅ Выполнена",G989&lt;&gt;"❌ Отменена")),MAX($M$4:M988)+1,"")</f>
        <v/>
      </c>
    </row>
    <row r="990">
      <c r="A990" s="49">
        <f>IF(B990="","",COUNTA($B$5:B990))</f>
        <v/>
      </c>
      <c r="B990" s="50" t="n"/>
      <c r="C990" s="51" t="n"/>
      <c r="D990" s="51" t="n"/>
      <c r="E990" s="52" t="n"/>
      <c r="F990" s="53" t="n"/>
      <c r="G990" s="51" t="n"/>
      <c r="H990" s="53" t="n"/>
      <c r="I990" s="51" t="n"/>
      <c r="J990" s="54">
        <f>IF(OR(B990="",F990="",NOT(AND(G990&lt;&gt;"✅ Выполнена",G990&lt;&gt;"❌ Отменена"))),"",IF(F990&lt;TODAY(),"❗ просрочено "&amp;(TODAY()-F990)&amp;" дн.",IF(F990=TODAY(),"🔥 сегодня",IF(F990-TODAY()&lt;=3,"⏳ через "&amp;(F990-TODAY())&amp;" дн.",""))))</f>
        <v/>
      </c>
      <c r="K990" s="54">
        <f>IF(B990="","",IF(G990="✅ Выполнена","✔ ",IF(G990="❌ Отменена","✖ ",IF(AND(F990&lt;&gt;"",F990&lt;TODAY()),"❗ ","☐ ")))&amp;B990&amp;IF(E990="🔥 Высокий"," 🔥",""))</f>
        <v/>
      </c>
      <c r="L990" s="54">
        <f>IF(OR(B990="",F990="",G990="❌ Отменена"),"",F990&amp;"#"&amp;COUNTIFS($F$5:F990,F990,$B$5:B990,"?*",$G$5:G990,"&lt;&gt;❌ Отменена"))</f>
        <v/>
      </c>
      <c r="M990" s="54">
        <f>IF(AND(B990&lt;&gt;"",F990&lt;&gt;"",F990&lt;TODAY(),AND(G990&lt;&gt;"✅ Выполнена",G990&lt;&gt;"❌ Отменена")),MAX($M$4:M989)+1,"")</f>
        <v/>
      </c>
    </row>
    <row r="991">
      <c r="A991" s="49">
        <f>IF(B991="","",COUNTA($B$5:B991))</f>
        <v/>
      </c>
      <c r="B991" s="50" t="n"/>
      <c r="C991" s="51" t="n"/>
      <c r="D991" s="51" t="n"/>
      <c r="E991" s="52" t="n"/>
      <c r="F991" s="53" t="n"/>
      <c r="G991" s="51" t="n"/>
      <c r="H991" s="53" t="n"/>
      <c r="I991" s="51" t="n"/>
      <c r="J991" s="54">
        <f>IF(OR(B991="",F991="",NOT(AND(G991&lt;&gt;"✅ Выполнена",G991&lt;&gt;"❌ Отменена"))),"",IF(F991&lt;TODAY(),"❗ просрочено "&amp;(TODAY()-F991)&amp;" дн.",IF(F991=TODAY(),"🔥 сегодня",IF(F991-TODAY()&lt;=3,"⏳ через "&amp;(F991-TODAY())&amp;" дн.",""))))</f>
        <v/>
      </c>
      <c r="K991" s="54">
        <f>IF(B991="","",IF(G991="✅ Выполнена","✔ ",IF(G991="❌ Отменена","✖ ",IF(AND(F991&lt;&gt;"",F991&lt;TODAY()),"❗ ","☐ ")))&amp;B991&amp;IF(E991="🔥 Высокий"," 🔥",""))</f>
        <v/>
      </c>
      <c r="L991" s="54">
        <f>IF(OR(B991="",F991="",G991="❌ Отменена"),"",F991&amp;"#"&amp;COUNTIFS($F$5:F991,F991,$B$5:B991,"?*",$G$5:G991,"&lt;&gt;❌ Отменена"))</f>
        <v/>
      </c>
      <c r="M991" s="54">
        <f>IF(AND(B991&lt;&gt;"",F991&lt;&gt;"",F991&lt;TODAY(),AND(G991&lt;&gt;"✅ Выполнена",G991&lt;&gt;"❌ Отменена")),MAX($M$4:M990)+1,"")</f>
        <v/>
      </c>
    </row>
    <row r="992">
      <c r="A992" s="49">
        <f>IF(B992="","",COUNTA($B$5:B992))</f>
        <v/>
      </c>
      <c r="B992" s="50" t="n"/>
      <c r="C992" s="51" t="n"/>
      <c r="D992" s="51" t="n"/>
      <c r="E992" s="52" t="n"/>
      <c r="F992" s="53" t="n"/>
      <c r="G992" s="51" t="n"/>
      <c r="H992" s="53" t="n"/>
      <c r="I992" s="51" t="n"/>
      <c r="J992" s="54">
        <f>IF(OR(B992="",F992="",NOT(AND(G992&lt;&gt;"✅ Выполнена",G992&lt;&gt;"❌ Отменена"))),"",IF(F992&lt;TODAY(),"❗ просрочено "&amp;(TODAY()-F992)&amp;" дн.",IF(F992=TODAY(),"🔥 сегодня",IF(F992-TODAY()&lt;=3,"⏳ через "&amp;(F992-TODAY())&amp;" дн.",""))))</f>
        <v/>
      </c>
      <c r="K992" s="54">
        <f>IF(B992="","",IF(G992="✅ Выполнена","✔ ",IF(G992="❌ Отменена","✖ ",IF(AND(F992&lt;&gt;"",F992&lt;TODAY()),"❗ ","☐ ")))&amp;B992&amp;IF(E992="🔥 Высокий"," 🔥",""))</f>
        <v/>
      </c>
      <c r="L992" s="54">
        <f>IF(OR(B992="",F992="",G992="❌ Отменена"),"",F992&amp;"#"&amp;COUNTIFS($F$5:F992,F992,$B$5:B992,"?*",$G$5:G992,"&lt;&gt;❌ Отменена"))</f>
        <v/>
      </c>
      <c r="M992" s="54">
        <f>IF(AND(B992&lt;&gt;"",F992&lt;&gt;"",F992&lt;TODAY(),AND(G992&lt;&gt;"✅ Выполнена",G992&lt;&gt;"❌ Отменена")),MAX($M$4:M991)+1,"")</f>
        <v/>
      </c>
    </row>
    <row r="993">
      <c r="A993" s="49">
        <f>IF(B993="","",COUNTA($B$5:B993))</f>
        <v/>
      </c>
      <c r="B993" s="50" t="n"/>
      <c r="C993" s="51" t="n"/>
      <c r="D993" s="51" t="n"/>
      <c r="E993" s="52" t="n"/>
      <c r="F993" s="53" t="n"/>
      <c r="G993" s="51" t="n"/>
      <c r="H993" s="53" t="n"/>
      <c r="I993" s="51" t="n"/>
      <c r="J993" s="54">
        <f>IF(OR(B993="",F993="",NOT(AND(G993&lt;&gt;"✅ Выполнена",G993&lt;&gt;"❌ Отменена"))),"",IF(F993&lt;TODAY(),"❗ просрочено "&amp;(TODAY()-F993)&amp;" дн.",IF(F993=TODAY(),"🔥 сегодня",IF(F993-TODAY()&lt;=3,"⏳ через "&amp;(F993-TODAY())&amp;" дн.",""))))</f>
        <v/>
      </c>
      <c r="K993" s="54">
        <f>IF(B993="","",IF(G993="✅ Выполнена","✔ ",IF(G993="❌ Отменена","✖ ",IF(AND(F993&lt;&gt;"",F993&lt;TODAY()),"❗ ","☐ ")))&amp;B993&amp;IF(E993="🔥 Высокий"," 🔥",""))</f>
        <v/>
      </c>
      <c r="L993" s="54">
        <f>IF(OR(B993="",F993="",G993="❌ Отменена"),"",F993&amp;"#"&amp;COUNTIFS($F$5:F993,F993,$B$5:B993,"?*",$G$5:G993,"&lt;&gt;❌ Отменена"))</f>
        <v/>
      </c>
      <c r="M993" s="54">
        <f>IF(AND(B993&lt;&gt;"",F993&lt;&gt;"",F993&lt;TODAY(),AND(G993&lt;&gt;"✅ Выполнена",G993&lt;&gt;"❌ Отменена")),MAX($M$4:M992)+1,"")</f>
        <v/>
      </c>
    </row>
    <row r="994">
      <c r="A994" s="49">
        <f>IF(B994="","",COUNTA($B$5:B994))</f>
        <v/>
      </c>
      <c r="B994" s="50" t="n"/>
      <c r="C994" s="51" t="n"/>
      <c r="D994" s="51" t="n"/>
      <c r="E994" s="52" t="n"/>
      <c r="F994" s="53" t="n"/>
      <c r="G994" s="51" t="n"/>
      <c r="H994" s="53" t="n"/>
      <c r="I994" s="51" t="n"/>
      <c r="J994" s="54">
        <f>IF(OR(B994="",F994="",NOT(AND(G994&lt;&gt;"✅ Выполнена",G994&lt;&gt;"❌ Отменена"))),"",IF(F994&lt;TODAY(),"❗ просрочено "&amp;(TODAY()-F994)&amp;" дн.",IF(F994=TODAY(),"🔥 сегодня",IF(F994-TODAY()&lt;=3,"⏳ через "&amp;(F994-TODAY())&amp;" дн.",""))))</f>
        <v/>
      </c>
      <c r="K994" s="54">
        <f>IF(B994="","",IF(G994="✅ Выполнена","✔ ",IF(G994="❌ Отменена","✖ ",IF(AND(F994&lt;&gt;"",F994&lt;TODAY()),"❗ ","☐ ")))&amp;B994&amp;IF(E994="🔥 Высокий"," 🔥",""))</f>
        <v/>
      </c>
      <c r="L994" s="54">
        <f>IF(OR(B994="",F994="",G994="❌ Отменена"),"",F994&amp;"#"&amp;COUNTIFS($F$5:F994,F994,$B$5:B994,"?*",$G$5:G994,"&lt;&gt;❌ Отменена"))</f>
        <v/>
      </c>
      <c r="M994" s="54">
        <f>IF(AND(B994&lt;&gt;"",F994&lt;&gt;"",F994&lt;TODAY(),AND(G994&lt;&gt;"✅ Выполнена",G994&lt;&gt;"❌ Отменена")),MAX($M$4:M993)+1,"")</f>
        <v/>
      </c>
    </row>
    <row r="995">
      <c r="A995" s="49">
        <f>IF(B995="","",COUNTA($B$5:B995))</f>
        <v/>
      </c>
      <c r="B995" s="50" t="n"/>
      <c r="C995" s="51" t="n"/>
      <c r="D995" s="51" t="n"/>
      <c r="E995" s="52" t="n"/>
      <c r="F995" s="53" t="n"/>
      <c r="G995" s="51" t="n"/>
      <c r="H995" s="53" t="n"/>
      <c r="I995" s="51" t="n"/>
      <c r="J995" s="54">
        <f>IF(OR(B995="",F995="",NOT(AND(G995&lt;&gt;"✅ Выполнена",G995&lt;&gt;"❌ Отменена"))),"",IF(F995&lt;TODAY(),"❗ просрочено "&amp;(TODAY()-F995)&amp;" дн.",IF(F995=TODAY(),"🔥 сегодня",IF(F995-TODAY()&lt;=3,"⏳ через "&amp;(F995-TODAY())&amp;" дн.",""))))</f>
        <v/>
      </c>
      <c r="K995" s="54">
        <f>IF(B995="","",IF(G995="✅ Выполнена","✔ ",IF(G995="❌ Отменена","✖ ",IF(AND(F995&lt;&gt;"",F995&lt;TODAY()),"❗ ","☐ ")))&amp;B995&amp;IF(E995="🔥 Высокий"," 🔥",""))</f>
        <v/>
      </c>
      <c r="L995" s="54">
        <f>IF(OR(B995="",F995="",G995="❌ Отменена"),"",F995&amp;"#"&amp;COUNTIFS($F$5:F995,F995,$B$5:B995,"?*",$G$5:G995,"&lt;&gt;❌ Отменена"))</f>
        <v/>
      </c>
      <c r="M995" s="54">
        <f>IF(AND(B995&lt;&gt;"",F995&lt;&gt;"",F995&lt;TODAY(),AND(G995&lt;&gt;"✅ Выполнена",G995&lt;&gt;"❌ Отменена")),MAX($M$4:M994)+1,"")</f>
        <v/>
      </c>
    </row>
    <row r="996">
      <c r="A996" s="49">
        <f>IF(B996="","",COUNTA($B$5:B996))</f>
        <v/>
      </c>
      <c r="B996" s="50" t="n"/>
      <c r="C996" s="51" t="n"/>
      <c r="D996" s="51" t="n"/>
      <c r="E996" s="52" t="n"/>
      <c r="F996" s="53" t="n"/>
      <c r="G996" s="51" t="n"/>
      <c r="H996" s="53" t="n"/>
      <c r="I996" s="51" t="n"/>
      <c r="J996" s="54">
        <f>IF(OR(B996="",F996="",NOT(AND(G996&lt;&gt;"✅ Выполнена",G996&lt;&gt;"❌ Отменена"))),"",IF(F996&lt;TODAY(),"❗ просрочено "&amp;(TODAY()-F996)&amp;" дн.",IF(F996=TODAY(),"🔥 сегодня",IF(F996-TODAY()&lt;=3,"⏳ через "&amp;(F996-TODAY())&amp;" дн.",""))))</f>
        <v/>
      </c>
      <c r="K996" s="54">
        <f>IF(B996="","",IF(G996="✅ Выполнена","✔ ",IF(G996="❌ Отменена","✖ ",IF(AND(F996&lt;&gt;"",F996&lt;TODAY()),"❗ ","☐ ")))&amp;B996&amp;IF(E996="🔥 Высокий"," 🔥",""))</f>
        <v/>
      </c>
      <c r="L996" s="54">
        <f>IF(OR(B996="",F996="",G996="❌ Отменена"),"",F996&amp;"#"&amp;COUNTIFS($F$5:F996,F996,$B$5:B996,"?*",$G$5:G996,"&lt;&gt;❌ Отменена"))</f>
        <v/>
      </c>
      <c r="M996" s="54">
        <f>IF(AND(B996&lt;&gt;"",F996&lt;&gt;"",F996&lt;TODAY(),AND(G996&lt;&gt;"✅ Выполнена",G996&lt;&gt;"❌ Отменена")),MAX($M$4:M995)+1,"")</f>
        <v/>
      </c>
    </row>
    <row r="997">
      <c r="A997" s="49">
        <f>IF(B997="","",COUNTA($B$5:B997))</f>
        <v/>
      </c>
      <c r="B997" s="50" t="n"/>
      <c r="C997" s="51" t="n"/>
      <c r="D997" s="51" t="n"/>
      <c r="E997" s="52" t="n"/>
      <c r="F997" s="53" t="n"/>
      <c r="G997" s="51" t="n"/>
      <c r="H997" s="53" t="n"/>
      <c r="I997" s="51" t="n"/>
      <c r="J997" s="54">
        <f>IF(OR(B997="",F997="",NOT(AND(G997&lt;&gt;"✅ Выполнена",G997&lt;&gt;"❌ Отменена"))),"",IF(F997&lt;TODAY(),"❗ просрочено "&amp;(TODAY()-F997)&amp;" дн.",IF(F997=TODAY(),"🔥 сегодня",IF(F997-TODAY()&lt;=3,"⏳ через "&amp;(F997-TODAY())&amp;" дн.",""))))</f>
        <v/>
      </c>
      <c r="K997" s="54">
        <f>IF(B997="","",IF(G997="✅ Выполнена","✔ ",IF(G997="❌ Отменена","✖ ",IF(AND(F997&lt;&gt;"",F997&lt;TODAY()),"❗ ","☐ ")))&amp;B997&amp;IF(E997="🔥 Высокий"," 🔥",""))</f>
        <v/>
      </c>
      <c r="L997" s="54">
        <f>IF(OR(B997="",F997="",G997="❌ Отменена"),"",F997&amp;"#"&amp;COUNTIFS($F$5:F997,F997,$B$5:B997,"?*",$G$5:G997,"&lt;&gt;❌ Отменена"))</f>
        <v/>
      </c>
      <c r="M997" s="54">
        <f>IF(AND(B997&lt;&gt;"",F997&lt;&gt;"",F997&lt;TODAY(),AND(G997&lt;&gt;"✅ Выполнена",G997&lt;&gt;"❌ Отменена")),MAX($M$4:M996)+1,"")</f>
        <v/>
      </c>
    </row>
    <row r="998">
      <c r="A998" s="49">
        <f>IF(B998="","",COUNTA($B$5:B998))</f>
        <v/>
      </c>
      <c r="B998" s="50" t="n"/>
      <c r="C998" s="51" t="n"/>
      <c r="D998" s="51" t="n"/>
      <c r="E998" s="52" t="n"/>
      <c r="F998" s="53" t="n"/>
      <c r="G998" s="51" t="n"/>
      <c r="H998" s="53" t="n"/>
      <c r="I998" s="51" t="n"/>
      <c r="J998" s="54">
        <f>IF(OR(B998="",F998="",NOT(AND(G998&lt;&gt;"✅ Выполнена",G998&lt;&gt;"❌ Отменена"))),"",IF(F998&lt;TODAY(),"❗ просрочено "&amp;(TODAY()-F998)&amp;" дн.",IF(F998=TODAY(),"🔥 сегодня",IF(F998-TODAY()&lt;=3,"⏳ через "&amp;(F998-TODAY())&amp;" дн.",""))))</f>
        <v/>
      </c>
      <c r="K998" s="54">
        <f>IF(B998="","",IF(G998="✅ Выполнена","✔ ",IF(G998="❌ Отменена","✖ ",IF(AND(F998&lt;&gt;"",F998&lt;TODAY()),"❗ ","☐ ")))&amp;B998&amp;IF(E998="🔥 Высокий"," 🔥",""))</f>
        <v/>
      </c>
      <c r="L998" s="54">
        <f>IF(OR(B998="",F998="",G998="❌ Отменена"),"",F998&amp;"#"&amp;COUNTIFS($F$5:F998,F998,$B$5:B998,"?*",$G$5:G998,"&lt;&gt;❌ Отменена"))</f>
        <v/>
      </c>
      <c r="M998" s="54">
        <f>IF(AND(B998&lt;&gt;"",F998&lt;&gt;"",F998&lt;TODAY(),AND(G998&lt;&gt;"✅ Выполнена",G998&lt;&gt;"❌ Отменена")),MAX($M$4:M997)+1,"")</f>
        <v/>
      </c>
    </row>
    <row r="999">
      <c r="A999" s="49">
        <f>IF(B999="","",COUNTA($B$5:B999))</f>
        <v/>
      </c>
      <c r="B999" s="50" t="n"/>
      <c r="C999" s="51" t="n"/>
      <c r="D999" s="51" t="n"/>
      <c r="E999" s="52" t="n"/>
      <c r="F999" s="53" t="n"/>
      <c r="G999" s="51" t="n"/>
      <c r="H999" s="53" t="n"/>
      <c r="I999" s="51" t="n"/>
      <c r="J999" s="54">
        <f>IF(OR(B999="",F999="",NOT(AND(G999&lt;&gt;"✅ Выполнена",G999&lt;&gt;"❌ Отменена"))),"",IF(F999&lt;TODAY(),"❗ просрочено "&amp;(TODAY()-F999)&amp;" дн.",IF(F999=TODAY(),"🔥 сегодня",IF(F999-TODAY()&lt;=3,"⏳ через "&amp;(F999-TODAY())&amp;" дн.",""))))</f>
        <v/>
      </c>
      <c r="K999" s="54">
        <f>IF(B999="","",IF(G999="✅ Выполнена","✔ ",IF(G999="❌ Отменена","✖ ",IF(AND(F999&lt;&gt;"",F999&lt;TODAY()),"❗ ","☐ ")))&amp;B999&amp;IF(E999="🔥 Высокий"," 🔥",""))</f>
        <v/>
      </c>
      <c r="L999" s="54">
        <f>IF(OR(B999="",F999="",G999="❌ Отменена"),"",F999&amp;"#"&amp;COUNTIFS($F$5:F999,F999,$B$5:B999,"?*",$G$5:G999,"&lt;&gt;❌ Отменена"))</f>
        <v/>
      </c>
      <c r="M999" s="54">
        <f>IF(AND(B999&lt;&gt;"",F999&lt;&gt;"",F999&lt;TODAY(),AND(G999&lt;&gt;"✅ Выполнена",G999&lt;&gt;"❌ Отменена")),MAX($M$4:M998)+1,"")</f>
        <v/>
      </c>
    </row>
    <row r="1000">
      <c r="A1000" s="49">
        <f>IF(B1000="","",COUNTA($B$5:B1000))</f>
        <v/>
      </c>
      <c r="B1000" s="50" t="n"/>
      <c r="C1000" s="51" t="n"/>
      <c r="D1000" s="51" t="n"/>
      <c r="E1000" s="52" t="n"/>
      <c r="F1000" s="53" t="n"/>
      <c r="G1000" s="51" t="n"/>
      <c r="H1000" s="53" t="n"/>
      <c r="I1000" s="51" t="n"/>
      <c r="J1000" s="54">
        <f>IF(OR(B1000="",F1000="",NOT(AND(G1000&lt;&gt;"✅ Выполнена",G1000&lt;&gt;"❌ Отменена"))),"",IF(F1000&lt;TODAY(),"❗ просрочено "&amp;(TODAY()-F1000)&amp;" дн.",IF(F1000=TODAY(),"🔥 сегодня",IF(F1000-TODAY()&lt;=3,"⏳ через "&amp;(F1000-TODAY())&amp;" дн.",""))))</f>
        <v/>
      </c>
      <c r="K1000" s="54">
        <f>IF(B1000="","",IF(G1000="✅ Выполнена","✔ ",IF(G1000="❌ Отменена","✖ ",IF(AND(F1000&lt;&gt;"",F1000&lt;TODAY()),"❗ ","☐ ")))&amp;B1000&amp;IF(E1000="🔥 Высокий"," 🔥",""))</f>
        <v/>
      </c>
      <c r="L1000" s="54">
        <f>IF(OR(B1000="",F1000="",G1000="❌ Отменена"),"",F1000&amp;"#"&amp;COUNTIFS($F$5:F1000,F1000,$B$5:B1000,"?*",$G$5:G1000,"&lt;&gt;❌ Отменена"))</f>
        <v/>
      </c>
      <c r="M1000" s="54">
        <f>IF(AND(B1000&lt;&gt;"",F1000&lt;&gt;"",F1000&lt;TODAY(),AND(G1000&lt;&gt;"✅ Выполнена",G1000&lt;&gt;"❌ Отменена")),MAX($M$4:M999)+1,"")</f>
        <v/>
      </c>
    </row>
    <row r="1001">
      <c r="A1001" s="49">
        <f>IF(B1001="","",COUNTA($B$5:B1001))</f>
        <v/>
      </c>
      <c r="B1001" s="50" t="n"/>
      <c r="C1001" s="51" t="n"/>
      <c r="D1001" s="51" t="n"/>
      <c r="E1001" s="52" t="n"/>
      <c r="F1001" s="53" t="n"/>
      <c r="G1001" s="51" t="n"/>
      <c r="H1001" s="53" t="n"/>
      <c r="I1001" s="51" t="n"/>
      <c r="J1001" s="54">
        <f>IF(OR(B1001="",F1001="",NOT(AND(G1001&lt;&gt;"✅ Выполнена",G1001&lt;&gt;"❌ Отменена"))),"",IF(F1001&lt;TODAY(),"❗ просрочено "&amp;(TODAY()-F1001)&amp;" дн.",IF(F1001=TODAY(),"🔥 сегодня",IF(F1001-TODAY()&lt;=3,"⏳ через "&amp;(F1001-TODAY())&amp;" дн.",""))))</f>
        <v/>
      </c>
      <c r="K1001" s="54">
        <f>IF(B1001="","",IF(G1001="✅ Выполнена","✔ ",IF(G1001="❌ Отменена","✖ ",IF(AND(F1001&lt;&gt;"",F1001&lt;TODAY()),"❗ ","☐ ")))&amp;B1001&amp;IF(E1001="🔥 Высокий"," 🔥",""))</f>
        <v/>
      </c>
      <c r="L1001" s="54">
        <f>IF(OR(B1001="",F1001="",G1001="❌ Отменена"),"",F1001&amp;"#"&amp;COUNTIFS($F$5:F1001,F1001,$B$5:B1001,"?*",$G$5:G1001,"&lt;&gt;❌ Отменена"))</f>
        <v/>
      </c>
      <c r="M1001" s="54">
        <f>IF(AND(B1001&lt;&gt;"",F1001&lt;&gt;"",F1001&lt;TODAY(),AND(G1001&lt;&gt;"✅ Выполнена",G1001&lt;&gt;"❌ Отменена")),MAX($M$4:M1000)+1,"")</f>
        <v/>
      </c>
    </row>
    <row r="1002">
      <c r="A1002" s="49">
        <f>IF(B1002="","",COUNTA($B$5:B1002))</f>
        <v/>
      </c>
      <c r="B1002" s="50" t="n"/>
      <c r="C1002" s="51" t="n"/>
      <c r="D1002" s="51" t="n"/>
      <c r="E1002" s="52" t="n"/>
      <c r="F1002" s="53" t="n"/>
      <c r="G1002" s="51" t="n"/>
      <c r="H1002" s="53" t="n"/>
      <c r="I1002" s="51" t="n"/>
      <c r="J1002" s="54">
        <f>IF(OR(B1002="",F1002="",NOT(AND(G1002&lt;&gt;"✅ Выполнена",G1002&lt;&gt;"❌ Отменена"))),"",IF(F1002&lt;TODAY(),"❗ просрочено "&amp;(TODAY()-F1002)&amp;" дн.",IF(F1002=TODAY(),"🔥 сегодня",IF(F1002-TODAY()&lt;=3,"⏳ через "&amp;(F1002-TODAY())&amp;" дн.",""))))</f>
        <v/>
      </c>
      <c r="K1002" s="54">
        <f>IF(B1002="","",IF(G1002="✅ Выполнена","✔ ",IF(G1002="❌ Отменена","✖ ",IF(AND(F1002&lt;&gt;"",F1002&lt;TODAY()),"❗ ","☐ ")))&amp;B1002&amp;IF(E1002="🔥 Высокий"," 🔥",""))</f>
        <v/>
      </c>
      <c r="L1002" s="54">
        <f>IF(OR(B1002="",F1002="",G1002="❌ Отменена"),"",F1002&amp;"#"&amp;COUNTIFS($F$5:F1002,F1002,$B$5:B1002,"?*",$G$5:G1002,"&lt;&gt;❌ Отменена"))</f>
        <v/>
      </c>
      <c r="M1002" s="54">
        <f>IF(AND(B1002&lt;&gt;"",F1002&lt;&gt;"",F1002&lt;TODAY(),AND(G1002&lt;&gt;"✅ Выполнена",G1002&lt;&gt;"❌ Отменена")),MAX($M$4:M1001)+1,"")</f>
        <v/>
      </c>
    </row>
    <row r="1003">
      <c r="A1003" s="49">
        <f>IF(B1003="","",COUNTA($B$5:B1003))</f>
        <v/>
      </c>
      <c r="B1003" s="50" t="n"/>
      <c r="C1003" s="51" t="n"/>
      <c r="D1003" s="51" t="n"/>
      <c r="E1003" s="52" t="n"/>
      <c r="F1003" s="53" t="n"/>
      <c r="G1003" s="51" t="n"/>
      <c r="H1003" s="53" t="n"/>
      <c r="I1003" s="51" t="n"/>
      <c r="J1003" s="54">
        <f>IF(OR(B1003="",F1003="",NOT(AND(G1003&lt;&gt;"✅ Выполнена",G1003&lt;&gt;"❌ Отменена"))),"",IF(F1003&lt;TODAY(),"❗ просрочено "&amp;(TODAY()-F1003)&amp;" дн.",IF(F1003=TODAY(),"🔥 сегодня",IF(F1003-TODAY()&lt;=3,"⏳ через "&amp;(F1003-TODAY())&amp;" дн.",""))))</f>
        <v/>
      </c>
      <c r="K1003" s="54">
        <f>IF(B1003="","",IF(G1003="✅ Выполнена","✔ ",IF(G1003="❌ Отменена","✖ ",IF(AND(F1003&lt;&gt;"",F1003&lt;TODAY()),"❗ ","☐ ")))&amp;B1003&amp;IF(E1003="🔥 Высокий"," 🔥",""))</f>
        <v/>
      </c>
      <c r="L1003" s="54">
        <f>IF(OR(B1003="",F1003="",G1003="❌ Отменена"),"",F1003&amp;"#"&amp;COUNTIFS($F$5:F1003,F1003,$B$5:B1003,"?*",$G$5:G1003,"&lt;&gt;❌ Отменена"))</f>
        <v/>
      </c>
      <c r="M1003" s="54">
        <f>IF(AND(B1003&lt;&gt;"",F1003&lt;&gt;"",F1003&lt;TODAY(),AND(G1003&lt;&gt;"✅ Выполнена",G1003&lt;&gt;"❌ Отменена")),MAX($M$4:M1002)+1,"")</f>
        <v/>
      </c>
    </row>
    <row r="1004">
      <c r="A1004" s="49">
        <f>IF(B1004="","",COUNTA($B$5:B1004))</f>
        <v/>
      </c>
      <c r="B1004" s="50" t="n"/>
      <c r="C1004" s="51" t="n"/>
      <c r="D1004" s="51" t="n"/>
      <c r="E1004" s="52" t="n"/>
      <c r="F1004" s="53" t="n"/>
      <c r="G1004" s="51" t="n"/>
      <c r="H1004" s="53" t="n"/>
      <c r="I1004" s="51" t="n"/>
      <c r="J1004" s="54">
        <f>IF(OR(B1004="",F1004="",NOT(AND(G1004&lt;&gt;"✅ Выполнена",G1004&lt;&gt;"❌ Отменена"))),"",IF(F1004&lt;TODAY(),"❗ просрочено "&amp;(TODAY()-F1004)&amp;" дн.",IF(F1004=TODAY(),"🔥 сегодня",IF(F1004-TODAY()&lt;=3,"⏳ через "&amp;(F1004-TODAY())&amp;" дн.",""))))</f>
        <v/>
      </c>
      <c r="K1004" s="54">
        <f>IF(B1004="","",IF(G1004="✅ Выполнена","✔ ",IF(G1004="❌ Отменена","✖ ",IF(AND(F1004&lt;&gt;"",F1004&lt;TODAY()),"❗ ","☐ ")))&amp;B1004&amp;IF(E1004="🔥 Высокий"," 🔥",""))</f>
        <v/>
      </c>
      <c r="L1004" s="54">
        <f>IF(OR(B1004="",F1004="",G1004="❌ Отменена"),"",F1004&amp;"#"&amp;COUNTIFS($F$5:F1004,F1004,$B$5:B1004,"?*",$G$5:G1004,"&lt;&gt;❌ Отменена"))</f>
        <v/>
      </c>
      <c r="M1004" s="54">
        <f>IF(AND(B1004&lt;&gt;"",F1004&lt;&gt;"",F1004&lt;TODAY(),AND(G1004&lt;&gt;"✅ Выполнена",G1004&lt;&gt;"❌ Отменена")),MAX($M$4:M1003)+1,"")</f>
        <v/>
      </c>
    </row>
  </sheetData>
  <autoFilter ref="A4:J1004"/>
  <mergeCells count="2">
    <mergeCell ref="A1:J1"/>
    <mergeCell ref="A2:J2"/>
  </mergeCells>
  <conditionalFormatting sqref="A5:J1004">
    <cfRule type="expression" priority="1" dxfId="9" stopIfTrue="1">
      <formula>$G5="✅ Выполнена"</formula>
    </cfRule>
    <cfRule type="expression" priority="2" dxfId="2" stopIfTrue="1">
      <formula>$G5="❌ Отменена"</formula>
    </cfRule>
    <cfRule type="expression" priority="3" dxfId="10">
      <formula>ISNUMBER($M5)</formula>
    </cfRule>
    <cfRule type="expression" priority="4" dxfId="8">
      <formula>AND($F5=TODAY(),$B5&lt;&gt;"")</formula>
    </cfRule>
  </conditionalFormatting>
  <conditionalFormatting sqref="J5:J1004">
    <cfRule type="expression" priority="5" dxfId="3">
      <formula>LEFT($J5,1)="❗"</formula>
    </cfRule>
  </conditionalFormatting>
  <conditionalFormatting sqref="G5:G1004">
    <cfRule type="expression" priority="6" dxfId="11">
      <formula>$G5="🔄 В работе"</formula>
    </cfRule>
  </conditionalFormatting>
  <conditionalFormatting sqref="E5:E1004">
    <cfRule type="expression" priority="7" dxfId="3">
      <formula>$E5="🔥 Высокий"</formula>
    </cfRule>
  </conditionalFormatting>
  <dataValidations count="6">
    <dataValidation sqref="C5:C10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'📚 Справочник'!$A$5:$A$24</formula1>
    </dataValidation>
    <dataValidation sqref="D5:D10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'📚 Справочник'!$C$5:$C$24</formula1>
    </dataValidation>
    <dataValidation sqref="E5:E10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'📚 Справочник'!$E$5:$E$7</formula1>
    </dataValidation>
    <dataValidation sqref="G5:G1004" showDropDown="0" showInputMessage="1" showErrorMessage="1" allowBlank="1" errorTitle="Значение не из справочника" error="Выберите значение из списка (его можно дополнить в листе «📚 Справочник»)" prompt="Выполнили? Выберите «✅ Выполнена» — строка зачеркнётся." type="list">
      <formula1>'📚 Справочник'!$G$5:$G$8</formula1>
    </dataValidation>
    <dataValidation sqref="F5:F1004" showDropDown="0" showInputMessage="1" showErrorMessage="1" allowBlank="1" errorTitle="Неверная дата" error="Введите дату, например 05.10.2026" prompt="Дата, например 05.10.2026 (Ctrl+; — сегодня)" type="date" operator="between">
      <formula1>DATE(2025,1,1)</formula1>
      <formula2>DATE(2035,12,31)</formula2>
    </dataValidation>
    <dataValidation sqref="H5:H1004" showDropDown="0" showInputMessage="1" showErrorMessage="1" allowBlank="1" errorTitle="Неверная дата" error="Введите дату, например 05.10.2026" prompt="Дата, например 05.10.2026 (Ctrl+; — сегодня)" type="date" operator="between">
      <formula1>DATE(2025,1,1)</formula1>
      <formula2>DATE(2035,12,31)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D62839"/>
    <outlinePr summaryBelow="1" summaryRight="1"/>
    <pageSetUpPr/>
  </sheetPr>
  <dimension ref="A1:O30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9" customWidth="1" min="4" max="4"/>
    <col width="8" customWidth="1" min="5" max="5"/>
    <col width="30" customWidth="1" min="6" max="6"/>
    <col width="20" customWidth="1" min="7" max="7"/>
    <col width="16" customWidth="1" min="8" max="8"/>
    <col width="30" customWidth="1" min="9" max="9"/>
    <col width="16" customWidth="1" min="10" max="10"/>
    <col width="22" customWidth="1" min="11" max="11"/>
    <col width="16" customWidth="1" min="12" max="12"/>
    <col hidden="1" width="8" customWidth="1" min="13" max="13"/>
    <col hidden="1" width="8" customWidth="1" min="14" max="14"/>
    <col hidden="1" width="8" customWidth="1" min="15" max="15"/>
  </cols>
  <sheetData>
    <row r="1" ht="36" customHeight="1">
      <c r="A1" s="55" t="inlineStr">
        <is>
          <t>🕘 План дня — расписание по времени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</row>
    <row r="2" ht="30" customHeight="1">
      <c r="A2" s="3" t="inlineStr">
        <is>
          <t>Одна строка = одно дело в расписании: дата, начало, окончание, что делаете. Длительность считается сама. Можно привязать дело к задаче из списка. Пересечения по времени подсвечиваются оранжевым.</t>
        </is>
      </c>
    </row>
    <row r="4" ht="34" customHeight="1">
      <c r="A4" s="57" t="inlineStr">
        <is>
          <t>📅 Дата</t>
        </is>
      </c>
      <c r="B4" s="57" t="inlineStr">
        <is>
          <t>День</t>
        </is>
      </c>
      <c r="C4" s="57" t="inlineStr">
        <is>
          <t>🕘 Начало</t>
        </is>
      </c>
      <c r="D4" s="57" t="inlineStr">
        <is>
          <t>🕔 Конец</t>
        </is>
      </c>
      <c r="E4" s="57" t="inlineStr">
        <is>
          <t>⏱ Часов</t>
        </is>
      </c>
      <c r="F4" s="57" t="inlineStr">
        <is>
          <t>✏️ Дело / занятие</t>
        </is>
      </c>
      <c r="G4" s="57" t="inlineStr">
        <is>
          <t>🗂 Группа</t>
        </is>
      </c>
      <c r="H4" s="57" t="inlineStr">
        <is>
          <t>🏷 Категория</t>
        </is>
      </c>
      <c r="I4" s="57" t="inlineStr">
        <is>
          <t>🔗 Задача (из списка)</t>
        </is>
      </c>
      <c r="J4" s="57" t="inlineStr">
        <is>
          <t>🚦 Статус</t>
        </is>
      </c>
      <c r="K4" s="57" t="inlineStr">
        <is>
          <t>💬 Заметка</t>
        </is>
      </c>
      <c r="L4" s="57" t="inlineStr">
        <is>
          <t>⚠️ Проверка</t>
        </is>
      </c>
      <c r="M4" s="57" t="inlineStr">
        <is>
          <t>служ. подпись</t>
        </is>
      </c>
      <c r="N4" s="57" t="inlineStr">
        <is>
          <t>служ. ключ</t>
        </is>
      </c>
      <c r="O4" s="57" t="inlineStr">
        <is>
          <t>служ. время</t>
        </is>
      </c>
    </row>
    <row r="5">
      <c r="A5" s="58" t="n">
        <v>46299</v>
      </c>
      <c r="B5" s="49">
        <f>IF(A5="","",CHOOSE(WEEKDAY(A5,2),"Пн","Вт","Ср","Чт","Пт","Сб","Вс"))</f>
        <v/>
      </c>
      <c r="C5" s="59" t="n">
        <v>0.3333333333333333</v>
      </c>
      <c r="D5" s="59" t="n">
        <v>0.375</v>
      </c>
      <c r="E5" s="60">
        <f>IF(OR(C5="",D5=""),"",MOD(D5-C5,1)*24)</f>
        <v/>
      </c>
      <c r="F5" s="50" t="inlineStr">
        <is>
          <t>Утренняя пробежка</t>
        </is>
      </c>
      <c r="G5" s="51" t="inlineStr">
        <is>
          <t>💪 Спорт и здоровье</t>
        </is>
      </c>
      <c r="H5" s="51" t="inlineStr">
        <is>
          <t>🔁 Привычка</t>
        </is>
      </c>
      <c r="I5" s="51" t="n"/>
      <c r="J5" s="51" t="inlineStr">
        <is>
          <t>✅ Сделано</t>
        </is>
      </c>
      <c r="K5" s="51" t="n"/>
      <c r="L5" s="54">
        <f>IF(OR(A5="",C5="",D5=""),"",IF(COUNTIFS($A$5:$A$3004,A5,$C$5:$C$3004,"&lt;"&amp;D5,$D$5:$D$3004,"&gt;"&amp;C5)&gt;1,"⚠️ пересечение",""))</f>
        <v/>
      </c>
      <c r="M5" s="54">
        <f>IF(F5="","",IF(J5="✅ Сделано","✔ ",IF(J5="❌ Пропущено","✖ ","⏰ "))&amp;IF(C5="","",RIGHT("0"&amp;HOUR(C5),2)&amp;":"&amp;RIGHT("0"&amp;MINUTE(C5),2)&amp;IF(D5="","","–"&amp;RIGHT("0"&amp;HOUR(D5),2)&amp;":"&amp;RIGHT("0"&amp;MINUTE(D5),2))&amp;" ")&amp;F5)</f>
        <v/>
      </c>
      <c r="N5" s="54">
        <f>IF(OR(A5="",F5=""),"",A5&amp;"#"&amp;(COUNTIFS($A$5:$A$3004,A5,$F$5:$F$3004,"?*",$O$5:$O$3004,"&lt;"&amp;O5)+COUNTIFS($A$5:A5,A5,$F$5:F5,"?*",$O$5:O5,O5)))</f>
        <v/>
      </c>
      <c r="O5" s="54">
        <f>IF(A5="","",IF(C5="",0,C5))</f>
        <v/>
      </c>
    </row>
    <row r="6">
      <c r="A6" s="58" t="n">
        <v>46299</v>
      </c>
      <c r="B6" s="49">
        <f>IF(A6="","",CHOOSE(WEEKDAY(A6,2),"Пн","Вт","Ср","Чт","Пт","Сб","Вс"))</f>
        <v/>
      </c>
      <c r="C6" s="59" t="n">
        <v>0.4583333333333333</v>
      </c>
      <c r="D6" s="59" t="n">
        <v>0.4791666666666667</v>
      </c>
      <c r="E6" s="60">
        <f>IF(OR(C6="",D6=""),"",MOD(D6-C6,1)*24)</f>
        <v/>
      </c>
      <c r="F6" s="50" t="inlineStr">
        <is>
          <t>Звонок маме</t>
        </is>
      </c>
      <c r="G6" s="51" t="inlineStr">
        <is>
          <t>👪 Семья и друзья</t>
        </is>
      </c>
      <c r="H6" s="51" t="inlineStr">
        <is>
          <t>📞 Звонок</t>
        </is>
      </c>
      <c r="I6" s="51" t="inlineStr">
        <is>
          <t>Позвонить маме</t>
        </is>
      </c>
      <c r="J6" s="51" t="inlineStr">
        <is>
          <t>✅ Сделано</t>
        </is>
      </c>
      <c r="K6" s="51" t="n"/>
      <c r="L6" s="54">
        <f>IF(OR(A6="",C6="",D6=""),"",IF(COUNTIFS($A$5:$A$3004,A6,$C$5:$C$3004,"&lt;"&amp;D6,$D$5:$D$3004,"&gt;"&amp;C6)&gt;1,"⚠️ пересечение",""))</f>
        <v/>
      </c>
      <c r="M6" s="54">
        <f>IF(F6="","",IF(J6="✅ Сделано","✔ ",IF(J6="❌ Пропущено","✖ ","⏰ "))&amp;IF(C6="","",RIGHT("0"&amp;HOUR(C6),2)&amp;":"&amp;RIGHT("0"&amp;MINUTE(C6),2)&amp;IF(D6="","","–"&amp;RIGHT("0"&amp;HOUR(D6),2)&amp;":"&amp;RIGHT("0"&amp;MINUTE(D6),2))&amp;" ")&amp;F6)</f>
        <v/>
      </c>
      <c r="N6" s="54">
        <f>IF(OR(A6="",F6=""),"",A6&amp;"#"&amp;(COUNTIFS($A$5:$A$3004,A6,$F$5:$F$3004,"?*",$O$5:$O$3004,"&lt;"&amp;O6)+COUNTIFS($A$5:A6,A6,$F$5:F6,"?*",$O$5:O6,O6)))</f>
        <v/>
      </c>
      <c r="O6" s="54">
        <f>IF(A6="","",IF(C6="",0,C6))</f>
        <v/>
      </c>
    </row>
    <row r="7">
      <c r="A7" s="58" t="n">
        <v>46299</v>
      </c>
      <c r="B7" s="49">
        <f>IF(A7="","",CHOOSE(WEEKDAY(A7,2),"Пн","Вт","Ср","Чт","Пт","Сб","Вс"))</f>
        <v/>
      </c>
      <c r="C7" s="59" t="n">
        <v>0.7916666666666666</v>
      </c>
      <c r="D7" s="59" t="n">
        <v>0.875</v>
      </c>
      <c r="E7" s="60">
        <f>IF(OR(C7="",D7=""),"",MOD(D7-C7,1)*24)</f>
        <v/>
      </c>
      <c r="F7" s="50" t="inlineStr">
        <is>
          <t>Курс Python: модуль 4</t>
        </is>
      </c>
      <c r="G7" s="51" t="inlineStr">
        <is>
          <t>📚 Учёба</t>
        </is>
      </c>
      <c r="H7" s="51" t="inlineStr">
        <is>
          <t>📌 Задача</t>
        </is>
      </c>
      <c r="I7" s="51" t="inlineStr">
        <is>
          <t>Закончить модуль курса Python</t>
        </is>
      </c>
      <c r="J7" s="51" t="inlineStr">
        <is>
          <t>⏰ Запланировано</t>
        </is>
      </c>
      <c r="K7" s="51" t="n"/>
      <c r="L7" s="54">
        <f>IF(OR(A7="",C7="",D7=""),"",IF(COUNTIFS($A$5:$A$3004,A7,$C$5:$C$3004,"&lt;"&amp;D7,$D$5:$D$3004,"&gt;"&amp;C7)&gt;1,"⚠️ пересечение",""))</f>
        <v/>
      </c>
      <c r="M7" s="54">
        <f>IF(F7="","",IF(J7="✅ Сделано","✔ ",IF(J7="❌ Пропущено","✖ ","⏰ "))&amp;IF(C7="","",RIGHT("0"&amp;HOUR(C7),2)&amp;":"&amp;RIGHT("0"&amp;MINUTE(C7),2)&amp;IF(D7="","","–"&amp;RIGHT("0"&amp;HOUR(D7),2)&amp;":"&amp;RIGHT("0"&amp;MINUTE(D7),2))&amp;" ")&amp;F7)</f>
        <v/>
      </c>
      <c r="N7" s="54">
        <f>IF(OR(A7="",F7=""),"",A7&amp;"#"&amp;(COUNTIFS($A$5:$A$3004,A7,$F$5:$F$3004,"?*",$O$5:$O$3004,"&lt;"&amp;O7)+COUNTIFS($A$5:A7,A7,$F$5:F7,"?*",$O$5:O7,O7)))</f>
        <v/>
      </c>
      <c r="O7" s="54">
        <f>IF(A7="","",IF(C7="",0,C7))</f>
        <v/>
      </c>
    </row>
    <row r="8">
      <c r="A8" s="58" t="n">
        <v>46300</v>
      </c>
      <c r="B8" s="49">
        <f>IF(A8="","",CHOOSE(WEEKDAY(A8,2),"Пн","Вт","Ср","Чт","Пт","Сб","Вс"))</f>
        <v/>
      </c>
      <c r="C8" s="59" t="n">
        <v>0.375</v>
      </c>
      <c r="D8" s="59" t="n">
        <v>0.4166666666666667</v>
      </c>
      <c r="E8" s="60">
        <f>IF(OR(C8="",D8=""),"",MOD(D8-C8,1)*24)</f>
        <v/>
      </c>
      <c r="F8" s="50" t="inlineStr">
        <is>
          <t>Планёрка</t>
        </is>
      </c>
      <c r="G8" s="51" t="inlineStr">
        <is>
          <t>💼 Работа</t>
        </is>
      </c>
      <c r="H8" s="51" t="inlineStr">
        <is>
          <t>🤝 Встреча</t>
        </is>
      </c>
      <c r="I8" s="51" t="n"/>
      <c r="J8" s="51" t="inlineStr">
        <is>
          <t>⏰ Запланировано</t>
        </is>
      </c>
      <c r="K8" s="51" t="n"/>
      <c r="L8" s="54">
        <f>IF(OR(A8="",C8="",D8=""),"",IF(COUNTIFS($A$5:$A$3004,A8,$C$5:$C$3004,"&lt;"&amp;D8,$D$5:$D$3004,"&gt;"&amp;C8)&gt;1,"⚠️ пересечение",""))</f>
        <v/>
      </c>
      <c r="M8" s="54">
        <f>IF(F8="","",IF(J8="✅ Сделано","✔ ",IF(J8="❌ Пропущено","✖ ","⏰ "))&amp;IF(C8="","",RIGHT("0"&amp;HOUR(C8),2)&amp;":"&amp;RIGHT("0"&amp;MINUTE(C8),2)&amp;IF(D8="","","–"&amp;RIGHT("0"&amp;HOUR(D8),2)&amp;":"&amp;RIGHT("0"&amp;MINUTE(D8),2))&amp;" ")&amp;F8)</f>
        <v/>
      </c>
      <c r="N8" s="54">
        <f>IF(OR(A8="",F8=""),"",A8&amp;"#"&amp;(COUNTIFS($A$5:$A$3004,A8,$F$5:$F$3004,"?*",$O$5:$O$3004,"&lt;"&amp;O8)+COUNTIFS($A$5:A8,A8,$F$5:F8,"?*",$O$5:O8,O8)))</f>
        <v/>
      </c>
      <c r="O8" s="54">
        <f>IF(A8="","",IF(C8="",0,C8))</f>
        <v/>
      </c>
    </row>
    <row r="9">
      <c r="A9" s="58" t="n">
        <v>46300</v>
      </c>
      <c r="B9" s="49">
        <f>IF(A9="","",CHOOSE(WEEKDAY(A9,2),"Пн","Вт","Ср","Чт","Пт","Сб","Вс"))</f>
        <v/>
      </c>
      <c r="C9" s="59" t="n">
        <v>0.4166666666666667</v>
      </c>
      <c r="D9" s="59" t="n">
        <v>0.5416666666666666</v>
      </c>
      <c r="E9" s="60">
        <f>IF(OR(C9="",D9=""),"",MOD(D9-C9,1)*24)</f>
        <v/>
      </c>
      <c r="F9" s="50" t="inlineStr">
        <is>
          <t>Работа над отчётом</t>
        </is>
      </c>
      <c r="G9" s="51" t="inlineStr">
        <is>
          <t>💼 Работа</t>
        </is>
      </c>
      <c r="H9" s="51" t="inlineStr">
        <is>
          <t>📌 Задача</t>
        </is>
      </c>
      <c r="I9" s="51" t="inlineStr">
        <is>
          <t>Сдать квартальный отчёт</t>
        </is>
      </c>
      <c r="J9" s="51" t="inlineStr">
        <is>
          <t>⏰ Запланировано</t>
        </is>
      </c>
      <c r="K9" s="51" t="n"/>
      <c r="L9" s="54">
        <f>IF(OR(A9="",C9="",D9=""),"",IF(COUNTIFS($A$5:$A$3004,A9,$C$5:$C$3004,"&lt;"&amp;D9,$D$5:$D$3004,"&gt;"&amp;C9)&gt;1,"⚠️ пересечение",""))</f>
        <v/>
      </c>
      <c r="M9" s="54">
        <f>IF(F9="","",IF(J9="✅ Сделано","✔ ",IF(J9="❌ Пропущено","✖ ","⏰ "))&amp;IF(C9="","",RIGHT("0"&amp;HOUR(C9),2)&amp;":"&amp;RIGHT("0"&amp;MINUTE(C9),2)&amp;IF(D9="","","–"&amp;RIGHT("0"&amp;HOUR(D9),2)&amp;":"&amp;RIGHT("0"&amp;MINUTE(D9),2))&amp;" ")&amp;F9)</f>
        <v/>
      </c>
      <c r="N9" s="54">
        <f>IF(OR(A9="",F9=""),"",A9&amp;"#"&amp;(COUNTIFS($A$5:$A$3004,A9,$F$5:$F$3004,"?*",$O$5:$O$3004,"&lt;"&amp;O9)+COUNTIFS($A$5:A9,A9,$F$5:F9,"?*",$O$5:O9,O9)))</f>
        <v/>
      </c>
      <c r="O9" s="54">
        <f>IF(A9="","",IF(C9="",0,C9))</f>
        <v/>
      </c>
    </row>
    <row r="10">
      <c r="A10" s="58" t="n">
        <v>46300</v>
      </c>
      <c r="B10" s="49">
        <f>IF(A10="","",CHOOSE(WEEKDAY(A10,2),"Пн","Вт","Ср","Чт","Пт","Сб","Вс"))</f>
        <v/>
      </c>
      <c r="C10" s="59" t="n">
        <v>0.5208333333333334</v>
      </c>
      <c r="D10" s="59" t="n">
        <v>0.5625</v>
      </c>
      <c r="E10" s="60">
        <f>IF(OR(C10="",D10=""),"",MOD(D10-C10,1)*24)</f>
        <v/>
      </c>
      <c r="F10" s="50" t="inlineStr">
        <is>
          <t>Обед с коллегой</t>
        </is>
      </c>
      <c r="G10" s="51" t="inlineStr">
        <is>
          <t>👪 Семья и друзья</t>
        </is>
      </c>
      <c r="H10" s="51" t="inlineStr">
        <is>
          <t>🤝 Встреча</t>
        </is>
      </c>
      <c r="I10" s="51" t="n"/>
      <c r="J10" s="51" t="inlineStr">
        <is>
          <t>⏰ Запланировано</t>
        </is>
      </c>
      <c r="K10" s="51" t="n"/>
      <c r="L10" s="54">
        <f>IF(OR(A10="",C10="",D10=""),"",IF(COUNTIFS($A$5:$A$3004,A10,$C$5:$C$3004,"&lt;"&amp;D10,$D$5:$D$3004,"&gt;"&amp;C10)&gt;1,"⚠️ пересечение",""))</f>
        <v/>
      </c>
      <c r="M10" s="54">
        <f>IF(F10="","",IF(J10="✅ Сделано","✔ ",IF(J10="❌ Пропущено","✖ ","⏰ "))&amp;IF(C10="","",RIGHT("0"&amp;HOUR(C10),2)&amp;":"&amp;RIGHT("0"&amp;MINUTE(C10),2)&amp;IF(D10="","","–"&amp;RIGHT("0"&amp;HOUR(D10),2)&amp;":"&amp;RIGHT("0"&amp;MINUTE(D10),2))&amp;" ")&amp;F10)</f>
        <v/>
      </c>
      <c r="N10" s="54">
        <f>IF(OR(A10="",F10=""),"",A10&amp;"#"&amp;(COUNTIFS($A$5:$A$3004,A10,$F$5:$F$3004,"?*",$O$5:$O$3004,"&lt;"&amp;O10)+COUNTIFS($A$5:A10,A10,$F$5:F10,"?*",$O$5:O10,O10)))</f>
        <v/>
      </c>
      <c r="O10" s="54">
        <f>IF(A10="","",IF(C10="",0,C10))</f>
        <v/>
      </c>
    </row>
    <row r="11">
      <c r="A11" s="58" t="n">
        <v>46300</v>
      </c>
      <c r="B11" s="49">
        <f>IF(A11="","",CHOOSE(WEEKDAY(A11,2),"Пн","Вт","Ср","Чт","Пт","Сб","Вс"))</f>
        <v/>
      </c>
      <c r="C11" s="59" t="n">
        <v>0.7708333333333334</v>
      </c>
      <c r="D11" s="59" t="n">
        <v>0.8333333333333334</v>
      </c>
      <c r="E11" s="60">
        <f>IF(OR(C11="",D11=""),"",MOD(D11-C11,1)*24)</f>
        <v/>
      </c>
      <c r="F11" s="50" t="inlineStr">
        <is>
          <t>Тренажёрный зал</t>
        </is>
      </c>
      <c r="G11" s="51" t="inlineStr">
        <is>
          <t>💪 Спорт и здоровье</t>
        </is>
      </c>
      <c r="H11" s="51" t="inlineStr">
        <is>
          <t>🔁 Привычка</t>
        </is>
      </c>
      <c r="I11" s="51" t="n"/>
      <c r="J11" s="51" t="inlineStr">
        <is>
          <t>⏰ Запланировано</t>
        </is>
      </c>
      <c r="K11" s="51" t="n"/>
      <c r="L11" s="54">
        <f>IF(OR(A11="",C11="",D11=""),"",IF(COUNTIFS($A$5:$A$3004,A11,$C$5:$C$3004,"&lt;"&amp;D11,$D$5:$D$3004,"&gt;"&amp;C11)&gt;1,"⚠️ пересечение",""))</f>
        <v/>
      </c>
      <c r="M11" s="54">
        <f>IF(F11="","",IF(J11="✅ Сделано","✔ ",IF(J11="❌ Пропущено","✖ ","⏰ "))&amp;IF(C11="","",RIGHT("0"&amp;HOUR(C11),2)&amp;":"&amp;RIGHT("0"&amp;MINUTE(C11),2)&amp;IF(D11="","","–"&amp;RIGHT("0"&amp;HOUR(D11),2)&amp;":"&amp;RIGHT("0"&amp;MINUTE(D11),2))&amp;" ")&amp;F11)</f>
        <v/>
      </c>
      <c r="N11" s="54">
        <f>IF(OR(A11="",F11=""),"",A11&amp;"#"&amp;(COUNTIFS($A$5:$A$3004,A11,$F$5:$F$3004,"?*",$O$5:$O$3004,"&lt;"&amp;O11)+COUNTIFS($A$5:A11,A11,$F$5:F11,"?*",$O$5:O11,O11)))</f>
        <v/>
      </c>
      <c r="O11" s="54">
        <f>IF(A11="","",IF(C11="",0,C11))</f>
        <v/>
      </c>
    </row>
    <row r="12">
      <c r="A12" s="58" t="n">
        <v>46301</v>
      </c>
      <c r="B12" s="49">
        <f>IF(A12="","",CHOOSE(WEEKDAY(A12,2),"Пн","Вт","Ср","Чт","Пт","Сб","Вс"))</f>
        <v/>
      </c>
      <c r="C12" s="59" t="n">
        <v>0.3333333333333333</v>
      </c>
      <c r="D12" s="59" t="n">
        <v>0.375</v>
      </c>
      <c r="E12" s="60">
        <f>IF(OR(C12="",D12=""),"",MOD(D12-C12,1)*24)</f>
        <v/>
      </c>
      <c r="F12" s="50" t="inlineStr">
        <is>
          <t>Утренняя пробежка</t>
        </is>
      </c>
      <c r="G12" s="51" t="inlineStr">
        <is>
          <t>💪 Спорт и здоровье</t>
        </is>
      </c>
      <c r="H12" s="51" t="inlineStr">
        <is>
          <t>🔁 Привычка</t>
        </is>
      </c>
      <c r="I12" s="51" t="n"/>
      <c r="J12" s="51" t="inlineStr">
        <is>
          <t>⏰ Запланировано</t>
        </is>
      </c>
      <c r="K12" s="51" t="n"/>
      <c r="L12" s="54">
        <f>IF(OR(A12="",C12="",D12=""),"",IF(COUNTIFS($A$5:$A$3004,A12,$C$5:$C$3004,"&lt;"&amp;D12,$D$5:$D$3004,"&gt;"&amp;C12)&gt;1,"⚠️ пересечение",""))</f>
        <v/>
      </c>
      <c r="M12" s="54">
        <f>IF(F12="","",IF(J12="✅ Сделано","✔ ",IF(J12="❌ Пропущено","✖ ","⏰ "))&amp;IF(C12="","",RIGHT("0"&amp;HOUR(C12),2)&amp;":"&amp;RIGHT("0"&amp;MINUTE(C12),2)&amp;IF(D12="","","–"&amp;RIGHT("0"&amp;HOUR(D12),2)&amp;":"&amp;RIGHT("0"&amp;MINUTE(D12),2))&amp;" ")&amp;F12)</f>
        <v/>
      </c>
      <c r="N12" s="54">
        <f>IF(OR(A12="",F12=""),"",A12&amp;"#"&amp;(COUNTIFS($A$5:$A$3004,A12,$F$5:$F$3004,"?*",$O$5:$O$3004,"&lt;"&amp;O12)+COUNTIFS($A$5:A12,A12,$F$5:F12,"?*",$O$5:O12,O12)))</f>
        <v/>
      </c>
      <c r="O12" s="54">
        <f>IF(A12="","",IF(C12="",0,C12))</f>
        <v/>
      </c>
    </row>
    <row r="13">
      <c r="A13" s="58" t="n">
        <v>46302</v>
      </c>
      <c r="B13" s="49">
        <f>IF(A13="","",CHOOSE(WEEKDAY(A13,2),"Пн","Вт","Ср","Чт","Пт","Сб","Вс"))</f>
        <v/>
      </c>
      <c r="C13" s="59" t="n">
        <v>0.75</v>
      </c>
      <c r="D13" s="59" t="n">
        <v>0.7916666666666666</v>
      </c>
      <c r="E13" s="60">
        <f>IF(OR(C13="",D13=""),"",MOD(D13-C13,1)*24)</f>
        <v/>
      </c>
      <c r="F13" s="50" t="inlineStr">
        <is>
          <t>Выбрать подарок</t>
        </is>
      </c>
      <c r="G13" s="51" t="inlineStr">
        <is>
          <t>👪 Семья и друзья</t>
        </is>
      </c>
      <c r="H13" s="51" t="inlineStr">
        <is>
          <t>🛒 Покупка</t>
        </is>
      </c>
      <c r="I13" s="51" t="inlineStr">
        <is>
          <t>Купить подарок другу</t>
        </is>
      </c>
      <c r="J13" s="51" t="inlineStr">
        <is>
          <t>⏰ Запланировано</t>
        </is>
      </c>
      <c r="K13" s="51" t="n"/>
      <c r="L13" s="54">
        <f>IF(OR(A13="",C13="",D13=""),"",IF(COUNTIFS($A$5:$A$3004,A13,$C$5:$C$3004,"&lt;"&amp;D13,$D$5:$D$3004,"&gt;"&amp;C13)&gt;1,"⚠️ пересечение",""))</f>
        <v/>
      </c>
      <c r="M13" s="54">
        <f>IF(F13="","",IF(J13="✅ Сделано","✔ ",IF(J13="❌ Пропущено","✖ ","⏰ "))&amp;IF(C13="","",RIGHT("0"&amp;HOUR(C13),2)&amp;":"&amp;RIGHT("0"&amp;MINUTE(C13),2)&amp;IF(D13="","","–"&amp;RIGHT("0"&amp;HOUR(D13),2)&amp;":"&amp;RIGHT("0"&amp;MINUTE(D13),2))&amp;" ")&amp;F13)</f>
        <v/>
      </c>
      <c r="N13" s="54">
        <f>IF(OR(A13="",F13=""),"",A13&amp;"#"&amp;(COUNTIFS($A$5:$A$3004,A13,$F$5:$F$3004,"?*",$O$5:$O$3004,"&lt;"&amp;O13)+COUNTIFS($A$5:A13,A13,$F$5:F13,"?*",$O$5:O13,O13)))</f>
        <v/>
      </c>
      <c r="O13" s="54">
        <f>IF(A13="","",IF(C13="",0,C13))</f>
        <v/>
      </c>
    </row>
    <row r="14">
      <c r="A14" s="58" t="n">
        <v>46305</v>
      </c>
      <c r="B14" s="49">
        <f>IF(A14="","",CHOOSE(WEEKDAY(A14,2),"Пн","Вт","Ср","Чт","Пт","Сб","Вс"))</f>
        <v/>
      </c>
      <c r="C14" s="59" t="n">
        <v>0.4166666666666667</v>
      </c>
      <c r="D14" s="59" t="n">
        <v>0.5833333333333334</v>
      </c>
      <c r="E14" s="60">
        <f>IF(OR(C14="",D14=""),"",MOD(D14-C14,1)*24)</f>
        <v/>
      </c>
      <c r="F14" s="50" t="inlineStr">
        <is>
          <t>Поездка за город</t>
        </is>
      </c>
      <c r="G14" s="51" t="inlineStr">
        <is>
          <t>🧘 Отдых</t>
        </is>
      </c>
      <c r="H14" s="51" t="inlineStr">
        <is>
          <t>🎉 Мероприятие</t>
        </is>
      </c>
      <c r="I14" s="51" t="n"/>
      <c r="J14" s="51" t="inlineStr">
        <is>
          <t>⏰ Запланировано</t>
        </is>
      </c>
      <c r="K14" s="51" t="n"/>
      <c r="L14" s="54">
        <f>IF(OR(A14="",C14="",D14=""),"",IF(COUNTIFS($A$5:$A$3004,A14,$C$5:$C$3004,"&lt;"&amp;D14,$D$5:$D$3004,"&gt;"&amp;C14)&gt;1,"⚠️ пересечение",""))</f>
        <v/>
      </c>
      <c r="M14" s="54">
        <f>IF(F14="","",IF(J14="✅ Сделано","✔ ",IF(J14="❌ Пропущено","✖ ","⏰ "))&amp;IF(C14="","",RIGHT("0"&amp;HOUR(C14),2)&amp;":"&amp;RIGHT("0"&amp;MINUTE(C14),2)&amp;IF(D14="","","–"&amp;RIGHT("0"&amp;HOUR(D14),2)&amp;":"&amp;RIGHT("0"&amp;MINUTE(D14),2))&amp;" ")&amp;F14)</f>
        <v/>
      </c>
      <c r="N14" s="54">
        <f>IF(OR(A14="",F14=""),"",A14&amp;"#"&amp;(COUNTIFS($A$5:$A$3004,A14,$F$5:$F$3004,"?*",$O$5:$O$3004,"&lt;"&amp;O14)+COUNTIFS($A$5:A14,A14,$F$5:F14,"?*",$O$5:O14,O14)))</f>
        <v/>
      </c>
      <c r="O14" s="54">
        <f>IF(A14="","",IF(C14="",0,C14))</f>
        <v/>
      </c>
    </row>
    <row r="15">
      <c r="A15" s="58" t="n">
        <v>46297</v>
      </c>
      <c r="B15" s="49">
        <f>IF(A15="","",CHOOSE(WEEKDAY(A15,2),"Пн","Вт","Ср","Чт","Пт","Сб","Вс"))</f>
        <v/>
      </c>
      <c r="C15" s="59" t="n">
        <v>0.7916666666666666</v>
      </c>
      <c r="D15" s="59" t="n">
        <v>0.8541666666666666</v>
      </c>
      <c r="E15" s="60">
        <f>IF(OR(C15="",D15=""),"",MOD(D15-C15,1)*24)</f>
        <v/>
      </c>
      <c r="F15" s="50" t="inlineStr">
        <is>
          <t>Тренажёрный зал</t>
        </is>
      </c>
      <c r="G15" s="51" t="inlineStr">
        <is>
          <t>💪 Спорт и здоровье</t>
        </is>
      </c>
      <c r="H15" s="51" t="inlineStr">
        <is>
          <t>🔁 Привычка</t>
        </is>
      </c>
      <c r="I15" s="51" t="n"/>
      <c r="J15" s="51" t="inlineStr">
        <is>
          <t>✅ Сделано</t>
        </is>
      </c>
      <c r="K15" s="51" t="n"/>
      <c r="L15" s="54">
        <f>IF(OR(A15="",C15="",D15=""),"",IF(COUNTIFS($A$5:$A$3004,A15,$C$5:$C$3004,"&lt;"&amp;D15,$D$5:$D$3004,"&gt;"&amp;C15)&gt;1,"⚠️ пересечение",""))</f>
        <v/>
      </c>
      <c r="M15" s="54">
        <f>IF(F15="","",IF(J15="✅ Сделано","✔ ",IF(J15="❌ Пропущено","✖ ","⏰ "))&amp;IF(C15="","",RIGHT("0"&amp;HOUR(C15),2)&amp;":"&amp;RIGHT("0"&amp;MINUTE(C15),2)&amp;IF(D15="","","–"&amp;RIGHT("0"&amp;HOUR(D15),2)&amp;":"&amp;RIGHT("0"&amp;MINUTE(D15),2))&amp;" ")&amp;F15)</f>
        <v/>
      </c>
      <c r="N15" s="54">
        <f>IF(OR(A15="",F15=""),"",A15&amp;"#"&amp;(COUNTIFS($A$5:$A$3004,A15,$F$5:$F$3004,"?*",$O$5:$O$3004,"&lt;"&amp;O15)+COUNTIFS($A$5:A15,A15,$F$5:F15,"?*",$O$5:O15,O15)))</f>
        <v/>
      </c>
      <c r="O15" s="54">
        <f>IF(A15="","",IF(C15="",0,C15))</f>
        <v/>
      </c>
    </row>
    <row r="16">
      <c r="A16" s="58" t="n">
        <v>46296</v>
      </c>
      <c r="B16" s="49">
        <f>IF(A16="","",CHOOSE(WEEKDAY(A16,2),"Пн","Вт","Ср","Чт","Пт","Сб","Вс"))</f>
        <v/>
      </c>
      <c r="C16" s="59" t="n">
        <v>0.625</v>
      </c>
      <c r="D16" s="59" t="n">
        <v>0.6666666666666666</v>
      </c>
      <c r="E16" s="60">
        <f>IF(OR(C16="",D16=""),"",MOD(D16-C16,1)*24)</f>
        <v/>
      </c>
      <c r="F16" s="50" t="inlineStr">
        <is>
          <t>Встреча с заказчиком</t>
        </is>
      </c>
      <c r="G16" s="51" t="inlineStr">
        <is>
          <t>🚀 Проекты</t>
        </is>
      </c>
      <c r="H16" s="51" t="inlineStr">
        <is>
          <t>🤝 Встреча</t>
        </is>
      </c>
      <c r="I16" s="51" t="n"/>
      <c r="J16" s="51" t="inlineStr">
        <is>
          <t>❌ Пропущено</t>
        </is>
      </c>
      <c r="K16" s="51" t="n"/>
      <c r="L16" s="54">
        <f>IF(OR(A16="",C16="",D16=""),"",IF(COUNTIFS($A$5:$A$3004,A16,$C$5:$C$3004,"&lt;"&amp;D16,$D$5:$D$3004,"&gt;"&amp;C16)&gt;1,"⚠️ пересечение",""))</f>
        <v/>
      </c>
      <c r="M16" s="54">
        <f>IF(F16="","",IF(J16="✅ Сделано","✔ ",IF(J16="❌ Пропущено","✖ ","⏰ "))&amp;IF(C16="","",RIGHT("0"&amp;HOUR(C16),2)&amp;":"&amp;RIGHT("0"&amp;MINUTE(C16),2)&amp;IF(D16="","","–"&amp;RIGHT("0"&amp;HOUR(D16),2)&amp;":"&amp;RIGHT("0"&amp;MINUTE(D16),2))&amp;" ")&amp;F16)</f>
        <v/>
      </c>
      <c r="N16" s="54">
        <f>IF(OR(A16="",F16=""),"",A16&amp;"#"&amp;(COUNTIFS($A$5:$A$3004,A16,$F$5:$F$3004,"?*",$O$5:$O$3004,"&lt;"&amp;O16)+COUNTIFS($A$5:A16,A16,$F$5:F16,"?*",$O$5:O16,O16)))</f>
        <v/>
      </c>
      <c r="O16" s="54">
        <f>IF(A16="","",IF(C16="",0,C16))</f>
        <v/>
      </c>
    </row>
    <row r="17">
      <c r="A17" s="58" t="n"/>
      <c r="B17" s="49">
        <f>IF(A17="","",CHOOSE(WEEKDAY(A17,2),"Пн","Вт","Ср","Чт","Пт","Сб","Вс"))</f>
        <v/>
      </c>
      <c r="C17" s="59" t="n"/>
      <c r="D17" s="59" t="n"/>
      <c r="E17" s="60">
        <f>IF(OR(C17="",D17=""),"",MOD(D17-C17,1)*24)</f>
        <v/>
      </c>
      <c r="F17" s="50" t="n"/>
      <c r="G17" s="51" t="n"/>
      <c r="H17" s="51" t="n"/>
      <c r="I17" s="51" t="n"/>
      <c r="J17" s="51" t="n"/>
      <c r="K17" s="51" t="n"/>
      <c r="L17" s="54">
        <f>IF(OR(A17="",C17="",D17=""),"",IF(COUNTIFS($A$5:$A$3004,A17,$C$5:$C$3004,"&lt;"&amp;D17,$D$5:$D$3004,"&gt;"&amp;C17)&gt;1,"⚠️ пересечение",""))</f>
        <v/>
      </c>
      <c r="M17" s="54">
        <f>IF(F17="","",IF(J17="✅ Сделано","✔ ",IF(J17="❌ Пропущено","✖ ","⏰ "))&amp;IF(C17="","",RIGHT("0"&amp;HOUR(C17),2)&amp;":"&amp;RIGHT("0"&amp;MINUTE(C17),2)&amp;IF(D17="","","–"&amp;RIGHT("0"&amp;HOUR(D17),2)&amp;":"&amp;RIGHT("0"&amp;MINUTE(D17),2))&amp;" ")&amp;F17)</f>
        <v/>
      </c>
      <c r="N17" s="54">
        <f>IF(OR(A17="",F17=""),"",A17&amp;"#"&amp;(COUNTIFS($A$5:$A$3004,A17,$F$5:$F$3004,"?*",$O$5:$O$3004,"&lt;"&amp;O17)+COUNTIFS($A$5:A17,A17,$F$5:F17,"?*",$O$5:O17,O17)))</f>
        <v/>
      </c>
      <c r="O17" s="54">
        <f>IF(A17="","",IF(C17="",0,C17))</f>
        <v/>
      </c>
    </row>
    <row r="18">
      <c r="A18" s="58" t="n"/>
      <c r="B18" s="49">
        <f>IF(A18="","",CHOOSE(WEEKDAY(A18,2),"Пн","Вт","Ср","Чт","Пт","Сб","Вс"))</f>
        <v/>
      </c>
      <c r="C18" s="59" t="n"/>
      <c r="D18" s="59" t="n"/>
      <c r="E18" s="60">
        <f>IF(OR(C18="",D18=""),"",MOD(D18-C18,1)*24)</f>
        <v/>
      </c>
      <c r="F18" s="50" t="n"/>
      <c r="G18" s="51" t="n"/>
      <c r="H18" s="51" t="n"/>
      <c r="I18" s="51" t="n"/>
      <c r="J18" s="51" t="n"/>
      <c r="K18" s="51" t="n"/>
      <c r="L18" s="54">
        <f>IF(OR(A18="",C18="",D18=""),"",IF(COUNTIFS($A$5:$A$3004,A18,$C$5:$C$3004,"&lt;"&amp;D18,$D$5:$D$3004,"&gt;"&amp;C18)&gt;1,"⚠️ пересечение",""))</f>
        <v/>
      </c>
      <c r="M18" s="54">
        <f>IF(F18="","",IF(J18="✅ Сделано","✔ ",IF(J18="❌ Пропущено","✖ ","⏰ "))&amp;IF(C18="","",RIGHT("0"&amp;HOUR(C18),2)&amp;":"&amp;RIGHT("0"&amp;MINUTE(C18),2)&amp;IF(D18="","","–"&amp;RIGHT("0"&amp;HOUR(D18),2)&amp;":"&amp;RIGHT("0"&amp;MINUTE(D18),2))&amp;" ")&amp;F18)</f>
        <v/>
      </c>
      <c r="N18" s="54">
        <f>IF(OR(A18="",F18=""),"",A18&amp;"#"&amp;(COUNTIFS($A$5:$A$3004,A18,$F$5:$F$3004,"?*",$O$5:$O$3004,"&lt;"&amp;O18)+COUNTIFS($A$5:A18,A18,$F$5:F18,"?*",$O$5:O18,O18)))</f>
        <v/>
      </c>
      <c r="O18" s="54">
        <f>IF(A18="","",IF(C18="",0,C18))</f>
        <v/>
      </c>
    </row>
    <row r="19">
      <c r="A19" s="58" t="n"/>
      <c r="B19" s="49">
        <f>IF(A19="","",CHOOSE(WEEKDAY(A19,2),"Пн","Вт","Ср","Чт","Пт","Сб","Вс"))</f>
        <v/>
      </c>
      <c r="C19" s="59" t="n"/>
      <c r="D19" s="59" t="n"/>
      <c r="E19" s="60">
        <f>IF(OR(C19="",D19=""),"",MOD(D19-C19,1)*24)</f>
        <v/>
      </c>
      <c r="F19" s="50" t="n"/>
      <c r="G19" s="51" t="n"/>
      <c r="H19" s="51" t="n"/>
      <c r="I19" s="51" t="n"/>
      <c r="J19" s="51" t="n"/>
      <c r="K19" s="51" t="n"/>
      <c r="L19" s="54">
        <f>IF(OR(A19="",C19="",D19=""),"",IF(COUNTIFS($A$5:$A$3004,A19,$C$5:$C$3004,"&lt;"&amp;D19,$D$5:$D$3004,"&gt;"&amp;C19)&gt;1,"⚠️ пересечение",""))</f>
        <v/>
      </c>
      <c r="M19" s="54">
        <f>IF(F19="","",IF(J19="✅ Сделано","✔ ",IF(J19="❌ Пропущено","✖ ","⏰ "))&amp;IF(C19="","",RIGHT("0"&amp;HOUR(C19),2)&amp;":"&amp;RIGHT("0"&amp;MINUTE(C19),2)&amp;IF(D19="","","–"&amp;RIGHT("0"&amp;HOUR(D19),2)&amp;":"&amp;RIGHT("0"&amp;MINUTE(D19),2))&amp;" ")&amp;F19)</f>
        <v/>
      </c>
      <c r="N19" s="54">
        <f>IF(OR(A19="",F19=""),"",A19&amp;"#"&amp;(COUNTIFS($A$5:$A$3004,A19,$F$5:$F$3004,"?*",$O$5:$O$3004,"&lt;"&amp;O19)+COUNTIFS($A$5:A19,A19,$F$5:F19,"?*",$O$5:O19,O19)))</f>
        <v/>
      </c>
      <c r="O19" s="54">
        <f>IF(A19="","",IF(C19="",0,C19))</f>
        <v/>
      </c>
    </row>
    <row r="20">
      <c r="A20" s="58" t="n"/>
      <c r="B20" s="49">
        <f>IF(A20="","",CHOOSE(WEEKDAY(A20,2),"Пн","Вт","Ср","Чт","Пт","Сб","Вс"))</f>
        <v/>
      </c>
      <c r="C20" s="59" t="n"/>
      <c r="D20" s="59" t="n"/>
      <c r="E20" s="60">
        <f>IF(OR(C20="",D20=""),"",MOD(D20-C20,1)*24)</f>
        <v/>
      </c>
      <c r="F20" s="50" t="n"/>
      <c r="G20" s="51" t="n"/>
      <c r="H20" s="51" t="n"/>
      <c r="I20" s="51" t="n"/>
      <c r="J20" s="51" t="n"/>
      <c r="K20" s="51" t="n"/>
      <c r="L20" s="54">
        <f>IF(OR(A20="",C20="",D20=""),"",IF(COUNTIFS($A$5:$A$3004,A20,$C$5:$C$3004,"&lt;"&amp;D20,$D$5:$D$3004,"&gt;"&amp;C20)&gt;1,"⚠️ пересечение",""))</f>
        <v/>
      </c>
      <c r="M20" s="54">
        <f>IF(F20="","",IF(J20="✅ Сделано","✔ ",IF(J20="❌ Пропущено","✖ ","⏰ "))&amp;IF(C20="","",RIGHT("0"&amp;HOUR(C20),2)&amp;":"&amp;RIGHT("0"&amp;MINUTE(C20),2)&amp;IF(D20="","","–"&amp;RIGHT("0"&amp;HOUR(D20),2)&amp;":"&amp;RIGHT("0"&amp;MINUTE(D20),2))&amp;" ")&amp;F20)</f>
        <v/>
      </c>
      <c r="N20" s="54">
        <f>IF(OR(A20="",F20=""),"",A20&amp;"#"&amp;(COUNTIFS($A$5:$A$3004,A20,$F$5:$F$3004,"?*",$O$5:$O$3004,"&lt;"&amp;O20)+COUNTIFS($A$5:A20,A20,$F$5:F20,"?*",$O$5:O20,O20)))</f>
        <v/>
      </c>
      <c r="O20" s="54">
        <f>IF(A20="","",IF(C20="",0,C20))</f>
        <v/>
      </c>
    </row>
    <row r="21">
      <c r="A21" s="58" t="n"/>
      <c r="B21" s="49">
        <f>IF(A21="","",CHOOSE(WEEKDAY(A21,2),"Пн","Вт","Ср","Чт","Пт","Сб","Вс"))</f>
        <v/>
      </c>
      <c r="C21" s="59" t="n"/>
      <c r="D21" s="59" t="n"/>
      <c r="E21" s="60">
        <f>IF(OR(C21="",D21=""),"",MOD(D21-C21,1)*24)</f>
        <v/>
      </c>
      <c r="F21" s="50" t="n"/>
      <c r="G21" s="51" t="n"/>
      <c r="H21" s="51" t="n"/>
      <c r="I21" s="51" t="n"/>
      <c r="J21" s="51" t="n"/>
      <c r="K21" s="51" t="n"/>
      <c r="L21" s="54">
        <f>IF(OR(A21="",C21="",D21=""),"",IF(COUNTIFS($A$5:$A$3004,A21,$C$5:$C$3004,"&lt;"&amp;D21,$D$5:$D$3004,"&gt;"&amp;C21)&gt;1,"⚠️ пересечение",""))</f>
        <v/>
      </c>
      <c r="M21" s="54">
        <f>IF(F21="","",IF(J21="✅ Сделано","✔ ",IF(J21="❌ Пропущено","✖ ","⏰ "))&amp;IF(C21="","",RIGHT("0"&amp;HOUR(C21),2)&amp;":"&amp;RIGHT("0"&amp;MINUTE(C21),2)&amp;IF(D21="","","–"&amp;RIGHT("0"&amp;HOUR(D21),2)&amp;":"&amp;RIGHT("0"&amp;MINUTE(D21),2))&amp;" ")&amp;F21)</f>
        <v/>
      </c>
      <c r="N21" s="54">
        <f>IF(OR(A21="",F21=""),"",A21&amp;"#"&amp;(COUNTIFS($A$5:$A$3004,A21,$F$5:$F$3004,"?*",$O$5:$O$3004,"&lt;"&amp;O21)+COUNTIFS($A$5:A21,A21,$F$5:F21,"?*",$O$5:O21,O21)))</f>
        <v/>
      </c>
      <c r="O21" s="54">
        <f>IF(A21="","",IF(C21="",0,C21))</f>
        <v/>
      </c>
    </row>
    <row r="22">
      <c r="A22" s="58" t="n"/>
      <c r="B22" s="49">
        <f>IF(A22="","",CHOOSE(WEEKDAY(A22,2),"Пн","Вт","Ср","Чт","Пт","Сб","Вс"))</f>
        <v/>
      </c>
      <c r="C22" s="59" t="n"/>
      <c r="D22" s="59" t="n"/>
      <c r="E22" s="60">
        <f>IF(OR(C22="",D22=""),"",MOD(D22-C22,1)*24)</f>
        <v/>
      </c>
      <c r="F22" s="50" t="n"/>
      <c r="G22" s="51" t="n"/>
      <c r="H22" s="51" t="n"/>
      <c r="I22" s="51" t="n"/>
      <c r="J22" s="51" t="n"/>
      <c r="K22" s="51" t="n"/>
      <c r="L22" s="54">
        <f>IF(OR(A22="",C22="",D22=""),"",IF(COUNTIFS($A$5:$A$3004,A22,$C$5:$C$3004,"&lt;"&amp;D22,$D$5:$D$3004,"&gt;"&amp;C22)&gt;1,"⚠️ пересечение",""))</f>
        <v/>
      </c>
      <c r="M22" s="54">
        <f>IF(F22="","",IF(J22="✅ Сделано","✔ ",IF(J22="❌ Пропущено","✖ ","⏰ "))&amp;IF(C22="","",RIGHT("0"&amp;HOUR(C22),2)&amp;":"&amp;RIGHT("0"&amp;MINUTE(C22),2)&amp;IF(D22="","","–"&amp;RIGHT("0"&amp;HOUR(D22),2)&amp;":"&amp;RIGHT("0"&amp;MINUTE(D22),2))&amp;" ")&amp;F22)</f>
        <v/>
      </c>
      <c r="N22" s="54">
        <f>IF(OR(A22="",F22=""),"",A22&amp;"#"&amp;(COUNTIFS($A$5:$A$3004,A22,$F$5:$F$3004,"?*",$O$5:$O$3004,"&lt;"&amp;O22)+COUNTIFS($A$5:A22,A22,$F$5:F22,"?*",$O$5:O22,O22)))</f>
        <v/>
      </c>
      <c r="O22" s="54">
        <f>IF(A22="","",IF(C22="",0,C22))</f>
        <v/>
      </c>
    </row>
    <row r="23">
      <c r="A23" s="58" t="n"/>
      <c r="B23" s="49">
        <f>IF(A23="","",CHOOSE(WEEKDAY(A23,2),"Пн","Вт","Ср","Чт","Пт","Сб","Вс"))</f>
        <v/>
      </c>
      <c r="C23" s="59" t="n"/>
      <c r="D23" s="59" t="n"/>
      <c r="E23" s="60">
        <f>IF(OR(C23="",D23=""),"",MOD(D23-C23,1)*24)</f>
        <v/>
      </c>
      <c r="F23" s="50" t="n"/>
      <c r="G23" s="51" t="n"/>
      <c r="H23" s="51" t="n"/>
      <c r="I23" s="51" t="n"/>
      <c r="J23" s="51" t="n"/>
      <c r="K23" s="51" t="n"/>
      <c r="L23" s="54">
        <f>IF(OR(A23="",C23="",D23=""),"",IF(COUNTIFS($A$5:$A$3004,A23,$C$5:$C$3004,"&lt;"&amp;D23,$D$5:$D$3004,"&gt;"&amp;C23)&gt;1,"⚠️ пересечение",""))</f>
        <v/>
      </c>
      <c r="M23" s="54">
        <f>IF(F23="","",IF(J23="✅ Сделано","✔ ",IF(J23="❌ Пропущено","✖ ","⏰ "))&amp;IF(C23="","",RIGHT("0"&amp;HOUR(C23),2)&amp;":"&amp;RIGHT("0"&amp;MINUTE(C23),2)&amp;IF(D23="","","–"&amp;RIGHT("0"&amp;HOUR(D23),2)&amp;":"&amp;RIGHT("0"&amp;MINUTE(D23),2))&amp;" ")&amp;F23)</f>
        <v/>
      </c>
      <c r="N23" s="54">
        <f>IF(OR(A23="",F23=""),"",A23&amp;"#"&amp;(COUNTIFS($A$5:$A$3004,A23,$F$5:$F$3004,"?*",$O$5:$O$3004,"&lt;"&amp;O23)+COUNTIFS($A$5:A23,A23,$F$5:F23,"?*",$O$5:O23,O23)))</f>
        <v/>
      </c>
      <c r="O23" s="54">
        <f>IF(A23="","",IF(C23="",0,C23))</f>
        <v/>
      </c>
    </row>
    <row r="24">
      <c r="A24" s="58" t="n"/>
      <c r="B24" s="49">
        <f>IF(A24="","",CHOOSE(WEEKDAY(A24,2),"Пн","Вт","Ср","Чт","Пт","Сб","Вс"))</f>
        <v/>
      </c>
      <c r="C24" s="59" t="n"/>
      <c r="D24" s="59" t="n"/>
      <c r="E24" s="60">
        <f>IF(OR(C24="",D24=""),"",MOD(D24-C24,1)*24)</f>
        <v/>
      </c>
      <c r="F24" s="50" t="n"/>
      <c r="G24" s="51" t="n"/>
      <c r="H24" s="51" t="n"/>
      <c r="I24" s="51" t="n"/>
      <c r="J24" s="51" t="n"/>
      <c r="K24" s="51" t="n"/>
      <c r="L24" s="54">
        <f>IF(OR(A24="",C24="",D24=""),"",IF(COUNTIFS($A$5:$A$3004,A24,$C$5:$C$3004,"&lt;"&amp;D24,$D$5:$D$3004,"&gt;"&amp;C24)&gt;1,"⚠️ пересечение",""))</f>
        <v/>
      </c>
      <c r="M24" s="54">
        <f>IF(F24="","",IF(J24="✅ Сделано","✔ ",IF(J24="❌ Пропущено","✖ ","⏰ "))&amp;IF(C24="","",RIGHT("0"&amp;HOUR(C24),2)&amp;":"&amp;RIGHT("0"&amp;MINUTE(C24),2)&amp;IF(D24="","","–"&amp;RIGHT("0"&amp;HOUR(D24),2)&amp;":"&amp;RIGHT("0"&amp;MINUTE(D24),2))&amp;" ")&amp;F24)</f>
        <v/>
      </c>
      <c r="N24" s="54">
        <f>IF(OR(A24="",F24=""),"",A24&amp;"#"&amp;(COUNTIFS($A$5:$A$3004,A24,$F$5:$F$3004,"?*",$O$5:$O$3004,"&lt;"&amp;O24)+COUNTIFS($A$5:A24,A24,$F$5:F24,"?*",$O$5:O24,O24)))</f>
        <v/>
      </c>
      <c r="O24" s="54">
        <f>IF(A24="","",IF(C24="",0,C24))</f>
        <v/>
      </c>
    </row>
    <row r="25">
      <c r="A25" s="58" t="n"/>
      <c r="B25" s="49">
        <f>IF(A25="","",CHOOSE(WEEKDAY(A25,2),"Пн","Вт","Ср","Чт","Пт","Сб","Вс"))</f>
        <v/>
      </c>
      <c r="C25" s="59" t="n"/>
      <c r="D25" s="59" t="n"/>
      <c r="E25" s="60">
        <f>IF(OR(C25="",D25=""),"",MOD(D25-C25,1)*24)</f>
        <v/>
      </c>
      <c r="F25" s="50" t="n"/>
      <c r="G25" s="51" t="n"/>
      <c r="H25" s="51" t="n"/>
      <c r="I25" s="51" t="n"/>
      <c r="J25" s="51" t="n"/>
      <c r="K25" s="51" t="n"/>
      <c r="L25" s="54">
        <f>IF(OR(A25="",C25="",D25=""),"",IF(COUNTIFS($A$5:$A$3004,A25,$C$5:$C$3004,"&lt;"&amp;D25,$D$5:$D$3004,"&gt;"&amp;C25)&gt;1,"⚠️ пересечение",""))</f>
        <v/>
      </c>
      <c r="M25" s="54">
        <f>IF(F25="","",IF(J25="✅ Сделано","✔ ",IF(J25="❌ Пропущено","✖ ","⏰ "))&amp;IF(C25="","",RIGHT("0"&amp;HOUR(C25),2)&amp;":"&amp;RIGHT("0"&amp;MINUTE(C25),2)&amp;IF(D25="","","–"&amp;RIGHT("0"&amp;HOUR(D25),2)&amp;":"&amp;RIGHT("0"&amp;MINUTE(D25),2))&amp;" ")&amp;F25)</f>
        <v/>
      </c>
      <c r="N25" s="54">
        <f>IF(OR(A25="",F25=""),"",A25&amp;"#"&amp;(COUNTIFS($A$5:$A$3004,A25,$F$5:$F$3004,"?*",$O$5:$O$3004,"&lt;"&amp;O25)+COUNTIFS($A$5:A25,A25,$F$5:F25,"?*",$O$5:O25,O25)))</f>
        <v/>
      </c>
      <c r="O25" s="54">
        <f>IF(A25="","",IF(C25="",0,C25))</f>
        <v/>
      </c>
    </row>
    <row r="26">
      <c r="A26" s="58" t="n"/>
      <c r="B26" s="49">
        <f>IF(A26="","",CHOOSE(WEEKDAY(A26,2),"Пн","Вт","Ср","Чт","Пт","Сб","Вс"))</f>
        <v/>
      </c>
      <c r="C26" s="59" t="n"/>
      <c r="D26" s="59" t="n"/>
      <c r="E26" s="60">
        <f>IF(OR(C26="",D26=""),"",MOD(D26-C26,1)*24)</f>
        <v/>
      </c>
      <c r="F26" s="50" t="n"/>
      <c r="G26" s="51" t="n"/>
      <c r="H26" s="51" t="n"/>
      <c r="I26" s="51" t="n"/>
      <c r="J26" s="51" t="n"/>
      <c r="K26" s="51" t="n"/>
      <c r="L26" s="54">
        <f>IF(OR(A26="",C26="",D26=""),"",IF(COUNTIFS($A$5:$A$3004,A26,$C$5:$C$3004,"&lt;"&amp;D26,$D$5:$D$3004,"&gt;"&amp;C26)&gt;1,"⚠️ пересечение",""))</f>
        <v/>
      </c>
      <c r="M26" s="54">
        <f>IF(F26="","",IF(J26="✅ Сделано","✔ ",IF(J26="❌ Пропущено","✖ ","⏰ "))&amp;IF(C26="","",RIGHT("0"&amp;HOUR(C26),2)&amp;":"&amp;RIGHT("0"&amp;MINUTE(C26),2)&amp;IF(D26="","","–"&amp;RIGHT("0"&amp;HOUR(D26),2)&amp;":"&amp;RIGHT("0"&amp;MINUTE(D26),2))&amp;" ")&amp;F26)</f>
        <v/>
      </c>
      <c r="N26" s="54">
        <f>IF(OR(A26="",F26=""),"",A26&amp;"#"&amp;(COUNTIFS($A$5:$A$3004,A26,$F$5:$F$3004,"?*",$O$5:$O$3004,"&lt;"&amp;O26)+COUNTIFS($A$5:A26,A26,$F$5:F26,"?*",$O$5:O26,O26)))</f>
        <v/>
      </c>
      <c r="O26" s="54">
        <f>IF(A26="","",IF(C26="",0,C26))</f>
        <v/>
      </c>
    </row>
    <row r="27">
      <c r="A27" s="58" t="n"/>
      <c r="B27" s="49">
        <f>IF(A27="","",CHOOSE(WEEKDAY(A27,2),"Пн","Вт","Ср","Чт","Пт","Сб","Вс"))</f>
        <v/>
      </c>
      <c r="C27" s="59" t="n"/>
      <c r="D27" s="59" t="n"/>
      <c r="E27" s="60">
        <f>IF(OR(C27="",D27=""),"",MOD(D27-C27,1)*24)</f>
        <v/>
      </c>
      <c r="F27" s="50" t="n"/>
      <c r="G27" s="51" t="n"/>
      <c r="H27" s="51" t="n"/>
      <c r="I27" s="51" t="n"/>
      <c r="J27" s="51" t="n"/>
      <c r="K27" s="51" t="n"/>
      <c r="L27" s="54">
        <f>IF(OR(A27="",C27="",D27=""),"",IF(COUNTIFS($A$5:$A$3004,A27,$C$5:$C$3004,"&lt;"&amp;D27,$D$5:$D$3004,"&gt;"&amp;C27)&gt;1,"⚠️ пересечение",""))</f>
        <v/>
      </c>
      <c r="M27" s="54">
        <f>IF(F27="","",IF(J27="✅ Сделано","✔ ",IF(J27="❌ Пропущено","✖ ","⏰ "))&amp;IF(C27="","",RIGHT("0"&amp;HOUR(C27),2)&amp;":"&amp;RIGHT("0"&amp;MINUTE(C27),2)&amp;IF(D27="","","–"&amp;RIGHT("0"&amp;HOUR(D27),2)&amp;":"&amp;RIGHT("0"&amp;MINUTE(D27),2))&amp;" ")&amp;F27)</f>
        <v/>
      </c>
      <c r="N27" s="54">
        <f>IF(OR(A27="",F27=""),"",A27&amp;"#"&amp;(COUNTIFS($A$5:$A$3004,A27,$F$5:$F$3004,"?*",$O$5:$O$3004,"&lt;"&amp;O27)+COUNTIFS($A$5:A27,A27,$F$5:F27,"?*",$O$5:O27,O27)))</f>
        <v/>
      </c>
      <c r="O27" s="54">
        <f>IF(A27="","",IF(C27="",0,C27))</f>
        <v/>
      </c>
    </row>
    <row r="28">
      <c r="A28" s="58" t="n"/>
      <c r="B28" s="49">
        <f>IF(A28="","",CHOOSE(WEEKDAY(A28,2),"Пн","Вт","Ср","Чт","Пт","Сб","Вс"))</f>
        <v/>
      </c>
      <c r="C28" s="59" t="n"/>
      <c r="D28" s="59" t="n"/>
      <c r="E28" s="60">
        <f>IF(OR(C28="",D28=""),"",MOD(D28-C28,1)*24)</f>
        <v/>
      </c>
      <c r="F28" s="50" t="n"/>
      <c r="G28" s="51" t="n"/>
      <c r="H28" s="51" t="n"/>
      <c r="I28" s="51" t="n"/>
      <c r="J28" s="51" t="n"/>
      <c r="K28" s="51" t="n"/>
      <c r="L28" s="54">
        <f>IF(OR(A28="",C28="",D28=""),"",IF(COUNTIFS($A$5:$A$3004,A28,$C$5:$C$3004,"&lt;"&amp;D28,$D$5:$D$3004,"&gt;"&amp;C28)&gt;1,"⚠️ пересечение",""))</f>
        <v/>
      </c>
      <c r="M28" s="54">
        <f>IF(F28="","",IF(J28="✅ Сделано","✔ ",IF(J28="❌ Пропущено","✖ ","⏰ "))&amp;IF(C28="","",RIGHT("0"&amp;HOUR(C28),2)&amp;":"&amp;RIGHT("0"&amp;MINUTE(C28),2)&amp;IF(D28="","","–"&amp;RIGHT("0"&amp;HOUR(D28),2)&amp;":"&amp;RIGHT("0"&amp;MINUTE(D28),2))&amp;" ")&amp;F28)</f>
        <v/>
      </c>
      <c r="N28" s="54">
        <f>IF(OR(A28="",F28=""),"",A28&amp;"#"&amp;(COUNTIFS($A$5:$A$3004,A28,$F$5:$F$3004,"?*",$O$5:$O$3004,"&lt;"&amp;O28)+COUNTIFS($A$5:A28,A28,$F$5:F28,"?*",$O$5:O28,O28)))</f>
        <v/>
      </c>
      <c r="O28" s="54">
        <f>IF(A28="","",IF(C28="",0,C28))</f>
        <v/>
      </c>
    </row>
    <row r="29">
      <c r="A29" s="58" t="n"/>
      <c r="B29" s="49">
        <f>IF(A29="","",CHOOSE(WEEKDAY(A29,2),"Пн","Вт","Ср","Чт","Пт","Сб","Вс"))</f>
        <v/>
      </c>
      <c r="C29" s="59" t="n"/>
      <c r="D29" s="59" t="n"/>
      <c r="E29" s="60">
        <f>IF(OR(C29="",D29=""),"",MOD(D29-C29,1)*24)</f>
        <v/>
      </c>
      <c r="F29" s="50" t="n"/>
      <c r="G29" s="51" t="n"/>
      <c r="H29" s="51" t="n"/>
      <c r="I29" s="51" t="n"/>
      <c r="J29" s="51" t="n"/>
      <c r="K29" s="51" t="n"/>
      <c r="L29" s="54">
        <f>IF(OR(A29="",C29="",D29=""),"",IF(COUNTIFS($A$5:$A$3004,A29,$C$5:$C$3004,"&lt;"&amp;D29,$D$5:$D$3004,"&gt;"&amp;C29)&gt;1,"⚠️ пересечение",""))</f>
        <v/>
      </c>
      <c r="M29" s="54">
        <f>IF(F29="","",IF(J29="✅ Сделано","✔ ",IF(J29="❌ Пропущено","✖ ","⏰ "))&amp;IF(C29="","",RIGHT("0"&amp;HOUR(C29),2)&amp;":"&amp;RIGHT("0"&amp;MINUTE(C29),2)&amp;IF(D29="","","–"&amp;RIGHT("0"&amp;HOUR(D29),2)&amp;":"&amp;RIGHT("0"&amp;MINUTE(D29),2))&amp;" ")&amp;F29)</f>
        <v/>
      </c>
      <c r="N29" s="54">
        <f>IF(OR(A29="",F29=""),"",A29&amp;"#"&amp;(COUNTIFS($A$5:$A$3004,A29,$F$5:$F$3004,"?*",$O$5:$O$3004,"&lt;"&amp;O29)+COUNTIFS($A$5:A29,A29,$F$5:F29,"?*",$O$5:O29,O29)))</f>
        <v/>
      </c>
      <c r="O29" s="54">
        <f>IF(A29="","",IF(C29="",0,C29))</f>
        <v/>
      </c>
    </row>
    <row r="30">
      <c r="A30" s="58" t="n"/>
      <c r="B30" s="49">
        <f>IF(A30="","",CHOOSE(WEEKDAY(A30,2),"Пн","Вт","Ср","Чт","Пт","Сб","Вс"))</f>
        <v/>
      </c>
      <c r="C30" s="59" t="n"/>
      <c r="D30" s="59" t="n"/>
      <c r="E30" s="60">
        <f>IF(OR(C30="",D30=""),"",MOD(D30-C30,1)*24)</f>
        <v/>
      </c>
      <c r="F30" s="50" t="n"/>
      <c r="G30" s="51" t="n"/>
      <c r="H30" s="51" t="n"/>
      <c r="I30" s="51" t="n"/>
      <c r="J30" s="51" t="n"/>
      <c r="K30" s="51" t="n"/>
      <c r="L30" s="54">
        <f>IF(OR(A30="",C30="",D30=""),"",IF(COUNTIFS($A$5:$A$3004,A30,$C$5:$C$3004,"&lt;"&amp;D30,$D$5:$D$3004,"&gt;"&amp;C30)&gt;1,"⚠️ пересечение",""))</f>
        <v/>
      </c>
      <c r="M30" s="54">
        <f>IF(F30="","",IF(J30="✅ Сделано","✔ ",IF(J30="❌ Пропущено","✖ ","⏰ "))&amp;IF(C30="","",RIGHT("0"&amp;HOUR(C30),2)&amp;":"&amp;RIGHT("0"&amp;MINUTE(C30),2)&amp;IF(D30="","","–"&amp;RIGHT("0"&amp;HOUR(D30),2)&amp;":"&amp;RIGHT("0"&amp;MINUTE(D30),2))&amp;" ")&amp;F30)</f>
        <v/>
      </c>
      <c r="N30" s="54">
        <f>IF(OR(A30="",F30=""),"",A30&amp;"#"&amp;(COUNTIFS($A$5:$A$3004,A30,$F$5:$F$3004,"?*",$O$5:$O$3004,"&lt;"&amp;O30)+COUNTIFS($A$5:A30,A30,$F$5:F30,"?*",$O$5:O30,O30)))</f>
        <v/>
      </c>
      <c r="O30" s="54">
        <f>IF(A30="","",IF(C30="",0,C30))</f>
        <v/>
      </c>
    </row>
    <row r="31">
      <c r="A31" s="58" t="n"/>
      <c r="B31" s="49">
        <f>IF(A31="","",CHOOSE(WEEKDAY(A31,2),"Пн","Вт","Ср","Чт","Пт","Сб","Вс"))</f>
        <v/>
      </c>
      <c r="C31" s="59" t="n"/>
      <c r="D31" s="59" t="n"/>
      <c r="E31" s="60">
        <f>IF(OR(C31="",D31=""),"",MOD(D31-C31,1)*24)</f>
        <v/>
      </c>
      <c r="F31" s="50" t="n"/>
      <c r="G31" s="51" t="n"/>
      <c r="H31" s="51" t="n"/>
      <c r="I31" s="51" t="n"/>
      <c r="J31" s="51" t="n"/>
      <c r="K31" s="51" t="n"/>
      <c r="L31" s="54">
        <f>IF(OR(A31="",C31="",D31=""),"",IF(COUNTIFS($A$5:$A$3004,A31,$C$5:$C$3004,"&lt;"&amp;D31,$D$5:$D$3004,"&gt;"&amp;C31)&gt;1,"⚠️ пересечение",""))</f>
        <v/>
      </c>
      <c r="M31" s="54">
        <f>IF(F31="","",IF(J31="✅ Сделано","✔ ",IF(J31="❌ Пропущено","✖ ","⏰ "))&amp;IF(C31="","",RIGHT("0"&amp;HOUR(C31),2)&amp;":"&amp;RIGHT("0"&amp;MINUTE(C31),2)&amp;IF(D31="","","–"&amp;RIGHT("0"&amp;HOUR(D31),2)&amp;":"&amp;RIGHT("0"&amp;MINUTE(D31),2))&amp;" ")&amp;F31)</f>
        <v/>
      </c>
      <c r="N31" s="54">
        <f>IF(OR(A31="",F31=""),"",A31&amp;"#"&amp;(COUNTIFS($A$5:$A$3004,A31,$F$5:$F$3004,"?*",$O$5:$O$3004,"&lt;"&amp;O31)+COUNTIFS($A$5:A31,A31,$F$5:F31,"?*",$O$5:O31,O31)))</f>
        <v/>
      </c>
      <c r="O31" s="54">
        <f>IF(A31="","",IF(C31="",0,C31))</f>
        <v/>
      </c>
    </row>
    <row r="32">
      <c r="A32" s="58" t="n"/>
      <c r="B32" s="49">
        <f>IF(A32="","",CHOOSE(WEEKDAY(A32,2),"Пн","Вт","Ср","Чт","Пт","Сб","Вс"))</f>
        <v/>
      </c>
      <c r="C32" s="59" t="n"/>
      <c r="D32" s="59" t="n"/>
      <c r="E32" s="60">
        <f>IF(OR(C32="",D32=""),"",MOD(D32-C32,1)*24)</f>
        <v/>
      </c>
      <c r="F32" s="50" t="n"/>
      <c r="G32" s="51" t="n"/>
      <c r="H32" s="51" t="n"/>
      <c r="I32" s="51" t="n"/>
      <c r="J32" s="51" t="n"/>
      <c r="K32" s="51" t="n"/>
      <c r="L32" s="54">
        <f>IF(OR(A32="",C32="",D32=""),"",IF(COUNTIFS($A$5:$A$3004,A32,$C$5:$C$3004,"&lt;"&amp;D32,$D$5:$D$3004,"&gt;"&amp;C32)&gt;1,"⚠️ пересечение",""))</f>
        <v/>
      </c>
      <c r="M32" s="54">
        <f>IF(F32="","",IF(J32="✅ Сделано","✔ ",IF(J32="❌ Пропущено","✖ ","⏰ "))&amp;IF(C32="","",RIGHT("0"&amp;HOUR(C32),2)&amp;":"&amp;RIGHT("0"&amp;MINUTE(C32),2)&amp;IF(D32="","","–"&amp;RIGHT("0"&amp;HOUR(D32),2)&amp;":"&amp;RIGHT("0"&amp;MINUTE(D32),2))&amp;" ")&amp;F32)</f>
        <v/>
      </c>
      <c r="N32" s="54">
        <f>IF(OR(A32="",F32=""),"",A32&amp;"#"&amp;(COUNTIFS($A$5:$A$3004,A32,$F$5:$F$3004,"?*",$O$5:$O$3004,"&lt;"&amp;O32)+COUNTIFS($A$5:A32,A32,$F$5:F32,"?*",$O$5:O32,O32)))</f>
        <v/>
      </c>
      <c r="O32" s="54">
        <f>IF(A32="","",IF(C32="",0,C32))</f>
        <v/>
      </c>
    </row>
    <row r="33">
      <c r="A33" s="58" t="n"/>
      <c r="B33" s="49">
        <f>IF(A33="","",CHOOSE(WEEKDAY(A33,2),"Пн","Вт","Ср","Чт","Пт","Сб","Вс"))</f>
        <v/>
      </c>
      <c r="C33" s="59" t="n"/>
      <c r="D33" s="59" t="n"/>
      <c r="E33" s="60">
        <f>IF(OR(C33="",D33=""),"",MOD(D33-C33,1)*24)</f>
        <v/>
      </c>
      <c r="F33" s="50" t="n"/>
      <c r="G33" s="51" t="n"/>
      <c r="H33" s="51" t="n"/>
      <c r="I33" s="51" t="n"/>
      <c r="J33" s="51" t="n"/>
      <c r="K33" s="51" t="n"/>
      <c r="L33" s="54">
        <f>IF(OR(A33="",C33="",D33=""),"",IF(COUNTIFS($A$5:$A$3004,A33,$C$5:$C$3004,"&lt;"&amp;D33,$D$5:$D$3004,"&gt;"&amp;C33)&gt;1,"⚠️ пересечение",""))</f>
        <v/>
      </c>
      <c r="M33" s="54">
        <f>IF(F33="","",IF(J33="✅ Сделано","✔ ",IF(J33="❌ Пропущено","✖ ","⏰ "))&amp;IF(C33="","",RIGHT("0"&amp;HOUR(C33),2)&amp;":"&amp;RIGHT("0"&amp;MINUTE(C33),2)&amp;IF(D33="","","–"&amp;RIGHT("0"&amp;HOUR(D33),2)&amp;":"&amp;RIGHT("0"&amp;MINUTE(D33),2))&amp;" ")&amp;F33)</f>
        <v/>
      </c>
      <c r="N33" s="54">
        <f>IF(OR(A33="",F33=""),"",A33&amp;"#"&amp;(COUNTIFS($A$5:$A$3004,A33,$F$5:$F$3004,"?*",$O$5:$O$3004,"&lt;"&amp;O33)+COUNTIFS($A$5:A33,A33,$F$5:F33,"?*",$O$5:O33,O33)))</f>
        <v/>
      </c>
      <c r="O33" s="54">
        <f>IF(A33="","",IF(C33="",0,C33))</f>
        <v/>
      </c>
    </row>
    <row r="34">
      <c r="A34" s="58" t="n"/>
      <c r="B34" s="49">
        <f>IF(A34="","",CHOOSE(WEEKDAY(A34,2),"Пн","Вт","Ср","Чт","Пт","Сб","Вс"))</f>
        <v/>
      </c>
      <c r="C34" s="59" t="n"/>
      <c r="D34" s="59" t="n"/>
      <c r="E34" s="60">
        <f>IF(OR(C34="",D34=""),"",MOD(D34-C34,1)*24)</f>
        <v/>
      </c>
      <c r="F34" s="50" t="n"/>
      <c r="G34" s="51" t="n"/>
      <c r="H34" s="51" t="n"/>
      <c r="I34" s="51" t="n"/>
      <c r="J34" s="51" t="n"/>
      <c r="K34" s="51" t="n"/>
      <c r="L34" s="54">
        <f>IF(OR(A34="",C34="",D34=""),"",IF(COUNTIFS($A$5:$A$3004,A34,$C$5:$C$3004,"&lt;"&amp;D34,$D$5:$D$3004,"&gt;"&amp;C34)&gt;1,"⚠️ пересечение",""))</f>
        <v/>
      </c>
      <c r="M34" s="54">
        <f>IF(F34="","",IF(J34="✅ Сделано","✔ ",IF(J34="❌ Пропущено","✖ ","⏰ "))&amp;IF(C34="","",RIGHT("0"&amp;HOUR(C34),2)&amp;":"&amp;RIGHT("0"&amp;MINUTE(C34),2)&amp;IF(D34="","","–"&amp;RIGHT("0"&amp;HOUR(D34),2)&amp;":"&amp;RIGHT("0"&amp;MINUTE(D34),2))&amp;" ")&amp;F34)</f>
        <v/>
      </c>
      <c r="N34" s="54">
        <f>IF(OR(A34="",F34=""),"",A34&amp;"#"&amp;(COUNTIFS($A$5:$A$3004,A34,$F$5:$F$3004,"?*",$O$5:$O$3004,"&lt;"&amp;O34)+COUNTIFS($A$5:A34,A34,$F$5:F34,"?*",$O$5:O34,O34)))</f>
        <v/>
      </c>
      <c r="O34" s="54">
        <f>IF(A34="","",IF(C34="",0,C34))</f>
        <v/>
      </c>
    </row>
    <row r="35">
      <c r="A35" s="58" t="n"/>
      <c r="B35" s="49">
        <f>IF(A35="","",CHOOSE(WEEKDAY(A35,2),"Пн","Вт","Ср","Чт","Пт","Сб","Вс"))</f>
        <v/>
      </c>
      <c r="C35" s="59" t="n"/>
      <c r="D35" s="59" t="n"/>
      <c r="E35" s="60">
        <f>IF(OR(C35="",D35=""),"",MOD(D35-C35,1)*24)</f>
        <v/>
      </c>
      <c r="F35" s="50" t="n"/>
      <c r="G35" s="51" t="n"/>
      <c r="H35" s="51" t="n"/>
      <c r="I35" s="51" t="n"/>
      <c r="J35" s="51" t="n"/>
      <c r="K35" s="51" t="n"/>
      <c r="L35" s="54">
        <f>IF(OR(A35="",C35="",D35=""),"",IF(COUNTIFS($A$5:$A$3004,A35,$C$5:$C$3004,"&lt;"&amp;D35,$D$5:$D$3004,"&gt;"&amp;C35)&gt;1,"⚠️ пересечение",""))</f>
        <v/>
      </c>
      <c r="M35" s="54">
        <f>IF(F35="","",IF(J35="✅ Сделано","✔ ",IF(J35="❌ Пропущено","✖ ","⏰ "))&amp;IF(C35="","",RIGHT("0"&amp;HOUR(C35),2)&amp;":"&amp;RIGHT("0"&amp;MINUTE(C35),2)&amp;IF(D35="","","–"&amp;RIGHT("0"&amp;HOUR(D35),2)&amp;":"&amp;RIGHT("0"&amp;MINUTE(D35),2))&amp;" ")&amp;F35)</f>
        <v/>
      </c>
      <c r="N35" s="54">
        <f>IF(OR(A35="",F35=""),"",A35&amp;"#"&amp;(COUNTIFS($A$5:$A$3004,A35,$F$5:$F$3004,"?*",$O$5:$O$3004,"&lt;"&amp;O35)+COUNTIFS($A$5:A35,A35,$F$5:F35,"?*",$O$5:O35,O35)))</f>
        <v/>
      </c>
      <c r="O35" s="54">
        <f>IF(A35="","",IF(C35="",0,C35))</f>
        <v/>
      </c>
    </row>
    <row r="36">
      <c r="A36" s="58" t="n"/>
      <c r="B36" s="49">
        <f>IF(A36="","",CHOOSE(WEEKDAY(A36,2),"Пн","Вт","Ср","Чт","Пт","Сб","Вс"))</f>
        <v/>
      </c>
      <c r="C36" s="59" t="n"/>
      <c r="D36" s="59" t="n"/>
      <c r="E36" s="60">
        <f>IF(OR(C36="",D36=""),"",MOD(D36-C36,1)*24)</f>
        <v/>
      </c>
      <c r="F36" s="50" t="n"/>
      <c r="G36" s="51" t="n"/>
      <c r="H36" s="51" t="n"/>
      <c r="I36" s="51" t="n"/>
      <c r="J36" s="51" t="n"/>
      <c r="K36" s="51" t="n"/>
      <c r="L36" s="54">
        <f>IF(OR(A36="",C36="",D36=""),"",IF(COUNTIFS($A$5:$A$3004,A36,$C$5:$C$3004,"&lt;"&amp;D36,$D$5:$D$3004,"&gt;"&amp;C36)&gt;1,"⚠️ пересечение",""))</f>
        <v/>
      </c>
      <c r="M36" s="54">
        <f>IF(F36="","",IF(J36="✅ Сделано","✔ ",IF(J36="❌ Пропущено","✖ ","⏰ "))&amp;IF(C36="","",RIGHT("0"&amp;HOUR(C36),2)&amp;":"&amp;RIGHT("0"&amp;MINUTE(C36),2)&amp;IF(D36="","","–"&amp;RIGHT("0"&amp;HOUR(D36),2)&amp;":"&amp;RIGHT("0"&amp;MINUTE(D36),2))&amp;" ")&amp;F36)</f>
        <v/>
      </c>
      <c r="N36" s="54">
        <f>IF(OR(A36="",F36=""),"",A36&amp;"#"&amp;(COUNTIFS($A$5:$A$3004,A36,$F$5:$F$3004,"?*",$O$5:$O$3004,"&lt;"&amp;O36)+COUNTIFS($A$5:A36,A36,$F$5:F36,"?*",$O$5:O36,O36)))</f>
        <v/>
      </c>
      <c r="O36" s="54">
        <f>IF(A36="","",IF(C36="",0,C36))</f>
        <v/>
      </c>
    </row>
    <row r="37">
      <c r="A37" s="58" t="n"/>
      <c r="B37" s="49">
        <f>IF(A37="","",CHOOSE(WEEKDAY(A37,2),"Пн","Вт","Ср","Чт","Пт","Сб","Вс"))</f>
        <v/>
      </c>
      <c r="C37" s="59" t="n"/>
      <c r="D37" s="59" t="n"/>
      <c r="E37" s="60">
        <f>IF(OR(C37="",D37=""),"",MOD(D37-C37,1)*24)</f>
        <v/>
      </c>
      <c r="F37" s="50" t="n"/>
      <c r="G37" s="51" t="n"/>
      <c r="H37" s="51" t="n"/>
      <c r="I37" s="51" t="n"/>
      <c r="J37" s="51" t="n"/>
      <c r="K37" s="51" t="n"/>
      <c r="L37" s="54">
        <f>IF(OR(A37="",C37="",D37=""),"",IF(COUNTIFS($A$5:$A$3004,A37,$C$5:$C$3004,"&lt;"&amp;D37,$D$5:$D$3004,"&gt;"&amp;C37)&gt;1,"⚠️ пересечение",""))</f>
        <v/>
      </c>
      <c r="M37" s="54">
        <f>IF(F37="","",IF(J37="✅ Сделано","✔ ",IF(J37="❌ Пропущено","✖ ","⏰ "))&amp;IF(C37="","",RIGHT("0"&amp;HOUR(C37),2)&amp;":"&amp;RIGHT("0"&amp;MINUTE(C37),2)&amp;IF(D37="","","–"&amp;RIGHT("0"&amp;HOUR(D37),2)&amp;":"&amp;RIGHT("0"&amp;MINUTE(D37),2))&amp;" ")&amp;F37)</f>
        <v/>
      </c>
      <c r="N37" s="54">
        <f>IF(OR(A37="",F37=""),"",A37&amp;"#"&amp;(COUNTIFS($A$5:$A$3004,A37,$F$5:$F$3004,"?*",$O$5:$O$3004,"&lt;"&amp;O37)+COUNTIFS($A$5:A37,A37,$F$5:F37,"?*",$O$5:O37,O37)))</f>
        <v/>
      </c>
      <c r="O37" s="54">
        <f>IF(A37="","",IF(C37="",0,C37))</f>
        <v/>
      </c>
    </row>
    <row r="38">
      <c r="A38" s="58" t="n"/>
      <c r="B38" s="49">
        <f>IF(A38="","",CHOOSE(WEEKDAY(A38,2),"Пн","Вт","Ср","Чт","Пт","Сб","Вс"))</f>
        <v/>
      </c>
      <c r="C38" s="59" t="n"/>
      <c r="D38" s="59" t="n"/>
      <c r="E38" s="60">
        <f>IF(OR(C38="",D38=""),"",MOD(D38-C38,1)*24)</f>
        <v/>
      </c>
      <c r="F38" s="50" t="n"/>
      <c r="G38" s="51" t="n"/>
      <c r="H38" s="51" t="n"/>
      <c r="I38" s="51" t="n"/>
      <c r="J38" s="51" t="n"/>
      <c r="K38" s="51" t="n"/>
      <c r="L38" s="54">
        <f>IF(OR(A38="",C38="",D38=""),"",IF(COUNTIFS($A$5:$A$3004,A38,$C$5:$C$3004,"&lt;"&amp;D38,$D$5:$D$3004,"&gt;"&amp;C38)&gt;1,"⚠️ пересечение",""))</f>
        <v/>
      </c>
      <c r="M38" s="54">
        <f>IF(F38="","",IF(J38="✅ Сделано","✔ ",IF(J38="❌ Пропущено","✖ ","⏰ "))&amp;IF(C38="","",RIGHT("0"&amp;HOUR(C38),2)&amp;":"&amp;RIGHT("0"&amp;MINUTE(C38),2)&amp;IF(D38="","","–"&amp;RIGHT("0"&amp;HOUR(D38),2)&amp;":"&amp;RIGHT("0"&amp;MINUTE(D38),2))&amp;" ")&amp;F38)</f>
        <v/>
      </c>
      <c r="N38" s="54">
        <f>IF(OR(A38="",F38=""),"",A38&amp;"#"&amp;(COUNTIFS($A$5:$A$3004,A38,$F$5:$F$3004,"?*",$O$5:$O$3004,"&lt;"&amp;O38)+COUNTIFS($A$5:A38,A38,$F$5:F38,"?*",$O$5:O38,O38)))</f>
        <v/>
      </c>
      <c r="O38" s="54">
        <f>IF(A38="","",IF(C38="",0,C38))</f>
        <v/>
      </c>
    </row>
    <row r="39">
      <c r="A39" s="58" t="n"/>
      <c r="B39" s="49">
        <f>IF(A39="","",CHOOSE(WEEKDAY(A39,2),"Пн","Вт","Ср","Чт","Пт","Сб","Вс"))</f>
        <v/>
      </c>
      <c r="C39" s="59" t="n"/>
      <c r="D39" s="59" t="n"/>
      <c r="E39" s="60">
        <f>IF(OR(C39="",D39=""),"",MOD(D39-C39,1)*24)</f>
        <v/>
      </c>
      <c r="F39" s="50" t="n"/>
      <c r="G39" s="51" t="n"/>
      <c r="H39" s="51" t="n"/>
      <c r="I39" s="51" t="n"/>
      <c r="J39" s="51" t="n"/>
      <c r="K39" s="51" t="n"/>
      <c r="L39" s="54">
        <f>IF(OR(A39="",C39="",D39=""),"",IF(COUNTIFS($A$5:$A$3004,A39,$C$5:$C$3004,"&lt;"&amp;D39,$D$5:$D$3004,"&gt;"&amp;C39)&gt;1,"⚠️ пересечение",""))</f>
        <v/>
      </c>
      <c r="M39" s="54">
        <f>IF(F39="","",IF(J39="✅ Сделано","✔ ",IF(J39="❌ Пропущено","✖ ","⏰ "))&amp;IF(C39="","",RIGHT("0"&amp;HOUR(C39),2)&amp;":"&amp;RIGHT("0"&amp;MINUTE(C39),2)&amp;IF(D39="","","–"&amp;RIGHT("0"&amp;HOUR(D39),2)&amp;":"&amp;RIGHT("0"&amp;MINUTE(D39),2))&amp;" ")&amp;F39)</f>
        <v/>
      </c>
      <c r="N39" s="54">
        <f>IF(OR(A39="",F39=""),"",A39&amp;"#"&amp;(COUNTIFS($A$5:$A$3004,A39,$F$5:$F$3004,"?*",$O$5:$O$3004,"&lt;"&amp;O39)+COUNTIFS($A$5:A39,A39,$F$5:F39,"?*",$O$5:O39,O39)))</f>
        <v/>
      </c>
      <c r="O39" s="54">
        <f>IF(A39="","",IF(C39="",0,C39))</f>
        <v/>
      </c>
    </row>
    <row r="40">
      <c r="A40" s="58" t="n"/>
      <c r="B40" s="49">
        <f>IF(A40="","",CHOOSE(WEEKDAY(A40,2),"Пн","Вт","Ср","Чт","Пт","Сб","Вс"))</f>
        <v/>
      </c>
      <c r="C40" s="59" t="n"/>
      <c r="D40" s="59" t="n"/>
      <c r="E40" s="60">
        <f>IF(OR(C40="",D40=""),"",MOD(D40-C40,1)*24)</f>
        <v/>
      </c>
      <c r="F40" s="50" t="n"/>
      <c r="G40" s="51" t="n"/>
      <c r="H40" s="51" t="n"/>
      <c r="I40" s="51" t="n"/>
      <c r="J40" s="51" t="n"/>
      <c r="K40" s="51" t="n"/>
      <c r="L40" s="54">
        <f>IF(OR(A40="",C40="",D40=""),"",IF(COUNTIFS($A$5:$A$3004,A40,$C$5:$C$3004,"&lt;"&amp;D40,$D$5:$D$3004,"&gt;"&amp;C40)&gt;1,"⚠️ пересечение",""))</f>
        <v/>
      </c>
      <c r="M40" s="54">
        <f>IF(F40="","",IF(J40="✅ Сделано","✔ ",IF(J40="❌ Пропущено","✖ ","⏰ "))&amp;IF(C40="","",RIGHT("0"&amp;HOUR(C40),2)&amp;":"&amp;RIGHT("0"&amp;MINUTE(C40),2)&amp;IF(D40="","","–"&amp;RIGHT("0"&amp;HOUR(D40),2)&amp;":"&amp;RIGHT("0"&amp;MINUTE(D40),2))&amp;" ")&amp;F40)</f>
        <v/>
      </c>
      <c r="N40" s="54">
        <f>IF(OR(A40="",F40=""),"",A40&amp;"#"&amp;(COUNTIFS($A$5:$A$3004,A40,$F$5:$F$3004,"?*",$O$5:$O$3004,"&lt;"&amp;O40)+COUNTIFS($A$5:A40,A40,$F$5:F40,"?*",$O$5:O40,O40)))</f>
        <v/>
      </c>
      <c r="O40" s="54">
        <f>IF(A40="","",IF(C40="",0,C40))</f>
        <v/>
      </c>
    </row>
    <row r="41">
      <c r="A41" s="58" t="n"/>
      <c r="B41" s="49">
        <f>IF(A41="","",CHOOSE(WEEKDAY(A41,2),"Пн","Вт","Ср","Чт","Пт","Сб","Вс"))</f>
        <v/>
      </c>
      <c r="C41" s="59" t="n"/>
      <c r="D41" s="59" t="n"/>
      <c r="E41" s="60">
        <f>IF(OR(C41="",D41=""),"",MOD(D41-C41,1)*24)</f>
        <v/>
      </c>
      <c r="F41" s="50" t="n"/>
      <c r="G41" s="51" t="n"/>
      <c r="H41" s="51" t="n"/>
      <c r="I41" s="51" t="n"/>
      <c r="J41" s="51" t="n"/>
      <c r="K41" s="51" t="n"/>
      <c r="L41" s="54">
        <f>IF(OR(A41="",C41="",D41=""),"",IF(COUNTIFS($A$5:$A$3004,A41,$C$5:$C$3004,"&lt;"&amp;D41,$D$5:$D$3004,"&gt;"&amp;C41)&gt;1,"⚠️ пересечение",""))</f>
        <v/>
      </c>
      <c r="M41" s="54">
        <f>IF(F41="","",IF(J41="✅ Сделано","✔ ",IF(J41="❌ Пропущено","✖ ","⏰ "))&amp;IF(C41="","",RIGHT("0"&amp;HOUR(C41),2)&amp;":"&amp;RIGHT("0"&amp;MINUTE(C41),2)&amp;IF(D41="","","–"&amp;RIGHT("0"&amp;HOUR(D41),2)&amp;":"&amp;RIGHT("0"&amp;MINUTE(D41),2))&amp;" ")&amp;F41)</f>
        <v/>
      </c>
      <c r="N41" s="54">
        <f>IF(OR(A41="",F41=""),"",A41&amp;"#"&amp;(COUNTIFS($A$5:$A$3004,A41,$F$5:$F$3004,"?*",$O$5:$O$3004,"&lt;"&amp;O41)+COUNTIFS($A$5:A41,A41,$F$5:F41,"?*",$O$5:O41,O41)))</f>
        <v/>
      </c>
      <c r="O41" s="54">
        <f>IF(A41="","",IF(C41="",0,C41))</f>
        <v/>
      </c>
    </row>
    <row r="42">
      <c r="A42" s="58" t="n"/>
      <c r="B42" s="49">
        <f>IF(A42="","",CHOOSE(WEEKDAY(A42,2),"Пн","Вт","Ср","Чт","Пт","Сб","Вс"))</f>
        <v/>
      </c>
      <c r="C42" s="59" t="n"/>
      <c r="D42" s="59" t="n"/>
      <c r="E42" s="60">
        <f>IF(OR(C42="",D42=""),"",MOD(D42-C42,1)*24)</f>
        <v/>
      </c>
      <c r="F42" s="50" t="n"/>
      <c r="G42" s="51" t="n"/>
      <c r="H42" s="51" t="n"/>
      <c r="I42" s="51" t="n"/>
      <c r="J42" s="51" t="n"/>
      <c r="K42" s="51" t="n"/>
      <c r="L42" s="54">
        <f>IF(OR(A42="",C42="",D42=""),"",IF(COUNTIFS($A$5:$A$3004,A42,$C$5:$C$3004,"&lt;"&amp;D42,$D$5:$D$3004,"&gt;"&amp;C42)&gt;1,"⚠️ пересечение",""))</f>
        <v/>
      </c>
      <c r="M42" s="54">
        <f>IF(F42="","",IF(J42="✅ Сделано","✔ ",IF(J42="❌ Пропущено","✖ ","⏰ "))&amp;IF(C42="","",RIGHT("0"&amp;HOUR(C42),2)&amp;":"&amp;RIGHT("0"&amp;MINUTE(C42),2)&amp;IF(D42="","","–"&amp;RIGHT("0"&amp;HOUR(D42),2)&amp;":"&amp;RIGHT("0"&amp;MINUTE(D42),2))&amp;" ")&amp;F42)</f>
        <v/>
      </c>
      <c r="N42" s="54">
        <f>IF(OR(A42="",F42=""),"",A42&amp;"#"&amp;(COUNTIFS($A$5:$A$3004,A42,$F$5:$F$3004,"?*",$O$5:$O$3004,"&lt;"&amp;O42)+COUNTIFS($A$5:A42,A42,$F$5:F42,"?*",$O$5:O42,O42)))</f>
        <v/>
      </c>
      <c r="O42" s="54">
        <f>IF(A42="","",IF(C42="",0,C42))</f>
        <v/>
      </c>
    </row>
    <row r="43">
      <c r="A43" s="58" t="n"/>
      <c r="B43" s="49">
        <f>IF(A43="","",CHOOSE(WEEKDAY(A43,2),"Пн","Вт","Ср","Чт","Пт","Сб","Вс"))</f>
        <v/>
      </c>
      <c r="C43" s="59" t="n"/>
      <c r="D43" s="59" t="n"/>
      <c r="E43" s="60">
        <f>IF(OR(C43="",D43=""),"",MOD(D43-C43,1)*24)</f>
        <v/>
      </c>
      <c r="F43" s="50" t="n"/>
      <c r="G43" s="51" t="n"/>
      <c r="H43" s="51" t="n"/>
      <c r="I43" s="51" t="n"/>
      <c r="J43" s="51" t="n"/>
      <c r="K43" s="51" t="n"/>
      <c r="L43" s="54">
        <f>IF(OR(A43="",C43="",D43=""),"",IF(COUNTIFS($A$5:$A$3004,A43,$C$5:$C$3004,"&lt;"&amp;D43,$D$5:$D$3004,"&gt;"&amp;C43)&gt;1,"⚠️ пересечение",""))</f>
        <v/>
      </c>
      <c r="M43" s="54">
        <f>IF(F43="","",IF(J43="✅ Сделано","✔ ",IF(J43="❌ Пропущено","✖ ","⏰ "))&amp;IF(C43="","",RIGHT("0"&amp;HOUR(C43),2)&amp;":"&amp;RIGHT("0"&amp;MINUTE(C43),2)&amp;IF(D43="","","–"&amp;RIGHT("0"&amp;HOUR(D43),2)&amp;":"&amp;RIGHT("0"&amp;MINUTE(D43),2))&amp;" ")&amp;F43)</f>
        <v/>
      </c>
      <c r="N43" s="54">
        <f>IF(OR(A43="",F43=""),"",A43&amp;"#"&amp;(COUNTIFS($A$5:$A$3004,A43,$F$5:$F$3004,"?*",$O$5:$O$3004,"&lt;"&amp;O43)+COUNTIFS($A$5:A43,A43,$F$5:F43,"?*",$O$5:O43,O43)))</f>
        <v/>
      </c>
      <c r="O43" s="54">
        <f>IF(A43="","",IF(C43="",0,C43))</f>
        <v/>
      </c>
    </row>
    <row r="44">
      <c r="A44" s="58" t="n"/>
      <c r="B44" s="49">
        <f>IF(A44="","",CHOOSE(WEEKDAY(A44,2),"Пн","Вт","Ср","Чт","Пт","Сб","Вс"))</f>
        <v/>
      </c>
      <c r="C44" s="59" t="n"/>
      <c r="D44" s="59" t="n"/>
      <c r="E44" s="60">
        <f>IF(OR(C44="",D44=""),"",MOD(D44-C44,1)*24)</f>
        <v/>
      </c>
      <c r="F44" s="50" t="n"/>
      <c r="G44" s="51" t="n"/>
      <c r="H44" s="51" t="n"/>
      <c r="I44" s="51" t="n"/>
      <c r="J44" s="51" t="n"/>
      <c r="K44" s="51" t="n"/>
      <c r="L44" s="54">
        <f>IF(OR(A44="",C44="",D44=""),"",IF(COUNTIFS($A$5:$A$3004,A44,$C$5:$C$3004,"&lt;"&amp;D44,$D$5:$D$3004,"&gt;"&amp;C44)&gt;1,"⚠️ пересечение",""))</f>
        <v/>
      </c>
      <c r="M44" s="54">
        <f>IF(F44="","",IF(J44="✅ Сделано","✔ ",IF(J44="❌ Пропущено","✖ ","⏰ "))&amp;IF(C44="","",RIGHT("0"&amp;HOUR(C44),2)&amp;":"&amp;RIGHT("0"&amp;MINUTE(C44),2)&amp;IF(D44="","","–"&amp;RIGHT("0"&amp;HOUR(D44),2)&amp;":"&amp;RIGHT("0"&amp;MINUTE(D44),2))&amp;" ")&amp;F44)</f>
        <v/>
      </c>
      <c r="N44" s="54">
        <f>IF(OR(A44="",F44=""),"",A44&amp;"#"&amp;(COUNTIFS($A$5:$A$3004,A44,$F$5:$F$3004,"?*",$O$5:$O$3004,"&lt;"&amp;O44)+COUNTIFS($A$5:A44,A44,$F$5:F44,"?*",$O$5:O44,O44)))</f>
        <v/>
      </c>
      <c r="O44" s="54">
        <f>IF(A44="","",IF(C44="",0,C44))</f>
        <v/>
      </c>
    </row>
    <row r="45">
      <c r="A45" s="58" t="n"/>
      <c r="B45" s="49">
        <f>IF(A45="","",CHOOSE(WEEKDAY(A45,2),"Пн","Вт","Ср","Чт","Пт","Сб","Вс"))</f>
        <v/>
      </c>
      <c r="C45" s="59" t="n"/>
      <c r="D45" s="59" t="n"/>
      <c r="E45" s="60">
        <f>IF(OR(C45="",D45=""),"",MOD(D45-C45,1)*24)</f>
        <v/>
      </c>
      <c r="F45" s="50" t="n"/>
      <c r="G45" s="51" t="n"/>
      <c r="H45" s="51" t="n"/>
      <c r="I45" s="51" t="n"/>
      <c r="J45" s="51" t="n"/>
      <c r="K45" s="51" t="n"/>
      <c r="L45" s="54">
        <f>IF(OR(A45="",C45="",D45=""),"",IF(COUNTIFS($A$5:$A$3004,A45,$C$5:$C$3004,"&lt;"&amp;D45,$D$5:$D$3004,"&gt;"&amp;C45)&gt;1,"⚠️ пересечение",""))</f>
        <v/>
      </c>
      <c r="M45" s="54">
        <f>IF(F45="","",IF(J45="✅ Сделано","✔ ",IF(J45="❌ Пропущено","✖ ","⏰ "))&amp;IF(C45="","",RIGHT("0"&amp;HOUR(C45),2)&amp;":"&amp;RIGHT("0"&amp;MINUTE(C45),2)&amp;IF(D45="","","–"&amp;RIGHT("0"&amp;HOUR(D45),2)&amp;":"&amp;RIGHT("0"&amp;MINUTE(D45),2))&amp;" ")&amp;F45)</f>
        <v/>
      </c>
      <c r="N45" s="54">
        <f>IF(OR(A45="",F45=""),"",A45&amp;"#"&amp;(COUNTIFS($A$5:$A$3004,A45,$F$5:$F$3004,"?*",$O$5:$O$3004,"&lt;"&amp;O45)+COUNTIFS($A$5:A45,A45,$F$5:F45,"?*",$O$5:O45,O45)))</f>
        <v/>
      </c>
      <c r="O45" s="54">
        <f>IF(A45="","",IF(C45="",0,C45))</f>
        <v/>
      </c>
    </row>
    <row r="46">
      <c r="A46" s="58" t="n"/>
      <c r="B46" s="49">
        <f>IF(A46="","",CHOOSE(WEEKDAY(A46,2),"Пн","Вт","Ср","Чт","Пт","Сб","Вс"))</f>
        <v/>
      </c>
      <c r="C46" s="59" t="n"/>
      <c r="D46" s="59" t="n"/>
      <c r="E46" s="60">
        <f>IF(OR(C46="",D46=""),"",MOD(D46-C46,1)*24)</f>
        <v/>
      </c>
      <c r="F46" s="50" t="n"/>
      <c r="G46" s="51" t="n"/>
      <c r="H46" s="51" t="n"/>
      <c r="I46" s="51" t="n"/>
      <c r="J46" s="51" t="n"/>
      <c r="K46" s="51" t="n"/>
      <c r="L46" s="54">
        <f>IF(OR(A46="",C46="",D46=""),"",IF(COUNTIFS($A$5:$A$3004,A46,$C$5:$C$3004,"&lt;"&amp;D46,$D$5:$D$3004,"&gt;"&amp;C46)&gt;1,"⚠️ пересечение",""))</f>
        <v/>
      </c>
      <c r="M46" s="54">
        <f>IF(F46="","",IF(J46="✅ Сделано","✔ ",IF(J46="❌ Пропущено","✖ ","⏰ "))&amp;IF(C46="","",RIGHT("0"&amp;HOUR(C46),2)&amp;":"&amp;RIGHT("0"&amp;MINUTE(C46),2)&amp;IF(D46="","","–"&amp;RIGHT("0"&amp;HOUR(D46),2)&amp;":"&amp;RIGHT("0"&amp;MINUTE(D46),2))&amp;" ")&amp;F46)</f>
        <v/>
      </c>
      <c r="N46" s="54">
        <f>IF(OR(A46="",F46=""),"",A46&amp;"#"&amp;(COUNTIFS($A$5:$A$3004,A46,$F$5:$F$3004,"?*",$O$5:$O$3004,"&lt;"&amp;O46)+COUNTIFS($A$5:A46,A46,$F$5:F46,"?*",$O$5:O46,O46)))</f>
        <v/>
      </c>
      <c r="O46" s="54">
        <f>IF(A46="","",IF(C46="",0,C46))</f>
        <v/>
      </c>
    </row>
    <row r="47">
      <c r="A47" s="58" t="n"/>
      <c r="B47" s="49">
        <f>IF(A47="","",CHOOSE(WEEKDAY(A47,2),"Пн","Вт","Ср","Чт","Пт","Сб","Вс"))</f>
        <v/>
      </c>
      <c r="C47" s="59" t="n"/>
      <c r="D47" s="59" t="n"/>
      <c r="E47" s="60">
        <f>IF(OR(C47="",D47=""),"",MOD(D47-C47,1)*24)</f>
        <v/>
      </c>
      <c r="F47" s="50" t="n"/>
      <c r="G47" s="51" t="n"/>
      <c r="H47" s="51" t="n"/>
      <c r="I47" s="51" t="n"/>
      <c r="J47" s="51" t="n"/>
      <c r="K47" s="51" t="n"/>
      <c r="L47" s="54">
        <f>IF(OR(A47="",C47="",D47=""),"",IF(COUNTIFS($A$5:$A$3004,A47,$C$5:$C$3004,"&lt;"&amp;D47,$D$5:$D$3004,"&gt;"&amp;C47)&gt;1,"⚠️ пересечение",""))</f>
        <v/>
      </c>
      <c r="M47" s="54">
        <f>IF(F47="","",IF(J47="✅ Сделано","✔ ",IF(J47="❌ Пропущено","✖ ","⏰ "))&amp;IF(C47="","",RIGHT("0"&amp;HOUR(C47),2)&amp;":"&amp;RIGHT("0"&amp;MINUTE(C47),2)&amp;IF(D47="","","–"&amp;RIGHT("0"&amp;HOUR(D47),2)&amp;":"&amp;RIGHT("0"&amp;MINUTE(D47),2))&amp;" ")&amp;F47)</f>
        <v/>
      </c>
      <c r="N47" s="54">
        <f>IF(OR(A47="",F47=""),"",A47&amp;"#"&amp;(COUNTIFS($A$5:$A$3004,A47,$F$5:$F$3004,"?*",$O$5:$O$3004,"&lt;"&amp;O47)+COUNTIFS($A$5:A47,A47,$F$5:F47,"?*",$O$5:O47,O47)))</f>
        <v/>
      </c>
      <c r="O47" s="54">
        <f>IF(A47="","",IF(C47="",0,C47))</f>
        <v/>
      </c>
    </row>
    <row r="48">
      <c r="A48" s="58" t="n"/>
      <c r="B48" s="49">
        <f>IF(A48="","",CHOOSE(WEEKDAY(A48,2),"Пн","Вт","Ср","Чт","Пт","Сб","Вс"))</f>
        <v/>
      </c>
      <c r="C48" s="59" t="n"/>
      <c r="D48" s="59" t="n"/>
      <c r="E48" s="60">
        <f>IF(OR(C48="",D48=""),"",MOD(D48-C48,1)*24)</f>
        <v/>
      </c>
      <c r="F48" s="50" t="n"/>
      <c r="G48" s="51" t="n"/>
      <c r="H48" s="51" t="n"/>
      <c r="I48" s="51" t="n"/>
      <c r="J48" s="51" t="n"/>
      <c r="K48" s="51" t="n"/>
      <c r="L48" s="54">
        <f>IF(OR(A48="",C48="",D48=""),"",IF(COUNTIFS($A$5:$A$3004,A48,$C$5:$C$3004,"&lt;"&amp;D48,$D$5:$D$3004,"&gt;"&amp;C48)&gt;1,"⚠️ пересечение",""))</f>
        <v/>
      </c>
      <c r="M48" s="54">
        <f>IF(F48="","",IF(J48="✅ Сделано","✔ ",IF(J48="❌ Пропущено","✖ ","⏰ "))&amp;IF(C48="","",RIGHT("0"&amp;HOUR(C48),2)&amp;":"&amp;RIGHT("0"&amp;MINUTE(C48),2)&amp;IF(D48="","","–"&amp;RIGHT("0"&amp;HOUR(D48),2)&amp;":"&amp;RIGHT("0"&amp;MINUTE(D48),2))&amp;" ")&amp;F48)</f>
        <v/>
      </c>
      <c r="N48" s="54">
        <f>IF(OR(A48="",F48=""),"",A48&amp;"#"&amp;(COUNTIFS($A$5:$A$3004,A48,$F$5:$F$3004,"?*",$O$5:$O$3004,"&lt;"&amp;O48)+COUNTIFS($A$5:A48,A48,$F$5:F48,"?*",$O$5:O48,O48)))</f>
        <v/>
      </c>
      <c r="O48" s="54">
        <f>IF(A48="","",IF(C48="",0,C48))</f>
        <v/>
      </c>
    </row>
    <row r="49">
      <c r="A49" s="58" t="n"/>
      <c r="B49" s="49">
        <f>IF(A49="","",CHOOSE(WEEKDAY(A49,2),"Пн","Вт","Ср","Чт","Пт","Сб","Вс"))</f>
        <v/>
      </c>
      <c r="C49" s="59" t="n"/>
      <c r="D49" s="59" t="n"/>
      <c r="E49" s="60">
        <f>IF(OR(C49="",D49=""),"",MOD(D49-C49,1)*24)</f>
        <v/>
      </c>
      <c r="F49" s="50" t="n"/>
      <c r="G49" s="51" t="n"/>
      <c r="H49" s="51" t="n"/>
      <c r="I49" s="51" t="n"/>
      <c r="J49" s="51" t="n"/>
      <c r="K49" s="51" t="n"/>
      <c r="L49" s="54">
        <f>IF(OR(A49="",C49="",D49=""),"",IF(COUNTIFS($A$5:$A$3004,A49,$C$5:$C$3004,"&lt;"&amp;D49,$D$5:$D$3004,"&gt;"&amp;C49)&gt;1,"⚠️ пересечение",""))</f>
        <v/>
      </c>
      <c r="M49" s="54">
        <f>IF(F49="","",IF(J49="✅ Сделано","✔ ",IF(J49="❌ Пропущено","✖ ","⏰ "))&amp;IF(C49="","",RIGHT("0"&amp;HOUR(C49),2)&amp;":"&amp;RIGHT("0"&amp;MINUTE(C49),2)&amp;IF(D49="","","–"&amp;RIGHT("0"&amp;HOUR(D49),2)&amp;":"&amp;RIGHT("0"&amp;MINUTE(D49),2))&amp;" ")&amp;F49)</f>
        <v/>
      </c>
      <c r="N49" s="54">
        <f>IF(OR(A49="",F49=""),"",A49&amp;"#"&amp;(COUNTIFS($A$5:$A$3004,A49,$F$5:$F$3004,"?*",$O$5:$O$3004,"&lt;"&amp;O49)+COUNTIFS($A$5:A49,A49,$F$5:F49,"?*",$O$5:O49,O49)))</f>
        <v/>
      </c>
      <c r="O49" s="54">
        <f>IF(A49="","",IF(C49="",0,C49))</f>
        <v/>
      </c>
    </row>
    <row r="50">
      <c r="A50" s="58" t="n"/>
      <c r="B50" s="49">
        <f>IF(A50="","",CHOOSE(WEEKDAY(A50,2),"Пн","Вт","Ср","Чт","Пт","Сб","Вс"))</f>
        <v/>
      </c>
      <c r="C50" s="59" t="n"/>
      <c r="D50" s="59" t="n"/>
      <c r="E50" s="60">
        <f>IF(OR(C50="",D50=""),"",MOD(D50-C50,1)*24)</f>
        <v/>
      </c>
      <c r="F50" s="50" t="n"/>
      <c r="G50" s="51" t="n"/>
      <c r="H50" s="51" t="n"/>
      <c r="I50" s="51" t="n"/>
      <c r="J50" s="51" t="n"/>
      <c r="K50" s="51" t="n"/>
      <c r="L50" s="54">
        <f>IF(OR(A50="",C50="",D50=""),"",IF(COUNTIFS($A$5:$A$3004,A50,$C$5:$C$3004,"&lt;"&amp;D50,$D$5:$D$3004,"&gt;"&amp;C50)&gt;1,"⚠️ пересечение",""))</f>
        <v/>
      </c>
      <c r="M50" s="54">
        <f>IF(F50="","",IF(J50="✅ Сделано","✔ ",IF(J50="❌ Пропущено","✖ ","⏰ "))&amp;IF(C50="","",RIGHT("0"&amp;HOUR(C50),2)&amp;":"&amp;RIGHT("0"&amp;MINUTE(C50),2)&amp;IF(D50="","","–"&amp;RIGHT("0"&amp;HOUR(D50),2)&amp;":"&amp;RIGHT("0"&amp;MINUTE(D50),2))&amp;" ")&amp;F50)</f>
        <v/>
      </c>
      <c r="N50" s="54">
        <f>IF(OR(A50="",F50=""),"",A50&amp;"#"&amp;(COUNTIFS($A$5:$A$3004,A50,$F$5:$F$3004,"?*",$O$5:$O$3004,"&lt;"&amp;O50)+COUNTIFS($A$5:A50,A50,$F$5:F50,"?*",$O$5:O50,O50)))</f>
        <v/>
      </c>
      <c r="O50" s="54">
        <f>IF(A50="","",IF(C50="",0,C50))</f>
        <v/>
      </c>
    </row>
    <row r="51">
      <c r="A51" s="58" t="n"/>
      <c r="B51" s="49">
        <f>IF(A51="","",CHOOSE(WEEKDAY(A51,2),"Пн","Вт","Ср","Чт","Пт","Сб","Вс"))</f>
        <v/>
      </c>
      <c r="C51" s="59" t="n"/>
      <c r="D51" s="59" t="n"/>
      <c r="E51" s="60">
        <f>IF(OR(C51="",D51=""),"",MOD(D51-C51,1)*24)</f>
        <v/>
      </c>
      <c r="F51" s="50" t="n"/>
      <c r="G51" s="51" t="n"/>
      <c r="H51" s="51" t="n"/>
      <c r="I51" s="51" t="n"/>
      <c r="J51" s="51" t="n"/>
      <c r="K51" s="51" t="n"/>
      <c r="L51" s="54">
        <f>IF(OR(A51="",C51="",D51=""),"",IF(COUNTIFS($A$5:$A$3004,A51,$C$5:$C$3004,"&lt;"&amp;D51,$D$5:$D$3004,"&gt;"&amp;C51)&gt;1,"⚠️ пересечение",""))</f>
        <v/>
      </c>
      <c r="M51" s="54">
        <f>IF(F51="","",IF(J51="✅ Сделано","✔ ",IF(J51="❌ Пропущено","✖ ","⏰ "))&amp;IF(C51="","",RIGHT("0"&amp;HOUR(C51),2)&amp;":"&amp;RIGHT("0"&amp;MINUTE(C51),2)&amp;IF(D51="","","–"&amp;RIGHT("0"&amp;HOUR(D51),2)&amp;":"&amp;RIGHT("0"&amp;MINUTE(D51),2))&amp;" ")&amp;F51)</f>
        <v/>
      </c>
      <c r="N51" s="54">
        <f>IF(OR(A51="",F51=""),"",A51&amp;"#"&amp;(COUNTIFS($A$5:$A$3004,A51,$F$5:$F$3004,"?*",$O$5:$O$3004,"&lt;"&amp;O51)+COUNTIFS($A$5:A51,A51,$F$5:F51,"?*",$O$5:O51,O51)))</f>
        <v/>
      </c>
      <c r="O51" s="54">
        <f>IF(A51="","",IF(C51="",0,C51))</f>
        <v/>
      </c>
    </row>
    <row r="52">
      <c r="A52" s="58" t="n"/>
      <c r="B52" s="49">
        <f>IF(A52="","",CHOOSE(WEEKDAY(A52,2),"Пн","Вт","Ср","Чт","Пт","Сб","Вс"))</f>
        <v/>
      </c>
      <c r="C52" s="59" t="n"/>
      <c r="D52" s="59" t="n"/>
      <c r="E52" s="60">
        <f>IF(OR(C52="",D52=""),"",MOD(D52-C52,1)*24)</f>
        <v/>
      </c>
      <c r="F52" s="50" t="n"/>
      <c r="G52" s="51" t="n"/>
      <c r="H52" s="51" t="n"/>
      <c r="I52" s="51" t="n"/>
      <c r="J52" s="51" t="n"/>
      <c r="K52" s="51" t="n"/>
      <c r="L52" s="54">
        <f>IF(OR(A52="",C52="",D52=""),"",IF(COUNTIFS($A$5:$A$3004,A52,$C$5:$C$3004,"&lt;"&amp;D52,$D$5:$D$3004,"&gt;"&amp;C52)&gt;1,"⚠️ пересечение",""))</f>
        <v/>
      </c>
      <c r="M52" s="54">
        <f>IF(F52="","",IF(J52="✅ Сделано","✔ ",IF(J52="❌ Пропущено","✖ ","⏰ "))&amp;IF(C52="","",RIGHT("0"&amp;HOUR(C52),2)&amp;":"&amp;RIGHT("0"&amp;MINUTE(C52),2)&amp;IF(D52="","","–"&amp;RIGHT("0"&amp;HOUR(D52),2)&amp;":"&amp;RIGHT("0"&amp;MINUTE(D52),2))&amp;" ")&amp;F52)</f>
        <v/>
      </c>
      <c r="N52" s="54">
        <f>IF(OR(A52="",F52=""),"",A52&amp;"#"&amp;(COUNTIFS($A$5:$A$3004,A52,$F$5:$F$3004,"?*",$O$5:$O$3004,"&lt;"&amp;O52)+COUNTIFS($A$5:A52,A52,$F$5:F52,"?*",$O$5:O52,O52)))</f>
        <v/>
      </c>
      <c r="O52" s="54">
        <f>IF(A52="","",IF(C52="",0,C52))</f>
        <v/>
      </c>
    </row>
    <row r="53">
      <c r="A53" s="58" t="n"/>
      <c r="B53" s="49">
        <f>IF(A53="","",CHOOSE(WEEKDAY(A53,2),"Пн","Вт","Ср","Чт","Пт","Сб","Вс"))</f>
        <v/>
      </c>
      <c r="C53" s="59" t="n"/>
      <c r="D53" s="59" t="n"/>
      <c r="E53" s="60">
        <f>IF(OR(C53="",D53=""),"",MOD(D53-C53,1)*24)</f>
        <v/>
      </c>
      <c r="F53" s="50" t="n"/>
      <c r="G53" s="51" t="n"/>
      <c r="H53" s="51" t="n"/>
      <c r="I53" s="51" t="n"/>
      <c r="J53" s="51" t="n"/>
      <c r="K53" s="51" t="n"/>
      <c r="L53" s="54">
        <f>IF(OR(A53="",C53="",D53=""),"",IF(COUNTIFS($A$5:$A$3004,A53,$C$5:$C$3004,"&lt;"&amp;D53,$D$5:$D$3004,"&gt;"&amp;C53)&gt;1,"⚠️ пересечение",""))</f>
        <v/>
      </c>
      <c r="M53" s="54">
        <f>IF(F53="","",IF(J53="✅ Сделано","✔ ",IF(J53="❌ Пропущено","✖ ","⏰ "))&amp;IF(C53="","",RIGHT("0"&amp;HOUR(C53),2)&amp;":"&amp;RIGHT("0"&amp;MINUTE(C53),2)&amp;IF(D53="","","–"&amp;RIGHT("0"&amp;HOUR(D53),2)&amp;":"&amp;RIGHT("0"&amp;MINUTE(D53),2))&amp;" ")&amp;F53)</f>
        <v/>
      </c>
      <c r="N53" s="54">
        <f>IF(OR(A53="",F53=""),"",A53&amp;"#"&amp;(COUNTIFS($A$5:$A$3004,A53,$F$5:$F$3004,"?*",$O$5:$O$3004,"&lt;"&amp;O53)+COUNTIFS($A$5:A53,A53,$F$5:F53,"?*",$O$5:O53,O53)))</f>
        <v/>
      </c>
      <c r="O53" s="54">
        <f>IF(A53="","",IF(C53="",0,C53))</f>
        <v/>
      </c>
    </row>
    <row r="54">
      <c r="A54" s="58" t="n"/>
      <c r="B54" s="49">
        <f>IF(A54="","",CHOOSE(WEEKDAY(A54,2),"Пн","Вт","Ср","Чт","Пт","Сб","Вс"))</f>
        <v/>
      </c>
      <c r="C54" s="59" t="n"/>
      <c r="D54" s="59" t="n"/>
      <c r="E54" s="60">
        <f>IF(OR(C54="",D54=""),"",MOD(D54-C54,1)*24)</f>
        <v/>
      </c>
      <c r="F54" s="50" t="n"/>
      <c r="G54" s="51" t="n"/>
      <c r="H54" s="51" t="n"/>
      <c r="I54" s="51" t="n"/>
      <c r="J54" s="51" t="n"/>
      <c r="K54" s="51" t="n"/>
      <c r="L54" s="54">
        <f>IF(OR(A54="",C54="",D54=""),"",IF(COUNTIFS($A$5:$A$3004,A54,$C$5:$C$3004,"&lt;"&amp;D54,$D$5:$D$3004,"&gt;"&amp;C54)&gt;1,"⚠️ пересечение",""))</f>
        <v/>
      </c>
      <c r="M54" s="54">
        <f>IF(F54="","",IF(J54="✅ Сделано","✔ ",IF(J54="❌ Пропущено","✖ ","⏰ "))&amp;IF(C54="","",RIGHT("0"&amp;HOUR(C54),2)&amp;":"&amp;RIGHT("0"&amp;MINUTE(C54),2)&amp;IF(D54="","","–"&amp;RIGHT("0"&amp;HOUR(D54),2)&amp;":"&amp;RIGHT("0"&amp;MINUTE(D54),2))&amp;" ")&amp;F54)</f>
        <v/>
      </c>
      <c r="N54" s="54">
        <f>IF(OR(A54="",F54=""),"",A54&amp;"#"&amp;(COUNTIFS($A$5:$A$3004,A54,$F$5:$F$3004,"?*",$O$5:$O$3004,"&lt;"&amp;O54)+COUNTIFS($A$5:A54,A54,$F$5:F54,"?*",$O$5:O54,O54)))</f>
        <v/>
      </c>
      <c r="O54" s="54">
        <f>IF(A54="","",IF(C54="",0,C54))</f>
        <v/>
      </c>
    </row>
    <row r="55">
      <c r="A55" s="58" t="n"/>
      <c r="B55" s="49">
        <f>IF(A55="","",CHOOSE(WEEKDAY(A55,2),"Пн","Вт","Ср","Чт","Пт","Сб","Вс"))</f>
        <v/>
      </c>
      <c r="C55" s="59" t="n"/>
      <c r="D55" s="59" t="n"/>
      <c r="E55" s="60">
        <f>IF(OR(C55="",D55=""),"",MOD(D55-C55,1)*24)</f>
        <v/>
      </c>
      <c r="F55" s="50" t="n"/>
      <c r="G55" s="51" t="n"/>
      <c r="H55" s="51" t="n"/>
      <c r="I55" s="51" t="n"/>
      <c r="J55" s="51" t="n"/>
      <c r="K55" s="51" t="n"/>
      <c r="L55" s="54">
        <f>IF(OR(A55="",C55="",D55=""),"",IF(COUNTIFS($A$5:$A$3004,A55,$C$5:$C$3004,"&lt;"&amp;D55,$D$5:$D$3004,"&gt;"&amp;C55)&gt;1,"⚠️ пересечение",""))</f>
        <v/>
      </c>
      <c r="M55" s="54">
        <f>IF(F55="","",IF(J55="✅ Сделано","✔ ",IF(J55="❌ Пропущено","✖ ","⏰ "))&amp;IF(C55="","",RIGHT("0"&amp;HOUR(C55),2)&amp;":"&amp;RIGHT("0"&amp;MINUTE(C55),2)&amp;IF(D55="","","–"&amp;RIGHT("0"&amp;HOUR(D55),2)&amp;":"&amp;RIGHT("0"&amp;MINUTE(D55),2))&amp;" ")&amp;F55)</f>
        <v/>
      </c>
      <c r="N55" s="54">
        <f>IF(OR(A55="",F55=""),"",A55&amp;"#"&amp;(COUNTIFS($A$5:$A$3004,A55,$F$5:$F$3004,"?*",$O$5:$O$3004,"&lt;"&amp;O55)+COUNTIFS($A$5:A55,A55,$F$5:F55,"?*",$O$5:O55,O55)))</f>
        <v/>
      </c>
      <c r="O55" s="54">
        <f>IF(A55="","",IF(C55="",0,C55))</f>
        <v/>
      </c>
    </row>
    <row r="56">
      <c r="A56" s="58" t="n"/>
      <c r="B56" s="49">
        <f>IF(A56="","",CHOOSE(WEEKDAY(A56,2),"Пн","Вт","Ср","Чт","Пт","Сб","Вс"))</f>
        <v/>
      </c>
      <c r="C56" s="59" t="n"/>
      <c r="D56" s="59" t="n"/>
      <c r="E56" s="60">
        <f>IF(OR(C56="",D56=""),"",MOD(D56-C56,1)*24)</f>
        <v/>
      </c>
      <c r="F56" s="50" t="n"/>
      <c r="G56" s="51" t="n"/>
      <c r="H56" s="51" t="n"/>
      <c r="I56" s="51" t="n"/>
      <c r="J56" s="51" t="n"/>
      <c r="K56" s="51" t="n"/>
      <c r="L56" s="54">
        <f>IF(OR(A56="",C56="",D56=""),"",IF(COUNTIFS($A$5:$A$3004,A56,$C$5:$C$3004,"&lt;"&amp;D56,$D$5:$D$3004,"&gt;"&amp;C56)&gt;1,"⚠️ пересечение",""))</f>
        <v/>
      </c>
      <c r="M56" s="54">
        <f>IF(F56="","",IF(J56="✅ Сделано","✔ ",IF(J56="❌ Пропущено","✖ ","⏰ "))&amp;IF(C56="","",RIGHT("0"&amp;HOUR(C56),2)&amp;":"&amp;RIGHT("0"&amp;MINUTE(C56),2)&amp;IF(D56="","","–"&amp;RIGHT("0"&amp;HOUR(D56),2)&amp;":"&amp;RIGHT("0"&amp;MINUTE(D56),2))&amp;" ")&amp;F56)</f>
        <v/>
      </c>
      <c r="N56" s="54">
        <f>IF(OR(A56="",F56=""),"",A56&amp;"#"&amp;(COUNTIFS($A$5:$A$3004,A56,$F$5:$F$3004,"?*",$O$5:$O$3004,"&lt;"&amp;O56)+COUNTIFS($A$5:A56,A56,$F$5:F56,"?*",$O$5:O56,O56)))</f>
        <v/>
      </c>
      <c r="O56" s="54">
        <f>IF(A56="","",IF(C56="",0,C56))</f>
        <v/>
      </c>
    </row>
    <row r="57">
      <c r="A57" s="58" t="n"/>
      <c r="B57" s="49">
        <f>IF(A57="","",CHOOSE(WEEKDAY(A57,2),"Пн","Вт","Ср","Чт","Пт","Сб","Вс"))</f>
        <v/>
      </c>
      <c r="C57" s="59" t="n"/>
      <c r="D57" s="59" t="n"/>
      <c r="E57" s="60">
        <f>IF(OR(C57="",D57=""),"",MOD(D57-C57,1)*24)</f>
        <v/>
      </c>
      <c r="F57" s="50" t="n"/>
      <c r="G57" s="51" t="n"/>
      <c r="H57" s="51" t="n"/>
      <c r="I57" s="51" t="n"/>
      <c r="J57" s="51" t="n"/>
      <c r="K57" s="51" t="n"/>
      <c r="L57" s="54">
        <f>IF(OR(A57="",C57="",D57=""),"",IF(COUNTIFS($A$5:$A$3004,A57,$C$5:$C$3004,"&lt;"&amp;D57,$D$5:$D$3004,"&gt;"&amp;C57)&gt;1,"⚠️ пересечение",""))</f>
        <v/>
      </c>
      <c r="M57" s="54">
        <f>IF(F57="","",IF(J57="✅ Сделано","✔ ",IF(J57="❌ Пропущено","✖ ","⏰ "))&amp;IF(C57="","",RIGHT("0"&amp;HOUR(C57),2)&amp;":"&amp;RIGHT("0"&amp;MINUTE(C57),2)&amp;IF(D57="","","–"&amp;RIGHT("0"&amp;HOUR(D57),2)&amp;":"&amp;RIGHT("0"&amp;MINUTE(D57),2))&amp;" ")&amp;F57)</f>
        <v/>
      </c>
      <c r="N57" s="54">
        <f>IF(OR(A57="",F57=""),"",A57&amp;"#"&amp;(COUNTIFS($A$5:$A$3004,A57,$F$5:$F$3004,"?*",$O$5:$O$3004,"&lt;"&amp;O57)+COUNTIFS($A$5:A57,A57,$F$5:F57,"?*",$O$5:O57,O57)))</f>
        <v/>
      </c>
      <c r="O57" s="54">
        <f>IF(A57="","",IF(C57="",0,C57))</f>
        <v/>
      </c>
    </row>
    <row r="58">
      <c r="A58" s="58" t="n"/>
      <c r="B58" s="49">
        <f>IF(A58="","",CHOOSE(WEEKDAY(A58,2),"Пн","Вт","Ср","Чт","Пт","Сб","Вс"))</f>
        <v/>
      </c>
      <c r="C58" s="59" t="n"/>
      <c r="D58" s="59" t="n"/>
      <c r="E58" s="60">
        <f>IF(OR(C58="",D58=""),"",MOD(D58-C58,1)*24)</f>
        <v/>
      </c>
      <c r="F58" s="50" t="n"/>
      <c r="G58" s="51" t="n"/>
      <c r="H58" s="51" t="n"/>
      <c r="I58" s="51" t="n"/>
      <c r="J58" s="51" t="n"/>
      <c r="K58" s="51" t="n"/>
      <c r="L58" s="54">
        <f>IF(OR(A58="",C58="",D58=""),"",IF(COUNTIFS($A$5:$A$3004,A58,$C$5:$C$3004,"&lt;"&amp;D58,$D$5:$D$3004,"&gt;"&amp;C58)&gt;1,"⚠️ пересечение",""))</f>
        <v/>
      </c>
      <c r="M58" s="54">
        <f>IF(F58="","",IF(J58="✅ Сделано","✔ ",IF(J58="❌ Пропущено","✖ ","⏰ "))&amp;IF(C58="","",RIGHT("0"&amp;HOUR(C58),2)&amp;":"&amp;RIGHT("0"&amp;MINUTE(C58),2)&amp;IF(D58="","","–"&amp;RIGHT("0"&amp;HOUR(D58),2)&amp;":"&amp;RIGHT("0"&amp;MINUTE(D58),2))&amp;" ")&amp;F58)</f>
        <v/>
      </c>
      <c r="N58" s="54">
        <f>IF(OR(A58="",F58=""),"",A58&amp;"#"&amp;(COUNTIFS($A$5:$A$3004,A58,$F$5:$F$3004,"?*",$O$5:$O$3004,"&lt;"&amp;O58)+COUNTIFS($A$5:A58,A58,$F$5:F58,"?*",$O$5:O58,O58)))</f>
        <v/>
      </c>
      <c r="O58" s="54">
        <f>IF(A58="","",IF(C58="",0,C58))</f>
        <v/>
      </c>
    </row>
    <row r="59">
      <c r="A59" s="58" t="n"/>
      <c r="B59" s="49">
        <f>IF(A59="","",CHOOSE(WEEKDAY(A59,2),"Пн","Вт","Ср","Чт","Пт","Сб","Вс"))</f>
        <v/>
      </c>
      <c r="C59" s="59" t="n"/>
      <c r="D59" s="59" t="n"/>
      <c r="E59" s="60">
        <f>IF(OR(C59="",D59=""),"",MOD(D59-C59,1)*24)</f>
        <v/>
      </c>
      <c r="F59" s="50" t="n"/>
      <c r="G59" s="51" t="n"/>
      <c r="H59" s="51" t="n"/>
      <c r="I59" s="51" t="n"/>
      <c r="J59" s="51" t="n"/>
      <c r="K59" s="51" t="n"/>
      <c r="L59" s="54">
        <f>IF(OR(A59="",C59="",D59=""),"",IF(COUNTIFS($A$5:$A$3004,A59,$C$5:$C$3004,"&lt;"&amp;D59,$D$5:$D$3004,"&gt;"&amp;C59)&gt;1,"⚠️ пересечение",""))</f>
        <v/>
      </c>
      <c r="M59" s="54">
        <f>IF(F59="","",IF(J59="✅ Сделано","✔ ",IF(J59="❌ Пропущено","✖ ","⏰ "))&amp;IF(C59="","",RIGHT("0"&amp;HOUR(C59),2)&amp;":"&amp;RIGHT("0"&amp;MINUTE(C59),2)&amp;IF(D59="","","–"&amp;RIGHT("0"&amp;HOUR(D59),2)&amp;":"&amp;RIGHT("0"&amp;MINUTE(D59),2))&amp;" ")&amp;F59)</f>
        <v/>
      </c>
      <c r="N59" s="54">
        <f>IF(OR(A59="",F59=""),"",A59&amp;"#"&amp;(COUNTIFS($A$5:$A$3004,A59,$F$5:$F$3004,"?*",$O$5:$O$3004,"&lt;"&amp;O59)+COUNTIFS($A$5:A59,A59,$F$5:F59,"?*",$O$5:O59,O59)))</f>
        <v/>
      </c>
      <c r="O59" s="54">
        <f>IF(A59="","",IF(C59="",0,C59))</f>
        <v/>
      </c>
    </row>
    <row r="60">
      <c r="A60" s="58" t="n"/>
      <c r="B60" s="49">
        <f>IF(A60="","",CHOOSE(WEEKDAY(A60,2),"Пн","Вт","Ср","Чт","Пт","Сб","Вс"))</f>
        <v/>
      </c>
      <c r="C60" s="59" t="n"/>
      <c r="D60" s="59" t="n"/>
      <c r="E60" s="60">
        <f>IF(OR(C60="",D60=""),"",MOD(D60-C60,1)*24)</f>
        <v/>
      </c>
      <c r="F60" s="50" t="n"/>
      <c r="G60" s="51" t="n"/>
      <c r="H60" s="51" t="n"/>
      <c r="I60" s="51" t="n"/>
      <c r="J60" s="51" t="n"/>
      <c r="K60" s="51" t="n"/>
      <c r="L60" s="54">
        <f>IF(OR(A60="",C60="",D60=""),"",IF(COUNTIFS($A$5:$A$3004,A60,$C$5:$C$3004,"&lt;"&amp;D60,$D$5:$D$3004,"&gt;"&amp;C60)&gt;1,"⚠️ пересечение",""))</f>
        <v/>
      </c>
      <c r="M60" s="54">
        <f>IF(F60="","",IF(J60="✅ Сделано","✔ ",IF(J60="❌ Пропущено","✖ ","⏰ "))&amp;IF(C60="","",RIGHT("0"&amp;HOUR(C60),2)&amp;":"&amp;RIGHT("0"&amp;MINUTE(C60),2)&amp;IF(D60="","","–"&amp;RIGHT("0"&amp;HOUR(D60),2)&amp;":"&amp;RIGHT("0"&amp;MINUTE(D60),2))&amp;" ")&amp;F60)</f>
        <v/>
      </c>
      <c r="N60" s="54">
        <f>IF(OR(A60="",F60=""),"",A60&amp;"#"&amp;(COUNTIFS($A$5:$A$3004,A60,$F$5:$F$3004,"?*",$O$5:$O$3004,"&lt;"&amp;O60)+COUNTIFS($A$5:A60,A60,$F$5:F60,"?*",$O$5:O60,O60)))</f>
        <v/>
      </c>
      <c r="O60" s="54">
        <f>IF(A60="","",IF(C60="",0,C60))</f>
        <v/>
      </c>
    </row>
    <row r="61">
      <c r="A61" s="58" t="n"/>
      <c r="B61" s="49">
        <f>IF(A61="","",CHOOSE(WEEKDAY(A61,2),"Пн","Вт","Ср","Чт","Пт","Сб","Вс"))</f>
        <v/>
      </c>
      <c r="C61" s="59" t="n"/>
      <c r="D61" s="59" t="n"/>
      <c r="E61" s="60">
        <f>IF(OR(C61="",D61=""),"",MOD(D61-C61,1)*24)</f>
        <v/>
      </c>
      <c r="F61" s="50" t="n"/>
      <c r="G61" s="51" t="n"/>
      <c r="H61" s="51" t="n"/>
      <c r="I61" s="51" t="n"/>
      <c r="J61" s="51" t="n"/>
      <c r="K61" s="51" t="n"/>
      <c r="L61" s="54">
        <f>IF(OR(A61="",C61="",D61=""),"",IF(COUNTIFS($A$5:$A$3004,A61,$C$5:$C$3004,"&lt;"&amp;D61,$D$5:$D$3004,"&gt;"&amp;C61)&gt;1,"⚠️ пересечение",""))</f>
        <v/>
      </c>
      <c r="M61" s="54">
        <f>IF(F61="","",IF(J61="✅ Сделано","✔ ",IF(J61="❌ Пропущено","✖ ","⏰ "))&amp;IF(C61="","",RIGHT("0"&amp;HOUR(C61),2)&amp;":"&amp;RIGHT("0"&amp;MINUTE(C61),2)&amp;IF(D61="","","–"&amp;RIGHT("0"&amp;HOUR(D61),2)&amp;":"&amp;RIGHT("0"&amp;MINUTE(D61),2))&amp;" ")&amp;F61)</f>
        <v/>
      </c>
      <c r="N61" s="54">
        <f>IF(OR(A61="",F61=""),"",A61&amp;"#"&amp;(COUNTIFS($A$5:$A$3004,A61,$F$5:$F$3004,"?*",$O$5:$O$3004,"&lt;"&amp;O61)+COUNTIFS($A$5:A61,A61,$F$5:F61,"?*",$O$5:O61,O61)))</f>
        <v/>
      </c>
      <c r="O61" s="54">
        <f>IF(A61="","",IF(C61="",0,C61))</f>
        <v/>
      </c>
    </row>
    <row r="62">
      <c r="A62" s="58" t="n"/>
      <c r="B62" s="49">
        <f>IF(A62="","",CHOOSE(WEEKDAY(A62,2),"Пн","Вт","Ср","Чт","Пт","Сб","Вс"))</f>
        <v/>
      </c>
      <c r="C62" s="59" t="n"/>
      <c r="D62" s="59" t="n"/>
      <c r="E62" s="60">
        <f>IF(OR(C62="",D62=""),"",MOD(D62-C62,1)*24)</f>
        <v/>
      </c>
      <c r="F62" s="50" t="n"/>
      <c r="G62" s="51" t="n"/>
      <c r="H62" s="51" t="n"/>
      <c r="I62" s="51" t="n"/>
      <c r="J62" s="51" t="n"/>
      <c r="K62" s="51" t="n"/>
      <c r="L62" s="54">
        <f>IF(OR(A62="",C62="",D62=""),"",IF(COUNTIFS($A$5:$A$3004,A62,$C$5:$C$3004,"&lt;"&amp;D62,$D$5:$D$3004,"&gt;"&amp;C62)&gt;1,"⚠️ пересечение",""))</f>
        <v/>
      </c>
      <c r="M62" s="54">
        <f>IF(F62="","",IF(J62="✅ Сделано","✔ ",IF(J62="❌ Пропущено","✖ ","⏰ "))&amp;IF(C62="","",RIGHT("0"&amp;HOUR(C62),2)&amp;":"&amp;RIGHT("0"&amp;MINUTE(C62),2)&amp;IF(D62="","","–"&amp;RIGHT("0"&amp;HOUR(D62),2)&amp;":"&amp;RIGHT("0"&amp;MINUTE(D62),2))&amp;" ")&amp;F62)</f>
        <v/>
      </c>
      <c r="N62" s="54">
        <f>IF(OR(A62="",F62=""),"",A62&amp;"#"&amp;(COUNTIFS($A$5:$A$3004,A62,$F$5:$F$3004,"?*",$O$5:$O$3004,"&lt;"&amp;O62)+COUNTIFS($A$5:A62,A62,$F$5:F62,"?*",$O$5:O62,O62)))</f>
        <v/>
      </c>
      <c r="O62" s="54">
        <f>IF(A62="","",IF(C62="",0,C62))</f>
        <v/>
      </c>
    </row>
    <row r="63">
      <c r="A63" s="58" t="n"/>
      <c r="B63" s="49">
        <f>IF(A63="","",CHOOSE(WEEKDAY(A63,2),"Пн","Вт","Ср","Чт","Пт","Сб","Вс"))</f>
        <v/>
      </c>
      <c r="C63" s="59" t="n"/>
      <c r="D63" s="59" t="n"/>
      <c r="E63" s="60">
        <f>IF(OR(C63="",D63=""),"",MOD(D63-C63,1)*24)</f>
        <v/>
      </c>
      <c r="F63" s="50" t="n"/>
      <c r="G63" s="51" t="n"/>
      <c r="H63" s="51" t="n"/>
      <c r="I63" s="51" t="n"/>
      <c r="J63" s="51" t="n"/>
      <c r="K63" s="51" t="n"/>
      <c r="L63" s="54">
        <f>IF(OR(A63="",C63="",D63=""),"",IF(COUNTIFS($A$5:$A$3004,A63,$C$5:$C$3004,"&lt;"&amp;D63,$D$5:$D$3004,"&gt;"&amp;C63)&gt;1,"⚠️ пересечение",""))</f>
        <v/>
      </c>
      <c r="M63" s="54">
        <f>IF(F63="","",IF(J63="✅ Сделано","✔ ",IF(J63="❌ Пропущено","✖ ","⏰ "))&amp;IF(C63="","",RIGHT("0"&amp;HOUR(C63),2)&amp;":"&amp;RIGHT("0"&amp;MINUTE(C63),2)&amp;IF(D63="","","–"&amp;RIGHT("0"&amp;HOUR(D63),2)&amp;":"&amp;RIGHT("0"&amp;MINUTE(D63),2))&amp;" ")&amp;F63)</f>
        <v/>
      </c>
      <c r="N63" s="54">
        <f>IF(OR(A63="",F63=""),"",A63&amp;"#"&amp;(COUNTIFS($A$5:$A$3004,A63,$F$5:$F$3004,"?*",$O$5:$O$3004,"&lt;"&amp;O63)+COUNTIFS($A$5:A63,A63,$F$5:F63,"?*",$O$5:O63,O63)))</f>
        <v/>
      </c>
      <c r="O63" s="54">
        <f>IF(A63="","",IF(C63="",0,C63))</f>
        <v/>
      </c>
    </row>
    <row r="64">
      <c r="A64" s="58" t="n"/>
      <c r="B64" s="49">
        <f>IF(A64="","",CHOOSE(WEEKDAY(A64,2),"Пн","Вт","Ср","Чт","Пт","Сб","Вс"))</f>
        <v/>
      </c>
      <c r="C64" s="59" t="n"/>
      <c r="D64" s="59" t="n"/>
      <c r="E64" s="60">
        <f>IF(OR(C64="",D64=""),"",MOD(D64-C64,1)*24)</f>
        <v/>
      </c>
      <c r="F64" s="50" t="n"/>
      <c r="G64" s="51" t="n"/>
      <c r="H64" s="51" t="n"/>
      <c r="I64" s="51" t="n"/>
      <c r="J64" s="51" t="n"/>
      <c r="K64" s="51" t="n"/>
      <c r="L64" s="54">
        <f>IF(OR(A64="",C64="",D64=""),"",IF(COUNTIFS($A$5:$A$3004,A64,$C$5:$C$3004,"&lt;"&amp;D64,$D$5:$D$3004,"&gt;"&amp;C64)&gt;1,"⚠️ пересечение",""))</f>
        <v/>
      </c>
      <c r="M64" s="54">
        <f>IF(F64="","",IF(J64="✅ Сделано","✔ ",IF(J64="❌ Пропущено","✖ ","⏰ "))&amp;IF(C64="","",RIGHT("0"&amp;HOUR(C64),2)&amp;":"&amp;RIGHT("0"&amp;MINUTE(C64),2)&amp;IF(D64="","","–"&amp;RIGHT("0"&amp;HOUR(D64),2)&amp;":"&amp;RIGHT("0"&amp;MINUTE(D64),2))&amp;" ")&amp;F64)</f>
        <v/>
      </c>
      <c r="N64" s="54">
        <f>IF(OR(A64="",F64=""),"",A64&amp;"#"&amp;(COUNTIFS($A$5:$A$3004,A64,$F$5:$F$3004,"?*",$O$5:$O$3004,"&lt;"&amp;O64)+COUNTIFS($A$5:A64,A64,$F$5:F64,"?*",$O$5:O64,O64)))</f>
        <v/>
      </c>
      <c r="O64" s="54">
        <f>IF(A64="","",IF(C64="",0,C64))</f>
        <v/>
      </c>
    </row>
    <row r="65">
      <c r="A65" s="58" t="n"/>
      <c r="B65" s="49">
        <f>IF(A65="","",CHOOSE(WEEKDAY(A65,2),"Пн","Вт","Ср","Чт","Пт","Сб","Вс"))</f>
        <v/>
      </c>
      <c r="C65" s="59" t="n"/>
      <c r="D65" s="59" t="n"/>
      <c r="E65" s="60">
        <f>IF(OR(C65="",D65=""),"",MOD(D65-C65,1)*24)</f>
        <v/>
      </c>
      <c r="F65" s="50" t="n"/>
      <c r="G65" s="51" t="n"/>
      <c r="H65" s="51" t="n"/>
      <c r="I65" s="51" t="n"/>
      <c r="J65" s="51" t="n"/>
      <c r="K65" s="51" t="n"/>
      <c r="L65" s="54">
        <f>IF(OR(A65="",C65="",D65=""),"",IF(COUNTIFS($A$5:$A$3004,A65,$C$5:$C$3004,"&lt;"&amp;D65,$D$5:$D$3004,"&gt;"&amp;C65)&gt;1,"⚠️ пересечение",""))</f>
        <v/>
      </c>
      <c r="M65" s="54">
        <f>IF(F65="","",IF(J65="✅ Сделано","✔ ",IF(J65="❌ Пропущено","✖ ","⏰ "))&amp;IF(C65="","",RIGHT("0"&amp;HOUR(C65),2)&amp;":"&amp;RIGHT("0"&amp;MINUTE(C65),2)&amp;IF(D65="","","–"&amp;RIGHT("0"&amp;HOUR(D65),2)&amp;":"&amp;RIGHT("0"&amp;MINUTE(D65),2))&amp;" ")&amp;F65)</f>
        <v/>
      </c>
      <c r="N65" s="54">
        <f>IF(OR(A65="",F65=""),"",A65&amp;"#"&amp;(COUNTIFS($A$5:$A$3004,A65,$F$5:$F$3004,"?*",$O$5:$O$3004,"&lt;"&amp;O65)+COUNTIFS($A$5:A65,A65,$F$5:F65,"?*",$O$5:O65,O65)))</f>
        <v/>
      </c>
      <c r="O65" s="54">
        <f>IF(A65="","",IF(C65="",0,C65))</f>
        <v/>
      </c>
    </row>
    <row r="66">
      <c r="A66" s="58" t="n"/>
      <c r="B66" s="49">
        <f>IF(A66="","",CHOOSE(WEEKDAY(A66,2),"Пн","Вт","Ср","Чт","Пт","Сб","Вс"))</f>
        <v/>
      </c>
      <c r="C66" s="59" t="n"/>
      <c r="D66" s="59" t="n"/>
      <c r="E66" s="60">
        <f>IF(OR(C66="",D66=""),"",MOD(D66-C66,1)*24)</f>
        <v/>
      </c>
      <c r="F66" s="50" t="n"/>
      <c r="G66" s="51" t="n"/>
      <c r="H66" s="51" t="n"/>
      <c r="I66" s="51" t="n"/>
      <c r="J66" s="51" t="n"/>
      <c r="K66" s="51" t="n"/>
      <c r="L66" s="54">
        <f>IF(OR(A66="",C66="",D66=""),"",IF(COUNTIFS($A$5:$A$3004,A66,$C$5:$C$3004,"&lt;"&amp;D66,$D$5:$D$3004,"&gt;"&amp;C66)&gt;1,"⚠️ пересечение",""))</f>
        <v/>
      </c>
      <c r="M66" s="54">
        <f>IF(F66="","",IF(J66="✅ Сделано","✔ ",IF(J66="❌ Пропущено","✖ ","⏰ "))&amp;IF(C66="","",RIGHT("0"&amp;HOUR(C66),2)&amp;":"&amp;RIGHT("0"&amp;MINUTE(C66),2)&amp;IF(D66="","","–"&amp;RIGHT("0"&amp;HOUR(D66),2)&amp;":"&amp;RIGHT("0"&amp;MINUTE(D66),2))&amp;" ")&amp;F66)</f>
        <v/>
      </c>
      <c r="N66" s="54">
        <f>IF(OR(A66="",F66=""),"",A66&amp;"#"&amp;(COUNTIFS($A$5:$A$3004,A66,$F$5:$F$3004,"?*",$O$5:$O$3004,"&lt;"&amp;O66)+COUNTIFS($A$5:A66,A66,$F$5:F66,"?*",$O$5:O66,O66)))</f>
        <v/>
      </c>
      <c r="O66" s="54">
        <f>IF(A66="","",IF(C66="",0,C66))</f>
        <v/>
      </c>
    </row>
    <row r="67">
      <c r="A67" s="58" t="n"/>
      <c r="B67" s="49">
        <f>IF(A67="","",CHOOSE(WEEKDAY(A67,2),"Пн","Вт","Ср","Чт","Пт","Сб","Вс"))</f>
        <v/>
      </c>
      <c r="C67" s="59" t="n"/>
      <c r="D67" s="59" t="n"/>
      <c r="E67" s="60">
        <f>IF(OR(C67="",D67=""),"",MOD(D67-C67,1)*24)</f>
        <v/>
      </c>
      <c r="F67" s="50" t="n"/>
      <c r="G67" s="51" t="n"/>
      <c r="H67" s="51" t="n"/>
      <c r="I67" s="51" t="n"/>
      <c r="J67" s="51" t="n"/>
      <c r="K67" s="51" t="n"/>
      <c r="L67" s="54">
        <f>IF(OR(A67="",C67="",D67=""),"",IF(COUNTIFS($A$5:$A$3004,A67,$C$5:$C$3004,"&lt;"&amp;D67,$D$5:$D$3004,"&gt;"&amp;C67)&gt;1,"⚠️ пересечение",""))</f>
        <v/>
      </c>
      <c r="M67" s="54">
        <f>IF(F67="","",IF(J67="✅ Сделано","✔ ",IF(J67="❌ Пропущено","✖ ","⏰ "))&amp;IF(C67="","",RIGHT("0"&amp;HOUR(C67),2)&amp;":"&amp;RIGHT("0"&amp;MINUTE(C67),2)&amp;IF(D67="","","–"&amp;RIGHT("0"&amp;HOUR(D67),2)&amp;":"&amp;RIGHT("0"&amp;MINUTE(D67),2))&amp;" ")&amp;F67)</f>
        <v/>
      </c>
      <c r="N67" s="54">
        <f>IF(OR(A67="",F67=""),"",A67&amp;"#"&amp;(COUNTIFS($A$5:$A$3004,A67,$F$5:$F$3004,"?*",$O$5:$O$3004,"&lt;"&amp;O67)+COUNTIFS($A$5:A67,A67,$F$5:F67,"?*",$O$5:O67,O67)))</f>
        <v/>
      </c>
      <c r="O67" s="54">
        <f>IF(A67="","",IF(C67="",0,C67))</f>
        <v/>
      </c>
    </row>
    <row r="68">
      <c r="A68" s="58" t="n"/>
      <c r="B68" s="49">
        <f>IF(A68="","",CHOOSE(WEEKDAY(A68,2),"Пн","Вт","Ср","Чт","Пт","Сб","Вс"))</f>
        <v/>
      </c>
      <c r="C68" s="59" t="n"/>
      <c r="D68" s="59" t="n"/>
      <c r="E68" s="60">
        <f>IF(OR(C68="",D68=""),"",MOD(D68-C68,1)*24)</f>
        <v/>
      </c>
      <c r="F68" s="50" t="n"/>
      <c r="G68" s="51" t="n"/>
      <c r="H68" s="51" t="n"/>
      <c r="I68" s="51" t="n"/>
      <c r="J68" s="51" t="n"/>
      <c r="K68" s="51" t="n"/>
      <c r="L68" s="54">
        <f>IF(OR(A68="",C68="",D68=""),"",IF(COUNTIFS($A$5:$A$3004,A68,$C$5:$C$3004,"&lt;"&amp;D68,$D$5:$D$3004,"&gt;"&amp;C68)&gt;1,"⚠️ пересечение",""))</f>
        <v/>
      </c>
      <c r="M68" s="54">
        <f>IF(F68="","",IF(J68="✅ Сделано","✔ ",IF(J68="❌ Пропущено","✖ ","⏰ "))&amp;IF(C68="","",RIGHT("0"&amp;HOUR(C68),2)&amp;":"&amp;RIGHT("0"&amp;MINUTE(C68),2)&amp;IF(D68="","","–"&amp;RIGHT("0"&amp;HOUR(D68),2)&amp;":"&amp;RIGHT("0"&amp;MINUTE(D68),2))&amp;" ")&amp;F68)</f>
        <v/>
      </c>
      <c r="N68" s="54">
        <f>IF(OR(A68="",F68=""),"",A68&amp;"#"&amp;(COUNTIFS($A$5:$A$3004,A68,$F$5:$F$3004,"?*",$O$5:$O$3004,"&lt;"&amp;O68)+COUNTIFS($A$5:A68,A68,$F$5:F68,"?*",$O$5:O68,O68)))</f>
        <v/>
      </c>
      <c r="O68" s="54">
        <f>IF(A68="","",IF(C68="",0,C68))</f>
        <v/>
      </c>
    </row>
    <row r="69">
      <c r="A69" s="58" t="n"/>
      <c r="B69" s="49">
        <f>IF(A69="","",CHOOSE(WEEKDAY(A69,2),"Пн","Вт","Ср","Чт","Пт","Сб","Вс"))</f>
        <v/>
      </c>
      <c r="C69" s="59" t="n"/>
      <c r="D69" s="59" t="n"/>
      <c r="E69" s="60">
        <f>IF(OR(C69="",D69=""),"",MOD(D69-C69,1)*24)</f>
        <v/>
      </c>
      <c r="F69" s="50" t="n"/>
      <c r="G69" s="51" t="n"/>
      <c r="H69" s="51" t="n"/>
      <c r="I69" s="51" t="n"/>
      <c r="J69" s="51" t="n"/>
      <c r="K69" s="51" t="n"/>
      <c r="L69" s="54">
        <f>IF(OR(A69="",C69="",D69=""),"",IF(COUNTIFS($A$5:$A$3004,A69,$C$5:$C$3004,"&lt;"&amp;D69,$D$5:$D$3004,"&gt;"&amp;C69)&gt;1,"⚠️ пересечение",""))</f>
        <v/>
      </c>
      <c r="M69" s="54">
        <f>IF(F69="","",IF(J69="✅ Сделано","✔ ",IF(J69="❌ Пропущено","✖ ","⏰ "))&amp;IF(C69="","",RIGHT("0"&amp;HOUR(C69),2)&amp;":"&amp;RIGHT("0"&amp;MINUTE(C69),2)&amp;IF(D69="","","–"&amp;RIGHT("0"&amp;HOUR(D69),2)&amp;":"&amp;RIGHT("0"&amp;MINUTE(D69),2))&amp;" ")&amp;F69)</f>
        <v/>
      </c>
      <c r="N69" s="54">
        <f>IF(OR(A69="",F69=""),"",A69&amp;"#"&amp;(COUNTIFS($A$5:$A$3004,A69,$F$5:$F$3004,"?*",$O$5:$O$3004,"&lt;"&amp;O69)+COUNTIFS($A$5:A69,A69,$F$5:F69,"?*",$O$5:O69,O69)))</f>
        <v/>
      </c>
      <c r="O69" s="54">
        <f>IF(A69="","",IF(C69="",0,C69))</f>
        <v/>
      </c>
    </row>
    <row r="70">
      <c r="A70" s="58" t="n"/>
      <c r="B70" s="49">
        <f>IF(A70="","",CHOOSE(WEEKDAY(A70,2),"Пн","Вт","Ср","Чт","Пт","Сб","Вс"))</f>
        <v/>
      </c>
      <c r="C70" s="59" t="n"/>
      <c r="D70" s="59" t="n"/>
      <c r="E70" s="60">
        <f>IF(OR(C70="",D70=""),"",MOD(D70-C70,1)*24)</f>
        <v/>
      </c>
      <c r="F70" s="50" t="n"/>
      <c r="G70" s="51" t="n"/>
      <c r="H70" s="51" t="n"/>
      <c r="I70" s="51" t="n"/>
      <c r="J70" s="51" t="n"/>
      <c r="K70" s="51" t="n"/>
      <c r="L70" s="54">
        <f>IF(OR(A70="",C70="",D70=""),"",IF(COUNTIFS($A$5:$A$3004,A70,$C$5:$C$3004,"&lt;"&amp;D70,$D$5:$D$3004,"&gt;"&amp;C70)&gt;1,"⚠️ пересечение",""))</f>
        <v/>
      </c>
      <c r="M70" s="54">
        <f>IF(F70="","",IF(J70="✅ Сделано","✔ ",IF(J70="❌ Пропущено","✖ ","⏰ "))&amp;IF(C70="","",RIGHT("0"&amp;HOUR(C70),2)&amp;":"&amp;RIGHT("0"&amp;MINUTE(C70),2)&amp;IF(D70="","","–"&amp;RIGHT("0"&amp;HOUR(D70),2)&amp;":"&amp;RIGHT("0"&amp;MINUTE(D70),2))&amp;" ")&amp;F70)</f>
        <v/>
      </c>
      <c r="N70" s="54">
        <f>IF(OR(A70="",F70=""),"",A70&amp;"#"&amp;(COUNTIFS($A$5:$A$3004,A70,$F$5:$F$3004,"?*",$O$5:$O$3004,"&lt;"&amp;O70)+COUNTIFS($A$5:A70,A70,$F$5:F70,"?*",$O$5:O70,O70)))</f>
        <v/>
      </c>
      <c r="O70" s="54">
        <f>IF(A70="","",IF(C70="",0,C70))</f>
        <v/>
      </c>
    </row>
    <row r="71">
      <c r="A71" s="58" t="n"/>
      <c r="B71" s="49">
        <f>IF(A71="","",CHOOSE(WEEKDAY(A71,2),"Пн","Вт","Ср","Чт","Пт","Сб","Вс"))</f>
        <v/>
      </c>
      <c r="C71" s="59" t="n"/>
      <c r="D71" s="59" t="n"/>
      <c r="E71" s="60">
        <f>IF(OR(C71="",D71=""),"",MOD(D71-C71,1)*24)</f>
        <v/>
      </c>
      <c r="F71" s="50" t="n"/>
      <c r="G71" s="51" t="n"/>
      <c r="H71" s="51" t="n"/>
      <c r="I71" s="51" t="n"/>
      <c r="J71" s="51" t="n"/>
      <c r="K71" s="51" t="n"/>
      <c r="L71" s="54">
        <f>IF(OR(A71="",C71="",D71=""),"",IF(COUNTIFS($A$5:$A$3004,A71,$C$5:$C$3004,"&lt;"&amp;D71,$D$5:$D$3004,"&gt;"&amp;C71)&gt;1,"⚠️ пересечение",""))</f>
        <v/>
      </c>
      <c r="M71" s="54">
        <f>IF(F71="","",IF(J71="✅ Сделано","✔ ",IF(J71="❌ Пропущено","✖ ","⏰ "))&amp;IF(C71="","",RIGHT("0"&amp;HOUR(C71),2)&amp;":"&amp;RIGHT("0"&amp;MINUTE(C71),2)&amp;IF(D71="","","–"&amp;RIGHT("0"&amp;HOUR(D71),2)&amp;":"&amp;RIGHT("0"&amp;MINUTE(D71),2))&amp;" ")&amp;F71)</f>
        <v/>
      </c>
      <c r="N71" s="54">
        <f>IF(OR(A71="",F71=""),"",A71&amp;"#"&amp;(COUNTIFS($A$5:$A$3004,A71,$F$5:$F$3004,"?*",$O$5:$O$3004,"&lt;"&amp;O71)+COUNTIFS($A$5:A71,A71,$F$5:F71,"?*",$O$5:O71,O71)))</f>
        <v/>
      </c>
      <c r="O71" s="54">
        <f>IF(A71="","",IF(C71="",0,C71))</f>
        <v/>
      </c>
    </row>
    <row r="72">
      <c r="A72" s="58" t="n"/>
      <c r="B72" s="49">
        <f>IF(A72="","",CHOOSE(WEEKDAY(A72,2),"Пн","Вт","Ср","Чт","Пт","Сб","Вс"))</f>
        <v/>
      </c>
      <c r="C72" s="59" t="n"/>
      <c r="D72" s="59" t="n"/>
      <c r="E72" s="60">
        <f>IF(OR(C72="",D72=""),"",MOD(D72-C72,1)*24)</f>
        <v/>
      </c>
      <c r="F72" s="50" t="n"/>
      <c r="G72" s="51" t="n"/>
      <c r="H72" s="51" t="n"/>
      <c r="I72" s="51" t="n"/>
      <c r="J72" s="51" t="n"/>
      <c r="K72" s="51" t="n"/>
      <c r="L72" s="54">
        <f>IF(OR(A72="",C72="",D72=""),"",IF(COUNTIFS($A$5:$A$3004,A72,$C$5:$C$3004,"&lt;"&amp;D72,$D$5:$D$3004,"&gt;"&amp;C72)&gt;1,"⚠️ пересечение",""))</f>
        <v/>
      </c>
      <c r="M72" s="54">
        <f>IF(F72="","",IF(J72="✅ Сделано","✔ ",IF(J72="❌ Пропущено","✖ ","⏰ "))&amp;IF(C72="","",RIGHT("0"&amp;HOUR(C72),2)&amp;":"&amp;RIGHT("0"&amp;MINUTE(C72),2)&amp;IF(D72="","","–"&amp;RIGHT("0"&amp;HOUR(D72),2)&amp;":"&amp;RIGHT("0"&amp;MINUTE(D72),2))&amp;" ")&amp;F72)</f>
        <v/>
      </c>
      <c r="N72" s="54">
        <f>IF(OR(A72="",F72=""),"",A72&amp;"#"&amp;(COUNTIFS($A$5:$A$3004,A72,$F$5:$F$3004,"?*",$O$5:$O$3004,"&lt;"&amp;O72)+COUNTIFS($A$5:A72,A72,$F$5:F72,"?*",$O$5:O72,O72)))</f>
        <v/>
      </c>
      <c r="O72" s="54">
        <f>IF(A72="","",IF(C72="",0,C72))</f>
        <v/>
      </c>
    </row>
    <row r="73">
      <c r="A73" s="58" t="n"/>
      <c r="B73" s="49">
        <f>IF(A73="","",CHOOSE(WEEKDAY(A73,2),"Пн","Вт","Ср","Чт","Пт","Сб","Вс"))</f>
        <v/>
      </c>
      <c r="C73" s="59" t="n"/>
      <c r="D73" s="59" t="n"/>
      <c r="E73" s="60">
        <f>IF(OR(C73="",D73=""),"",MOD(D73-C73,1)*24)</f>
        <v/>
      </c>
      <c r="F73" s="50" t="n"/>
      <c r="G73" s="51" t="n"/>
      <c r="H73" s="51" t="n"/>
      <c r="I73" s="51" t="n"/>
      <c r="J73" s="51" t="n"/>
      <c r="K73" s="51" t="n"/>
      <c r="L73" s="54">
        <f>IF(OR(A73="",C73="",D73=""),"",IF(COUNTIFS($A$5:$A$3004,A73,$C$5:$C$3004,"&lt;"&amp;D73,$D$5:$D$3004,"&gt;"&amp;C73)&gt;1,"⚠️ пересечение",""))</f>
        <v/>
      </c>
      <c r="M73" s="54">
        <f>IF(F73="","",IF(J73="✅ Сделано","✔ ",IF(J73="❌ Пропущено","✖ ","⏰ "))&amp;IF(C73="","",RIGHT("0"&amp;HOUR(C73),2)&amp;":"&amp;RIGHT("0"&amp;MINUTE(C73),2)&amp;IF(D73="","","–"&amp;RIGHT("0"&amp;HOUR(D73),2)&amp;":"&amp;RIGHT("0"&amp;MINUTE(D73),2))&amp;" ")&amp;F73)</f>
        <v/>
      </c>
      <c r="N73" s="54">
        <f>IF(OR(A73="",F73=""),"",A73&amp;"#"&amp;(COUNTIFS($A$5:$A$3004,A73,$F$5:$F$3004,"?*",$O$5:$O$3004,"&lt;"&amp;O73)+COUNTIFS($A$5:A73,A73,$F$5:F73,"?*",$O$5:O73,O73)))</f>
        <v/>
      </c>
      <c r="O73" s="54">
        <f>IF(A73="","",IF(C73="",0,C73))</f>
        <v/>
      </c>
    </row>
    <row r="74">
      <c r="A74" s="58" t="n"/>
      <c r="B74" s="49">
        <f>IF(A74="","",CHOOSE(WEEKDAY(A74,2),"Пн","Вт","Ср","Чт","Пт","Сб","Вс"))</f>
        <v/>
      </c>
      <c r="C74" s="59" t="n"/>
      <c r="D74" s="59" t="n"/>
      <c r="E74" s="60">
        <f>IF(OR(C74="",D74=""),"",MOD(D74-C74,1)*24)</f>
        <v/>
      </c>
      <c r="F74" s="50" t="n"/>
      <c r="G74" s="51" t="n"/>
      <c r="H74" s="51" t="n"/>
      <c r="I74" s="51" t="n"/>
      <c r="J74" s="51" t="n"/>
      <c r="K74" s="51" t="n"/>
      <c r="L74" s="54">
        <f>IF(OR(A74="",C74="",D74=""),"",IF(COUNTIFS($A$5:$A$3004,A74,$C$5:$C$3004,"&lt;"&amp;D74,$D$5:$D$3004,"&gt;"&amp;C74)&gt;1,"⚠️ пересечение",""))</f>
        <v/>
      </c>
      <c r="M74" s="54">
        <f>IF(F74="","",IF(J74="✅ Сделано","✔ ",IF(J74="❌ Пропущено","✖ ","⏰ "))&amp;IF(C74="","",RIGHT("0"&amp;HOUR(C74),2)&amp;":"&amp;RIGHT("0"&amp;MINUTE(C74),2)&amp;IF(D74="","","–"&amp;RIGHT("0"&amp;HOUR(D74),2)&amp;":"&amp;RIGHT("0"&amp;MINUTE(D74),2))&amp;" ")&amp;F74)</f>
        <v/>
      </c>
      <c r="N74" s="54">
        <f>IF(OR(A74="",F74=""),"",A74&amp;"#"&amp;(COUNTIFS($A$5:$A$3004,A74,$F$5:$F$3004,"?*",$O$5:$O$3004,"&lt;"&amp;O74)+COUNTIFS($A$5:A74,A74,$F$5:F74,"?*",$O$5:O74,O74)))</f>
        <v/>
      </c>
      <c r="O74" s="54">
        <f>IF(A74="","",IF(C74="",0,C74))</f>
        <v/>
      </c>
    </row>
    <row r="75">
      <c r="A75" s="58" t="n"/>
      <c r="B75" s="49">
        <f>IF(A75="","",CHOOSE(WEEKDAY(A75,2),"Пн","Вт","Ср","Чт","Пт","Сб","Вс"))</f>
        <v/>
      </c>
      <c r="C75" s="59" t="n"/>
      <c r="D75" s="59" t="n"/>
      <c r="E75" s="60">
        <f>IF(OR(C75="",D75=""),"",MOD(D75-C75,1)*24)</f>
        <v/>
      </c>
      <c r="F75" s="50" t="n"/>
      <c r="G75" s="51" t="n"/>
      <c r="H75" s="51" t="n"/>
      <c r="I75" s="51" t="n"/>
      <c r="J75" s="51" t="n"/>
      <c r="K75" s="51" t="n"/>
      <c r="L75" s="54">
        <f>IF(OR(A75="",C75="",D75=""),"",IF(COUNTIFS($A$5:$A$3004,A75,$C$5:$C$3004,"&lt;"&amp;D75,$D$5:$D$3004,"&gt;"&amp;C75)&gt;1,"⚠️ пересечение",""))</f>
        <v/>
      </c>
      <c r="M75" s="54">
        <f>IF(F75="","",IF(J75="✅ Сделано","✔ ",IF(J75="❌ Пропущено","✖ ","⏰ "))&amp;IF(C75="","",RIGHT("0"&amp;HOUR(C75),2)&amp;":"&amp;RIGHT("0"&amp;MINUTE(C75),2)&amp;IF(D75="","","–"&amp;RIGHT("0"&amp;HOUR(D75),2)&amp;":"&amp;RIGHT("0"&amp;MINUTE(D75),2))&amp;" ")&amp;F75)</f>
        <v/>
      </c>
      <c r="N75" s="54">
        <f>IF(OR(A75="",F75=""),"",A75&amp;"#"&amp;(COUNTIFS($A$5:$A$3004,A75,$F$5:$F$3004,"?*",$O$5:$O$3004,"&lt;"&amp;O75)+COUNTIFS($A$5:A75,A75,$F$5:F75,"?*",$O$5:O75,O75)))</f>
        <v/>
      </c>
      <c r="O75" s="54">
        <f>IF(A75="","",IF(C75="",0,C75))</f>
        <v/>
      </c>
    </row>
    <row r="76">
      <c r="A76" s="58" t="n"/>
      <c r="B76" s="49">
        <f>IF(A76="","",CHOOSE(WEEKDAY(A76,2),"Пн","Вт","Ср","Чт","Пт","Сб","Вс"))</f>
        <v/>
      </c>
      <c r="C76" s="59" t="n"/>
      <c r="D76" s="59" t="n"/>
      <c r="E76" s="60">
        <f>IF(OR(C76="",D76=""),"",MOD(D76-C76,1)*24)</f>
        <v/>
      </c>
      <c r="F76" s="50" t="n"/>
      <c r="G76" s="51" t="n"/>
      <c r="H76" s="51" t="n"/>
      <c r="I76" s="51" t="n"/>
      <c r="J76" s="51" t="n"/>
      <c r="K76" s="51" t="n"/>
      <c r="L76" s="54">
        <f>IF(OR(A76="",C76="",D76=""),"",IF(COUNTIFS($A$5:$A$3004,A76,$C$5:$C$3004,"&lt;"&amp;D76,$D$5:$D$3004,"&gt;"&amp;C76)&gt;1,"⚠️ пересечение",""))</f>
        <v/>
      </c>
      <c r="M76" s="54">
        <f>IF(F76="","",IF(J76="✅ Сделано","✔ ",IF(J76="❌ Пропущено","✖ ","⏰ "))&amp;IF(C76="","",RIGHT("0"&amp;HOUR(C76),2)&amp;":"&amp;RIGHT("0"&amp;MINUTE(C76),2)&amp;IF(D76="","","–"&amp;RIGHT("0"&amp;HOUR(D76),2)&amp;":"&amp;RIGHT("0"&amp;MINUTE(D76),2))&amp;" ")&amp;F76)</f>
        <v/>
      </c>
      <c r="N76" s="54">
        <f>IF(OR(A76="",F76=""),"",A76&amp;"#"&amp;(COUNTIFS($A$5:$A$3004,A76,$F$5:$F$3004,"?*",$O$5:$O$3004,"&lt;"&amp;O76)+COUNTIFS($A$5:A76,A76,$F$5:F76,"?*",$O$5:O76,O76)))</f>
        <v/>
      </c>
      <c r="O76" s="54">
        <f>IF(A76="","",IF(C76="",0,C76))</f>
        <v/>
      </c>
    </row>
    <row r="77">
      <c r="A77" s="58" t="n"/>
      <c r="B77" s="49">
        <f>IF(A77="","",CHOOSE(WEEKDAY(A77,2),"Пн","Вт","Ср","Чт","Пт","Сб","Вс"))</f>
        <v/>
      </c>
      <c r="C77" s="59" t="n"/>
      <c r="D77" s="59" t="n"/>
      <c r="E77" s="60">
        <f>IF(OR(C77="",D77=""),"",MOD(D77-C77,1)*24)</f>
        <v/>
      </c>
      <c r="F77" s="50" t="n"/>
      <c r="G77" s="51" t="n"/>
      <c r="H77" s="51" t="n"/>
      <c r="I77" s="51" t="n"/>
      <c r="J77" s="51" t="n"/>
      <c r="K77" s="51" t="n"/>
      <c r="L77" s="54">
        <f>IF(OR(A77="",C77="",D77=""),"",IF(COUNTIFS($A$5:$A$3004,A77,$C$5:$C$3004,"&lt;"&amp;D77,$D$5:$D$3004,"&gt;"&amp;C77)&gt;1,"⚠️ пересечение",""))</f>
        <v/>
      </c>
      <c r="M77" s="54">
        <f>IF(F77="","",IF(J77="✅ Сделано","✔ ",IF(J77="❌ Пропущено","✖ ","⏰ "))&amp;IF(C77="","",RIGHT("0"&amp;HOUR(C77),2)&amp;":"&amp;RIGHT("0"&amp;MINUTE(C77),2)&amp;IF(D77="","","–"&amp;RIGHT("0"&amp;HOUR(D77),2)&amp;":"&amp;RIGHT("0"&amp;MINUTE(D77),2))&amp;" ")&amp;F77)</f>
        <v/>
      </c>
      <c r="N77" s="54">
        <f>IF(OR(A77="",F77=""),"",A77&amp;"#"&amp;(COUNTIFS($A$5:$A$3004,A77,$F$5:$F$3004,"?*",$O$5:$O$3004,"&lt;"&amp;O77)+COUNTIFS($A$5:A77,A77,$F$5:F77,"?*",$O$5:O77,O77)))</f>
        <v/>
      </c>
      <c r="O77" s="54">
        <f>IF(A77="","",IF(C77="",0,C77))</f>
        <v/>
      </c>
    </row>
    <row r="78">
      <c r="A78" s="58" t="n"/>
      <c r="B78" s="49">
        <f>IF(A78="","",CHOOSE(WEEKDAY(A78,2),"Пн","Вт","Ср","Чт","Пт","Сб","Вс"))</f>
        <v/>
      </c>
      <c r="C78" s="59" t="n"/>
      <c r="D78" s="59" t="n"/>
      <c r="E78" s="60">
        <f>IF(OR(C78="",D78=""),"",MOD(D78-C78,1)*24)</f>
        <v/>
      </c>
      <c r="F78" s="50" t="n"/>
      <c r="G78" s="51" t="n"/>
      <c r="H78" s="51" t="n"/>
      <c r="I78" s="51" t="n"/>
      <c r="J78" s="51" t="n"/>
      <c r="K78" s="51" t="n"/>
      <c r="L78" s="54">
        <f>IF(OR(A78="",C78="",D78=""),"",IF(COUNTIFS($A$5:$A$3004,A78,$C$5:$C$3004,"&lt;"&amp;D78,$D$5:$D$3004,"&gt;"&amp;C78)&gt;1,"⚠️ пересечение",""))</f>
        <v/>
      </c>
      <c r="M78" s="54">
        <f>IF(F78="","",IF(J78="✅ Сделано","✔ ",IF(J78="❌ Пропущено","✖ ","⏰ "))&amp;IF(C78="","",RIGHT("0"&amp;HOUR(C78),2)&amp;":"&amp;RIGHT("0"&amp;MINUTE(C78),2)&amp;IF(D78="","","–"&amp;RIGHT("0"&amp;HOUR(D78),2)&amp;":"&amp;RIGHT("0"&amp;MINUTE(D78),2))&amp;" ")&amp;F78)</f>
        <v/>
      </c>
      <c r="N78" s="54">
        <f>IF(OR(A78="",F78=""),"",A78&amp;"#"&amp;(COUNTIFS($A$5:$A$3004,A78,$F$5:$F$3004,"?*",$O$5:$O$3004,"&lt;"&amp;O78)+COUNTIFS($A$5:A78,A78,$F$5:F78,"?*",$O$5:O78,O78)))</f>
        <v/>
      </c>
      <c r="O78" s="54">
        <f>IF(A78="","",IF(C78="",0,C78))</f>
        <v/>
      </c>
    </row>
    <row r="79">
      <c r="A79" s="58" t="n"/>
      <c r="B79" s="49">
        <f>IF(A79="","",CHOOSE(WEEKDAY(A79,2),"Пн","Вт","Ср","Чт","Пт","Сб","Вс"))</f>
        <v/>
      </c>
      <c r="C79" s="59" t="n"/>
      <c r="D79" s="59" t="n"/>
      <c r="E79" s="60">
        <f>IF(OR(C79="",D79=""),"",MOD(D79-C79,1)*24)</f>
        <v/>
      </c>
      <c r="F79" s="50" t="n"/>
      <c r="G79" s="51" t="n"/>
      <c r="H79" s="51" t="n"/>
      <c r="I79" s="51" t="n"/>
      <c r="J79" s="51" t="n"/>
      <c r="K79" s="51" t="n"/>
      <c r="L79" s="54">
        <f>IF(OR(A79="",C79="",D79=""),"",IF(COUNTIFS($A$5:$A$3004,A79,$C$5:$C$3004,"&lt;"&amp;D79,$D$5:$D$3004,"&gt;"&amp;C79)&gt;1,"⚠️ пересечение",""))</f>
        <v/>
      </c>
      <c r="M79" s="54">
        <f>IF(F79="","",IF(J79="✅ Сделано","✔ ",IF(J79="❌ Пропущено","✖ ","⏰ "))&amp;IF(C79="","",RIGHT("0"&amp;HOUR(C79),2)&amp;":"&amp;RIGHT("0"&amp;MINUTE(C79),2)&amp;IF(D79="","","–"&amp;RIGHT("0"&amp;HOUR(D79),2)&amp;":"&amp;RIGHT("0"&amp;MINUTE(D79),2))&amp;" ")&amp;F79)</f>
        <v/>
      </c>
      <c r="N79" s="54">
        <f>IF(OR(A79="",F79=""),"",A79&amp;"#"&amp;(COUNTIFS($A$5:$A$3004,A79,$F$5:$F$3004,"?*",$O$5:$O$3004,"&lt;"&amp;O79)+COUNTIFS($A$5:A79,A79,$F$5:F79,"?*",$O$5:O79,O79)))</f>
        <v/>
      </c>
      <c r="O79" s="54">
        <f>IF(A79="","",IF(C79="",0,C79))</f>
        <v/>
      </c>
    </row>
    <row r="80">
      <c r="A80" s="58" t="n"/>
      <c r="B80" s="49">
        <f>IF(A80="","",CHOOSE(WEEKDAY(A80,2),"Пн","Вт","Ср","Чт","Пт","Сб","Вс"))</f>
        <v/>
      </c>
      <c r="C80" s="59" t="n"/>
      <c r="D80" s="59" t="n"/>
      <c r="E80" s="60">
        <f>IF(OR(C80="",D80=""),"",MOD(D80-C80,1)*24)</f>
        <v/>
      </c>
      <c r="F80" s="50" t="n"/>
      <c r="G80" s="51" t="n"/>
      <c r="H80" s="51" t="n"/>
      <c r="I80" s="51" t="n"/>
      <c r="J80" s="51" t="n"/>
      <c r="K80" s="51" t="n"/>
      <c r="L80" s="54">
        <f>IF(OR(A80="",C80="",D80=""),"",IF(COUNTIFS($A$5:$A$3004,A80,$C$5:$C$3004,"&lt;"&amp;D80,$D$5:$D$3004,"&gt;"&amp;C80)&gt;1,"⚠️ пересечение",""))</f>
        <v/>
      </c>
      <c r="M80" s="54">
        <f>IF(F80="","",IF(J80="✅ Сделано","✔ ",IF(J80="❌ Пропущено","✖ ","⏰ "))&amp;IF(C80="","",RIGHT("0"&amp;HOUR(C80),2)&amp;":"&amp;RIGHT("0"&amp;MINUTE(C80),2)&amp;IF(D80="","","–"&amp;RIGHT("0"&amp;HOUR(D80),2)&amp;":"&amp;RIGHT("0"&amp;MINUTE(D80),2))&amp;" ")&amp;F80)</f>
        <v/>
      </c>
      <c r="N80" s="54">
        <f>IF(OR(A80="",F80=""),"",A80&amp;"#"&amp;(COUNTIFS($A$5:$A$3004,A80,$F$5:$F$3004,"?*",$O$5:$O$3004,"&lt;"&amp;O80)+COUNTIFS($A$5:A80,A80,$F$5:F80,"?*",$O$5:O80,O80)))</f>
        <v/>
      </c>
      <c r="O80" s="54">
        <f>IF(A80="","",IF(C80="",0,C80))</f>
        <v/>
      </c>
    </row>
    <row r="81">
      <c r="A81" s="58" t="n"/>
      <c r="B81" s="49">
        <f>IF(A81="","",CHOOSE(WEEKDAY(A81,2),"Пн","Вт","Ср","Чт","Пт","Сб","Вс"))</f>
        <v/>
      </c>
      <c r="C81" s="59" t="n"/>
      <c r="D81" s="59" t="n"/>
      <c r="E81" s="60">
        <f>IF(OR(C81="",D81=""),"",MOD(D81-C81,1)*24)</f>
        <v/>
      </c>
      <c r="F81" s="50" t="n"/>
      <c r="G81" s="51" t="n"/>
      <c r="H81" s="51" t="n"/>
      <c r="I81" s="51" t="n"/>
      <c r="J81" s="51" t="n"/>
      <c r="K81" s="51" t="n"/>
      <c r="L81" s="54">
        <f>IF(OR(A81="",C81="",D81=""),"",IF(COUNTIFS($A$5:$A$3004,A81,$C$5:$C$3004,"&lt;"&amp;D81,$D$5:$D$3004,"&gt;"&amp;C81)&gt;1,"⚠️ пересечение",""))</f>
        <v/>
      </c>
      <c r="M81" s="54">
        <f>IF(F81="","",IF(J81="✅ Сделано","✔ ",IF(J81="❌ Пропущено","✖ ","⏰ "))&amp;IF(C81="","",RIGHT("0"&amp;HOUR(C81),2)&amp;":"&amp;RIGHT("0"&amp;MINUTE(C81),2)&amp;IF(D81="","","–"&amp;RIGHT("0"&amp;HOUR(D81),2)&amp;":"&amp;RIGHT("0"&amp;MINUTE(D81),2))&amp;" ")&amp;F81)</f>
        <v/>
      </c>
      <c r="N81" s="54">
        <f>IF(OR(A81="",F81=""),"",A81&amp;"#"&amp;(COUNTIFS($A$5:$A$3004,A81,$F$5:$F$3004,"?*",$O$5:$O$3004,"&lt;"&amp;O81)+COUNTIFS($A$5:A81,A81,$F$5:F81,"?*",$O$5:O81,O81)))</f>
        <v/>
      </c>
      <c r="O81" s="54">
        <f>IF(A81="","",IF(C81="",0,C81))</f>
        <v/>
      </c>
    </row>
    <row r="82">
      <c r="A82" s="58" t="n"/>
      <c r="B82" s="49">
        <f>IF(A82="","",CHOOSE(WEEKDAY(A82,2),"Пн","Вт","Ср","Чт","Пт","Сб","Вс"))</f>
        <v/>
      </c>
      <c r="C82" s="59" t="n"/>
      <c r="D82" s="59" t="n"/>
      <c r="E82" s="60">
        <f>IF(OR(C82="",D82=""),"",MOD(D82-C82,1)*24)</f>
        <v/>
      </c>
      <c r="F82" s="50" t="n"/>
      <c r="G82" s="51" t="n"/>
      <c r="H82" s="51" t="n"/>
      <c r="I82" s="51" t="n"/>
      <c r="J82" s="51" t="n"/>
      <c r="K82" s="51" t="n"/>
      <c r="L82" s="54">
        <f>IF(OR(A82="",C82="",D82=""),"",IF(COUNTIFS($A$5:$A$3004,A82,$C$5:$C$3004,"&lt;"&amp;D82,$D$5:$D$3004,"&gt;"&amp;C82)&gt;1,"⚠️ пересечение",""))</f>
        <v/>
      </c>
      <c r="M82" s="54">
        <f>IF(F82="","",IF(J82="✅ Сделано","✔ ",IF(J82="❌ Пропущено","✖ ","⏰ "))&amp;IF(C82="","",RIGHT("0"&amp;HOUR(C82),2)&amp;":"&amp;RIGHT("0"&amp;MINUTE(C82),2)&amp;IF(D82="","","–"&amp;RIGHT("0"&amp;HOUR(D82),2)&amp;":"&amp;RIGHT("0"&amp;MINUTE(D82),2))&amp;" ")&amp;F82)</f>
        <v/>
      </c>
      <c r="N82" s="54">
        <f>IF(OR(A82="",F82=""),"",A82&amp;"#"&amp;(COUNTIFS($A$5:$A$3004,A82,$F$5:$F$3004,"?*",$O$5:$O$3004,"&lt;"&amp;O82)+COUNTIFS($A$5:A82,A82,$F$5:F82,"?*",$O$5:O82,O82)))</f>
        <v/>
      </c>
      <c r="O82" s="54">
        <f>IF(A82="","",IF(C82="",0,C82))</f>
        <v/>
      </c>
    </row>
    <row r="83">
      <c r="A83" s="58" t="n"/>
      <c r="B83" s="49">
        <f>IF(A83="","",CHOOSE(WEEKDAY(A83,2),"Пн","Вт","Ср","Чт","Пт","Сб","Вс"))</f>
        <v/>
      </c>
      <c r="C83" s="59" t="n"/>
      <c r="D83" s="59" t="n"/>
      <c r="E83" s="60">
        <f>IF(OR(C83="",D83=""),"",MOD(D83-C83,1)*24)</f>
        <v/>
      </c>
      <c r="F83" s="50" t="n"/>
      <c r="G83" s="51" t="n"/>
      <c r="H83" s="51" t="n"/>
      <c r="I83" s="51" t="n"/>
      <c r="J83" s="51" t="n"/>
      <c r="K83" s="51" t="n"/>
      <c r="L83" s="54">
        <f>IF(OR(A83="",C83="",D83=""),"",IF(COUNTIFS($A$5:$A$3004,A83,$C$5:$C$3004,"&lt;"&amp;D83,$D$5:$D$3004,"&gt;"&amp;C83)&gt;1,"⚠️ пересечение",""))</f>
        <v/>
      </c>
      <c r="M83" s="54">
        <f>IF(F83="","",IF(J83="✅ Сделано","✔ ",IF(J83="❌ Пропущено","✖ ","⏰ "))&amp;IF(C83="","",RIGHT("0"&amp;HOUR(C83),2)&amp;":"&amp;RIGHT("0"&amp;MINUTE(C83),2)&amp;IF(D83="","","–"&amp;RIGHT("0"&amp;HOUR(D83),2)&amp;":"&amp;RIGHT("0"&amp;MINUTE(D83),2))&amp;" ")&amp;F83)</f>
        <v/>
      </c>
      <c r="N83" s="54">
        <f>IF(OR(A83="",F83=""),"",A83&amp;"#"&amp;(COUNTIFS($A$5:$A$3004,A83,$F$5:$F$3004,"?*",$O$5:$O$3004,"&lt;"&amp;O83)+COUNTIFS($A$5:A83,A83,$F$5:F83,"?*",$O$5:O83,O83)))</f>
        <v/>
      </c>
      <c r="O83" s="54">
        <f>IF(A83="","",IF(C83="",0,C83))</f>
        <v/>
      </c>
    </row>
    <row r="84">
      <c r="A84" s="58" t="n"/>
      <c r="B84" s="49">
        <f>IF(A84="","",CHOOSE(WEEKDAY(A84,2),"Пн","Вт","Ср","Чт","Пт","Сб","Вс"))</f>
        <v/>
      </c>
      <c r="C84" s="59" t="n"/>
      <c r="D84" s="59" t="n"/>
      <c r="E84" s="60">
        <f>IF(OR(C84="",D84=""),"",MOD(D84-C84,1)*24)</f>
        <v/>
      </c>
      <c r="F84" s="50" t="n"/>
      <c r="G84" s="51" t="n"/>
      <c r="H84" s="51" t="n"/>
      <c r="I84" s="51" t="n"/>
      <c r="J84" s="51" t="n"/>
      <c r="K84" s="51" t="n"/>
      <c r="L84" s="54">
        <f>IF(OR(A84="",C84="",D84=""),"",IF(COUNTIFS($A$5:$A$3004,A84,$C$5:$C$3004,"&lt;"&amp;D84,$D$5:$D$3004,"&gt;"&amp;C84)&gt;1,"⚠️ пересечение",""))</f>
        <v/>
      </c>
      <c r="M84" s="54">
        <f>IF(F84="","",IF(J84="✅ Сделано","✔ ",IF(J84="❌ Пропущено","✖ ","⏰ "))&amp;IF(C84="","",RIGHT("0"&amp;HOUR(C84),2)&amp;":"&amp;RIGHT("0"&amp;MINUTE(C84),2)&amp;IF(D84="","","–"&amp;RIGHT("0"&amp;HOUR(D84),2)&amp;":"&amp;RIGHT("0"&amp;MINUTE(D84),2))&amp;" ")&amp;F84)</f>
        <v/>
      </c>
      <c r="N84" s="54">
        <f>IF(OR(A84="",F84=""),"",A84&amp;"#"&amp;(COUNTIFS($A$5:$A$3004,A84,$F$5:$F$3004,"?*",$O$5:$O$3004,"&lt;"&amp;O84)+COUNTIFS($A$5:A84,A84,$F$5:F84,"?*",$O$5:O84,O84)))</f>
        <v/>
      </c>
      <c r="O84" s="54">
        <f>IF(A84="","",IF(C84="",0,C84))</f>
        <v/>
      </c>
    </row>
    <row r="85">
      <c r="A85" s="58" t="n"/>
      <c r="B85" s="49">
        <f>IF(A85="","",CHOOSE(WEEKDAY(A85,2),"Пн","Вт","Ср","Чт","Пт","Сб","Вс"))</f>
        <v/>
      </c>
      <c r="C85" s="59" t="n"/>
      <c r="D85" s="59" t="n"/>
      <c r="E85" s="60">
        <f>IF(OR(C85="",D85=""),"",MOD(D85-C85,1)*24)</f>
        <v/>
      </c>
      <c r="F85" s="50" t="n"/>
      <c r="G85" s="51" t="n"/>
      <c r="H85" s="51" t="n"/>
      <c r="I85" s="51" t="n"/>
      <c r="J85" s="51" t="n"/>
      <c r="K85" s="51" t="n"/>
      <c r="L85" s="54">
        <f>IF(OR(A85="",C85="",D85=""),"",IF(COUNTIFS($A$5:$A$3004,A85,$C$5:$C$3004,"&lt;"&amp;D85,$D$5:$D$3004,"&gt;"&amp;C85)&gt;1,"⚠️ пересечение",""))</f>
        <v/>
      </c>
      <c r="M85" s="54">
        <f>IF(F85="","",IF(J85="✅ Сделано","✔ ",IF(J85="❌ Пропущено","✖ ","⏰ "))&amp;IF(C85="","",RIGHT("0"&amp;HOUR(C85),2)&amp;":"&amp;RIGHT("0"&amp;MINUTE(C85),2)&amp;IF(D85="","","–"&amp;RIGHT("0"&amp;HOUR(D85),2)&amp;":"&amp;RIGHT("0"&amp;MINUTE(D85),2))&amp;" ")&amp;F85)</f>
        <v/>
      </c>
      <c r="N85" s="54">
        <f>IF(OR(A85="",F85=""),"",A85&amp;"#"&amp;(COUNTIFS($A$5:$A$3004,A85,$F$5:$F$3004,"?*",$O$5:$O$3004,"&lt;"&amp;O85)+COUNTIFS($A$5:A85,A85,$F$5:F85,"?*",$O$5:O85,O85)))</f>
        <v/>
      </c>
      <c r="O85" s="54">
        <f>IF(A85="","",IF(C85="",0,C85))</f>
        <v/>
      </c>
    </row>
    <row r="86">
      <c r="A86" s="58" t="n"/>
      <c r="B86" s="49">
        <f>IF(A86="","",CHOOSE(WEEKDAY(A86,2),"Пн","Вт","Ср","Чт","Пт","Сб","Вс"))</f>
        <v/>
      </c>
      <c r="C86" s="59" t="n"/>
      <c r="D86" s="59" t="n"/>
      <c r="E86" s="60">
        <f>IF(OR(C86="",D86=""),"",MOD(D86-C86,1)*24)</f>
        <v/>
      </c>
      <c r="F86" s="50" t="n"/>
      <c r="G86" s="51" t="n"/>
      <c r="H86" s="51" t="n"/>
      <c r="I86" s="51" t="n"/>
      <c r="J86" s="51" t="n"/>
      <c r="K86" s="51" t="n"/>
      <c r="L86" s="54">
        <f>IF(OR(A86="",C86="",D86=""),"",IF(COUNTIFS($A$5:$A$3004,A86,$C$5:$C$3004,"&lt;"&amp;D86,$D$5:$D$3004,"&gt;"&amp;C86)&gt;1,"⚠️ пересечение",""))</f>
        <v/>
      </c>
      <c r="M86" s="54">
        <f>IF(F86="","",IF(J86="✅ Сделано","✔ ",IF(J86="❌ Пропущено","✖ ","⏰ "))&amp;IF(C86="","",RIGHT("0"&amp;HOUR(C86),2)&amp;":"&amp;RIGHT("0"&amp;MINUTE(C86),2)&amp;IF(D86="","","–"&amp;RIGHT("0"&amp;HOUR(D86),2)&amp;":"&amp;RIGHT("0"&amp;MINUTE(D86),2))&amp;" ")&amp;F86)</f>
        <v/>
      </c>
      <c r="N86" s="54">
        <f>IF(OR(A86="",F86=""),"",A86&amp;"#"&amp;(COUNTIFS($A$5:$A$3004,A86,$F$5:$F$3004,"?*",$O$5:$O$3004,"&lt;"&amp;O86)+COUNTIFS($A$5:A86,A86,$F$5:F86,"?*",$O$5:O86,O86)))</f>
        <v/>
      </c>
      <c r="O86" s="54">
        <f>IF(A86="","",IF(C86="",0,C86))</f>
        <v/>
      </c>
    </row>
    <row r="87">
      <c r="A87" s="58" t="n"/>
      <c r="B87" s="49">
        <f>IF(A87="","",CHOOSE(WEEKDAY(A87,2),"Пн","Вт","Ср","Чт","Пт","Сб","Вс"))</f>
        <v/>
      </c>
      <c r="C87" s="59" t="n"/>
      <c r="D87" s="59" t="n"/>
      <c r="E87" s="60">
        <f>IF(OR(C87="",D87=""),"",MOD(D87-C87,1)*24)</f>
        <v/>
      </c>
      <c r="F87" s="50" t="n"/>
      <c r="G87" s="51" t="n"/>
      <c r="H87" s="51" t="n"/>
      <c r="I87" s="51" t="n"/>
      <c r="J87" s="51" t="n"/>
      <c r="K87" s="51" t="n"/>
      <c r="L87" s="54">
        <f>IF(OR(A87="",C87="",D87=""),"",IF(COUNTIFS($A$5:$A$3004,A87,$C$5:$C$3004,"&lt;"&amp;D87,$D$5:$D$3004,"&gt;"&amp;C87)&gt;1,"⚠️ пересечение",""))</f>
        <v/>
      </c>
      <c r="M87" s="54">
        <f>IF(F87="","",IF(J87="✅ Сделано","✔ ",IF(J87="❌ Пропущено","✖ ","⏰ "))&amp;IF(C87="","",RIGHT("0"&amp;HOUR(C87),2)&amp;":"&amp;RIGHT("0"&amp;MINUTE(C87),2)&amp;IF(D87="","","–"&amp;RIGHT("0"&amp;HOUR(D87),2)&amp;":"&amp;RIGHT("0"&amp;MINUTE(D87),2))&amp;" ")&amp;F87)</f>
        <v/>
      </c>
      <c r="N87" s="54">
        <f>IF(OR(A87="",F87=""),"",A87&amp;"#"&amp;(COUNTIFS($A$5:$A$3004,A87,$F$5:$F$3004,"?*",$O$5:$O$3004,"&lt;"&amp;O87)+COUNTIFS($A$5:A87,A87,$F$5:F87,"?*",$O$5:O87,O87)))</f>
        <v/>
      </c>
      <c r="O87" s="54">
        <f>IF(A87="","",IF(C87="",0,C87))</f>
        <v/>
      </c>
    </row>
    <row r="88">
      <c r="A88" s="58" t="n"/>
      <c r="B88" s="49">
        <f>IF(A88="","",CHOOSE(WEEKDAY(A88,2),"Пн","Вт","Ср","Чт","Пт","Сб","Вс"))</f>
        <v/>
      </c>
      <c r="C88" s="59" t="n"/>
      <c r="D88" s="59" t="n"/>
      <c r="E88" s="60">
        <f>IF(OR(C88="",D88=""),"",MOD(D88-C88,1)*24)</f>
        <v/>
      </c>
      <c r="F88" s="50" t="n"/>
      <c r="G88" s="51" t="n"/>
      <c r="H88" s="51" t="n"/>
      <c r="I88" s="51" t="n"/>
      <c r="J88" s="51" t="n"/>
      <c r="K88" s="51" t="n"/>
      <c r="L88" s="54">
        <f>IF(OR(A88="",C88="",D88=""),"",IF(COUNTIFS($A$5:$A$3004,A88,$C$5:$C$3004,"&lt;"&amp;D88,$D$5:$D$3004,"&gt;"&amp;C88)&gt;1,"⚠️ пересечение",""))</f>
        <v/>
      </c>
      <c r="M88" s="54">
        <f>IF(F88="","",IF(J88="✅ Сделано","✔ ",IF(J88="❌ Пропущено","✖ ","⏰ "))&amp;IF(C88="","",RIGHT("0"&amp;HOUR(C88),2)&amp;":"&amp;RIGHT("0"&amp;MINUTE(C88),2)&amp;IF(D88="","","–"&amp;RIGHT("0"&amp;HOUR(D88),2)&amp;":"&amp;RIGHT("0"&amp;MINUTE(D88),2))&amp;" ")&amp;F88)</f>
        <v/>
      </c>
      <c r="N88" s="54">
        <f>IF(OR(A88="",F88=""),"",A88&amp;"#"&amp;(COUNTIFS($A$5:$A$3004,A88,$F$5:$F$3004,"?*",$O$5:$O$3004,"&lt;"&amp;O88)+COUNTIFS($A$5:A88,A88,$F$5:F88,"?*",$O$5:O88,O88)))</f>
        <v/>
      </c>
      <c r="O88" s="54">
        <f>IF(A88="","",IF(C88="",0,C88))</f>
        <v/>
      </c>
    </row>
    <row r="89">
      <c r="A89" s="58" t="n"/>
      <c r="B89" s="49">
        <f>IF(A89="","",CHOOSE(WEEKDAY(A89,2),"Пн","Вт","Ср","Чт","Пт","Сб","Вс"))</f>
        <v/>
      </c>
      <c r="C89" s="59" t="n"/>
      <c r="D89" s="59" t="n"/>
      <c r="E89" s="60">
        <f>IF(OR(C89="",D89=""),"",MOD(D89-C89,1)*24)</f>
        <v/>
      </c>
      <c r="F89" s="50" t="n"/>
      <c r="G89" s="51" t="n"/>
      <c r="H89" s="51" t="n"/>
      <c r="I89" s="51" t="n"/>
      <c r="J89" s="51" t="n"/>
      <c r="K89" s="51" t="n"/>
      <c r="L89" s="54">
        <f>IF(OR(A89="",C89="",D89=""),"",IF(COUNTIFS($A$5:$A$3004,A89,$C$5:$C$3004,"&lt;"&amp;D89,$D$5:$D$3004,"&gt;"&amp;C89)&gt;1,"⚠️ пересечение",""))</f>
        <v/>
      </c>
      <c r="M89" s="54">
        <f>IF(F89="","",IF(J89="✅ Сделано","✔ ",IF(J89="❌ Пропущено","✖ ","⏰ "))&amp;IF(C89="","",RIGHT("0"&amp;HOUR(C89),2)&amp;":"&amp;RIGHT("0"&amp;MINUTE(C89),2)&amp;IF(D89="","","–"&amp;RIGHT("0"&amp;HOUR(D89),2)&amp;":"&amp;RIGHT("0"&amp;MINUTE(D89),2))&amp;" ")&amp;F89)</f>
        <v/>
      </c>
      <c r="N89" s="54">
        <f>IF(OR(A89="",F89=""),"",A89&amp;"#"&amp;(COUNTIFS($A$5:$A$3004,A89,$F$5:$F$3004,"?*",$O$5:$O$3004,"&lt;"&amp;O89)+COUNTIFS($A$5:A89,A89,$F$5:F89,"?*",$O$5:O89,O89)))</f>
        <v/>
      </c>
      <c r="O89" s="54">
        <f>IF(A89="","",IF(C89="",0,C89))</f>
        <v/>
      </c>
    </row>
    <row r="90">
      <c r="A90" s="58" t="n"/>
      <c r="B90" s="49">
        <f>IF(A90="","",CHOOSE(WEEKDAY(A90,2),"Пн","Вт","Ср","Чт","Пт","Сб","Вс"))</f>
        <v/>
      </c>
      <c r="C90" s="59" t="n"/>
      <c r="D90" s="59" t="n"/>
      <c r="E90" s="60">
        <f>IF(OR(C90="",D90=""),"",MOD(D90-C90,1)*24)</f>
        <v/>
      </c>
      <c r="F90" s="50" t="n"/>
      <c r="G90" s="51" t="n"/>
      <c r="H90" s="51" t="n"/>
      <c r="I90" s="51" t="n"/>
      <c r="J90" s="51" t="n"/>
      <c r="K90" s="51" t="n"/>
      <c r="L90" s="54">
        <f>IF(OR(A90="",C90="",D90=""),"",IF(COUNTIFS($A$5:$A$3004,A90,$C$5:$C$3004,"&lt;"&amp;D90,$D$5:$D$3004,"&gt;"&amp;C90)&gt;1,"⚠️ пересечение",""))</f>
        <v/>
      </c>
      <c r="M90" s="54">
        <f>IF(F90="","",IF(J90="✅ Сделано","✔ ",IF(J90="❌ Пропущено","✖ ","⏰ "))&amp;IF(C90="","",RIGHT("0"&amp;HOUR(C90),2)&amp;":"&amp;RIGHT("0"&amp;MINUTE(C90),2)&amp;IF(D90="","","–"&amp;RIGHT("0"&amp;HOUR(D90),2)&amp;":"&amp;RIGHT("0"&amp;MINUTE(D90),2))&amp;" ")&amp;F90)</f>
        <v/>
      </c>
      <c r="N90" s="54">
        <f>IF(OR(A90="",F90=""),"",A90&amp;"#"&amp;(COUNTIFS($A$5:$A$3004,A90,$F$5:$F$3004,"?*",$O$5:$O$3004,"&lt;"&amp;O90)+COUNTIFS($A$5:A90,A90,$F$5:F90,"?*",$O$5:O90,O90)))</f>
        <v/>
      </c>
      <c r="O90" s="54">
        <f>IF(A90="","",IF(C90="",0,C90))</f>
        <v/>
      </c>
    </row>
    <row r="91">
      <c r="A91" s="58" t="n"/>
      <c r="B91" s="49">
        <f>IF(A91="","",CHOOSE(WEEKDAY(A91,2),"Пн","Вт","Ср","Чт","Пт","Сб","Вс"))</f>
        <v/>
      </c>
      <c r="C91" s="59" t="n"/>
      <c r="D91" s="59" t="n"/>
      <c r="E91" s="60">
        <f>IF(OR(C91="",D91=""),"",MOD(D91-C91,1)*24)</f>
        <v/>
      </c>
      <c r="F91" s="50" t="n"/>
      <c r="G91" s="51" t="n"/>
      <c r="H91" s="51" t="n"/>
      <c r="I91" s="51" t="n"/>
      <c r="J91" s="51" t="n"/>
      <c r="K91" s="51" t="n"/>
      <c r="L91" s="54">
        <f>IF(OR(A91="",C91="",D91=""),"",IF(COUNTIFS($A$5:$A$3004,A91,$C$5:$C$3004,"&lt;"&amp;D91,$D$5:$D$3004,"&gt;"&amp;C91)&gt;1,"⚠️ пересечение",""))</f>
        <v/>
      </c>
      <c r="M91" s="54">
        <f>IF(F91="","",IF(J91="✅ Сделано","✔ ",IF(J91="❌ Пропущено","✖ ","⏰ "))&amp;IF(C91="","",RIGHT("0"&amp;HOUR(C91),2)&amp;":"&amp;RIGHT("0"&amp;MINUTE(C91),2)&amp;IF(D91="","","–"&amp;RIGHT("0"&amp;HOUR(D91),2)&amp;":"&amp;RIGHT("0"&amp;MINUTE(D91),2))&amp;" ")&amp;F91)</f>
        <v/>
      </c>
      <c r="N91" s="54">
        <f>IF(OR(A91="",F91=""),"",A91&amp;"#"&amp;(COUNTIFS($A$5:$A$3004,A91,$F$5:$F$3004,"?*",$O$5:$O$3004,"&lt;"&amp;O91)+COUNTIFS($A$5:A91,A91,$F$5:F91,"?*",$O$5:O91,O91)))</f>
        <v/>
      </c>
      <c r="O91" s="54">
        <f>IF(A91="","",IF(C91="",0,C91))</f>
        <v/>
      </c>
    </row>
    <row r="92">
      <c r="A92" s="58" t="n"/>
      <c r="B92" s="49">
        <f>IF(A92="","",CHOOSE(WEEKDAY(A92,2),"Пн","Вт","Ср","Чт","Пт","Сб","Вс"))</f>
        <v/>
      </c>
      <c r="C92" s="59" t="n"/>
      <c r="D92" s="59" t="n"/>
      <c r="E92" s="60">
        <f>IF(OR(C92="",D92=""),"",MOD(D92-C92,1)*24)</f>
        <v/>
      </c>
      <c r="F92" s="50" t="n"/>
      <c r="G92" s="51" t="n"/>
      <c r="H92" s="51" t="n"/>
      <c r="I92" s="51" t="n"/>
      <c r="J92" s="51" t="n"/>
      <c r="K92" s="51" t="n"/>
      <c r="L92" s="54">
        <f>IF(OR(A92="",C92="",D92=""),"",IF(COUNTIFS($A$5:$A$3004,A92,$C$5:$C$3004,"&lt;"&amp;D92,$D$5:$D$3004,"&gt;"&amp;C92)&gt;1,"⚠️ пересечение",""))</f>
        <v/>
      </c>
      <c r="M92" s="54">
        <f>IF(F92="","",IF(J92="✅ Сделано","✔ ",IF(J92="❌ Пропущено","✖ ","⏰ "))&amp;IF(C92="","",RIGHT("0"&amp;HOUR(C92),2)&amp;":"&amp;RIGHT("0"&amp;MINUTE(C92),2)&amp;IF(D92="","","–"&amp;RIGHT("0"&amp;HOUR(D92),2)&amp;":"&amp;RIGHT("0"&amp;MINUTE(D92),2))&amp;" ")&amp;F92)</f>
        <v/>
      </c>
      <c r="N92" s="54">
        <f>IF(OR(A92="",F92=""),"",A92&amp;"#"&amp;(COUNTIFS($A$5:$A$3004,A92,$F$5:$F$3004,"?*",$O$5:$O$3004,"&lt;"&amp;O92)+COUNTIFS($A$5:A92,A92,$F$5:F92,"?*",$O$5:O92,O92)))</f>
        <v/>
      </c>
      <c r="O92" s="54">
        <f>IF(A92="","",IF(C92="",0,C92))</f>
        <v/>
      </c>
    </row>
    <row r="93">
      <c r="A93" s="58" t="n"/>
      <c r="B93" s="49">
        <f>IF(A93="","",CHOOSE(WEEKDAY(A93,2),"Пн","Вт","Ср","Чт","Пт","Сб","Вс"))</f>
        <v/>
      </c>
      <c r="C93" s="59" t="n"/>
      <c r="D93" s="59" t="n"/>
      <c r="E93" s="60">
        <f>IF(OR(C93="",D93=""),"",MOD(D93-C93,1)*24)</f>
        <v/>
      </c>
      <c r="F93" s="50" t="n"/>
      <c r="G93" s="51" t="n"/>
      <c r="H93" s="51" t="n"/>
      <c r="I93" s="51" t="n"/>
      <c r="J93" s="51" t="n"/>
      <c r="K93" s="51" t="n"/>
      <c r="L93" s="54">
        <f>IF(OR(A93="",C93="",D93=""),"",IF(COUNTIFS($A$5:$A$3004,A93,$C$5:$C$3004,"&lt;"&amp;D93,$D$5:$D$3004,"&gt;"&amp;C93)&gt;1,"⚠️ пересечение",""))</f>
        <v/>
      </c>
      <c r="M93" s="54">
        <f>IF(F93="","",IF(J93="✅ Сделано","✔ ",IF(J93="❌ Пропущено","✖ ","⏰ "))&amp;IF(C93="","",RIGHT("0"&amp;HOUR(C93),2)&amp;":"&amp;RIGHT("0"&amp;MINUTE(C93),2)&amp;IF(D93="","","–"&amp;RIGHT("0"&amp;HOUR(D93),2)&amp;":"&amp;RIGHT("0"&amp;MINUTE(D93),2))&amp;" ")&amp;F93)</f>
        <v/>
      </c>
      <c r="N93" s="54">
        <f>IF(OR(A93="",F93=""),"",A93&amp;"#"&amp;(COUNTIFS($A$5:$A$3004,A93,$F$5:$F$3004,"?*",$O$5:$O$3004,"&lt;"&amp;O93)+COUNTIFS($A$5:A93,A93,$F$5:F93,"?*",$O$5:O93,O93)))</f>
        <v/>
      </c>
      <c r="O93" s="54">
        <f>IF(A93="","",IF(C93="",0,C93))</f>
        <v/>
      </c>
    </row>
    <row r="94">
      <c r="A94" s="58" t="n"/>
      <c r="B94" s="49">
        <f>IF(A94="","",CHOOSE(WEEKDAY(A94,2),"Пн","Вт","Ср","Чт","Пт","Сб","Вс"))</f>
        <v/>
      </c>
      <c r="C94" s="59" t="n"/>
      <c r="D94" s="59" t="n"/>
      <c r="E94" s="60">
        <f>IF(OR(C94="",D94=""),"",MOD(D94-C94,1)*24)</f>
        <v/>
      </c>
      <c r="F94" s="50" t="n"/>
      <c r="G94" s="51" t="n"/>
      <c r="H94" s="51" t="n"/>
      <c r="I94" s="51" t="n"/>
      <c r="J94" s="51" t="n"/>
      <c r="K94" s="51" t="n"/>
      <c r="L94" s="54">
        <f>IF(OR(A94="",C94="",D94=""),"",IF(COUNTIFS($A$5:$A$3004,A94,$C$5:$C$3004,"&lt;"&amp;D94,$D$5:$D$3004,"&gt;"&amp;C94)&gt;1,"⚠️ пересечение",""))</f>
        <v/>
      </c>
      <c r="M94" s="54">
        <f>IF(F94="","",IF(J94="✅ Сделано","✔ ",IF(J94="❌ Пропущено","✖ ","⏰ "))&amp;IF(C94="","",RIGHT("0"&amp;HOUR(C94),2)&amp;":"&amp;RIGHT("0"&amp;MINUTE(C94),2)&amp;IF(D94="","","–"&amp;RIGHT("0"&amp;HOUR(D94),2)&amp;":"&amp;RIGHT("0"&amp;MINUTE(D94),2))&amp;" ")&amp;F94)</f>
        <v/>
      </c>
      <c r="N94" s="54">
        <f>IF(OR(A94="",F94=""),"",A94&amp;"#"&amp;(COUNTIFS($A$5:$A$3004,A94,$F$5:$F$3004,"?*",$O$5:$O$3004,"&lt;"&amp;O94)+COUNTIFS($A$5:A94,A94,$F$5:F94,"?*",$O$5:O94,O94)))</f>
        <v/>
      </c>
      <c r="O94" s="54">
        <f>IF(A94="","",IF(C94="",0,C94))</f>
        <v/>
      </c>
    </row>
    <row r="95">
      <c r="A95" s="58" t="n"/>
      <c r="B95" s="49">
        <f>IF(A95="","",CHOOSE(WEEKDAY(A95,2),"Пн","Вт","Ср","Чт","Пт","Сб","Вс"))</f>
        <v/>
      </c>
      <c r="C95" s="59" t="n"/>
      <c r="D95" s="59" t="n"/>
      <c r="E95" s="60">
        <f>IF(OR(C95="",D95=""),"",MOD(D95-C95,1)*24)</f>
        <v/>
      </c>
      <c r="F95" s="50" t="n"/>
      <c r="G95" s="51" t="n"/>
      <c r="H95" s="51" t="n"/>
      <c r="I95" s="51" t="n"/>
      <c r="J95" s="51" t="n"/>
      <c r="K95" s="51" t="n"/>
      <c r="L95" s="54">
        <f>IF(OR(A95="",C95="",D95=""),"",IF(COUNTIFS($A$5:$A$3004,A95,$C$5:$C$3004,"&lt;"&amp;D95,$D$5:$D$3004,"&gt;"&amp;C95)&gt;1,"⚠️ пересечение",""))</f>
        <v/>
      </c>
      <c r="M95" s="54">
        <f>IF(F95="","",IF(J95="✅ Сделано","✔ ",IF(J95="❌ Пропущено","✖ ","⏰ "))&amp;IF(C95="","",RIGHT("0"&amp;HOUR(C95),2)&amp;":"&amp;RIGHT("0"&amp;MINUTE(C95),2)&amp;IF(D95="","","–"&amp;RIGHT("0"&amp;HOUR(D95),2)&amp;":"&amp;RIGHT("0"&amp;MINUTE(D95),2))&amp;" ")&amp;F95)</f>
        <v/>
      </c>
      <c r="N95" s="54">
        <f>IF(OR(A95="",F95=""),"",A95&amp;"#"&amp;(COUNTIFS($A$5:$A$3004,A95,$F$5:$F$3004,"?*",$O$5:$O$3004,"&lt;"&amp;O95)+COUNTIFS($A$5:A95,A95,$F$5:F95,"?*",$O$5:O95,O95)))</f>
        <v/>
      </c>
      <c r="O95" s="54">
        <f>IF(A95="","",IF(C95="",0,C95))</f>
        <v/>
      </c>
    </row>
    <row r="96">
      <c r="A96" s="58" t="n"/>
      <c r="B96" s="49">
        <f>IF(A96="","",CHOOSE(WEEKDAY(A96,2),"Пн","Вт","Ср","Чт","Пт","Сб","Вс"))</f>
        <v/>
      </c>
      <c r="C96" s="59" t="n"/>
      <c r="D96" s="59" t="n"/>
      <c r="E96" s="60">
        <f>IF(OR(C96="",D96=""),"",MOD(D96-C96,1)*24)</f>
        <v/>
      </c>
      <c r="F96" s="50" t="n"/>
      <c r="G96" s="51" t="n"/>
      <c r="H96" s="51" t="n"/>
      <c r="I96" s="51" t="n"/>
      <c r="J96" s="51" t="n"/>
      <c r="K96" s="51" t="n"/>
      <c r="L96" s="54">
        <f>IF(OR(A96="",C96="",D96=""),"",IF(COUNTIFS($A$5:$A$3004,A96,$C$5:$C$3004,"&lt;"&amp;D96,$D$5:$D$3004,"&gt;"&amp;C96)&gt;1,"⚠️ пересечение",""))</f>
        <v/>
      </c>
      <c r="M96" s="54">
        <f>IF(F96="","",IF(J96="✅ Сделано","✔ ",IF(J96="❌ Пропущено","✖ ","⏰ "))&amp;IF(C96="","",RIGHT("0"&amp;HOUR(C96),2)&amp;":"&amp;RIGHT("0"&amp;MINUTE(C96),2)&amp;IF(D96="","","–"&amp;RIGHT("0"&amp;HOUR(D96),2)&amp;":"&amp;RIGHT("0"&amp;MINUTE(D96),2))&amp;" ")&amp;F96)</f>
        <v/>
      </c>
      <c r="N96" s="54">
        <f>IF(OR(A96="",F96=""),"",A96&amp;"#"&amp;(COUNTIFS($A$5:$A$3004,A96,$F$5:$F$3004,"?*",$O$5:$O$3004,"&lt;"&amp;O96)+COUNTIFS($A$5:A96,A96,$F$5:F96,"?*",$O$5:O96,O96)))</f>
        <v/>
      </c>
      <c r="O96" s="54">
        <f>IF(A96="","",IF(C96="",0,C96))</f>
        <v/>
      </c>
    </row>
    <row r="97">
      <c r="A97" s="58" t="n"/>
      <c r="B97" s="49">
        <f>IF(A97="","",CHOOSE(WEEKDAY(A97,2),"Пн","Вт","Ср","Чт","Пт","Сб","Вс"))</f>
        <v/>
      </c>
      <c r="C97" s="59" t="n"/>
      <c r="D97" s="59" t="n"/>
      <c r="E97" s="60">
        <f>IF(OR(C97="",D97=""),"",MOD(D97-C97,1)*24)</f>
        <v/>
      </c>
      <c r="F97" s="50" t="n"/>
      <c r="G97" s="51" t="n"/>
      <c r="H97" s="51" t="n"/>
      <c r="I97" s="51" t="n"/>
      <c r="J97" s="51" t="n"/>
      <c r="K97" s="51" t="n"/>
      <c r="L97" s="54">
        <f>IF(OR(A97="",C97="",D97=""),"",IF(COUNTIFS($A$5:$A$3004,A97,$C$5:$C$3004,"&lt;"&amp;D97,$D$5:$D$3004,"&gt;"&amp;C97)&gt;1,"⚠️ пересечение",""))</f>
        <v/>
      </c>
      <c r="M97" s="54">
        <f>IF(F97="","",IF(J97="✅ Сделано","✔ ",IF(J97="❌ Пропущено","✖ ","⏰ "))&amp;IF(C97="","",RIGHT("0"&amp;HOUR(C97),2)&amp;":"&amp;RIGHT("0"&amp;MINUTE(C97),2)&amp;IF(D97="","","–"&amp;RIGHT("0"&amp;HOUR(D97),2)&amp;":"&amp;RIGHT("0"&amp;MINUTE(D97),2))&amp;" ")&amp;F97)</f>
        <v/>
      </c>
      <c r="N97" s="54">
        <f>IF(OR(A97="",F97=""),"",A97&amp;"#"&amp;(COUNTIFS($A$5:$A$3004,A97,$F$5:$F$3004,"?*",$O$5:$O$3004,"&lt;"&amp;O97)+COUNTIFS($A$5:A97,A97,$F$5:F97,"?*",$O$5:O97,O97)))</f>
        <v/>
      </c>
      <c r="O97" s="54">
        <f>IF(A97="","",IF(C97="",0,C97))</f>
        <v/>
      </c>
    </row>
    <row r="98">
      <c r="A98" s="58" t="n"/>
      <c r="B98" s="49">
        <f>IF(A98="","",CHOOSE(WEEKDAY(A98,2),"Пн","Вт","Ср","Чт","Пт","Сб","Вс"))</f>
        <v/>
      </c>
      <c r="C98" s="59" t="n"/>
      <c r="D98" s="59" t="n"/>
      <c r="E98" s="60">
        <f>IF(OR(C98="",D98=""),"",MOD(D98-C98,1)*24)</f>
        <v/>
      </c>
      <c r="F98" s="50" t="n"/>
      <c r="G98" s="51" t="n"/>
      <c r="H98" s="51" t="n"/>
      <c r="I98" s="51" t="n"/>
      <c r="J98" s="51" t="n"/>
      <c r="K98" s="51" t="n"/>
      <c r="L98" s="54">
        <f>IF(OR(A98="",C98="",D98=""),"",IF(COUNTIFS($A$5:$A$3004,A98,$C$5:$C$3004,"&lt;"&amp;D98,$D$5:$D$3004,"&gt;"&amp;C98)&gt;1,"⚠️ пересечение",""))</f>
        <v/>
      </c>
      <c r="M98" s="54">
        <f>IF(F98="","",IF(J98="✅ Сделано","✔ ",IF(J98="❌ Пропущено","✖ ","⏰ "))&amp;IF(C98="","",RIGHT("0"&amp;HOUR(C98),2)&amp;":"&amp;RIGHT("0"&amp;MINUTE(C98),2)&amp;IF(D98="","","–"&amp;RIGHT("0"&amp;HOUR(D98),2)&amp;":"&amp;RIGHT("0"&amp;MINUTE(D98),2))&amp;" ")&amp;F98)</f>
        <v/>
      </c>
      <c r="N98" s="54">
        <f>IF(OR(A98="",F98=""),"",A98&amp;"#"&amp;(COUNTIFS($A$5:$A$3004,A98,$F$5:$F$3004,"?*",$O$5:$O$3004,"&lt;"&amp;O98)+COUNTIFS($A$5:A98,A98,$F$5:F98,"?*",$O$5:O98,O98)))</f>
        <v/>
      </c>
      <c r="O98" s="54">
        <f>IF(A98="","",IF(C98="",0,C98))</f>
        <v/>
      </c>
    </row>
    <row r="99">
      <c r="A99" s="58" t="n"/>
      <c r="B99" s="49">
        <f>IF(A99="","",CHOOSE(WEEKDAY(A99,2),"Пн","Вт","Ср","Чт","Пт","Сб","Вс"))</f>
        <v/>
      </c>
      <c r="C99" s="59" t="n"/>
      <c r="D99" s="59" t="n"/>
      <c r="E99" s="60">
        <f>IF(OR(C99="",D99=""),"",MOD(D99-C99,1)*24)</f>
        <v/>
      </c>
      <c r="F99" s="50" t="n"/>
      <c r="G99" s="51" t="n"/>
      <c r="H99" s="51" t="n"/>
      <c r="I99" s="51" t="n"/>
      <c r="J99" s="51" t="n"/>
      <c r="K99" s="51" t="n"/>
      <c r="L99" s="54">
        <f>IF(OR(A99="",C99="",D99=""),"",IF(COUNTIFS($A$5:$A$3004,A99,$C$5:$C$3004,"&lt;"&amp;D99,$D$5:$D$3004,"&gt;"&amp;C99)&gt;1,"⚠️ пересечение",""))</f>
        <v/>
      </c>
      <c r="M99" s="54">
        <f>IF(F99="","",IF(J99="✅ Сделано","✔ ",IF(J99="❌ Пропущено","✖ ","⏰ "))&amp;IF(C99="","",RIGHT("0"&amp;HOUR(C99),2)&amp;":"&amp;RIGHT("0"&amp;MINUTE(C99),2)&amp;IF(D99="","","–"&amp;RIGHT("0"&amp;HOUR(D99),2)&amp;":"&amp;RIGHT("0"&amp;MINUTE(D99),2))&amp;" ")&amp;F99)</f>
        <v/>
      </c>
      <c r="N99" s="54">
        <f>IF(OR(A99="",F99=""),"",A99&amp;"#"&amp;(COUNTIFS($A$5:$A$3004,A99,$F$5:$F$3004,"?*",$O$5:$O$3004,"&lt;"&amp;O99)+COUNTIFS($A$5:A99,A99,$F$5:F99,"?*",$O$5:O99,O99)))</f>
        <v/>
      </c>
      <c r="O99" s="54">
        <f>IF(A99="","",IF(C99="",0,C99))</f>
        <v/>
      </c>
    </row>
    <row r="100">
      <c r="A100" s="58" t="n"/>
      <c r="B100" s="49">
        <f>IF(A100="","",CHOOSE(WEEKDAY(A100,2),"Пн","Вт","Ср","Чт","Пт","Сб","Вс"))</f>
        <v/>
      </c>
      <c r="C100" s="59" t="n"/>
      <c r="D100" s="59" t="n"/>
      <c r="E100" s="60">
        <f>IF(OR(C100="",D100=""),"",MOD(D100-C100,1)*24)</f>
        <v/>
      </c>
      <c r="F100" s="50" t="n"/>
      <c r="G100" s="51" t="n"/>
      <c r="H100" s="51" t="n"/>
      <c r="I100" s="51" t="n"/>
      <c r="J100" s="51" t="n"/>
      <c r="K100" s="51" t="n"/>
      <c r="L100" s="54">
        <f>IF(OR(A100="",C100="",D100=""),"",IF(COUNTIFS($A$5:$A$3004,A100,$C$5:$C$3004,"&lt;"&amp;D100,$D$5:$D$3004,"&gt;"&amp;C100)&gt;1,"⚠️ пересечение",""))</f>
        <v/>
      </c>
      <c r="M100" s="54">
        <f>IF(F100="","",IF(J100="✅ Сделано","✔ ",IF(J100="❌ Пропущено","✖ ","⏰ "))&amp;IF(C100="","",RIGHT("0"&amp;HOUR(C100),2)&amp;":"&amp;RIGHT("0"&amp;MINUTE(C100),2)&amp;IF(D100="","","–"&amp;RIGHT("0"&amp;HOUR(D100),2)&amp;":"&amp;RIGHT("0"&amp;MINUTE(D100),2))&amp;" ")&amp;F100)</f>
        <v/>
      </c>
      <c r="N100" s="54">
        <f>IF(OR(A100="",F100=""),"",A100&amp;"#"&amp;(COUNTIFS($A$5:$A$3004,A100,$F$5:$F$3004,"?*",$O$5:$O$3004,"&lt;"&amp;O100)+COUNTIFS($A$5:A100,A100,$F$5:F100,"?*",$O$5:O100,O100)))</f>
        <v/>
      </c>
      <c r="O100" s="54">
        <f>IF(A100="","",IF(C100="",0,C100))</f>
        <v/>
      </c>
    </row>
    <row r="101">
      <c r="A101" s="58" t="n"/>
      <c r="B101" s="49">
        <f>IF(A101="","",CHOOSE(WEEKDAY(A101,2),"Пн","Вт","Ср","Чт","Пт","Сб","Вс"))</f>
        <v/>
      </c>
      <c r="C101" s="59" t="n"/>
      <c r="D101" s="59" t="n"/>
      <c r="E101" s="60">
        <f>IF(OR(C101="",D101=""),"",MOD(D101-C101,1)*24)</f>
        <v/>
      </c>
      <c r="F101" s="50" t="n"/>
      <c r="G101" s="51" t="n"/>
      <c r="H101" s="51" t="n"/>
      <c r="I101" s="51" t="n"/>
      <c r="J101" s="51" t="n"/>
      <c r="K101" s="51" t="n"/>
      <c r="L101" s="54">
        <f>IF(OR(A101="",C101="",D101=""),"",IF(COUNTIFS($A$5:$A$3004,A101,$C$5:$C$3004,"&lt;"&amp;D101,$D$5:$D$3004,"&gt;"&amp;C101)&gt;1,"⚠️ пересечение",""))</f>
        <v/>
      </c>
      <c r="M101" s="54">
        <f>IF(F101="","",IF(J101="✅ Сделано","✔ ",IF(J101="❌ Пропущено","✖ ","⏰ "))&amp;IF(C101="","",RIGHT("0"&amp;HOUR(C101),2)&amp;":"&amp;RIGHT("0"&amp;MINUTE(C101),2)&amp;IF(D101="","","–"&amp;RIGHT("0"&amp;HOUR(D101),2)&amp;":"&amp;RIGHT("0"&amp;MINUTE(D101),2))&amp;" ")&amp;F101)</f>
        <v/>
      </c>
      <c r="N101" s="54">
        <f>IF(OR(A101="",F101=""),"",A101&amp;"#"&amp;(COUNTIFS($A$5:$A$3004,A101,$F$5:$F$3004,"?*",$O$5:$O$3004,"&lt;"&amp;O101)+COUNTIFS($A$5:A101,A101,$F$5:F101,"?*",$O$5:O101,O101)))</f>
        <v/>
      </c>
      <c r="O101" s="54">
        <f>IF(A101="","",IF(C101="",0,C101))</f>
        <v/>
      </c>
    </row>
    <row r="102">
      <c r="A102" s="58" t="n"/>
      <c r="B102" s="49">
        <f>IF(A102="","",CHOOSE(WEEKDAY(A102,2),"Пн","Вт","Ср","Чт","Пт","Сб","Вс"))</f>
        <v/>
      </c>
      <c r="C102" s="59" t="n"/>
      <c r="D102" s="59" t="n"/>
      <c r="E102" s="60">
        <f>IF(OR(C102="",D102=""),"",MOD(D102-C102,1)*24)</f>
        <v/>
      </c>
      <c r="F102" s="50" t="n"/>
      <c r="G102" s="51" t="n"/>
      <c r="H102" s="51" t="n"/>
      <c r="I102" s="51" t="n"/>
      <c r="J102" s="51" t="n"/>
      <c r="K102" s="51" t="n"/>
      <c r="L102" s="54">
        <f>IF(OR(A102="",C102="",D102=""),"",IF(COUNTIFS($A$5:$A$3004,A102,$C$5:$C$3004,"&lt;"&amp;D102,$D$5:$D$3004,"&gt;"&amp;C102)&gt;1,"⚠️ пересечение",""))</f>
        <v/>
      </c>
      <c r="M102" s="54">
        <f>IF(F102="","",IF(J102="✅ Сделано","✔ ",IF(J102="❌ Пропущено","✖ ","⏰ "))&amp;IF(C102="","",RIGHT("0"&amp;HOUR(C102),2)&amp;":"&amp;RIGHT("0"&amp;MINUTE(C102),2)&amp;IF(D102="","","–"&amp;RIGHT("0"&amp;HOUR(D102),2)&amp;":"&amp;RIGHT("0"&amp;MINUTE(D102),2))&amp;" ")&amp;F102)</f>
        <v/>
      </c>
      <c r="N102" s="54">
        <f>IF(OR(A102="",F102=""),"",A102&amp;"#"&amp;(COUNTIFS($A$5:$A$3004,A102,$F$5:$F$3004,"?*",$O$5:$O$3004,"&lt;"&amp;O102)+COUNTIFS($A$5:A102,A102,$F$5:F102,"?*",$O$5:O102,O102)))</f>
        <v/>
      </c>
      <c r="O102" s="54">
        <f>IF(A102="","",IF(C102="",0,C102))</f>
        <v/>
      </c>
    </row>
    <row r="103">
      <c r="A103" s="58" t="n"/>
      <c r="B103" s="49">
        <f>IF(A103="","",CHOOSE(WEEKDAY(A103,2),"Пн","Вт","Ср","Чт","Пт","Сб","Вс"))</f>
        <v/>
      </c>
      <c r="C103" s="59" t="n"/>
      <c r="D103" s="59" t="n"/>
      <c r="E103" s="60">
        <f>IF(OR(C103="",D103=""),"",MOD(D103-C103,1)*24)</f>
        <v/>
      </c>
      <c r="F103" s="50" t="n"/>
      <c r="G103" s="51" t="n"/>
      <c r="H103" s="51" t="n"/>
      <c r="I103" s="51" t="n"/>
      <c r="J103" s="51" t="n"/>
      <c r="K103" s="51" t="n"/>
      <c r="L103" s="54">
        <f>IF(OR(A103="",C103="",D103=""),"",IF(COUNTIFS($A$5:$A$3004,A103,$C$5:$C$3004,"&lt;"&amp;D103,$D$5:$D$3004,"&gt;"&amp;C103)&gt;1,"⚠️ пересечение",""))</f>
        <v/>
      </c>
      <c r="M103" s="54">
        <f>IF(F103="","",IF(J103="✅ Сделано","✔ ",IF(J103="❌ Пропущено","✖ ","⏰ "))&amp;IF(C103="","",RIGHT("0"&amp;HOUR(C103),2)&amp;":"&amp;RIGHT("0"&amp;MINUTE(C103),2)&amp;IF(D103="","","–"&amp;RIGHT("0"&amp;HOUR(D103),2)&amp;":"&amp;RIGHT("0"&amp;MINUTE(D103),2))&amp;" ")&amp;F103)</f>
        <v/>
      </c>
      <c r="N103" s="54">
        <f>IF(OR(A103="",F103=""),"",A103&amp;"#"&amp;(COUNTIFS($A$5:$A$3004,A103,$F$5:$F$3004,"?*",$O$5:$O$3004,"&lt;"&amp;O103)+COUNTIFS($A$5:A103,A103,$F$5:F103,"?*",$O$5:O103,O103)))</f>
        <v/>
      </c>
      <c r="O103" s="54">
        <f>IF(A103="","",IF(C103="",0,C103))</f>
        <v/>
      </c>
    </row>
    <row r="104">
      <c r="A104" s="58" t="n"/>
      <c r="B104" s="49">
        <f>IF(A104="","",CHOOSE(WEEKDAY(A104,2),"Пн","Вт","Ср","Чт","Пт","Сб","Вс"))</f>
        <v/>
      </c>
      <c r="C104" s="59" t="n"/>
      <c r="D104" s="59" t="n"/>
      <c r="E104" s="60">
        <f>IF(OR(C104="",D104=""),"",MOD(D104-C104,1)*24)</f>
        <v/>
      </c>
      <c r="F104" s="50" t="n"/>
      <c r="G104" s="51" t="n"/>
      <c r="H104" s="51" t="n"/>
      <c r="I104" s="51" t="n"/>
      <c r="J104" s="51" t="n"/>
      <c r="K104" s="51" t="n"/>
      <c r="L104" s="54">
        <f>IF(OR(A104="",C104="",D104=""),"",IF(COUNTIFS($A$5:$A$3004,A104,$C$5:$C$3004,"&lt;"&amp;D104,$D$5:$D$3004,"&gt;"&amp;C104)&gt;1,"⚠️ пересечение",""))</f>
        <v/>
      </c>
      <c r="M104" s="54">
        <f>IF(F104="","",IF(J104="✅ Сделано","✔ ",IF(J104="❌ Пропущено","✖ ","⏰ "))&amp;IF(C104="","",RIGHT("0"&amp;HOUR(C104),2)&amp;":"&amp;RIGHT("0"&amp;MINUTE(C104),2)&amp;IF(D104="","","–"&amp;RIGHT("0"&amp;HOUR(D104),2)&amp;":"&amp;RIGHT("0"&amp;MINUTE(D104),2))&amp;" ")&amp;F104)</f>
        <v/>
      </c>
      <c r="N104" s="54">
        <f>IF(OR(A104="",F104=""),"",A104&amp;"#"&amp;(COUNTIFS($A$5:$A$3004,A104,$F$5:$F$3004,"?*",$O$5:$O$3004,"&lt;"&amp;O104)+COUNTIFS($A$5:A104,A104,$F$5:F104,"?*",$O$5:O104,O104)))</f>
        <v/>
      </c>
      <c r="O104" s="54">
        <f>IF(A104="","",IF(C104="",0,C104))</f>
        <v/>
      </c>
    </row>
    <row r="105">
      <c r="A105" s="58" t="n"/>
      <c r="B105" s="49">
        <f>IF(A105="","",CHOOSE(WEEKDAY(A105,2),"Пн","Вт","Ср","Чт","Пт","Сб","Вс"))</f>
        <v/>
      </c>
      <c r="C105" s="59" t="n"/>
      <c r="D105" s="59" t="n"/>
      <c r="E105" s="60">
        <f>IF(OR(C105="",D105=""),"",MOD(D105-C105,1)*24)</f>
        <v/>
      </c>
      <c r="F105" s="50" t="n"/>
      <c r="G105" s="51" t="n"/>
      <c r="H105" s="51" t="n"/>
      <c r="I105" s="51" t="n"/>
      <c r="J105" s="51" t="n"/>
      <c r="K105" s="51" t="n"/>
      <c r="L105" s="54">
        <f>IF(OR(A105="",C105="",D105=""),"",IF(COUNTIFS($A$5:$A$3004,A105,$C$5:$C$3004,"&lt;"&amp;D105,$D$5:$D$3004,"&gt;"&amp;C105)&gt;1,"⚠️ пересечение",""))</f>
        <v/>
      </c>
      <c r="M105" s="54">
        <f>IF(F105="","",IF(J105="✅ Сделано","✔ ",IF(J105="❌ Пропущено","✖ ","⏰ "))&amp;IF(C105="","",RIGHT("0"&amp;HOUR(C105),2)&amp;":"&amp;RIGHT("0"&amp;MINUTE(C105),2)&amp;IF(D105="","","–"&amp;RIGHT("0"&amp;HOUR(D105),2)&amp;":"&amp;RIGHT("0"&amp;MINUTE(D105),2))&amp;" ")&amp;F105)</f>
        <v/>
      </c>
      <c r="N105" s="54">
        <f>IF(OR(A105="",F105=""),"",A105&amp;"#"&amp;(COUNTIFS($A$5:$A$3004,A105,$F$5:$F$3004,"?*",$O$5:$O$3004,"&lt;"&amp;O105)+COUNTIFS($A$5:A105,A105,$F$5:F105,"?*",$O$5:O105,O105)))</f>
        <v/>
      </c>
      <c r="O105" s="54">
        <f>IF(A105="","",IF(C105="",0,C105))</f>
        <v/>
      </c>
    </row>
    <row r="106">
      <c r="A106" s="58" t="n"/>
      <c r="B106" s="49">
        <f>IF(A106="","",CHOOSE(WEEKDAY(A106,2),"Пн","Вт","Ср","Чт","Пт","Сб","Вс"))</f>
        <v/>
      </c>
      <c r="C106" s="59" t="n"/>
      <c r="D106" s="59" t="n"/>
      <c r="E106" s="60">
        <f>IF(OR(C106="",D106=""),"",MOD(D106-C106,1)*24)</f>
        <v/>
      </c>
      <c r="F106" s="50" t="n"/>
      <c r="G106" s="51" t="n"/>
      <c r="H106" s="51" t="n"/>
      <c r="I106" s="51" t="n"/>
      <c r="J106" s="51" t="n"/>
      <c r="K106" s="51" t="n"/>
      <c r="L106" s="54">
        <f>IF(OR(A106="",C106="",D106=""),"",IF(COUNTIFS($A$5:$A$3004,A106,$C$5:$C$3004,"&lt;"&amp;D106,$D$5:$D$3004,"&gt;"&amp;C106)&gt;1,"⚠️ пересечение",""))</f>
        <v/>
      </c>
      <c r="M106" s="54">
        <f>IF(F106="","",IF(J106="✅ Сделано","✔ ",IF(J106="❌ Пропущено","✖ ","⏰ "))&amp;IF(C106="","",RIGHT("0"&amp;HOUR(C106),2)&amp;":"&amp;RIGHT("0"&amp;MINUTE(C106),2)&amp;IF(D106="","","–"&amp;RIGHT("0"&amp;HOUR(D106),2)&amp;":"&amp;RIGHT("0"&amp;MINUTE(D106),2))&amp;" ")&amp;F106)</f>
        <v/>
      </c>
      <c r="N106" s="54">
        <f>IF(OR(A106="",F106=""),"",A106&amp;"#"&amp;(COUNTIFS($A$5:$A$3004,A106,$F$5:$F$3004,"?*",$O$5:$O$3004,"&lt;"&amp;O106)+COUNTIFS($A$5:A106,A106,$F$5:F106,"?*",$O$5:O106,O106)))</f>
        <v/>
      </c>
      <c r="O106" s="54">
        <f>IF(A106="","",IF(C106="",0,C106))</f>
        <v/>
      </c>
    </row>
    <row r="107">
      <c r="A107" s="58" t="n"/>
      <c r="B107" s="49">
        <f>IF(A107="","",CHOOSE(WEEKDAY(A107,2),"Пн","Вт","Ср","Чт","Пт","Сб","Вс"))</f>
        <v/>
      </c>
      <c r="C107" s="59" t="n"/>
      <c r="D107" s="59" t="n"/>
      <c r="E107" s="60">
        <f>IF(OR(C107="",D107=""),"",MOD(D107-C107,1)*24)</f>
        <v/>
      </c>
      <c r="F107" s="50" t="n"/>
      <c r="G107" s="51" t="n"/>
      <c r="H107" s="51" t="n"/>
      <c r="I107" s="51" t="n"/>
      <c r="J107" s="51" t="n"/>
      <c r="K107" s="51" t="n"/>
      <c r="L107" s="54">
        <f>IF(OR(A107="",C107="",D107=""),"",IF(COUNTIFS($A$5:$A$3004,A107,$C$5:$C$3004,"&lt;"&amp;D107,$D$5:$D$3004,"&gt;"&amp;C107)&gt;1,"⚠️ пересечение",""))</f>
        <v/>
      </c>
      <c r="M107" s="54">
        <f>IF(F107="","",IF(J107="✅ Сделано","✔ ",IF(J107="❌ Пропущено","✖ ","⏰ "))&amp;IF(C107="","",RIGHT("0"&amp;HOUR(C107),2)&amp;":"&amp;RIGHT("0"&amp;MINUTE(C107),2)&amp;IF(D107="","","–"&amp;RIGHT("0"&amp;HOUR(D107),2)&amp;":"&amp;RIGHT("0"&amp;MINUTE(D107),2))&amp;" ")&amp;F107)</f>
        <v/>
      </c>
      <c r="N107" s="54">
        <f>IF(OR(A107="",F107=""),"",A107&amp;"#"&amp;(COUNTIFS($A$5:$A$3004,A107,$F$5:$F$3004,"?*",$O$5:$O$3004,"&lt;"&amp;O107)+COUNTIFS($A$5:A107,A107,$F$5:F107,"?*",$O$5:O107,O107)))</f>
        <v/>
      </c>
      <c r="O107" s="54">
        <f>IF(A107="","",IF(C107="",0,C107))</f>
        <v/>
      </c>
    </row>
    <row r="108">
      <c r="A108" s="58" t="n"/>
      <c r="B108" s="49">
        <f>IF(A108="","",CHOOSE(WEEKDAY(A108,2),"Пн","Вт","Ср","Чт","Пт","Сб","Вс"))</f>
        <v/>
      </c>
      <c r="C108" s="59" t="n"/>
      <c r="D108" s="59" t="n"/>
      <c r="E108" s="60">
        <f>IF(OR(C108="",D108=""),"",MOD(D108-C108,1)*24)</f>
        <v/>
      </c>
      <c r="F108" s="50" t="n"/>
      <c r="G108" s="51" t="n"/>
      <c r="H108" s="51" t="n"/>
      <c r="I108" s="51" t="n"/>
      <c r="J108" s="51" t="n"/>
      <c r="K108" s="51" t="n"/>
      <c r="L108" s="54">
        <f>IF(OR(A108="",C108="",D108=""),"",IF(COUNTIFS($A$5:$A$3004,A108,$C$5:$C$3004,"&lt;"&amp;D108,$D$5:$D$3004,"&gt;"&amp;C108)&gt;1,"⚠️ пересечение",""))</f>
        <v/>
      </c>
      <c r="M108" s="54">
        <f>IF(F108="","",IF(J108="✅ Сделано","✔ ",IF(J108="❌ Пропущено","✖ ","⏰ "))&amp;IF(C108="","",RIGHT("0"&amp;HOUR(C108),2)&amp;":"&amp;RIGHT("0"&amp;MINUTE(C108),2)&amp;IF(D108="","","–"&amp;RIGHT("0"&amp;HOUR(D108),2)&amp;":"&amp;RIGHT("0"&amp;MINUTE(D108),2))&amp;" ")&amp;F108)</f>
        <v/>
      </c>
      <c r="N108" s="54">
        <f>IF(OR(A108="",F108=""),"",A108&amp;"#"&amp;(COUNTIFS($A$5:$A$3004,A108,$F$5:$F$3004,"?*",$O$5:$O$3004,"&lt;"&amp;O108)+COUNTIFS($A$5:A108,A108,$F$5:F108,"?*",$O$5:O108,O108)))</f>
        <v/>
      </c>
      <c r="O108" s="54">
        <f>IF(A108="","",IF(C108="",0,C108))</f>
        <v/>
      </c>
    </row>
    <row r="109">
      <c r="A109" s="58" t="n"/>
      <c r="B109" s="49">
        <f>IF(A109="","",CHOOSE(WEEKDAY(A109,2),"Пн","Вт","Ср","Чт","Пт","Сб","Вс"))</f>
        <v/>
      </c>
      <c r="C109" s="59" t="n"/>
      <c r="D109" s="59" t="n"/>
      <c r="E109" s="60">
        <f>IF(OR(C109="",D109=""),"",MOD(D109-C109,1)*24)</f>
        <v/>
      </c>
      <c r="F109" s="50" t="n"/>
      <c r="G109" s="51" t="n"/>
      <c r="H109" s="51" t="n"/>
      <c r="I109" s="51" t="n"/>
      <c r="J109" s="51" t="n"/>
      <c r="K109" s="51" t="n"/>
      <c r="L109" s="54">
        <f>IF(OR(A109="",C109="",D109=""),"",IF(COUNTIFS($A$5:$A$3004,A109,$C$5:$C$3004,"&lt;"&amp;D109,$D$5:$D$3004,"&gt;"&amp;C109)&gt;1,"⚠️ пересечение",""))</f>
        <v/>
      </c>
      <c r="M109" s="54">
        <f>IF(F109="","",IF(J109="✅ Сделано","✔ ",IF(J109="❌ Пропущено","✖ ","⏰ "))&amp;IF(C109="","",RIGHT("0"&amp;HOUR(C109),2)&amp;":"&amp;RIGHT("0"&amp;MINUTE(C109),2)&amp;IF(D109="","","–"&amp;RIGHT("0"&amp;HOUR(D109),2)&amp;":"&amp;RIGHT("0"&amp;MINUTE(D109),2))&amp;" ")&amp;F109)</f>
        <v/>
      </c>
      <c r="N109" s="54">
        <f>IF(OR(A109="",F109=""),"",A109&amp;"#"&amp;(COUNTIFS($A$5:$A$3004,A109,$F$5:$F$3004,"?*",$O$5:$O$3004,"&lt;"&amp;O109)+COUNTIFS($A$5:A109,A109,$F$5:F109,"?*",$O$5:O109,O109)))</f>
        <v/>
      </c>
      <c r="O109" s="54">
        <f>IF(A109="","",IF(C109="",0,C109))</f>
        <v/>
      </c>
    </row>
    <row r="110">
      <c r="A110" s="58" t="n"/>
      <c r="B110" s="49">
        <f>IF(A110="","",CHOOSE(WEEKDAY(A110,2),"Пн","Вт","Ср","Чт","Пт","Сб","Вс"))</f>
        <v/>
      </c>
      <c r="C110" s="59" t="n"/>
      <c r="D110" s="59" t="n"/>
      <c r="E110" s="60">
        <f>IF(OR(C110="",D110=""),"",MOD(D110-C110,1)*24)</f>
        <v/>
      </c>
      <c r="F110" s="50" t="n"/>
      <c r="G110" s="51" t="n"/>
      <c r="H110" s="51" t="n"/>
      <c r="I110" s="51" t="n"/>
      <c r="J110" s="51" t="n"/>
      <c r="K110" s="51" t="n"/>
      <c r="L110" s="54">
        <f>IF(OR(A110="",C110="",D110=""),"",IF(COUNTIFS($A$5:$A$3004,A110,$C$5:$C$3004,"&lt;"&amp;D110,$D$5:$D$3004,"&gt;"&amp;C110)&gt;1,"⚠️ пересечение",""))</f>
        <v/>
      </c>
      <c r="M110" s="54">
        <f>IF(F110="","",IF(J110="✅ Сделано","✔ ",IF(J110="❌ Пропущено","✖ ","⏰ "))&amp;IF(C110="","",RIGHT("0"&amp;HOUR(C110),2)&amp;":"&amp;RIGHT("0"&amp;MINUTE(C110),2)&amp;IF(D110="","","–"&amp;RIGHT("0"&amp;HOUR(D110),2)&amp;":"&amp;RIGHT("0"&amp;MINUTE(D110),2))&amp;" ")&amp;F110)</f>
        <v/>
      </c>
      <c r="N110" s="54">
        <f>IF(OR(A110="",F110=""),"",A110&amp;"#"&amp;(COUNTIFS($A$5:$A$3004,A110,$F$5:$F$3004,"?*",$O$5:$O$3004,"&lt;"&amp;O110)+COUNTIFS($A$5:A110,A110,$F$5:F110,"?*",$O$5:O110,O110)))</f>
        <v/>
      </c>
      <c r="O110" s="54">
        <f>IF(A110="","",IF(C110="",0,C110))</f>
        <v/>
      </c>
    </row>
    <row r="111">
      <c r="A111" s="58" t="n"/>
      <c r="B111" s="49">
        <f>IF(A111="","",CHOOSE(WEEKDAY(A111,2),"Пн","Вт","Ср","Чт","Пт","Сб","Вс"))</f>
        <v/>
      </c>
      <c r="C111" s="59" t="n"/>
      <c r="D111" s="59" t="n"/>
      <c r="E111" s="60">
        <f>IF(OR(C111="",D111=""),"",MOD(D111-C111,1)*24)</f>
        <v/>
      </c>
      <c r="F111" s="50" t="n"/>
      <c r="G111" s="51" t="n"/>
      <c r="H111" s="51" t="n"/>
      <c r="I111" s="51" t="n"/>
      <c r="J111" s="51" t="n"/>
      <c r="K111" s="51" t="n"/>
      <c r="L111" s="54">
        <f>IF(OR(A111="",C111="",D111=""),"",IF(COUNTIFS($A$5:$A$3004,A111,$C$5:$C$3004,"&lt;"&amp;D111,$D$5:$D$3004,"&gt;"&amp;C111)&gt;1,"⚠️ пересечение",""))</f>
        <v/>
      </c>
      <c r="M111" s="54">
        <f>IF(F111="","",IF(J111="✅ Сделано","✔ ",IF(J111="❌ Пропущено","✖ ","⏰ "))&amp;IF(C111="","",RIGHT("0"&amp;HOUR(C111),2)&amp;":"&amp;RIGHT("0"&amp;MINUTE(C111),2)&amp;IF(D111="","","–"&amp;RIGHT("0"&amp;HOUR(D111),2)&amp;":"&amp;RIGHT("0"&amp;MINUTE(D111),2))&amp;" ")&amp;F111)</f>
        <v/>
      </c>
      <c r="N111" s="54">
        <f>IF(OR(A111="",F111=""),"",A111&amp;"#"&amp;(COUNTIFS($A$5:$A$3004,A111,$F$5:$F$3004,"?*",$O$5:$O$3004,"&lt;"&amp;O111)+COUNTIFS($A$5:A111,A111,$F$5:F111,"?*",$O$5:O111,O111)))</f>
        <v/>
      </c>
      <c r="O111" s="54">
        <f>IF(A111="","",IF(C111="",0,C111))</f>
        <v/>
      </c>
    </row>
    <row r="112">
      <c r="A112" s="58" t="n"/>
      <c r="B112" s="49">
        <f>IF(A112="","",CHOOSE(WEEKDAY(A112,2),"Пн","Вт","Ср","Чт","Пт","Сб","Вс"))</f>
        <v/>
      </c>
      <c r="C112" s="59" t="n"/>
      <c r="D112" s="59" t="n"/>
      <c r="E112" s="60">
        <f>IF(OR(C112="",D112=""),"",MOD(D112-C112,1)*24)</f>
        <v/>
      </c>
      <c r="F112" s="50" t="n"/>
      <c r="G112" s="51" t="n"/>
      <c r="H112" s="51" t="n"/>
      <c r="I112" s="51" t="n"/>
      <c r="J112" s="51" t="n"/>
      <c r="K112" s="51" t="n"/>
      <c r="L112" s="54">
        <f>IF(OR(A112="",C112="",D112=""),"",IF(COUNTIFS($A$5:$A$3004,A112,$C$5:$C$3004,"&lt;"&amp;D112,$D$5:$D$3004,"&gt;"&amp;C112)&gt;1,"⚠️ пересечение",""))</f>
        <v/>
      </c>
      <c r="M112" s="54">
        <f>IF(F112="","",IF(J112="✅ Сделано","✔ ",IF(J112="❌ Пропущено","✖ ","⏰ "))&amp;IF(C112="","",RIGHT("0"&amp;HOUR(C112),2)&amp;":"&amp;RIGHT("0"&amp;MINUTE(C112),2)&amp;IF(D112="","","–"&amp;RIGHT("0"&amp;HOUR(D112),2)&amp;":"&amp;RIGHT("0"&amp;MINUTE(D112),2))&amp;" ")&amp;F112)</f>
        <v/>
      </c>
      <c r="N112" s="54">
        <f>IF(OR(A112="",F112=""),"",A112&amp;"#"&amp;(COUNTIFS($A$5:$A$3004,A112,$F$5:$F$3004,"?*",$O$5:$O$3004,"&lt;"&amp;O112)+COUNTIFS($A$5:A112,A112,$F$5:F112,"?*",$O$5:O112,O112)))</f>
        <v/>
      </c>
      <c r="O112" s="54">
        <f>IF(A112="","",IF(C112="",0,C112))</f>
        <v/>
      </c>
    </row>
    <row r="113">
      <c r="A113" s="58" t="n"/>
      <c r="B113" s="49">
        <f>IF(A113="","",CHOOSE(WEEKDAY(A113,2),"Пн","Вт","Ср","Чт","Пт","Сб","Вс"))</f>
        <v/>
      </c>
      <c r="C113" s="59" t="n"/>
      <c r="D113" s="59" t="n"/>
      <c r="E113" s="60">
        <f>IF(OR(C113="",D113=""),"",MOD(D113-C113,1)*24)</f>
        <v/>
      </c>
      <c r="F113" s="50" t="n"/>
      <c r="G113" s="51" t="n"/>
      <c r="H113" s="51" t="n"/>
      <c r="I113" s="51" t="n"/>
      <c r="J113" s="51" t="n"/>
      <c r="K113" s="51" t="n"/>
      <c r="L113" s="54">
        <f>IF(OR(A113="",C113="",D113=""),"",IF(COUNTIFS($A$5:$A$3004,A113,$C$5:$C$3004,"&lt;"&amp;D113,$D$5:$D$3004,"&gt;"&amp;C113)&gt;1,"⚠️ пересечение",""))</f>
        <v/>
      </c>
      <c r="M113" s="54">
        <f>IF(F113="","",IF(J113="✅ Сделано","✔ ",IF(J113="❌ Пропущено","✖ ","⏰ "))&amp;IF(C113="","",RIGHT("0"&amp;HOUR(C113),2)&amp;":"&amp;RIGHT("0"&amp;MINUTE(C113),2)&amp;IF(D113="","","–"&amp;RIGHT("0"&amp;HOUR(D113),2)&amp;":"&amp;RIGHT("0"&amp;MINUTE(D113),2))&amp;" ")&amp;F113)</f>
        <v/>
      </c>
      <c r="N113" s="54">
        <f>IF(OR(A113="",F113=""),"",A113&amp;"#"&amp;(COUNTIFS($A$5:$A$3004,A113,$F$5:$F$3004,"?*",$O$5:$O$3004,"&lt;"&amp;O113)+COUNTIFS($A$5:A113,A113,$F$5:F113,"?*",$O$5:O113,O113)))</f>
        <v/>
      </c>
      <c r="O113" s="54">
        <f>IF(A113="","",IF(C113="",0,C113))</f>
        <v/>
      </c>
    </row>
    <row r="114">
      <c r="A114" s="58" t="n"/>
      <c r="B114" s="49">
        <f>IF(A114="","",CHOOSE(WEEKDAY(A114,2),"Пн","Вт","Ср","Чт","Пт","Сб","Вс"))</f>
        <v/>
      </c>
      <c r="C114" s="59" t="n"/>
      <c r="D114" s="59" t="n"/>
      <c r="E114" s="60">
        <f>IF(OR(C114="",D114=""),"",MOD(D114-C114,1)*24)</f>
        <v/>
      </c>
      <c r="F114" s="50" t="n"/>
      <c r="G114" s="51" t="n"/>
      <c r="H114" s="51" t="n"/>
      <c r="I114" s="51" t="n"/>
      <c r="J114" s="51" t="n"/>
      <c r="K114" s="51" t="n"/>
      <c r="L114" s="54">
        <f>IF(OR(A114="",C114="",D114=""),"",IF(COUNTIFS($A$5:$A$3004,A114,$C$5:$C$3004,"&lt;"&amp;D114,$D$5:$D$3004,"&gt;"&amp;C114)&gt;1,"⚠️ пересечение",""))</f>
        <v/>
      </c>
      <c r="M114" s="54">
        <f>IF(F114="","",IF(J114="✅ Сделано","✔ ",IF(J114="❌ Пропущено","✖ ","⏰ "))&amp;IF(C114="","",RIGHT("0"&amp;HOUR(C114),2)&amp;":"&amp;RIGHT("0"&amp;MINUTE(C114),2)&amp;IF(D114="","","–"&amp;RIGHT("0"&amp;HOUR(D114),2)&amp;":"&amp;RIGHT("0"&amp;MINUTE(D114),2))&amp;" ")&amp;F114)</f>
        <v/>
      </c>
      <c r="N114" s="54">
        <f>IF(OR(A114="",F114=""),"",A114&amp;"#"&amp;(COUNTIFS($A$5:$A$3004,A114,$F$5:$F$3004,"?*",$O$5:$O$3004,"&lt;"&amp;O114)+COUNTIFS($A$5:A114,A114,$F$5:F114,"?*",$O$5:O114,O114)))</f>
        <v/>
      </c>
      <c r="O114" s="54">
        <f>IF(A114="","",IF(C114="",0,C114))</f>
        <v/>
      </c>
    </row>
    <row r="115">
      <c r="A115" s="58" t="n"/>
      <c r="B115" s="49">
        <f>IF(A115="","",CHOOSE(WEEKDAY(A115,2),"Пн","Вт","Ср","Чт","Пт","Сб","Вс"))</f>
        <v/>
      </c>
      <c r="C115" s="59" t="n"/>
      <c r="D115" s="59" t="n"/>
      <c r="E115" s="60">
        <f>IF(OR(C115="",D115=""),"",MOD(D115-C115,1)*24)</f>
        <v/>
      </c>
      <c r="F115" s="50" t="n"/>
      <c r="G115" s="51" t="n"/>
      <c r="H115" s="51" t="n"/>
      <c r="I115" s="51" t="n"/>
      <c r="J115" s="51" t="n"/>
      <c r="K115" s="51" t="n"/>
      <c r="L115" s="54">
        <f>IF(OR(A115="",C115="",D115=""),"",IF(COUNTIFS($A$5:$A$3004,A115,$C$5:$C$3004,"&lt;"&amp;D115,$D$5:$D$3004,"&gt;"&amp;C115)&gt;1,"⚠️ пересечение",""))</f>
        <v/>
      </c>
      <c r="M115" s="54">
        <f>IF(F115="","",IF(J115="✅ Сделано","✔ ",IF(J115="❌ Пропущено","✖ ","⏰ "))&amp;IF(C115="","",RIGHT("0"&amp;HOUR(C115),2)&amp;":"&amp;RIGHT("0"&amp;MINUTE(C115),2)&amp;IF(D115="","","–"&amp;RIGHT("0"&amp;HOUR(D115),2)&amp;":"&amp;RIGHT("0"&amp;MINUTE(D115),2))&amp;" ")&amp;F115)</f>
        <v/>
      </c>
      <c r="N115" s="54">
        <f>IF(OR(A115="",F115=""),"",A115&amp;"#"&amp;(COUNTIFS($A$5:$A$3004,A115,$F$5:$F$3004,"?*",$O$5:$O$3004,"&lt;"&amp;O115)+COUNTIFS($A$5:A115,A115,$F$5:F115,"?*",$O$5:O115,O115)))</f>
        <v/>
      </c>
      <c r="O115" s="54">
        <f>IF(A115="","",IF(C115="",0,C115))</f>
        <v/>
      </c>
    </row>
    <row r="116">
      <c r="A116" s="58" t="n"/>
      <c r="B116" s="49">
        <f>IF(A116="","",CHOOSE(WEEKDAY(A116,2),"Пн","Вт","Ср","Чт","Пт","Сб","Вс"))</f>
        <v/>
      </c>
      <c r="C116" s="59" t="n"/>
      <c r="D116" s="59" t="n"/>
      <c r="E116" s="60">
        <f>IF(OR(C116="",D116=""),"",MOD(D116-C116,1)*24)</f>
        <v/>
      </c>
      <c r="F116" s="50" t="n"/>
      <c r="G116" s="51" t="n"/>
      <c r="H116" s="51" t="n"/>
      <c r="I116" s="51" t="n"/>
      <c r="J116" s="51" t="n"/>
      <c r="K116" s="51" t="n"/>
      <c r="L116" s="54">
        <f>IF(OR(A116="",C116="",D116=""),"",IF(COUNTIFS($A$5:$A$3004,A116,$C$5:$C$3004,"&lt;"&amp;D116,$D$5:$D$3004,"&gt;"&amp;C116)&gt;1,"⚠️ пересечение",""))</f>
        <v/>
      </c>
      <c r="M116" s="54">
        <f>IF(F116="","",IF(J116="✅ Сделано","✔ ",IF(J116="❌ Пропущено","✖ ","⏰ "))&amp;IF(C116="","",RIGHT("0"&amp;HOUR(C116),2)&amp;":"&amp;RIGHT("0"&amp;MINUTE(C116),2)&amp;IF(D116="","","–"&amp;RIGHT("0"&amp;HOUR(D116),2)&amp;":"&amp;RIGHT("0"&amp;MINUTE(D116),2))&amp;" ")&amp;F116)</f>
        <v/>
      </c>
      <c r="N116" s="54">
        <f>IF(OR(A116="",F116=""),"",A116&amp;"#"&amp;(COUNTIFS($A$5:$A$3004,A116,$F$5:$F$3004,"?*",$O$5:$O$3004,"&lt;"&amp;O116)+COUNTIFS($A$5:A116,A116,$F$5:F116,"?*",$O$5:O116,O116)))</f>
        <v/>
      </c>
      <c r="O116" s="54">
        <f>IF(A116="","",IF(C116="",0,C116))</f>
        <v/>
      </c>
    </row>
    <row r="117">
      <c r="A117" s="58" t="n"/>
      <c r="B117" s="49">
        <f>IF(A117="","",CHOOSE(WEEKDAY(A117,2),"Пн","Вт","Ср","Чт","Пт","Сб","Вс"))</f>
        <v/>
      </c>
      <c r="C117" s="59" t="n"/>
      <c r="D117" s="59" t="n"/>
      <c r="E117" s="60">
        <f>IF(OR(C117="",D117=""),"",MOD(D117-C117,1)*24)</f>
        <v/>
      </c>
      <c r="F117" s="50" t="n"/>
      <c r="G117" s="51" t="n"/>
      <c r="H117" s="51" t="n"/>
      <c r="I117" s="51" t="n"/>
      <c r="J117" s="51" t="n"/>
      <c r="K117" s="51" t="n"/>
      <c r="L117" s="54">
        <f>IF(OR(A117="",C117="",D117=""),"",IF(COUNTIFS($A$5:$A$3004,A117,$C$5:$C$3004,"&lt;"&amp;D117,$D$5:$D$3004,"&gt;"&amp;C117)&gt;1,"⚠️ пересечение",""))</f>
        <v/>
      </c>
      <c r="M117" s="54">
        <f>IF(F117="","",IF(J117="✅ Сделано","✔ ",IF(J117="❌ Пропущено","✖ ","⏰ "))&amp;IF(C117="","",RIGHT("0"&amp;HOUR(C117),2)&amp;":"&amp;RIGHT("0"&amp;MINUTE(C117),2)&amp;IF(D117="","","–"&amp;RIGHT("0"&amp;HOUR(D117),2)&amp;":"&amp;RIGHT("0"&amp;MINUTE(D117),2))&amp;" ")&amp;F117)</f>
        <v/>
      </c>
      <c r="N117" s="54">
        <f>IF(OR(A117="",F117=""),"",A117&amp;"#"&amp;(COUNTIFS($A$5:$A$3004,A117,$F$5:$F$3004,"?*",$O$5:$O$3004,"&lt;"&amp;O117)+COUNTIFS($A$5:A117,A117,$F$5:F117,"?*",$O$5:O117,O117)))</f>
        <v/>
      </c>
      <c r="O117" s="54">
        <f>IF(A117="","",IF(C117="",0,C117))</f>
        <v/>
      </c>
    </row>
    <row r="118">
      <c r="A118" s="58" t="n"/>
      <c r="B118" s="49">
        <f>IF(A118="","",CHOOSE(WEEKDAY(A118,2),"Пн","Вт","Ср","Чт","Пт","Сб","Вс"))</f>
        <v/>
      </c>
      <c r="C118" s="59" t="n"/>
      <c r="D118" s="59" t="n"/>
      <c r="E118" s="60">
        <f>IF(OR(C118="",D118=""),"",MOD(D118-C118,1)*24)</f>
        <v/>
      </c>
      <c r="F118" s="50" t="n"/>
      <c r="G118" s="51" t="n"/>
      <c r="H118" s="51" t="n"/>
      <c r="I118" s="51" t="n"/>
      <c r="J118" s="51" t="n"/>
      <c r="K118" s="51" t="n"/>
      <c r="L118" s="54">
        <f>IF(OR(A118="",C118="",D118=""),"",IF(COUNTIFS($A$5:$A$3004,A118,$C$5:$C$3004,"&lt;"&amp;D118,$D$5:$D$3004,"&gt;"&amp;C118)&gt;1,"⚠️ пересечение",""))</f>
        <v/>
      </c>
      <c r="M118" s="54">
        <f>IF(F118="","",IF(J118="✅ Сделано","✔ ",IF(J118="❌ Пропущено","✖ ","⏰ "))&amp;IF(C118="","",RIGHT("0"&amp;HOUR(C118),2)&amp;":"&amp;RIGHT("0"&amp;MINUTE(C118),2)&amp;IF(D118="","","–"&amp;RIGHT("0"&amp;HOUR(D118),2)&amp;":"&amp;RIGHT("0"&amp;MINUTE(D118),2))&amp;" ")&amp;F118)</f>
        <v/>
      </c>
      <c r="N118" s="54">
        <f>IF(OR(A118="",F118=""),"",A118&amp;"#"&amp;(COUNTIFS($A$5:$A$3004,A118,$F$5:$F$3004,"?*",$O$5:$O$3004,"&lt;"&amp;O118)+COUNTIFS($A$5:A118,A118,$F$5:F118,"?*",$O$5:O118,O118)))</f>
        <v/>
      </c>
      <c r="O118" s="54">
        <f>IF(A118="","",IF(C118="",0,C118))</f>
        <v/>
      </c>
    </row>
    <row r="119">
      <c r="A119" s="58" t="n"/>
      <c r="B119" s="49">
        <f>IF(A119="","",CHOOSE(WEEKDAY(A119,2),"Пн","Вт","Ср","Чт","Пт","Сб","Вс"))</f>
        <v/>
      </c>
      <c r="C119" s="59" t="n"/>
      <c r="D119" s="59" t="n"/>
      <c r="E119" s="60">
        <f>IF(OR(C119="",D119=""),"",MOD(D119-C119,1)*24)</f>
        <v/>
      </c>
      <c r="F119" s="50" t="n"/>
      <c r="G119" s="51" t="n"/>
      <c r="H119" s="51" t="n"/>
      <c r="I119" s="51" t="n"/>
      <c r="J119" s="51" t="n"/>
      <c r="K119" s="51" t="n"/>
      <c r="L119" s="54">
        <f>IF(OR(A119="",C119="",D119=""),"",IF(COUNTIFS($A$5:$A$3004,A119,$C$5:$C$3004,"&lt;"&amp;D119,$D$5:$D$3004,"&gt;"&amp;C119)&gt;1,"⚠️ пересечение",""))</f>
        <v/>
      </c>
      <c r="M119" s="54">
        <f>IF(F119="","",IF(J119="✅ Сделано","✔ ",IF(J119="❌ Пропущено","✖ ","⏰ "))&amp;IF(C119="","",RIGHT("0"&amp;HOUR(C119),2)&amp;":"&amp;RIGHT("0"&amp;MINUTE(C119),2)&amp;IF(D119="","","–"&amp;RIGHT("0"&amp;HOUR(D119),2)&amp;":"&amp;RIGHT("0"&amp;MINUTE(D119),2))&amp;" ")&amp;F119)</f>
        <v/>
      </c>
      <c r="N119" s="54">
        <f>IF(OR(A119="",F119=""),"",A119&amp;"#"&amp;(COUNTIFS($A$5:$A$3004,A119,$F$5:$F$3004,"?*",$O$5:$O$3004,"&lt;"&amp;O119)+COUNTIFS($A$5:A119,A119,$F$5:F119,"?*",$O$5:O119,O119)))</f>
        <v/>
      </c>
      <c r="O119" s="54">
        <f>IF(A119="","",IF(C119="",0,C119))</f>
        <v/>
      </c>
    </row>
    <row r="120">
      <c r="A120" s="58" t="n"/>
      <c r="B120" s="49">
        <f>IF(A120="","",CHOOSE(WEEKDAY(A120,2),"Пн","Вт","Ср","Чт","Пт","Сб","Вс"))</f>
        <v/>
      </c>
      <c r="C120" s="59" t="n"/>
      <c r="D120" s="59" t="n"/>
      <c r="E120" s="60">
        <f>IF(OR(C120="",D120=""),"",MOD(D120-C120,1)*24)</f>
        <v/>
      </c>
      <c r="F120" s="50" t="n"/>
      <c r="G120" s="51" t="n"/>
      <c r="H120" s="51" t="n"/>
      <c r="I120" s="51" t="n"/>
      <c r="J120" s="51" t="n"/>
      <c r="K120" s="51" t="n"/>
      <c r="L120" s="54">
        <f>IF(OR(A120="",C120="",D120=""),"",IF(COUNTIFS($A$5:$A$3004,A120,$C$5:$C$3004,"&lt;"&amp;D120,$D$5:$D$3004,"&gt;"&amp;C120)&gt;1,"⚠️ пересечение",""))</f>
        <v/>
      </c>
      <c r="M120" s="54">
        <f>IF(F120="","",IF(J120="✅ Сделано","✔ ",IF(J120="❌ Пропущено","✖ ","⏰ "))&amp;IF(C120="","",RIGHT("0"&amp;HOUR(C120),2)&amp;":"&amp;RIGHT("0"&amp;MINUTE(C120),2)&amp;IF(D120="","","–"&amp;RIGHT("0"&amp;HOUR(D120),2)&amp;":"&amp;RIGHT("0"&amp;MINUTE(D120),2))&amp;" ")&amp;F120)</f>
        <v/>
      </c>
      <c r="N120" s="54">
        <f>IF(OR(A120="",F120=""),"",A120&amp;"#"&amp;(COUNTIFS($A$5:$A$3004,A120,$F$5:$F$3004,"?*",$O$5:$O$3004,"&lt;"&amp;O120)+COUNTIFS($A$5:A120,A120,$F$5:F120,"?*",$O$5:O120,O120)))</f>
        <v/>
      </c>
      <c r="O120" s="54">
        <f>IF(A120="","",IF(C120="",0,C120))</f>
        <v/>
      </c>
    </row>
    <row r="121">
      <c r="A121" s="58" t="n"/>
      <c r="B121" s="49">
        <f>IF(A121="","",CHOOSE(WEEKDAY(A121,2),"Пн","Вт","Ср","Чт","Пт","Сб","Вс"))</f>
        <v/>
      </c>
      <c r="C121" s="59" t="n"/>
      <c r="D121" s="59" t="n"/>
      <c r="E121" s="60">
        <f>IF(OR(C121="",D121=""),"",MOD(D121-C121,1)*24)</f>
        <v/>
      </c>
      <c r="F121" s="50" t="n"/>
      <c r="G121" s="51" t="n"/>
      <c r="H121" s="51" t="n"/>
      <c r="I121" s="51" t="n"/>
      <c r="J121" s="51" t="n"/>
      <c r="K121" s="51" t="n"/>
      <c r="L121" s="54">
        <f>IF(OR(A121="",C121="",D121=""),"",IF(COUNTIFS($A$5:$A$3004,A121,$C$5:$C$3004,"&lt;"&amp;D121,$D$5:$D$3004,"&gt;"&amp;C121)&gt;1,"⚠️ пересечение",""))</f>
        <v/>
      </c>
      <c r="M121" s="54">
        <f>IF(F121="","",IF(J121="✅ Сделано","✔ ",IF(J121="❌ Пропущено","✖ ","⏰ "))&amp;IF(C121="","",RIGHT("0"&amp;HOUR(C121),2)&amp;":"&amp;RIGHT("0"&amp;MINUTE(C121),2)&amp;IF(D121="","","–"&amp;RIGHT("0"&amp;HOUR(D121),2)&amp;":"&amp;RIGHT("0"&amp;MINUTE(D121),2))&amp;" ")&amp;F121)</f>
        <v/>
      </c>
      <c r="N121" s="54">
        <f>IF(OR(A121="",F121=""),"",A121&amp;"#"&amp;(COUNTIFS($A$5:$A$3004,A121,$F$5:$F$3004,"?*",$O$5:$O$3004,"&lt;"&amp;O121)+COUNTIFS($A$5:A121,A121,$F$5:F121,"?*",$O$5:O121,O121)))</f>
        <v/>
      </c>
      <c r="O121" s="54">
        <f>IF(A121="","",IF(C121="",0,C121))</f>
        <v/>
      </c>
    </row>
    <row r="122">
      <c r="A122" s="58" t="n"/>
      <c r="B122" s="49">
        <f>IF(A122="","",CHOOSE(WEEKDAY(A122,2),"Пн","Вт","Ср","Чт","Пт","Сб","Вс"))</f>
        <v/>
      </c>
      <c r="C122" s="59" t="n"/>
      <c r="D122" s="59" t="n"/>
      <c r="E122" s="60">
        <f>IF(OR(C122="",D122=""),"",MOD(D122-C122,1)*24)</f>
        <v/>
      </c>
      <c r="F122" s="50" t="n"/>
      <c r="G122" s="51" t="n"/>
      <c r="H122" s="51" t="n"/>
      <c r="I122" s="51" t="n"/>
      <c r="J122" s="51" t="n"/>
      <c r="K122" s="51" t="n"/>
      <c r="L122" s="54">
        <f>IF(OR(A122="",C122="",D122=""),"",IF(COUNTIFS($A$5:$A$3004,A122,$C$5:$C$3004,"&lt;"&amp;D122,$D$5:$D$3004,"&gt;"&amp;C122)&gt;1,"⚠️ пересечение",""))</f>
        <v/>
      </c>
      <c r="M122" s="54">
        <f>IF(F122="","",IF(J122="✅ Сделано","✔ ",IF(J122="❌ Пропущено","✖ ","⏰ "))&amp;IF(C122="","",RIGHT("0"&amp;HOUR(C122),2)&amp;":"&amp;RIGHT("0"&amp;MINUTE(C122),2)&amp;IF(D122="","","–"&amp;RIGHT("0"&amp;HOUR(D122),2)&amp;":"&amp;RIGHT("0"&amp;MINUTE(D122),2))&amp;" ")&amp;F122)</f>
        <v/>
      </c>
      <c r="N122" s="54">
        <f>IF(OR(A122="",F122=""),"",A122&amp;"#"&amp;(COUNTIFS($A$5:$A$3004,A122,$F$5:$F$3004,"?*",$O$5:$O$3004,"&lt;"&amp;O122)+COUNTIFS($A$5:A122,A122,$F$5:F122,"?*",$O$5:O122,O122)))</f>
        <v/>
      </c>
      <c r="O122" s="54">
        <f>IF(A122="","",IF(C122="",0,C122))</f>
        <v/>
      </c>
    </row>
    <row r="123">
      <c r="A123" s="58" t="n"/>
      <c r="B123" s="49">
        <f>IF(A123="","",CHOOSE(WEEKDAY(A123,2),"Пн","Вт","Ср","Чт","Пт","Сб","Вс"))</f>
        <v/>
      </c>
      <c r="C123" s="59" t="n"/>
      <c r="D123" s="59" t="n"/>
      <c r="E123" s="60">
        <f>IF(OR(C123="",D123=""),"",MOD(D123-C123,1)*24)</f>
        <v/>
      </c>
      <c r="F123" s="50" t="n"/>
      <c r="G123" s="51" t="n"/>
      <c r="H123" s="51" t="n"/>
      <c r="I123" s="51" t="n"/>
      <c r="J123" s="51" t="n"/>
      <c r="K123" s="51" t="n"/>
      <c r="L123" s="54">
        <f>IF(OR(A123="",C123="",D123=""),"",IF(COUNTIFS($A$5:$A$3004,A123,$C$5:$C$3004,"&lt;"&amp;D123,$D$5:$D$3004,"&gt;"&amp;C123)&gt;1,"⚠️ пересечение",""))</f>
        <v/>
      </c>
      <c r="M123" s="54">
        <f>IF(F123="","",IF(J123="✅ Сделано","✔ ",IF(J123="❌ Пропущено","✖ ","⏰ "))&amp;IF(C123="","",RIGHT("0"&amp;HOUR(C123),2)&amp;":"&amp;RIGHT("0"&amp;MINUTE(C123),2)&amp;IF(D123="","","–"&amp;RIGHT("0"&amp;HOUR(D123),2)&amp;":"&amp;RIGHT("0"&amp;MINUTE(D123),2))&amp;" ")&amp;F123)</f>
        <v/>
      </c>
      <c r="N123" s="54">
        <f>IF(OR(A123="",F123=""),"",A123&amp;"#"&amp;(COUNTIFS($A$5:$A$3004,A123,$F$5:$F$3004,"?*",$O$5:$O$3004,"&lt;"&amp;O123)+COUNTIFS($A$5:A123,A123,$F$5:F123,"?*",$O$5:O123,O123)))</f>
        <v/>
      </c>
      <c r="O123" s="54">
        <f>IF(A123="","",IF(C123="",0,C123))</f>
        <v/>
      </c>
    </row>
    <row r="124">
      <c r="A124" s="58" t="n"/>
      <c r="B124" s="49">
        <f>IF(A124="","",CHOOSE(WEEKDAY(A124,2),"Пн","Вт","Ср","Чт","Пт","Сб","Вс"))</f>
        <v/>
      </c>
      <c r="C124" s="59" t="n"/>
      <c r="D124" s="59" t="n"/>
      <c r="E124" s="60">
        <f>IF(OR(C124="",D124=""),"",MOD(D124-C124,1)*24)</f>
        <v/>
      </c>
      <c r="F124" s="50" t="n"/>
      <c r="G124" s="51" t="n"/>
      <c r="H124" s="51" t="n"/>
      <c r="I124" s="51" t="n"/>
      <c r="J124" s="51" t="n"/>
      <c r="K124" s="51" t="n"/>
      <c r="L124" s="54">
        <f>IF(OR(A124="",C124="",D124=""),"",IF(COUNTIFS($A$5:$A$3004,A124,$C$5:$C$3004,"&lt;"&amp;D124,$D$5:$D$3004,"&gt;"&amp;C124)&gt;1,"⚠️ пересечение",""))</f>
        <v/>
      </c>
      <c r="M124" s="54">
        <f>IF(F124="","",IF(J124="✅ Сделано","✔ ",IF(J124="❌ Пропущено","✖ ","⏰ "))&amp;IF(C124="","",RIGHT("0"&amp;HOUR(C124),2)&amp;":"&amp;RIGHT("0"&amp;MINUTE(C124),2)&amp;IF(D124="","","–"&amp;RIGHT("0"&amp;HOUR(D124),2)&amp;":"&amp;RIGHT("0"&amp;MINUTE(D124),2))&amp;" ")&amp;F124)</f>
        <v/>
      </c>
      <c r="N124" s="54">
        <f>IF(OR(A124="",F124=""),"",A124&amp;"#"&amp;(COUNTIFS($A$5:$A$3004,A124,$F$5:$F$3004,"?*",$O$5:$O$3004,"&lt;"&amp;O124)+COUNTIFS($A$5:A124,A124,$F$5:F124,"?*",$O$5:O124,O124)))</f>
        <v/>
      </c>
      <c r="O124" s="54">
        <f>IF(A124="","",IF(C124="",0,C124))</f>
        <v/>
      </c>
    </row>
    <row r="125">
      <c r="A125" s="58" t="n"/>
      <c r="B125" s="49">
        <f>IF(A125="","",CHOOSE(WEEKDAY(A125,2),"Пн","Вт","Ср","Чт","Пт","Сб","Вс"))</f>
        <v/>
      </c>
      <c r="C125" s="59" t="n"/>
      <c r="D125" s="59" t="n"/>
      <c r="E125" s="60">
        <f>IF(OR(C125="",D125=""),"",MOD(D125-C125,1)*24)</f>
        <v/>
      </c>
      <c r="F125" s="50" t="n"/>
      <c r="G125" s="51" t="n"/>
      <c r="H125" s="51" t="n"/>
      <c r="I125" s="51" t="n"/>
      <c r="J125" s="51" t="n"/>
      <c r="K125" s="51" t="n"/>
      <c r="L125" s="54">
        <f>IF(OR(A125="",C125="",D125=""),"",IF(COUNTIFS($A$5:$A$3004,A125,$C$5:$C$3004,"&lt;"&amp;D125,$D$5:$D$3004,"&gt;"&amp;C125)&gt;1,"⚠️ пересечение",""))</f>
        <v/>
      </c>
      <c r="M125" s="54">
        <f>IF(F125="","",IF(J125="✅ Сделано","✔ ",IF(J125="❌ Пропущено","✖ ","⏰ "))&amp;IF(C125="","",RIGHT("0"&amp;HOUR(C125),2)&amp;":"&amp;RIGHT("0"&amp;MINUTE(C125),2)&amp;IF(D125="","","–"&amp;RIGHT("0"&amp;HOUR(D125),2)&amp;":"&amp;RIGHT("0"&amp;MINUTE(D125),2))&amp;" ")&amp;F125)</f>
        <v/>
      </c>
      <c r="N125" s="54">
        <f>IF(OR(A125="",F125=""),"",A125&amp;"#"&amp;(COUNTIFS($A$5:$A$3004,A125,$F$5:$F$3004,"?*",$O$5:$O$3004,"&lt;"&amp;O125)+COUNTIFS($A$5:A125,A125,$F$5:F125,"?*",$O$5:O125,O125)))</f>
        <v/>
      </c>
      <c r="O125" s="54">
        <f>IF(A125="","",IF(C125="",0,C125))</f>
        <v/>
      </c>
    </row>
    <row r="126">
      <c r="A126" s="58" t="n"/>
      <c r="B126" s="49">
        <f>IF(A126="","",CHOOSE(WEEKDAY(A126,2),"Пн","Вт","Ср","Чт","Пт","Сб","Вс"))</f>
        <v/>
      </c>
      <c r="C126" s="59" t="n"/>
      <c r="D126" s="59" t="n"/>
      <c r="E126" s="60">
        <f>IF(OR(C126="",D126=""),"",MOD(D126-C126,1)*24)</f>
        <v/>
      </c>
      <c r="F126" s="50" t="n"/>
      <c r="G126" s="51" t="n"/>
      <c r="H126" s="51" t="n"/>
      <c r="I126" s="51" t="n"/>
      <c r="J126" s="51" t="n"/>
      <c r="K126" s="51" t="n"/>
      <c r="L126" s="54">
        <f>IF(OR(A126="",C126="",D126=""),"",IF(COUNTIFS($A$5:$A$3004,A126,$C$5:$C$3004,"&lt;"&amp;D126,$D$5:$D$3004,"&gt;"&amp;C126)&gt;1,"⚠️ пересечение",""))</f>
        <v/>
      </c>
      <c r="M126" s="54">
        <f>IF(F126="","",IF(J126="✅ Сделано","✔ ",IF(J126="❌ Пропущено","✖ ","⏰ "))&amp;IF(C126="","",RIGHT("0"&amp;HOUR(C126),2)&amp;":"&amp;RIGHT("0"&amp;MINUTE(C126),2)&amp;IF(D126="","","–"&amp;RIGHT("0"&amp;HOUR(D126),2)&amp;":"&amp;RIGHT("0"&amp;MINUTE(D126),2))&amp;" ")&amp;F126)</f>
        <v/>
      </c>
      <c r="N126" s="54">
        <f>IF(OR(A126="",F126=""),"",A126&amp;"#"&amp;(COUNTIFS($A$5:$A$3004,A126,$F$5:$F$3004,"?*",$O$5:$O$3004,"&lt;"&amp;O126)+COUNTIFS($A$5:A126,A126,$F$5:F126,"?*",$O$5:O126,O126)))</f>
        <v/>
      </c>
      <c r="O126" s="54">
        <f>IF(A126="","",IF(C126="",0,C126))</f>
        <v/>
      </c>
    </row>
    <row r="127">
      <c r="A127" s="58" t="n"/>
      <c r="B127" s="49">
        <f>IF(A127="","",CHOOSE(WEEKDAY(A127,2),"Пн","Вт","Ср","Чт","Пт","Сб","Вс"))</f>
        <v/>
      </c>
      <c r="C127" s="59" t="n"/>
      <c r="D127" s="59" t="n"/>
      <c r="E127" s="60">
        <f>IF(OR(C127="",D127=""),"",MOD(D127-C127,1)*24)</f>
        <v/>
      </c>
      <c r="F127" s="50" t="n"/>
      <c r="G127" s="51" t="n"/>
      <c r="H127" s="51" t="n"/>
      <c r="I127" s="51" t="n"/>
      <c r="J127" s="51" t="n"/>
      <c r="K127" s="51" t="n"/>
      <c r="L127" s="54">
        <f>IF(OR(A127="",C127="",D127=""),"",IF(COUNTIFS($A$5:$A$3004,A127,$C$5:$C$3004,"&lt;"&amp;D127,$D$5:$D$3004,"&gt;"&amp;C127)&gt;1,"⚠️ пересечение",""))</f>
        <v/>
      </c>
      <c r="M127" s="54">
        <f>IF(F127="","",IF(J127="✅ Сделано","✔ ",IF(J127="❌ Пропущено","✖ ","⏰ "))&amp;IF(C127="","",RIGHT("0"&amp;HOUR(C127),2)&amp;":"&amp;RIGHT("0"&amp;MINUTE(C127),2)&amp;IF(D127="","","–"&amp;RIGHT("0"&amp;HOUR(D127),2)&amp;":"&amp;RIGHT("0"&amp;MINUTE(D127),2))&amp;" ")&amp;F127)</f>
        <v/>
      </c>
      <c r="N127" s="54">
        <f>IF(OR(A127="",F127=""),"",A127&amp;"#"&amp;(COUNTIFS($A$5:$A$3004,A127,$F$5:$F$3004,"?*",$O$5:$O$3004,"&lt;"&amp;O127)+COUNTIFS($A$5:A127,A127,$F$5:F127,"?*",$O$5:O127,O127)))</f>
        <v/>
      </c>
      <c r="O127" s="54">
        <f>IF(A127="","",IF(C127="",0,C127))</f>
        <v/>
      </c>
    </row>
    <row r="128">
      <c r="A128" s="58" t="n"/>
      <c r="B128" s="49">
        <f>IF(A128="","",CHOOSE(WEEKDAY(A128,2),"Пн","Вт","Ср","Чт","Пт","Сб","Вс"))</f>
        <v/>
      </c>
      <c r="C128" s="59" t="n"/>
      <c r="D128" s="59" t="n"/>
      <c r="E128" s="60">
        <f>IF(OR(C128="",D128=""),"",MOD(D128-C128,1)*24)</f>
        <v/>
      </c>
      <c r="F128" s="50" t="n"/>
      <c r="G128" s="51" t="n"/>
      <c r="H128" s="51" t="n"/>
      <c r="I128" s="51" t="n"/>
      <c r="J128" s="51" t="n"/>
      <c r="K128" s="51" t="n"/>
      <c r="L128" s="54">
        <f>IF(OR(A128="",C128="",D128=""),"",IF(COUNTIFS($A$5:$A$3004,A128,$C$5:$C$3004,"&lt;"&amp;D128,$D$5:$D$3004,"&gt;"&amp;C128)&gt;1,"⚠️ пересечение",""))</f>
        <v/>
      </c>
      <c r="M128" s="54">
        <f>IF(F128="","",IF(J128="✅ Сделано","✔ ",IF(J128="❌ Пропущено","✖ ","⏰ "))&amp;IF(C128="","",RIGHT("0"&amp;HOUR(C128),2)&amp;":"&amp;RIGHT("0"&amp;MINUTE(C128),2)&amp;IF(D128="","","–"&amp;RIGHT("0"&amp;HOUR(D128),2)&amp;":"&amp;RIGHT("0"&amp;MINUTE(D128),2))&amp;" ")&amp;F128)</f>
        <v/>
      </c>
      <c r="N128" s="54">
        <f>IF(OR(A128="",F128=""),"",A128&amp;"#"&amp;(COUNTIFS($A$5:$A$3004,A128,$F$5:$F$3004,"?*",$O$5:$O$3004,"&lt;"&amp;O128)+COUNTIFS($A$5:A128,A128,$F$5:F128,"?*",$O$5:O128,O128)))</f>
        <v/>
      </c>
      <c r="O128" s="54">
        <f>IF(A128="","",IF(C128="",0,C128))</f>
        <v/>
      </c>
    </row>
    <row r="129">
      <c r="A129" s="58" t="n"/>
      <c r="B129" s="49">
        <f>IF(A129="","",CHOOSE(WEEKDAY(A129,2),"Пн","Вт","Ср","Чт","Пт","Сб","Вс"))</f>
        <v/>
      </c>
      <c r="C129" s="59" t="n"/>
      <c r="D129" s="59" t="n"/>
      <c r="E129" s="60">
        <f>IF(OR(C129="",D129=""),"",MOD(D129-C129,1)*24)</f>
        <v/>
      </c>
      <c r="F129" s="50" t="n"/>
      <c r="G129" s="51" t="n"/>
      <c r="H129" s="51" t="n"/>
      <c r="I129" s="51" t="n"/>
      <c r="J129" s="51" t="n"/>
      <c r="K129" s="51" t="n"/>
      <c r="L129" s="54">
        <f>IF(OR(A129="",C129="",D129=""),"",IF(COUNTIFS($A$5:$A$3004,A129,$C$5:$C$3004,"&lt;"&amp;D129,$D$5:$D$3004,"&gt;"&amp;C129)&gt;1,"⚠️ пересечение",""))</f>
        <v/>
      </c>
      <c r="M129" s="54">
        <f>IF(F129="","",IF(J129="✅ Сделано","✔ ",IF(J129="❌ Пропущено","✖ ","⏰ "))&amp;IF(C129="","",RIGHT("0"&amp;HOUR(C129),2)&amp;":"&amp;RIGHT("0"&amp;MINUTE(C129),2)&amp;IF(D129="","","–"&amp;RIGHT("0"&amp;HOUR(D129),2)&amp;":"&amp;RIGHT("0"&amp;MINUTE(D129),2))&amp;" ")&amp;F129)</f>
        <v/>
      </c>
      <c r="N129" s="54">
        <f>IF(OR(A129="",F129=""),"",A129&amp;"#"&amp;(COUNTIFS($A$5:$A$3004,A129,$F$5:$F$3004,"?*",$O$5:$O$3004,"&lt;"&amp;O129)+COUNTIFS($A$5:A129,A129,$F$5:F129,"?*",$O$5:O129,O129)))</f>
        <v/>
      </c>
      <c r="O129" s="54">
        <f>IF(A129="","",IF(C129="",0,C129))</f>
        <v/>
      </c>
    </row>
    <row r="130">
      <c r="A130" s="58" t="n"/>
      <c r="B130" s="49">
        <f>IF(A130="","",CHOOSE(WEEKDAY(A130,2),"Пн","Вт","Ср","Чт","Пт","Сб","Вс"))</f>
        <v/>
      </c>
      <c r="C130" s="59" t="n"/>
      <c r="D130" s="59" t="n"/>
      <c r="E130" s="60">
        <f>IF(OR(C130="",D130=""),"",MOD(D130-C130,1)*24)</f>
        <v/>
      </c>
      <c r="F130" s="50" t="n"/>
      <c r="G130" s="51" t="n"/>
      <c r="H130" s="51" t="n"/>
      <c r="I130" s="51" t="n"/>
      <c r="J130" s="51" t="n"/>
      <c r="K130" s="51" t="n"/>
      <c r="L130" s="54">
        <f>IF(OR(A130="",C130="",D130=""),"",IF(COUNTIFS($A$5:$A$3004,A130,$C$5:$C$3004,"&lt;"&amp;D130,$D$5:$D$3004,"&gt;"&amp;C130)&gt;1,"⚠️ пересечение",""))</f>
        <v/>
      </c>
      <c r="M130" s="54">
        <f>IF(F130="","",IF(J130="✅ Сделано","✔ ",IF(J130="❌ Пропущено","✖ ","⏰ "))&amp;IF(C130="","",RIGHT("0"&amp;HOUR(C130),2)&amp;":"&amp;RIGHT("0"&amp;MINUTE(C130),2)&amp;IF(D130="","","–"&amp;RIGHT("0"&amp;HOUR(D130),2)&amp;":"&amp;RIGHT("0"&amp;MINUTE(D130),2))&amp;" ")&amp;F130)</f>
        <v/>
      </c>
      <c r="N130" s="54">
        <f>IF(OR(A130="",F130=""),"",A130&amp;"#"&amp;(COUNTIFS($A$5:$A$3004,A130,$F$5:$F$3004,"?*",$O$5:$O$3004,"&lt;"&amp;O130)+COUNTIFS($A$5:A130,A130,$F$5:F130,"?*",$O$5:O130,O130)))</f>
        <v/>
      </c>
      <c r="O130" s="54">
        <f>IF(A130="","",IF(C130="",0,C130))</f>
        <v/>
      </c>
    </row>
    <row r="131">
      <c r="A131" s="58" t="n"/>
      <c r="B131" s="49">
        <f>IF(A131="","",CHOOSE(WEEKDAY(A131,2),"Пн","Вт","Ср","Чт","Пт","Сб","Вс"))</f>
        <v/>
      </c>
      <c r="C131" s="59" t="n"/>
      <c r="D131" s="59" t="n"/>
      <c r="E131" s="60">
        <f>IF(OR(C131="",D131=""),"",MOD(D131-C131,1)*24)</f>
        <v/>
      </c>
      <c r="F131" s="50" t="n"/>
      <c r="G131" s="51" t="n"/>
      <c r="H131" s="51" t="n"/>
      <c r="I131" s="51" t="n"/>
      <c r="J131" s="51" t="n"/>
      <c r="K131" s="51" t="n"/>
      <c r="L131" s="54">
        <f>IF(OR(A131="",C131="",D131=""),"",IF(COUNTIFS($A$5:$A$3004,A131,$C$5:$C$3004,"&lt;"&amp;D131,$D$5:$D$3004,"&gt;"&amp;C131)&gt;1,"⚠️ пересечение",""))</f>
        <v/>
      </c>
      <c r="M131" s="54">
        <f>IF(F131="","",IF(J131="✅ Сделано","✔ ",IF(J131="❌ Пропущено","✖ ","⏰ "))&amp;IF(C131="","",RIGHT("0"&amp;HOUR(C131),2)&amp;":"&amp;RIGHT("0"&amp;MINUTE(C131),2)&amp;IF(D131="","","–"&amp;RIGHT("0"&amp;HOUR(D131),2)&amp;":"&amp;RIGHT("0"&amp;MINUTE(D131),2))&amp;" ")&amp;F131)</f>
        <v/>
      </c>
      <c r="N131" s="54">
        <f>IF(OR(A131="",F131=""),"",A131&amp;"#"&amp;(COUNTIFS($A$5:$A$3004,A131,$F$5:$F$3004,"?*",$O$5:$O$3004,"&lt;"&amp;O131)+COUNTIFS($A$5:A131,A131,$F$5:F131,"?*",$O$5:O131,O131)))</f>
        <v/>
      </c>
      <c r="O131" s="54">
        <f>IF(A131="","",IF(C131="",0,C131))</f>
        <v/>
      </c>
    </row>
    <row r="132">
      <c r="A132" s="58" t="n"/>
      <c r="B132" s="49">
        <f>IF(A132="","",CHOOSE(WEEKDAY(A132,2),"Пн","Вт","Ср","Чт","Пт","Сб","Вс"))</f>
        <v/>
      </c>
      <c r="C132" s="59" t="n"/>
      <c r="D132" s="59" t="n"/>
      <c r="E132" s="60">
        <f>IF(OR(C132="",D132=""),"",MOD(D132-C132,1)*24)</f>
        <v/>
      </c>
      <c r="F132" s="50" t="n"/>
      <c r="G132" s="51" t="n"/>
      <c r="H132" s="51" t="n"/>
      <c r="I132" s="51" t="n"/>
      <c r="J132" s="51" t="n"/>
      <c r="K132" s="51" t="n"/>
      <c r="L132" s="54">
        <f>IF(OR(A132="",C132="",D132=""),"",IF(COUNTIFS($A$5:$A$3004,A132,$C$5:$C$3004,"&lt;"&amp;D132,$D$5:$D$3004,"&gt;"&amp;C132)&gt;1,"⚠️ пересечение",""))</f>
        <v/>
      </c>
      <c r="M132" s="54">
        <f>IF(F132="","",IF(J132="✅ Сделано","✔ ",IF(J132="❌ Пропущено","✖ ","⏰ "))&amp;IF(C132="","",RIGHT("0"&amp;HOUR(C132),2)&amp;":"&amp;RIGHT("0"&amp;MINUTE(C132),2)&amp;IF(D132="","","–"&amp;RIGHT("0"&amp;HOUR(D132),2)&amp;":"&amp;RIGHT("0"&amp;MINUTE(D132),2))&amp;" ")&amp;F132)</f>
        <v/>
      </c>
      <c r="N132" s="54">
        <f>IF(OR(A132="",F132=""),"",A132&amp;"#"&amp;(COUNTIFS($A$5:$A$3004,A132,$F$5:$F$3004,"?*",$O$5:$O$3004,"&lt;"&amp;O132)+COUNTIFS($A$5:A132,A132,$F$5:F132,"?*",$O$5:O132,O132)))</f>
        <v/>
      </c>
      <c r="O132" s="54">
        <f>IF(A132="","",IF(C132="",0,C132))</f>
        <v/>
      </c>
    </row>
    <row r="133">
      <c r="A133" s="58" t="n"/>
      <c r="B133" s="49">
        <f>IF(A133="","",CHOOSE(WEEKDAY(A133,2),"Пн","Вт","Ср","Чт","Пт","Сб","Вс"))</f>
        <v/>
      </c>
      <c r="C133" s="59" t="n"/>
      <c r="D133" s="59" t="n"/>
      <c r="E133" s="60">
        <f>IF(OR(C133="",D133=""),"",MOD(D133-C133,1)*24)</f>
        <v/>
      </c>
      <c r="F133" s="50" t="n"/>
      <c r="G133" s="51" t="n"/>
      <c r="H133" s="51" t="n"/>
      <c r="I133" s="51" t="n"/>
      <c r="J133" s="51" t="n"/>
      <c r="K133" s="51" t="n"/>
      <c r="L133" s="54">
        <f>IF(OR(A133="",C133="",D133=""),"",IF(COUNTIFS($A$5:$A$3004,A133,$C$5:$C$3004,"&lt;"&amp;D133,$D$5:$D$3004,"&gt;"&amp;C133)&gt;1,"⚠️ пересечение",""))</f>
        <v/>
      </c>
      <c r="M133" s="54">
        <f>IF(F133="","",IF(J133="✅ Сделано","✔ ",IF(J133="❌ Пропущено","✖ ","⏰ "))&amp;IF(C133="","",RIGHT("0"&amp;HOUR(C133),2)&amp;":"&amp;RIGHT("0"&amp;MINUTE(C133),2)&amp;IF(D133="","","–"&amp;RIGHT("0"&amp;HOUR(D133),2)&amp;":"&amp;RIGHT("0"&amp;MINUTE(D133),2))&amp;" ")&amp;F133)</f>
        <v/>
      </c>
      <c r="N133" s="54">
        <f>IF(OR(A133="",F133=""),"",A133&amp;"#"&amp;(COUNTIFS($A$5:$A$3004,A133,$F$5:$F$3004,"?*",$O$5:$O$3004,"&lt;"&amp;O133)+COUNTIFS($A$5:A133,A133,$F$5:F133,"?*",$O$5:O133,O133)))</f>
        <v/>
      </c>
      <c r="O133" s="54">
        <f>IF(A133="","",IF(C133="",0,C133))</f>
        <v/>
      </c>
    </row>
    <row r="134">
      <c r="A134" s="58" t="n"/>
      <c r="B134" s="49">
        <f>IF(A134="","",CHOOSE(WEEKDAY(A134,2),"Пн","Вт","Ср","Чт","Пт","Сб","Вс"))</f>
        <v/>
      </c>
      <c r="C134" s="59" t="n"/>
      <c r="D134" s="59" t="n"/>
      <c r="E134" s="60">
        <f>IF(OR(C134="",D134=""),"",MOD(D134-C134,1)*24)</f>
        <v/>
      </c>
      <c r="F134" s="50" t="n"/>
      <c r="G134" s="51" t="n"/>
      <c r="H134" s="51" t="n"/>
      <c r="I134" s="51" t="n"/>
      <c r="J134" s="51" t="n"/>
      <c r="K134" s="51" t="n"/>
      <c r="L134" s="54">
        <f>IF(OR(A134="",C134="",D134=""),"",IF(COUNTIFS($A$5:$A$3004,A134,$C$5:$C$3004,"&lt;"&amp;D134,$D$5:$D$3004,"&gt;"&amp;C134)&gt;1,"⚠️ пересечение",""))</f>
        <v/>
      </c>
      <c r="M134" s="54">
        <f>IF(F134="","",IF(J134="✅ Сделано","✔ ",IF(J134="❌ Пропущено","✖ ","⏰ "))&amp;IF(C134="","",RIGHT("0"&amp;HOUR(C134),2)&amp;":"&amp;RIGHT("0"&amp;MINUTE(C134),2)&amp;IF(D134="","","–"&amp;RIGHT("0"&amp;HOUR(D134),2)&amp;":"&amp;RIGHT("0"&amp;MINUTE(D134),2))&amp;" ")&amp;F134)</f>
        <v/>
      </c>
      <c r="N134" s="54">
        <f>IF(OR(A134="",F134=""),"",A134&amp;"#"&amp;(COUNTIFS($A$5:$A$3004,A134,$F$5:$F$3004,"?*",$O$5:$O$3004,"&lt;"&amp;O134)+COUNTIFS($A$5:A134,A134,$F$5:F134,"?*",$O$5:O134,O134)))</f>
        <v/>
      </c>
      <c r="O134" s="54">
        <f>IF(A134="","",IF(C134="",0,C134))</f>
        <v/>
      </c>
    </row>
    <row r="135">
      <c r="A135" s="58" t="n"/>
      <c r="B135" s="49">
        <f>IF(A135="","",CHOOSE(WEEKDAY(A135,2),"Пн","Вт","Ср","Чт","Пт","Сб","Вс"))</f>
        <v/>
      </c>
      <c r="C135" s="59" t="n"/>
      <c r="D135" s="59" t="n"/>
      <c r="E135" s="60">
        <f>IF(OR(C135="",D135=""),"",MOD(D135-C135,1)*24)</f>
        <v/>
      </c>
      <c r="F135" s="50" t="n"/>
      <c r="G135" s="51" t="n"/>
      <c r="H135" s="51" t="n"/>
      <c r="I135" s="51" t="n"/>
      <c r="J135" s="51" t="n"/>
      <c r="K135" s="51" t="n"/>
      <c r="L135" s="54">
        <f>IF(OR(A135="",C135="",D135=""),"",IF(COUNTIFS($A$5:$A$3004,A135,$C$5:$C$3004,"&lt;"&amp;D135,$D$5:$D$3004,"&gt;"&amp;C135)&gt;1,"⚠️ пересечение",""))</f>
        <v/>
      </c>
      <c r="M135" s="54">
        <f>IF(F135="","",IF(J135="✅ Сделано","✔ ",IF(J135="❌ Пропущено","✖ ","⏰ "))&amp;IF(C135="","",RIGHT("0"&amp;HOUR(C135),2)&amp;":"&amp;RIGHT("0"&amp;MINUTE(C135),2)&amp;IF(D135="","","–"&amp;RIGHT("0"&amp;HOUR(D135),2)&amp;":"&amp;RIGHT("0"&amp;MINUTE(D135),2))&amp;" ")&amp;F135)</f>
        <v/>
      </c>
      <c r="N135" s="54">
        <f>IF(OR(A135="",F135=""),"",A135&amp;"#"&amp;(COUNTIFS($A$5:$A$3004,A135,$F$5:$F$3004,"?*",$O$5:$O$3004,"&lt;"&amp;O135)+COUNTIFS($A$5:A135,A135,$F$5:F135,"?*",$O$5:O135,O135)))</f>
        <v/>
      </c>
      <c r="O135" s="54">
        <f>IF(A135="","",IF(C135="",0,C135))</f>
        <v/>
      </c>
    </row>
    <row r="136">
      <c r="A136" s="58" t="n"/>
      <c r="B136" s="49">
        <f>IF(A136="","",CHOOSE(WEEKDAY(A136,2),"Пн","Вт","Ср","Чт","Пт","Сб","Вс"))</f>
        <v/>
      </c>
      <c r="C136" s="59" t="n"/>
      <c r="D136" s="59" t="n"/>
      <c r="E136" s="60">
        <f>IF(OR(C136="",D136=""),"",MOD(D136-C136,1)*24)</f>
        <v/>
      </c>
      <c r="F136" s="50" t="n"/>
      <c r="G136" s="51" t="n"/>
      <c r="H136" s="51" t="n"/>
      <c r="I136" s="51" t="n"/>
      <c r="J136" s="51" t="n"/>
      <c r="K136" s="51" t="n"/>
      <c r="L136" s="54">
        <f>IF(OR(A136="",C136="",D136=""),"",IF(COUNTIFS($A$5:$A$3004,A136,$C$5:$C$3004,"&lt;"&amp;D136,$D$5:$D$3004,"&gt;"&amp;C136)&gt;1,"⚠️ пересечение",""))</f>
        <v/>
      </c>
      <c r="M136" s="54">
        <f>IF(F136="","",IF(J136="✅ Сделано","✔ ",IF(J136="❌ Пропущено","✖ ","⏰ "))&amp;IF(C136="","",RIGHT("0"&amp;HOUR(C136),2)&amp;":"&amp;RIGHT("0"&amp;MINUTE(C136),2)&amp;IF(D136="","","–"&amp;RIGHT("0"&amp;HOUR(D136),2)&amp;":"&amp;RIGHT("0"&amp;MINUTE(D136),2))&amp;" ")&amp;F136)</f>
        <v/>
      </c>
      <c r="N136" s="54">
        <f>IF(OR(A136="",F136=""),"",A136&amp;"#"&amp;(COUNTIFS($A$5:$A$3004,A136,$F$5:$F$3004,"?*",$O$5:$O$3004,"&lt;"&amp;O136)+COUNTIFS($A$5:A136,A136,$F$5:F136,"?*",$O$5:O136,O136)))</f>
        <v/>
      </c>
      <c r="O136" s="54">
        <f>IF(A136="","",IF(C136="",0,C136))</f>
        <v/>
      </c>
    </row>
    <row r="137">
      <c r="A137" s="58" t="n"/>
      <c r="B137" s="49">
        <f>IF(A137="","",CHOOSE(WEEKDAY(A137,2),"Пн","Вт","Ср","Чт","Пт","Сб","Вс"))</f>
        <v/>
      </c>
      <c r="C137" s="59" t="n"/>
      <c r="D137" s="59" t="n"/>
      <c r="E137" s="60">
        <f>IF(OR(C137="",D137=""),"",MOD(D137-C137,1)*24)</f>
        <v/>
      </c>
      <c r="F137" s="50" t="n"/>
      <c r="G137" s="51" t="n"/>
      <c r="H137" s="51" t="n"/>
      <c r="I137" s="51" t="n"/>
      <c r="J137" s="51" t="n"/>
      <c r="K137" s="51" t="n"/>
      <c r="L137" s="54">
        <f>IF(OR(A137="",C137="",D137=""),"",IF(COUNTIFS($A$5:$A$3004,A137,$C$5:$C$3004,"&lt;"&amp;D137,$D$5:$D$3004,"&gt;"&amp;C137)&gt;1,"⚠️ пересечение",""))</f>
        <v/>
      </c>
      <c r="M137" s="54">
        <f>IF(F137="","",IF(J137="✅ Сделано","✔ ",IF(J137="❌ Пропущено","✖ ","⏰ "))&amp;IF(C137="","",RIGHT("0"&amp;HOUR(C137),2)&amp;":"&amp;RIGHT("0"&amp;MINUTE(C137),2)&amp;IF(D137="","","–"&amp;RIGHT("0"&amp;HOUR(D137),2)&amp;":"&amp;RIGHT("0"&amp;MINUTE(D137),2))&amp;" ")&amp;F137)</f>
        <v/>
      </c>
      <c r="N137" s="54">
        <f>IF(OR(A137="",F137=""),"",A137&amp;"#"&amp;(COUNTIFS($A$5:$A$3004,A137,$F$5:$F$3004,"?*",$O$5:$O$3004,"&lt;"&amp;O137)+COUNTIFS($A$5:A137,A137,$F$5:F137,"?*",$O$5:O137,O137)))</f>
        <v/>
      </c>
      <c r="O137" s="54">
        <f>IF(A137="","",IF(C137="",0,C137))</f>
        <v/>
      </c>
    </row>
    <row r="138">
      <c r="A138" s="58" t="n"/>
      <c r="B138" s="49">
        <f>IF(A138="","",CHOOSE(WEEKDAY(A138,2),"Пн","Вт","Ср","Чт","Пт","Сб","Вс"))</f>
        <v/>
      </c>
      <c r="C138" s="59" t="n"/>
      <c r="D138" s="59" t="n"/>
      <c r="E138" s="60">
        <f>IF(OR(C138="",D138=""),"",MOD(D138-C138,1)*24)</f>
        <v/>
      </c>
      <c r="F138" s="50" t="n"/>
      <c r="G138" s="51" t="n"/>
      <c r="H138" s="51" t="n"/>
      <c r="I138" s="51" t="n"/>
      <c r="J138" s="51" t="n"/>
      <c r="K138" s="51" t="n"/>
      <c r="L138" s="54">
        <f>IF(OR(A138="",C138="",D138=""),"",IF(COUNTIFS($A$5:$A$3004,A138,$C$5:$C$3004,"&lt;"&amp;D138,$D$5:$D$3004,"&gt;"&amp;C138)&gt;1,"⚠️ пересечение",""))</f>
        <v/>
      </c>
      <c r="M138" s="54">
        <f>IF(F138="","",IF(J138="✅ Сделано","✔ ",IF(J138="❌ Пропущено","✖ ","⏰ "))&amp;IF(C138="","",RIGHT("0"&amp;HOUR(C138),2)&amp;":"&amp;RIGHT("0"&amp;MINUTE(C138),2)&amp;IF(D138="","","–"&amp;RIGHT("0"&amp;HOUR(D138),2)&amp;":"&amp;RIGHT("0"&amp;MINUTE(D138),2))&amp;" ")&amp;F138)</f>
        <v/>
      </c>
      <c r="N138" s="54">
        <f>IF(OR(A138="",F138=""),"",A138&amp;"#"&amp;(COUNTIFS($A$5:$A$3004,A138,$F$5:$F$3004,"?*",$O$5:$O$3004,"&lt;"&amp;O138)+COUNTIFS($A$5:A138,A138,$F$5:F138,"?*",$O$5:O138,O138)))</f>
        <v/>
      </c>
      <c r="O138" s="54">
        <f>IF(A138="","",IF(C138="",0,C138))</f>
        <v/>
      </c>
    </row>
    <row r="139">
      <c r="A139" s="58" t="n"/>
      <c r="B139" s="49">
        <f>IF(A139="","",CHOOSE(WEEKDAY(A139,2),"Пн","Вт","Ср","Чт","Пт","Сб","Вс"))</f>
        <v/>
      </c>
      <c r="C139" s="59" t="n"/>
      <c r="D139" s="59" t="n"/>
      <c r="E139" s="60">
        <f>IF(OR(C139="",D139=""),"",MOD(D139-C139,1)*24)</f>
        <v/>
      </c>
      <c r="F139" s="50" t="n"/>
      <c r="G139" s="51" t="n"/>
      <c r="H139" s="51" t="n"/>
      <c r="I139" s="51" t="n"/>
      <c r="J139" s="51" t="n"/>
      <c r="K139" s="51" t="n"/>
      <c r="L139" s="54">
        <f>IF(OR(A139="",C139="",D139=""),"",IF(COUNTIFS($A$5:$A$3004,A139,$C$5:$C$3004,"&lt;"&amp;D139,$D$5:$D$3004,"&gt;"&amp;C139)&gt;1,"⚠️ пересечение",""))</f>
        <v/>
      </c>
      <c r="M139" s="54">
        <f>IF(F139="","",IF(J139="✅ Сделано","✔ ",IF(J139="❌ Пропущено","✖ ","⏰ "))&amp;IF(C139="","",RIGHT("0"&amp;HOUR(C139),2)&amp;":"&amp;RIGHT("0"&amp;MINUTE(C139),2)&amp;IF(D139="","","–"&amp;RIGHT("0"&amp;HOUR(D139),2)&amp;":"&amp;RIGHT("0"&amp;MINUTE(D139),2))&amp;" ")&amp;F139)</f>
        <v/>
      </c>
      <c r="N139" s="54">
        <f>IF(OR(A139="",F139=""),"",A139&amp;"#"&amp;(COUNTIFS($A$5:$A$3004,A139,$F$5:$F$3004,"?*",$O$5:$O$3004,"&lt;"&amp;O139)+COUNTIFS($A$5:A139,A139,$F$5:F139,"?*",$O$5:O139,O139)))</f>
        <v/>
      </c>
      <c r="O139" s="54">
        <f>IF(A139="","",IF(C139="",0,C139))</f>
        <v/>
      </c>
    </row>
    <row r="140">
      <c r="A140" s="58" t="n"/>
      <c r="B140" s="49">
        <f>IF(A140="","",CHOOSE(WEEKDAY(A140,2),"Пн","Вт","Ср","Чт","Пт","Сб","Вс"))</f>
        <v/>
      </c>
      <c r="C140" s="59" t="n"/>
      <c r="D140" s="59" t="n"/>
      <c r="E140" s="60">
        <f>IF(OR(C140="",D140=""),"",MOD(D140-C140,1)*24)</f>
        <v/>
      </c>
      <c r="F140" s="50" t="n"/>
      <c r="G140" s="51" t="n"/>
      <c r="H140" s="51" t="n"/>
      <c r="I140" s="51" t="n"/>
      <c r="J140" s="51" t="n"/>
      <c r="K140" s="51" t="n"/>
      <c r="L140" s="54">
        <f>IF(OR(A140="",C140="",D140=""),"",IF(COUNTIFS($A$5:$A$3004,A140,$C$5:$C$3004,"&lt;"&amp;D140,$D$5:$D$3004,"&gt;"&amp;C140)&gt;1,"⚠️ пересечение",""))</f>
        <v/>
      </c>
      <c r="M140" s="54">
        <f>IF(F140="","",IF(J140="✅ Сделано","✔ ",IF(J140="❌ Пропущено","✖ ","⏰ "))&amp;IF(C140="","",RIGHT("0"&amp;HOUR(C140),2)&amp;":"&amp;RIGHT("0"&amp;MINUTE(C140),2)&amp;IF(D140="","","–"&amp;RIGHT("0"&amp;HOUR(D140),2)&amp;":"&amp;RIGHT("0"&amp;MINUTE(D140),2))&amp;" ")&amp;F140)</f>
        <v/>
      </c>
      <c r="N140" s="54">
        <f>IF(OR(A140="",F140=""),"",A140&amp;"#"&amp;(COUNTIFS($A$5:$A$3004,A140,$F$5:$F$3004,"?*",$O$5:$O$3004,"&lt;"&amp;O140)+COUNTIFS($A$5:A140,A140,$F$5:F140,"?*",$O$5:O140,O140)))</f>
        <v/>
      </c>
      <c r="O140" s="54">
        <f>IF(A140="","",IF(C140="",0,C140))</f>
        <v/>
      </c>
    </row>
    <row r="141">
      <c r="A141" s="58" t="n"/>
      <c r="B141" s="49">
        <f>IF(A141="","",CHOOSE(WEEKDAY(A141,2),"Пн","Вт","Ср","Чт","Пт","Сб","Вс"))</f>
        <v/>
      </c>
      <c r="C141" s="59" t="n"/>
      <c r="D141" s="59" t="n"/>
      <c r="E141" s="60">
        <f>IF(OR(C141="",D141=""),"",MOD(D141-C141,1)*24)</f>
        <v/>
      </c>
      <c r="F141" s="50" t="n"/>
      <c r="G141" s="51" t="n"/>
      <c r="H141" s="51" t="n"/>
      <c r="I141" s="51" t="n"/>
      <c r="J141" s="51" t="n"/>
      <c r="K141" s="51" t="n"/>
      <c r="L141" s="54">
        <f>IF(OR(A141="",C141="",D141=""),"",IF(COUNTIFS($A$5:$A$3004,A141,$C$5:$C$3004,"&lt;"&amp;D141,$D$5:$D$3004,"&gt;"&amp;C141)&gt;1,"⚠️ пересечение",""))</f>
        <v/>
      </c>
      <c r="M141" s="54">
        <f>IF(F141="","",IF(J141="✅ Сделано","✔ ",IF(J141="❌ Пропущено","✖ ","⏰ "))&amp;IF(C141="","",RIGHT("0"&amp;HOUR(C141),2)&amp;":"&amp;RIGHT("0"&amp;MINUTE(C141),2)&amp;IF(D141="","","–"&amp;RIGHT("0"&amp;HOUR(D141),2)&amp;":"&amp;RIGHT("0"&amp;MINUTE(D141),2))&amp;" ")&amp;F141)</f>
        <v/>
      </c>
      <c r="N141" s="54">
        <f>IF(OR(A141="",F141=""),"",A141&amp;"#"&amp;(COUNTIFS($A$5:$A$3004,A141,$F$5:$F$3004,"?*",$O$5:$O$3004,"&lt;"&amp;O141)+COUNTIFS($A$5:A141,A141,$F$5:F141,"?*",$O$5:O141,O141)))</f>
        <v/>
      </c>
      <c r="O141" s="54">
        <f>IF(A141="","",IF(C141="",0,C141))</f>
        <v/>
      </c>
    </row>
    <row r="142">
      <c r="A142" s="58" t="n"/>
      <c r="B142" s="49">
        <f>IF(A142="","",CHOOSE(WEEKDAY(A142,2),"Пн","Вт","Ср","Чт","Пт","Сб","Вс"))</f>
        <v/>
      </c>
      <c r="C142" s="59" t="n"/>
      <c r="D142" s="59" t="n"/>
      <c r="E142" s="60">
        <f>IF(OR(C142="",D142=""),"",MOD(D142-C142,1)*24)</f>
        <v/>
      </c>
      <c r="F142" s="50" t="n"/>
      <c r="G142" s="51" t="n"/>
      <c r="H142" s="51" t="n"/>
      <c r="I142" s="51" t="n"/>
      <c r="J142" s="51" t="n"/>
      <c r="K142" s="51" t="n"/>
      <c r="L142" s="54">
        <f>IF(OR(A142="",C142="",D142=""),"",IF(COUNTIFS($A$5:$A$3004,A142,$C$5:$C$3004,"&lt;"&amp;D142,$D$5:$D$3004,"&gt;"&amp;C142)&gt;1,"⚠️ пересечение",""))</f>
        <v/>
      </c>
      <c r="M142" s="54">
        <f>IF(F142="","",IF(J142="✅ Сделано","✔ ",IF(J142="❌ Пропущено","✖ ","⏰ "))&amp;IF(C142="","",RIGHT("0"&amp;HOUR(C142),2)&amp;":"&amp;RIGHT("0"&amp;MINUTE(C142),2)&amp;IF(D142="","","–"&amp;RIGHT("0"&amp;HOUR(D142),2)&amp;":"&amp;RIGHT("0"&amp;MINUTE(D142),2))&amp;" ")&amp;F142)</f>
        <v/>
      </c>
      <c r="N142" s="54">
        <f>IF(OR(A142="",F142=""),"",A142&amp;"#"&amp;(COUNTIFS($A$5:$A$3004,A142,$F$5:$F$3004,"?*",$O$5:$O$3004,"&lt;"&amp;O142)+COUNTIFS($A$5:A142,A142,$F$5:F142,"?*",$O$5:O142,O142)))</f>
        <v/>
      </c>
      <c r="O142" s="54">
        <f>IF(A142="","",IF(C142="",0,C142))</f>
        <v/>
      </c>
    </row>
    <row r="143">
      <c r="A143" s="58" t="n"/>
      <c r="B143" s="49">
        <f>IF(A143="","",CHOOSE(WEEKDAY(A143,2),"Пн","Вт","Ср","Чт","Пт","Сб","Вс"))</f>
        <v/>
      </c>
      <c r="C143" s="59" t="n"/>
      <c r="D143" s="59" t="n"/>
      <c r="E143" s="60">
        <f>IF(OR(C143="",D143=""),"",MOD(D143-C143,1)*24)</f>
        <v/>
      </c>
      <c r="F143" s="50" t="n"/>
      <c r="G143" s="51" t="n"/>
      <c r="H143" s="51" t="n"/>
      <c r="I143" s="51" t="n"/>
      <c r="J143" s="51" t="n"/>
      <c r="K143" s="51" t="n"/>
      <c r="L143" s="54">
        <f>IF(OR(A143="",C143="",D143=""),"",IF(COUNTIFS($A$5:$A$3004,A143,$C$5:$C$3004,"&lt;"&amp;D143,$D$5:$D$3004,"&gt;"&amp;C143)&gt;1,"⚠️ пересечение",""))</f>
        <v/>
      </c>
      <c r="M143" s="54">
        <f>IF(F143="","",IF(J143="✅ Сделано","✔ ",IF(J143="❌ Пропущено","✖ ","⏰ "))&amp;IF(C143="","",RIGHT("0"&amp;HOUR(C143),2)&amp;":"&amp;RIGHT("0"&amp;MINUTE(C143),2)&amp;IF(D143="","","–"&amp;RIGHT("0"&amp;HOUR(D143),2)&amp;":"&amp;RIGHT("0"&amp;MINUTE(D143),2))&amp;" ")&amp;F143)</f>
        <v/>
      </c>
      <c r="N143" s="54">
        <f>IF(OR(A143="",F143=""),"",A143&amp;"#"&amp;(COUNTIFS($A$5:$A$3004,A143,$F$5:$F$3004,"?*",$O$5:$O$3004,"&lt;"&amp;O143)+COUNTIFS($A$5:A143,A143,$F$5:F143,"?*",$O$5:O143,O143)))</f>
        <v/>
      </c>
      <c r="O143" s="54">
        <f>IF(A143="","",IF(C143="",0,C143))</f>
        <v/>
      </c>
    </row>
    <row r="144">
      <c r="A144" s="58" t="n"/>
      <c r="B144" s="49">
        <f>IF(A144="","",CHOOSE(WEEKDAY(A144,2),"Пн","Вт","Ср","Чт","Пт","Сб","Вс"))</f>
        <v/>
      </c>
      <c r="C144" s="59" t="n"/>
      <c r="D144" s="59" t="n"/>
      <c r="E144" s="60">
        <f>IF(OR(C144="",D144=""),"",MOD(D144-C144,1)*24)</f>
        <v/>
      </c>
      <c r="F144" s="50" t="n"/>
      <c r="G144" s="51" t="n"/>
      <c r="H144" s="51" t="n"/>
      <c r="I144" s="51" t="n"/>
      <c r="J144" s="51" t="n"/>
      <c r="K144" s="51" t="n"/>
      <c r="L144" s="54">
        <f>IF(OR(A144="",C144="",D144=""),"",IF(COUNTIFS($A$5:$A$3004,A144,$C$5:$C$3004,"&lt;"&amp;D144,$D$5:$D$3004,"&gt;"&amp;C144)&gt;1,"⚠️ пересечение",""))</f>
        <v/>
      </c>
      <c r="M144" s="54">
        <f>IF(F144="","",IF(J144="✅ Сделано","✔ ",IF(J144="❌ Пропущено","✖ ","⏰ "))&amp;IF(C144="","",RIGHT("0"&amp;HOUR(C144),2)&amp;":"&amp;RIGHT("0"&amp;MINUTE(C144),2)&amp;IF(D144="","","–"&amp;RIGHT("0"&amp;HOUR(D144),2)&amp;":"&amp;RIGHT("0"&amp;MINUTE(D144),2))&amp;" ")&amp;F144)</f>
        <v/>
      </c>
      <c r="N144" s="54">
        <f>IF(OR(A144="",F144=""),"",A144&amp;"#"&amp;(COUNTIFS($A$5:$A$3004,A144,$F$5:$F$3004,"?*",$O$5:$O$3004,"&lt;"&amp;O144)+COUNTIFS($A$5:A144,A144,$F$5:F144,"?*",$O$5:O144,O144)))</f>
        <v/>
      </c>
      <c r="O144" s="54">
        <f>IF(A144="","",IF(C144="",0,C144))</f>
        <v/>
      </c>
    </row>
    <row r="145">
      <c r="A145" s="58" t="n"/>
      <c r="B145" s="49">
        <f>IF(A145="","",CHOOSE(WEEKDAY(A145,2),"Пн","Вт","Ср","Чт","Пт","Сб","Вс"))</f>
        <v/>
      </c>
      <c r="C145" s="59" t="n"/>
      <c r="D145" s="59" t="n"/>
      <c r="E145" s="60">
        <f>IF(OR(C145="",D145=""),"",MOD(D145-C145,1)*24)</f>
        <v/>
      </c>
      <c r="F145" s="50" t="n"/>
      <c r="G145" s="51" t="n"/>
      <c r="H145" s="51" t="n"/>
      <c r="I145" s="51" t="n"/>
      <c r="J145" s="51" t="n"/>
      <c r="K145" s="51" t="n"/>
      <c r="L145" s="54">
        <f>IF(OR(A145="",C145="",D145=""),"",IF(COUNTIFS($A$5:$A$3004,A145,$C$5:$C$3004,"&lt;"&amp;D145,$D$5:$D$3004,"&gt;"&amp;C145)&gt;1,"⚠️ пересечение",""))</f>
        <v/>
      </c>
      <c r="M145" s="54">
        <f>IF(F145="","",IF(J145="✅ Сделано","✔ ",IF(J145="❌ Пропущено","✖ ","⏰ "))&amp;IF(C145="","",RIGHT("0"&amp;HOUR(C145),2)&amp;":"&amp;RIGHT("0"&amp;MINUTE(C145),2)&amp;IF(D145="","","–"&amp;RIGHT("0"&amp;HOUR(D145),2)&amp;":"&amp;RIGHT("0"&amp;MINUTE(D145),2))&amp;" ")&amp;F145)</f>
        <v/>
      </c>
      <c r="N145" s="54">
        <f>IF(OR(A145="",F145=""),"",A145&amp;"#"&amp;(COUNTIFS($A$5:$A$3004,A145,$F$5:$F$3004,"?*",$O$5:$O$3004,"&lt;"&amp;O145)+COUNTIFS($A$5:A145,A145,$F$5:F145,"?*",$O$5:O145,O145)))</f>
        <v/>
      </c>
      <c r="O145" s="54">
        <f>IF(A145="","",IF(C145="",0,C145))</f>
        <v/>
      </c>
    </row>
    <row r="146">
      <c r="A146" s="58" t="n"/>
      <c r="B146" s="49">
        <f>IF(A146="","",CHOOSE(WEEKDAY(A146,2),"Пн","Вт","Ср","Чт","Пт","Сб","Вс"))</f>
        <v/>
      </c>
      <c r="C146" s="59" t="n"/>
      <c r="D146" s="59" t="n"/>
      <c r="E146" s="60">
        <f>IF(OR(C146="",D146=""),"",MOD(D146-C146,1)*24)</f>
        <v/>
      </c>
      <c r="F146" s="50" t="n"/>
      <c r="G146" s="51" t="n"/>
      <c r="H146" s="51" t="n"/>
      <c r="I146" s="51" t="n"/>
      <c r="J146" s="51" t="n"/>
      <c r="K146" s="51" t="n"/>
      <c r="L146" s="54">
        <f>IF(OR(A146="",C146="",D146=""),"",IF(COUNTIFS($A$5:$A$3004,A146,$C$5:$C$3004,"&lt;"&amp;D146,$D$5:$D$3004,"&gt;"&amp;C146)&gt;1,"⚠️ пересечение",""))</f>
        <v/>
      </c>
      <c r="M146" s="54">
        <f>IF(F146="","",IF(J146="✅ Сделано","✔ ",IF(J146="❌ Пропущено","✖ ","⏰ "))&amp;IF(C146="","",RIGHT("0"&amp;HOUR(C146),2)&amp;":"&amp;RIGHT("0"&amp;MINUTE(C146),2)&amp;IF(D146="","","–"&amp;RIGHT("0"&amp;HOUR(D146),2)&amp;":"&amp;RIGHT("0"&amp;MINUTE(D146),2))&amp;" ")&amp;F146)</f>
        <v/>
      </c>
      <c r="N146" s="54">
        <f>IF(OR(A146="",F146=""),"",A146&amp;"#"&amp;(COUNTIFS($A$5:$A$3004,A146,$F$5:$F$3004,"?*",$O$5:$O$3004,"&lt;"&amp;O146)+COUNTIFS($A$5:A146,A146,$F$5:F146,"?*",$O$5:O146,O146)))</f>
        <v/>
      </c>
      <c r="O146" s="54">
        <f>IF(A146="","",IF(C146="",0,C146))</f>
        <v/>
      </c>
    </row>
    <row r="147">
      <c r="A147" s="58" t="n"/>
      <c r="B147" s="49">
        <f>IF(A147="","",CHOOSE(WEEKDAY(A147,2),"Пн","Вт","Ср","Чт","Пт","Сб","Вс"))</f>
        <v/>
      </c>
      <c r="C147" s="59" t="n"/>
      <c r="D147" s="59" t="n"/>
      <c r="E147" s="60">
        <f>IF(OR(C147="",D147=""),"",MOD(D147-C147,1)*24)</f>
        <v/>
      </c>
      <c r="F147" s="50" t="n"/>
      <c r="G147" s="51" t="n"/>
      <c r="H147" s="51" t="n"/>
      <c r="I147" s="51" t="n"/>
      <c r="J147" s="51" t="n"/>
      <c r="K147" s="51" t="n"/>
      <c r="L147" s="54">
        <f>IF(OR(A147="",C147="",D147=""),"",IF(COUNTIFS($A$5:$A$3004,A147,$C$5:$C$3004,"&lt;"&amp;D147,$D$5:$D$3004,"&gt;"&amp;C147)&gt;1,"⚠️ пересечение",""))</f>
        <v/>
      </c>
      <c r="M147" s="54">
        <f>IF(F147="","",IF(J147="✅ Сделано","✔ ",IF(J147="❌ Пропущено","✖ ","⏰ "))&amp;IF(C147="","",RIGHT("0"&amp;HOUR(C147),2)&amp;":"&amp;RIGHT("0"&amp;MINUTE(C147),2)&amp;IF(D147="","","–"&amp;RIGHT("0"&amp;HOUR(D147),2)&amp;":"&amp;RIGHT("0"&amp;MINUTE(D147),2))&amp;" ")&amp;F147)</f>
        <v/>
      </c>
      <c r="N147" s="54">
        <f>IF(OR(A147="",F147=""),"",A147&amp;"#"&amp;(COUNTIFS($A$5:$A$3004,A147,$F$5:$F$3004,"?*",$O$5:$O$3004,"&lt;"&amp;O147)+COUNTIFS($A$5:A147,A147,$F$5:F147,"?*",$O$5:O147,O147)))</f>
        <v/>
      </c>
      <c r="O147" s="54">
        <f>IF(A147="","",IF(C147="",0,C147))</f>
        <v/>
      </c>
    </row>
    <row r="148">
      <c r="A148" s="58" t="n"/>
      <c r="B148" s="49">
        <f>IF(A148="","",CHOOSE(WEEKDAY(A148,2),"Пн","Вт","Ср","Чт","Пт","Сб","Вс"))</f>
        <v/>
      </c>
      <c r="C148" s="59" t="n"/>
      <c r="D148" s="59" t="n"/>
      <c r="E148" s="60">
        <f>IF(OR(C148="",D148=""),"",MOD(D148-C148,1)*24)</f>
        <v/>
      </c>
      <c r="F148" s="50" t="n"/>
      <c r="G148" s="51" t="n"/>
      <c r="H148" s="51" t="n"/>
      <c r="I148" s="51" t="n"/>
      <c r="J148" s="51" t="n"/>
      <c r="K148" s="51" t="n"/>
      <c r="L148" s="54">
        <f>IF(OR(A148="",C148="",D148=""),"",IF(COUNTIFS($A$5:$A$3004,A148,$C$5:$C$3004,"&lt;"&amp;D148,$D$5:$D$3004,"&gt;"&amp;C148)&gt;1,"⚠️ пересечение",""))</f>
        <v/>
      </c>
      <c r="M148" s="54">
        <f>IF(F148="","",IF(J148="✅ Сделано","✔ ",IF(J148="❌ Пропущено","✖ ","⏰ "))&amp;IF(C148="","",RIGHT("0"&amp;HOUR(C148),2)&amp;":"&amp;RIGHT("0"&amp;MINUTE(C148),2)&amp;IF(D148="","","–"&amp;RIGHT("0"&amp;HOUR(D148),2)&amp;":"&amp;RIGHT("0"&amp;MINUTE(D148),2))&amp;" ")&amp;F148)</f>
        <v/>
      </c>
      <c r="N148" s="54">
        <f>IF(OR(A148="",F148=""),"",A148&amp;"#"&amp;(COUNTIFS($A$5:$A$3004,A148,$F$5:$F$3004,"?*",$O$5:$O$3004,"&lt;"&amp;O148)+COUNTIFS($A$5:A148,A148,$F$5:F148,"?*",$O$5:O148,O148)))</f>
        <v/>
      </c>
      <c r="O148" s="54">
        <f>IF(A148="","",IF(C148="",0,C148))</f>
        <v/>
      </c>
    </row>
    <row r="149">
      <c r="A149" s="58" t="n"/>
      <c r="B149" s="49">
        <f>IF(A149="","",CHOOSE(WEEKDAY(A149,2),"Пн","Вт","Ср","Чт","Пт","Сб","Вс"))</f>
        <v/>
      </c>
      <c r="C149" s="59" t="n"/>
      <c r="D149" s="59" t="n"/>
      <c r="E149" s="60">
        <f>IF(OR(C149="",D149=""),"",MOD(D149-C149,1)*24)</f>
        <v/>
      </c>
      <c r="F149" s="50" t="n"/>
      <c r="G149" s="51" t="n"/>
      <c r="H149" s="51" t="n"/>
      <c r="I149" s="51" t="n"/>
      <c r="J149" s="51" t="n"/>
      <c r="K149" s="51" t="n"/>
      <c r="L149" s="54">
        <f>IF(OR(A149="",C149="",D149=""),"",IF(COUNTIFS($A$5:$A$3004,A149,$C$5:$C$3004,"&lt;"&amp;D149,$D$5:$D$3004,"&gt;"&amp;C149)&gt;1,"⚠️ пересечение",""))</f>
        <v/>
      </c>
      <c r="M149" s="54">
        <f>IF(F149="","",IF(J149="✅ Сделано","✔ ",IF(J149="❌ Пропущено","✖ ","⏰ "))&amp;IF(C149="","",RIGHT("0"&amp;HOUR(C149),2)&amp;":"&amp;RIGHT("0"&amp;MINUTE(C149),2)&amp;IF(D149="","","–"&amp;RIGHT("0"&amp;HOUR(D149),2)&amp;":"&amp;RIGHT("0"&amp;MINUTE(D149),2))&amp;" ")&amp;F149)</f>
        <v/>
      </c>
      <c r="N149" s="54">
        <f>IF(OR(A149="",F149=""),"",A149&amp;"#"&amp;(COUNTIFS($A$5:$A$3004,A149,$F$5:$F$3004,"?*",$O$5:$O$3004,"&lt;"&amp;O149)+COUNTIFS($A$5:A149,A149,$F$5:F149,"?*",$O$5:O149,O149)))</f>
        <v/>
      </c>
      <c r="O149" s="54">
        <f>IF(A149="","",IF(C149="",0,C149))</f>
        <v/>
      </c>
    </row>
    <row r="150">
      <c r="A150" s="58" t="n"/>
      <c r="B150" s="49">
        <f>IF(A150="","",CHOOSE(WEEKDAY(A150,2),"Пн","Вт","Ср","Чт","Пт","Сб","Вс"))</f>
        <v/>
      </c>
      <c r="C150" s="59" t="n"/>
      <c r="D150" s="59" t="n"/>
      <c r="E150" s="60">
        <f>IF(OR(C150="",D150=""),"",MOD(D150-C150,1)*24)</f>
        <v/>
      </c>
      <c r="F150" s="50" t="n"/>
      <c r="G150" s="51" t="n"/>
      <c r="H150" s="51" t="n"/>
      <c r="I150" s="51" t="n"/>
      <c r="J150" s="51" t="n"/>
      <c r="K150" s="51" t="n"/>
      <c r="L150" s="54">
        <f>IF(OR(A150="",C150="",D150=""),"",IF(COUNTIFS($A$5:$A$3004,A150,$C$5:$C$3004,"&lt;"&amp;D150,$D$5:$D$3004,"&gt;"&amp;C150)&gt;1,"⚠️ пересечение",""))</f>
        <v/>
      </c>
      <c r="M150" s="54">
        <f>IF(F150="","",IF(J150="✅ Сделано","✔ ",IF(J150="❌ Пропущено","✖ ","⏰ "))&amp;IF(C150="","",RIGHT("0"&amp;HOUR(C150),2)&amp;":"&amp;RIGHT("0"&amp;MINUTE(C150),2)&amp;IF(D150="","","–"&amp;RIGHT("0"&amp;HOUR(D150),2)&amp;":"&amp;RIGHT("0"&amp;MINUTE(D150),2))&amp;" ")&amp;F150)</f>
        <v/>
      </c>
      <c r="N150" s="54">
        <f>IF(OR(A150="",F150=""),"",A150&amp;"#"&amp;(COUNTIFS($A$5:$A$3004,A150,$F$5:$F$3004,"?*",$O$5:$O$3004,"&lt;"&amp;O150)+COUNTIFS($A$5:A150,A150,$F$5:F150,"?*",$O$5:O150,O150)))</f>
        <v/>
      </c>
      <c r="O150" s="54">
        <f>IF(A150="","",IF(C150="",0,C150))</f>
        <v/>
      </c>
    </row>
    <row r="151">
      <c r="A151" s="58" t="n"/>
      <c r="B151" s="49">
        <f>IF(A151="","",CHOOSE(WEEKDAY(A151,2),"Пн","Вт","Ср","Чт","Пт","Сб","Вс"))</f>
        <v/>
      </c>
      <c r="C151" s="59" t="n"/>
      <c r="D151" s="59" t="n"/>
      <c r="E151" s="60">
        <f>IF(OR(C151="",D151=""),"",MOD(D151-C151,1)*24)</f>
        <v/>
      </c>
      <c r="F151" s="50" t="n"/>
      <c r="G151" s="51" t="n"/>
      <c r="H151" s="51" t="n"/>
      <c r="I151" s="51" t="n"/>
      <c r="J151" s="51" t="n"/>
      <c r="K151" s="51" t="n"/>
      <c r="L151" s="54">
        <f>IF(OR(A151="",C151="",D151=""),"",IF(COUNTIFS($A$5:$A$3004,A151,$C$5:$C$3004,"&lt;"&amp;D151,$D$5:$D$3004,"&gt;"&amp;C151)&gt;1,"⚠️ пересечение",""))</f>
        <v/>
      </c>
      <c r="M151" s="54">
        <f>IF(F151="","",IF(J151="✅ Сделано","✔ ",IF(J151="❌ Пропущено","✖ ","⏰ "))&amp;IF(C151="","",RIGHT("0"&amp;HOUR(C151),2)&amp;":"&amp;RIGHT("0"&amp;MINUTE(C151),2)&amp;IF(D151="","","–"&amp;RIGHT("0"&amp;HOUR(D151),2)&amp;":"&amp;RIGHT("0"&amp;MINUTE(D151),2))&amp;" ")&amp;F151)</f>
        <v/>
      </c>
      <c r="N151" s="54">
        <f>IF(OR(A151="",F151=""),"",A151&amp;"#"&amp;(COUNTIFS($A$5:$A$3004,A151,$F$5:$F$3004,"?*",$O$5:$O$3004,"&lt;"&amp;O151)+COUNTIFS($A$5:A151,A151,$F$5:F151,"?*",$O$5:O151,O151)))</f>
        <v/>
      </c>
      <c r="O151" s="54">
        <f>IF(A151="","",IF(C151="",0,C151))</f>
        <v/>
      </c>
    </row>
    <row r="152">
      <c r="A152" s="58" t="n"/>
      <c r="B152" s="49">
        <f>IF(A152="","",CHOOSE(WEEKDAY(A152,2),"Пн","Вт","Ср","Чт","Пт","Сб","Вс"))</f>
        <v/>
      </c>
      <c r="C152" s="59" t="n"/>
      <c r="D152" s="59" t="n"/>
      <c r="E152" s="60">
        <f>IF(OR(C152="",D152=""),"",MOD(D152-C152,1)*24)</f>
        <v/>
      </c>
      <c r="F152" s="50" t="n"/>
      <c r="G152" s="51" t="n"/>
      <c r="H152" s="51" t="n"/>
      <c r="I152" s="51" t="n"/>
      <c r="J152" s="51" t="n"/>
      <c r="K152" s="51" t="n"/>
      <c r="L152" s="54">
        <f>IF(OR(A152="",C152="",D152=""),"",IF(COUNTIFS($A$5:$A$3004,A152,$C$5:$C$3004,"&lt;"&amp;D152,$D$5:$D$3004,"&gt;"&amp;C152)&gt;1,"⚠️ пересечение",""))</f>
        <v/>
      </c>
      <c r="M152" s="54">
        <f>IF(F152="","",IF(J152="✅ Сделано","✔ ",IF(J152="❌ Пропущено","✖ ","⏰ "))&amp;IF(C152="","",RIGHT("0"&amp;HOUR(C152),2)&amp;":"&amp;RIGHT("0"&amp;MINUTE(C152),2)&amp;IF(D152="","","–"&amp;RIGHT("0"&amp;HOUR(D152),2)&amp;":"&amp;RIGHT("0"&amp;MINUTE(D152),2))&amp;" ")&amp;F152)</f>
        <v/>
      </c>
      <c r="N152" s="54">
        <f>IF(OR(A152="",F152=""),"",A152&amp;"#"&amp;(COUNTIFS($A$5:$A$3004,A152,$F$5:$F$3004,"?*",$O$5:$O$3004,"&lt;"&amp;O152)+COUNTIFS($A$5:A152,A152,$F$5:F152,"?*",$O$5:O152,O152)))</f>
        <v/>
      </c>
      <c r="O152" s="54">
        <f>IF(A152="","",IF(C152="",0,C152))</f>
        <v/>
      </c>
    </row>
    <row r="153">
      <c r="A153" s="58" t="n"/>
      <c r="B153" s="49">
        <f>IF(A153="","",CHOOSE(WEEKDAY(A153,2),"Пн","Вт","Ср","Чт","Пт","Сб","Вс"))</f>
        <v/>
      </c>
      <c r="C153" s="59" t="n"/>
      <c r="D153" s="59" t="n"/>
      <c r="E153" s="60">
        <f>IF(OR(C153="",D153=""),"",MOD(D153-C153,1)*24)</f>
        <v/>
      </c>
      <c r="F153" s="50" t="n"/>
      <c r="G153" s="51" t="n"/>
      <c r="H153" s="51" t="n"/>
      <c r="I153" s="51" t="n"/>
      <c r="J153" s="51" t="n"/>
      <c r="K153" s="51" t="n"/>
      <c r="L153" s="54">
        <f>IF(OR(A153="",C153="",D153=""),"",IF(COUNTIFS($A$5:$A$3004,A153,$C$5:$C$3004,"&lt;"&amp;D153,$D$5:$D$3004,"&gt;"&amp;C153)&gt;1,"⚠️ пересечение",""))</f>
        <v/>
      </c>
      <c r="M153" s="54">
        <f>IF(F153="","",IF(J153="✅ Сделано","✔ ",IF(J153="❌ Пропущено","✖ ","⏰ "))&amp;IF(C153="","",RIGHT("0"&amp;HOUR(C153),2)&amp;":"&amp;RIGHT("0"&amp;MINUTE(C153),2)&amp;IF(D153="","","–"&amp;RIGHT("0"&amp;HOUR(D153),2)&amp;":"&amp;RIGHT("0"&amp;MINUTE(D153),2))&amp;" ")&amp;F153)</f>
        <v/>
      </c>
      <c r="N153" s="54">
        <f>IF(OR(A153="",F153=""),"",A153&amp;"#"&amp;(COUNTIFS($A$5:$A$3004,A153,$F$5:$F$3004,"?*",$O$5:$O$3004,"&lt;"&amp;O153)+COUNTIFS($A$5:A153,A153,$F$5:F153,"?*",$O$5:O153,O153)))</f>
        <v/>
      </c>
      <c r="O153" s="54">
        <f>IF(A153="","",IF(C153="",0,C153))</f>
        <v/>
      </c>
    </row>
    <row r="154">
      <c r="A154" s="58" t="n"/>
      <c r="B154" s="49">
        <f>IF(A154="","",CHOOSE(WEEKDAY(A154,2),"Пн","Вт","Ср","Чт","Пт","Сб","Вс"))</f>
        <v/>
      </c>
      <c r="C154" s="59" t="n"/>
      <c r="D154" s="59" t="n"/>
      <c r="E154" s="60">
        <f>IF(OR(C154="",D154=""),"",MOD(D154-C154,1)*24)</f>
        <v/>
      </c>
      <c r="F154" s="50" t="n"/>
      <c r="G154" s="51" t="n"/>
      <c r="H154" s="51" t="n"/>
      <c r="I154" s="51" t="n"/>
      <c r="J154" s="51" t="n"/>
      <c r="K154" s="51" t="n"/>
      <c r="L154" s="54">
        <f>IF(OR(A154="",C154="",D154=""),"",IF(COUNTIFS($A$5:$A$3004,A154,$C$5:$C$3004,"&lt;"&amp;D154,$D$5:$D$3004,"&gt;"&amp;C154)&gt;1,"⚠️ пересечение",""))</f>
        <v/>
      </c>
      <c r="M154" s="54">
        <f>IF(F154="","",IF(J154="✅ Сделано","✔ ",IF(J154="❌ Пропущено","✖ ","⏰ "))&amp;IF(C154="","",RIGHT("0"&amp;HOUR(C154),2)&amp;":"&amp;RIGHT("0"&amp;MINUTE(C154),2)&amp;IF(D154="","","–"&amp;RIGHT("0"&amp;HOUR(D154),2)&amp;":"&amp;RIGHT("0"&amp;MINUTE(D154),2))&amp;" ")&amp;F154)</f>
        <v/>
      </c>
      <c r="N154" s="54">
        <f>IF(OR(A154="",F154=""),"",A154&amp;"#"&amp;(COUNTIFS($A$5:$A$3004,A154,$F$5:$F$3004,"?*",$O$5:$O$3004,"&lt;"&amp;O154)+COUNTIFS($A$5:A154,A154,$F$5:F154,"?*",$O$5:O154,O154)))</f>
        <v/>
      </c>
      <c r="O154" s="54">
        <f>IF(A154="","",IF(C154="",0,C154))</f>
        <v/>
      </c>
    </row>
    <row r="155">
      <c r="A155" s="58" t="n"/>
      <c r="B155" s="49">
        <f>IF(A155="","",CHOOSE(WEEKDAY(A155,2),"Пн","Вт","Ср","Чт","Пт","Сб","Вс"))</f>
        <v/>
      </c>
      <c r="C155" s="59" t="n"/>
      <c r="D155" s="59" t="n"/>
      <c r="E155" s="60">
        <f>IF(OR(C155="",D155=""),"",MOD(D155-C155,1)*24)</f>
        <v/>
      </c>
      <c r="F155" s="50" t="n"/>
      <c r="G155" s="51" t="n"/>
      <c r="H155" s="51" t="n"/>
      <c r="I155" s="51" t="n"/>
      <c r="J155" s="51" t="n"/>
      <c r="K155" s="51" t="n"/>
      <c r="L155" s="54">
        <f>IF(OR(A155="",C155="",D155=""),"",IF(COUNTIFS($A$5:$A$3004,A155,$C$5:$C$3004,"&lt;"&amp;D155,$D$5:$D$3004,"&gt;"&amp;C155)&gt;1,"⚠️ пересечение",""))</f>
        <v/>
      </c>
      <c r="M155" s="54">
        <f>IF(F155="","",IF(J155="✅ Сделано","✔ ",IF(J155="❌ Пропущено","✖ ","⏰ "))&amp;IF(C155="","",RIGHT("0"&amp;HOUR(C155),2)&amp;":"&amp;RIGHT("0"&amp;MINUTE(C155),2)&amp;IF(D155="","","–"&amp;RIGHT("0"&amp;HOUR(D155),2)&amp;":"&amp;RIGHT("0"&amp;MINUTE(D155),2))&amp;" ")&amp;F155)</f>
        <v/>
      </c>
      <c r="N155" s="54">
        <f>IF(OR(A155="",F155=""),"",A155&amp;"#"&amp;(COUNTIFS($A$5:$A$3004,A155,$F$5:$F$3004,"?*",$O$5:$O$3004,"&lt;"&amp;O155)+COUNTIFS($A$5:A155,A155,$F$5:F155,"?*",$O$5:O155,O155)))</f>
        <v/>
      </c>
      <c r="O155" s="54">
        <f>IF(A155="","",IF(C155="",0,C155))</f>
        <v/>
      </c>
    </row>
    <row r="156">
      <c r="A156" s="58" t="n"/>
      <c r="B156" s="49">
        <f>IF(A156="","",CHOOSE(WEEKDAY(A156,2),"Пн","Вт","Ср","Чт","Пт","Сб","Вс"))</f>
        <v/>
      </c>
      <c r="C156" s="59" t="n"/>
      <c r="D156" s="59" t="n"/>
      <c r="E156" s="60">
        <f>IF(OR(C156="",D156=""),"",MOD(D156-C156,1)*24)</f>
        <v/>
      </c>
      <c r="F156" s="50" t="n"/>
      <c r="G156" s="51" t="n"/>
      <c r="H156" s="51" t="n"/>
      <c r="I156" s="51" t="n"/>
      <c r="J156" s="51" t="n"/>
      <c r="K156" s="51" t="n"/>
      <c r="L156" s="54">
        <f>IF(OR(A156="",C156="",D156=""),"",IF(COUNTIFS($A$5:$A$3004,A156,$C$5:$C$3004,"&lt;"&amp;D156,$D$5:$D$3004,"&gt;"&amp;C156)&gt;1,"⚠️ пересечение",""))</f>
        <v/>
      </c>
      <c r="M156" s="54">
        <f>IF(F156="","",IF(J156="✅ Сделано","✔ ",IF(J156="❌ Пропущено","✖ ","⏰ "))&amp;IF(C156="","",RIGHT("0"&amp;HOUR(C156),2)&amp;":"&amp;RIGHT("0"&amp;MINUTE(C156),2)&amp;IF(D156="","","–"&amp;RIGHT("0"&amp;HOUR(D156),2)&amp;":"&amp;RIGHT("0"&amp;MINUTE(D156),2))&amp;" ")&amp;F156)</f>
        <v/>
      </c>
      <c r="N156" s="54">
        <f>IF(OR(A156="",F156=""),"",A156&amp;"#"&amp;(COUNTIFS($A$5:$A$3004,A156,$F$5:$F$3004,"?*",$O$5:$O$3004,"&lt;"&amp;O156)+COUNTIFS($A$5:A156,A156,$F$5:F156,"?*",$O$5:O156,O156)))</f>
        <v/>
      </c>
      <c r="O156" s="54">
        <f>IF(A156="","",IF(C156="",0,C156))</f>
        <v/>
      </c>
    </row>
    <row r="157">
      <c r="A157" s="58" t="n"/>
      <c r="B157" s="49">
        <f>IF(A157="","",CHOOSE(WEEKDAY(A157,2),"Пн","Вт","Ср","Чт","Пт","Сб","Вс"))</f>
        <v/>
      </c>
      <c r="C157" s="59" t="n"/>
      <c r="D157" s="59" t="n"/>
      <c r="E157" s="60">
        <f>IF(OR(C157="",D157=""),"",MOD(D157-C157,1)*24)</f>
        <v/>
      </c>
      <c r="F157" s="50" t="n"/>
      <c r="G157" s="51" t="n"/>
      <c r="H157" s="51" t="n"/>
      <c r="I157" s="51" t="n"/>
      <c r="J157" s="51" t="n"/>
      <c r="K157" s="51" t="n"/>
      <c r="L157" s="54">
        <f>IF(OR(A157="",C157="",D157=""),"",IF(COUNTIFS($A$5:$A$3004,A157,$C$5:$C$3004,"&lt;"&amp;D157,$D$5:$D$3004,"&gt;"&amp;C157)&gt;1,"⚠️ пересечение",""))</f>
        <v/>
      </c>
      <c r="M157" s="54">
        <f>IF(F157="","",IF(J157="✅ Сделано","✔ ",IF(J157="❌ Пропущено","✖ ","⏰ "))&amp;IF(C157="","",RIGHT("0"&amp;HOUR(C157),2)&amp;":"&amp;RIGHT("0"&amp;MINUTE(C157),2)&amp;IF(D157="","","–"&amp;RIGHT("0"&amp;HOUR(D157),2)&amp;":"&amp;RIGHT("0"&amp;MINUTE(D157),2))&amp;" ")&amp;F157)</f>
        <v/>
      </c>
      <c r="N157" s="54">
        <f>IF(OR(A157="",F157=""),"",A157&amp;"#"&amp;(COUNTIFS($A$5:$A$3004,A157,$F$5:$F$3004,"?*",$O$5:$O$3004,"&lt;"&amp;O157)+COUNTIFS($A$5:A157,A157,$F$5:F157,"?*",$O$5:O157,O157)))</f>
        <v/>
      </c>
      <c r="O157" s="54">
        <f>IF(A157="","",IF(C157="",0,C157))</f>
        <v/>
      </c>
    </row>
    <row r="158">
      <c r="A158" s="58" t="n"/>
      <c r="B158" s="49">
        <f>IF(A158="","",CHOOSE(WEEKDAY(A158,2),"Пн","Вт","Ср","Чт","Пт","Сб","Вс"))</f>
        <v/>
      </c>
      <c r="C158" s="59" t="n"/>
      <c r="D158" s="59" t="n"/>
      <c r="E158" s="60">
        <f>IF(OR(C158="",D158=""),"",MOD(D158-C158,1)*24)</f>
        <v/>
      </c>
      <c r="F158" s="50" t="n"/>
      <c r="G158" s="51" t="n"/>
      <c r="H158" s="51" t="n"/>
      <c r="I158" s="51" t="n"/>
      <c r="J158" s="51" t="n"/>
      <c r="K158" s="51" t="n"/>
      <c r="L158" s="54">
        <f>IF(OR(A158="",C158="",D158=""),"",IF(COUNTIFS($A$5:$A$3004,A158,$C$5:$C$3004,"&lt;"&amp;D158,$D$5:$D$3004,"&gt;"&amp;C158)&gt;1,"⚠️ пересечение",""))</f>
        <v/>
      </c>
      <c r="M158" s="54">
        <f>IF(F158="","",IF(J158="✅ Сделано","✔ ",IF(J158="❌ Пропущено","✖ ","⏰ "))&amp;IF(C158="","",RIGHT("0"&amp;HOUR(C158),2)&amp;":"&amp;RIGHT("0"&amp;MINUTE(C158),2)&amp;IF(D158="","","–"&amp;RIGHT("0"&amp;HOUR(D158),2)&amp;":"&amp;RIGHT("0"&amp;MINUTE(D158),2))&amp;" ")&amp;F158)</f>
        <v/>
      </c>
      <c r="N158" s="54">
        <f>IF(OR(A158="",F158=""),"",A158&amp;"#"&amp;(COUNTIFS($A$5:$A$3004,A158,$F$5:$F$3004,"?*",$O$5:$O$3004,"&lt;"&amp;O158)+COUNTIFS($A$5:A158,A158,$F$5:F158,"?*",$O$5:O158,O158)))</f>
        <v/>
      </c>
      <c r="O158" s="54">
        <f>IF(A158="","",IF(C158="",0,C158))</f>
        <v/>
      </c>
    </row>
    <row r="159">
      <c r="A159" s="58" t="n"/>
      <c r="B159" s="49">
        <f>IF(A159="","",CHOOSE(WEEKDAY(A159,2),"Пн","Вт","Ср","Чт","Пт","Сб","Вс"))</f>
        <v/>
      </c>
      <c r="C159" s="59" t="n"/>
      <c r="D159" s="59" t="n"/>
      <c r="E159" s="60">
        <f>IF(OR(C159="",D159=""),"",MOD(D159-C159,1)*24)</f>
        <v/>
      </c>
      <c r="F159" s="50" t="n"/>
      <c r="G159" s="51" t="n"/>
      <c r="H159" s="51" t="n"/>
      <c r="I159" s="51" t="n"/>
      <c r="J159" s="51" t="n"/>
      <c r="K159" s="51" t="n"/>
      <c r="L159" s="54">
        <f>IF(OR(A159="",C159="",D159=""),"",IF(COUNTIFS($A$5:$A$3004,A159,$C$5:$C$3004,"&lt;"&amp;D159,$D$5:$D$3004,"&gt;"&amp;C159)&gt;1,"⚠️ пересечение",""))</f>
        <v/>
      </c>
      <c r="M159" s="54">
        <f>IF(F159="","",IF(J159="✅ Сделано","✔ ",IF(J159="❌ Пропущено","✖ ","⏰ "))&amp;IF(C159="","",RIGHT("0"&amp;HOUR(C159),2)&amp;":"&amp;RIGHT("0"&amp;MINUTE(C159),2)&amp;IF(D159="","","–"&amp;RIGHT("0"&amp;HOUR(D159),2)&amp;":"&amp;RIGHT("0"&amp;MINUTE(D159),2))&amp;" ")&amp;F159)</f>
        <v/>
      </c>
      <c r="N159" s="54">
        <f>IF(OR(A159="",F159=""),"",A159&amp;"#"&amp;(COUNTIFS($A$5:$A$3004,A159,$F$5:$F$3004,"?*",$O$5:$O$3004,"&lt;"&amp;O159)+COUNTIFS($A$5:A159,A159,$F$5:F159,"?*",$O$5:O159,O159)))</f>
        <v/>
      </c>
      <c r="O159" s="54">
        <f>IF(A159="","",IF(C159="",0,C159))</f>
        <v/>
      </c>
    </row>
    <row r="160">
      <c r="A160" s="58" t="n"/>
      <c r="B160" s="49">
        <f>IF(A160="","",CHOOSE(WEEKDAY(A160,2),"Пн","Вт","Ср","Чт","Пт","Сб","Вс"))</f>
        <v/>
      </c>
      <c r="C160" s="59" t="n"/>
      <c r="D160" s="59" t="n"/>
      <c r="E160" s="60">
        <f>IF(OR(C160="",D160=""),"",MOD(D160-C160,1)*24)</f>
        <v/>
      </c>
      <c r="F160" s="50" t="n"/>
      <c r="G160" s="51" t="n"/>
      <c r="H160" s="51" t="n"/>
      <c r="I160" s="51" t="n"/>
      <c r="J160" s="51" t="n"/>
      <c r="K160" s="51" t="n"/>
      <c r="L160" s="54">
        <f>IF(OR(A160="",C160="",D160=""),"",IF(COUNTIFS($A$5:$A$3004,A160,$C$5:$C$3004,"&lt;"&amp;D160,$D$5:$D$3004,"&gt;"&amp;C160)&gt;1,"⚠️ пересечение",""))</f>
        <v/>
      </c>
      <c r="M160" s="54">
        <f>IF(F160="","",IF(J160="✅ Сделано","✔ ",IF(J160="❌ Пропущено","✖ ","⏰ "))&amp;IF(C160="","",RIGHT("0"&amp;HOUR(C160),2)&amp;":"&amp;RIGHT("0"&amp;MINUTE(C160),2)&amp;IF(D160="","","–"&amp;RIGHT("0"&amp;HOUR(D160),2)&amp;":"&amp;RIGHT("0"&amp;MINUTE(D160),2))&amp;" ")&amp;F160)</f>
        <v/>
      </c>
      <c r="N160" s="54">
        <f>IF(OR(A160="",F160=""),"",A160&amp;"#"&amp;(COUNTIFS($A$5:$A$3004,A160,$F$5:$F$3004,"?*",$O$5:$O$3004,"&lt;"&amp;O160)+COUNTIFS($A$5:A160,A160,$F$5:F160,"?*",$O$5:O160,O160)))</f>
        <v/>
      </c>
      <c r="O160" s="54">
        <f>IF(A160="","",IF(C160="",0,C160))</f>
        <v/>
      </c>
    </row>
    <row r="161">
      <c r="A161" s="58" t="n"/>
      <c r="B161" s="49">
        <f>IF(A161="","",CHOOSE(WEEKDAY(A161,2),"Пн","Вт","Ср","Чт","Пт","Сб","Вс"))</f>
        <v/>
      </c>
      <c r="C161" s="59" t="n"/>
      <c r="D161" s="59" t="n"/>
      <c r="E161" s="60">
        <f>IF(OR(C161="",D161=""),"",MOD(D161-C161,1)*24)</f>
        <v/>
      </c>
      <c r="F161" s="50" t="n"/>
      <c r="G161" s="51" t="n"/>
      <c r="H161" s="51" t="n"/>
      <c r="I161" s="51" t="n"/>
      <c r="J161" s="51" t="n"/>
      <c r="K161" s="51" t="n"/>
      <c r="L161" s="54">
        <f>IF(OR(A161="",C161="",D161=""),"",IF(COUNTIFS($A$5:$A$3004,A161,$C$5:$C$3004,"&lt;"&amp;D161,$D$5:$D$3004,"&gt;"&amp;C161)&gt;1,"⚠️ пересечение",""))</f>
        <v/>
      </c>
      <c r="M161" s="54">
        <f>IF(F161="","",IF(J161="✅ Сделано","✔ ",IF(J161="❌ Пропущено","✖ ","⏰ "))&amp;IF(C161="","",RIGHT("0"&amp;HOUR(C161),2)&amp;":"&amp;RIGHT("0"&amp;MINUTE(C161),2)&amp;IF(D161="","","–"&amp;RIGHT("0"&amp;HOUR(D161),2)&amp;":"&amp;RIGHT("0"&amp;MINUTE(D161),2))&amp;" ")&amp;F161)</f>
        <v/>
      </c>
      <c r="N161" s="54">
        <f>IF(OR(A161="",F161=""),"",A161&amp;"#"&amp;(COUNTIFS($A$5:$A$3004,A161,$F$5:$F$3004,"?*",$O$5:$O$3004,"&lt;"&amp;O161)+COUNTIFS($A$5:A161,A161,$F$5:F161,"?*",$O$5:O161,O161)))</f>
        <v/>
      </c>
      <c r="O161" s="54">
        <f>IF(A161="","",IF(C161="",0,C161))</f>
        <v/>
      </c>
    </row>
    <row r="162">
      <c r="A162" s="58" t="n"/>
      <c r="B162" s="49">
        <f>IF(A162="","",CHOOSE(WEEKDAY(A162,2),"Пн","Вт","Ср","Чт","Пт","Сб","Вс"))</f>
        <v/>
      </c>
      <c r="C162" s="59" t="n"/>
      <c r="D162" s="59" t="n"/>
      <c r="E162" s="60">
        <f>IF(OR(C162="",D162=""),"",MOD(D162-C162,1)*24)</f>
        <v/>
      </c>
      <c r="F162" s="50" t="n"/>
      <c r="G162" s="51" t="n"/>
      <c r="H162" s="51" t="n"/>
      <c r="I162" s="51" t="n"/>
      <c r="J162" s="51" t="n"/>
      <c r="K162" s="51" t="n"/>
      <c r="L162" s="54">
        <f>IF(OR(A162="",C162="",D162=""),"",IF(COUNTIFS($A$5:$A$3004,A162,$C$5:$C$3004,"&lt;"&amp;D162,$D$5:$D$3004,"&gt;"&amp;C162)&gt;1,"⚠️ пересечение",""))</f>
        <v/>
      </c>
      <c r="M162" s="54">
        <f>IF(F162="","",IF(J162="✅ Сделано","✔ ",IF(J162="❌ Пропущено","✖ ","⏰ "))&amp;IF(C162="","",RIGHT("0"&amp;HOUR(C162),2)&amp;":"&amp;RIGHT("0"&amp;MINUTE(C162),2)&amp;IF(D162="","","–"&amp;RIGHT("0"&amp;HOUR(D162),2)&amp;":"&amp;RIGHT("0"&amp;MINUTE(D162),2))&amp;" ")&amp;F162)</f>
        <v/>
      </c>
      <c r="N162" s="54">
        <f>IF(OR(A162="",F162=""),"",A162&amp;"#"&amp;(COUNTIFS($A$5:$A$3004,A162,$F$5:$F$3004,"?*",$O$5:$O$3004,"&lt;"&amp;O162)+COUNTIFS($A$5:A162,A162,$F$5:F162,"?*",$O$5:O162,O162)))</f>
        <v/>
      </c>
      <c r="O162" s="54">
        <f>IF(A162="","",IF(C162="",0,C162))</f>
        <v/>
      </c>
    </row>
    <row r="163">
      <c r="A163" s="58" t="n"/>
      <c r="B163" s="49">
        <f>IF(A163="","",CHOOSE(WEEKDAY(A163,2),"Пн","Вт","Ср","Чт","Пт","Сб","Вс"))</f>
        <v/>
      </c>
      <c r="C163" s="59" t="n"/>
      <c r="D163" s="59" t="n"/>
      <c r="E163" s="60">
        <f>IF(OR(C163="",D163=""),"",MOD(D163-C163,1)*24)</f>
        <v/>
      </c>
      <c r="F163" s="50" t="n"/>
      <c r="G163" s="51" t="n"/>
      <c r="H163" s="51" t="n"/>
      <c r="I163" s="51" t="n"/>
      <c r="J163" s="51" t="n"/>
      <c r="K163" s="51" t="n"/>
      <c r="L163" s="54">
        <f>IF(OR(A163="",C163="",D163=""),"",IF(COUNTIFS($A$5:$A$3004,A163,$C$5:$C$3004,"&lt;"&amp;D163,$D$5:$D$3004,"&gt;"&amp;C163)&gt;1,"⚠️ пересечение",""))</f>
        <v/>
      </c>
      <c r="M163" s="54">
        <f>IF(F163="","",IF(J163="✅ Сделано","✔ ",IF(J163="❌ Пропущено","✖ ","⏰ "))&amp;IF(C163="","",RIGHT("0"&amp;HOUR(C163),2)&amp;":"&amp;RIGHT("0"&amp;MINUTE(C163),2)&amp;IF(D163="","","–"&amp;RIGHT("0"&amp;HOUR(D163),2)&amp;":"&amp;RIGHT("0"&amp;MINUTE(D163),2))&amp;" ")&amp;F163)</f>
        <v/>
      </c>
      <c r="N163" s="54">
        <f>IF(OR(A163="",F163=""),"",A163&amp;"#"&amp;(COUNTIFS($A$5:$A$3004,A163,$F$5:$F$3004,"?*",$O$5:$O$3004,"&lt;"&amp;O163)+COUNTIFS($A$5:A163,A163,$F$5:F163,"?*",$O$5:O163,O163)))</f>
        <v/>
      </c>
      <c r="O163" s="54">
        <f>IF(A163="","",IF(C163="",0,C163))</f>
        <v/>
      </c>
    </row>
    <row r="164">
      <c r="A164" s="58" t="n"/>
      <c r="B164" s="49">
        <f>IF(A164="","",CHOOSE(WEEKDAY(A164,2),"Пн","Вт","Ср","Чт","Пт","Сб","Вс"))</f>
        <v/>
      </c>
      <c r="C164" s="59" t="n"/>
      <c r="D164" s="59" t="n"/>
      <c r="E164" s="60">
        <f>IF(OR(C164="",D164=""),"",MOD(D164-C164,1)*24)</f>
        <v/>
      </c>
      <c r="F164" s="50" t="n"/>
      <c r="G164" s="51" t="n"/>
      <c r="H164" s="51" t="n"/>
      <c r="I164" s="51" t="n"/>
      <c r="J164" s="51" t="n"/>
      <c r="K164" s="51" t="n"/>
      <c r="L164" s="54">
        <f>IF(OR(A164="",C164="",D164=""),"",IF(COUNTIFS($A$5:$A$3004,A164,$C$5:$C$3004,"&lt;"&amp;D164,$D$5:$D$3004,"&gt;"&amp;C164)&gt;1,"⚠️ пересечение",""))</f>
        <v/>
      </c>
      <c r="M164" s="54">
        <f>IF(F164="","",IF(J164="✅ Сделано","✔ ",IF(J164="❌ Пропущено","✖ ","⏰ "))&amp;IF(C164="","",RIGHT("0"&amp;HOUR(C164),2)&amp;":"&amp;RIGHT("0"&amp;MINUTE(C164),2)&amp;IF(D164="","","–"&amp;RIGHT("0"&amp;HOUR(D164),2)&amp;":"&amp;RIGHT("0"&amp;MINUTE(D164),2))&amp;" ")&amp;F164)</f>
        <v/>
      </c>
      <c r="N164" s="54">
        <f>IF(OR(A164="",F164=""),"",A164&amp;"#"&amp;(COUNTIFS($A$5:$A$3004,A164,$F$5:$F$3004,"?*",$O$5:$O$3004,"&lt;"&amp;O164)+COUNTIFS($A$5:A164,A164,$F$5:F164,"?*",$O$5:O164,O164)))</f>
        <v/>
      </c>
      <c r="O164" s="54">
        <f>IF(A164="","",IF(C164="",0,C164))</f>
        <v/>
      </c>
    </row>
    <row r="165">
      <c r="A165" s="58" t="n"/>
      <c r="B165" s="49">
        <f>IF(A165="","",CHOOSE(WEEKDAY(A165,2),"Пн","Вт","Ср","Чт","Пт","Сб","Вс"))</f>
        <v/>
      </c>
      <c r="C165" s="59" t="n"/>
      <c r="D165" s="59" t="n"/>
      <c r="E165" s="60">
        <f>IF(OR(C165="",D165=""),"",MOD(D165-C165,1)*24)</f>
        <v/>
      </c>
      <c r="F165" s="50" t="n"/>
      <c r="G165" s="51" t="n"/>
      <c r="H165" s="51" t="n"/>
      <c r="I165" s="51" t="n"/>
      <c r="J165" s="51" t="n"/>
      <c r="K165" s="51" t="n"/>
      <c r="L165" s="54">
        <f>IF(OR(A165="",C165="",D165=""),"",IF(COUNTIFS($A$5:$A$3004,A165,$C$5:$C$3004,"&lt;"&amp;D165,$D$5:$D$3004,"&gt;"&amp;C165)&gt;1,"⚠️ пересечение",""))</f>
        <v/>
      </c>
      <c r="M165" s="54">
        <f>IF(F165="","",IF(J165="✅ Сделано","✔ ",IF(J165="❌ Пропущено","✖ ","⏰ "))&amp;IF(C165="","",RIGHT("0"&amp;HOUR(C165),2)&amp;":"&amp;RIGHT("0"&amp;MINUTE(C165),2)&amp;IF(D165="","","–"&amp;RIGHT("0"&amp;HOUR(D165),2)&amp;":"&amp;RIGHT("0"&amp;MINUTE(D165),2))&amp;" ")&amp;F165)</f>
        <v/>
      </c>
      <c r="N165" s="54">
        <f>IF(OR(A165="",F165=""),"",A165&amp;"#"&amp;(COUNTIFS($A$5:$A$3004,A165,$F$5:$F$3004,"?*",$O$5:$O$3004,"&lt;"&amp;O165)+COUNTIFS($A$5:A165,A165,$F$5:F165,"?*",$O$5:O165,O165)))</f>
        <v/>
      </c>
      <c r="O165" s="54">
        <f>IF(A165="","",IF(C165="",0,C165))</f>
        <v/>
      </c>
    </row>
    <row r="166">
      <c r="A166" s="58" t="n"/>
      <c r="B166" s="49">
        <f>IF(A166="","",CHOOSE(WEEKDAY(A166,2),"Пн","Вт","Ср","Чт","Пт","Сб","Вс"))</f>
        <v/>
      </c>
      <c r="C166" s="59" t="n"/>
      <c r="D166" s="59" t="n"/>
      <c r="E166" s="60">
        <f>IF(OR(C166="",D166=""),"",MOD(D166-C166,1)*24)</f>
        <v/>
      </c>
      <c r="F166" s="50" t="n"/>
      <c r="G166" s="51" t="n"/>
      <c r="H166" s="51" t="n"/>
      <c r="I166" s="51" t="n"/>
      <c r="J166" s="51" t="n"/>
      <c r="K166" s="51" t="n"/>
      <c r="L166" s="54">
        <f>IF(OR(A166="",C166="",D166=""),"",IF(COUNTIFS($A$5:$A$3004,A166,$C$5:$C$3004,"&lt;"&amp;D166,$D$5:$D$3004,"&gt;"&amp;C166)&gt;1,"⚠️ пересечение",""))</f>
        <v/>
      </c>
      <c r="M166" s="54">
        <f>IF(F166="","",IF(J166="✅ Сделано","✔ ",IF(J166="❌ Пропущено","✖ ","⏰ "))&amp;IF(C166="","",RIGHT("0"&amp;HOUR(C166),2)&amp;":"&amp;RIGHT("0"&amp;MINUTE(C166),2)&amp;IF(D166="","","–"&amp;RIGHT("0"&amp;HOUR(D166),2)&amp;":"&amp;RIGHT("0"&amp;MINUTE(D166),2))&amp;" ")&amp;F166)</f>
        <v/>
      </c>
      <c r="N166" s="54">
        <f>IF(OR(A166="",F166=""),"",A166&amp;"#"&amp;(COUNTIFS($A$5:$A$3004,A166,$F$5:$F$3004,"?*",$O$5:$O$3004,"&lt;"&amp;O166)+COUNTIFS($A$5:A166,A166,$F$5:F166,"?*",$O$5:O166,O166)))</f>
        <v/>
      </c>
      <c r="O166" s="54">
        <f>IF(A166="","",IF(C166="",0,C166))</f>
        <v/>
      </c>
    </row>
    <row r="167">
      <c r="A167" s="58" t="n"/>
      <c r="B167" s="49">
        <f>IF(A167="","",CHOOSE(WEEKDAY(A167,2),"Пн","Вт","Ср","Чт","Пт","Сб","Вс"))</f>
        <v/>
      </c>
      <c r="C167" s="59" t="n"/>
      <c r="D167" s="59" t="n"/>
      <c r="E167" s="60">
        <f>IF(OR(C167="",D167=""),"",MOD(D167-C167,1)*24)</f>
        <v/>
      </c>
      <c r="F167" s="50" t="n"/>
      <c r="G167" s="51" t="n"/>
      <c r="H167" s="51" t="n"/>
      <c r="I167" s="51" t="n"/>
      <c r="J167" s="51" t="n"/>
      <c r="K167" s="51" t="n"/>
      <c r="L167" s="54">
        <f>IF(OR(A167="",C167="",D167=""),"",IF(COUNTIFS($A$5:$A$3004,A167,$C$5:$C$3004,"&lt;"&amp;D167,$D$5:$D$3004,"&gt;"&amp;C167)&gt;1,"⚠️ пересечение",""))</f>
        <v/>
      </c>
      <c r="M167" s="54">
        <f>IF(F167="","",IF(J167="✅ Сделано","✔ ",IF(J167="❌ Пропущено","✖ ","⏰ "))&amp;IF(C167="","",RIGHT("0"&amp;HOUR(C167),2)&amp;":"&amp;RIGHT("0"&amp;MINUTE(C167),2)&amp;IF(D167="","","–"&amp;RIGHT("0"&amp;HOUR(D167),2)&amp;":"&amp;RIGHT("0"&amp;MINUTE(D167),2))&amp;" ")&amp;F167)</f>
        <v/>
      </c>
      <c r="N167" s="54">
        <f>IF(OR(A167="",F167=""),"",A167&amp;"#"&amp;(COUNTIFS($A$5:$A$3004,A167,$F$5:$F$3004,"?*",$O$5:$O$3004,"&lt;"&amp;O167)+COUNTIFS($A$5:A167,A167,$F$5:F167,"?*",$O$5:O167,O167)))</f>
        <v/>
      </c>
      <c r="O167" s="54">
        <f>IF(A167="","",IF(C167="",0,C167))</f>
        <v/>
      </c>
    </row>
    <row r="168">
      <c r="A168" s="58" t="n"/>
      <c r="B168" s="49">
        <f>IF(A168="","",CHOOSE(WEEKDAY(A168,2),"Пн","Вт","Ср","Чт","Пт","Сб","Вс"))</f>
        <v/>
      </c>
      <c r="C168" s="59" t="n"/>
      <c r="D168" s="59" t="n"/>
      <c r="E168" s="60">
        <f>IF(OR(C168="",D168=""),"",MOD(D168-C168,1)*24)</f>
        <v/>
      </c>
      <c r="F168" s="50" t="n"/>
      <c r="G168" s="51" t="n"/>
      <c r="H168" s="51" t="n"/>
      <c r="I168" s="51" t="n"/>
      <c r="J168" s="51" t="n"/>
      <c r="K168" s="51" t="n"/>
      <c r="L168" s="54">
        <f>IF(OR(A168="",C168="",D168=""),"",IF(COUNTIFS($A$5:$A$3004,A168,$C$5:$C$3004,"&lt;"&amp;D168,$D$5:$D$3004,"&gt;"&amp;C168)&gt;1,"⚠️ пересечение",""))</f>
        <v/>
      </c>
      <c r="M168" s="54">
        <f>IF(F168="","",IF(J168="✅ Сделано","✔ ",IF(J168="❌ Пропущено","✖ ","⏰ "))&amp;IF(C168="","",RIGHT("0"&amp;HOUR(C168),2)&amp;":"&amp;RIGHT("0"&amp;MINUTE(C168),2)&amp;IF(D168="","","–"&amp;RIGHT("0"&amp;HOUR(D168),2)&amp;":"&amp;RIGHT("0"&amp;MINUTE(D168),2))&amp;" ")&amp;F168)</f>
        <v/>
      </c>
      <c r="N168" s="54">
        <f>IF(OR(A168="",F168=""),"",A168&amp;"#"&amp;(COUNTIFS($A$5:$A$3004,A168,$F$5:$F$3004,"?*",$O$5:$O$3004,"&lt;"&amp;O168)+COUNTIFS($A$5:A168,A168,$F$5:F168,"?*",$O$5:O168,O168)))</f>
        <v/>
      </c>
      <c r="O168" s="54">
        <f>IF(A168="","",IF(C168="",0,C168))</f>
        <v/>
      </c>
    </row>
    <row r="169">
      <c r="A169" s="58" t="n"/>
      <c r="B169" s="49">
        <f>IF(A169="","",CHOOSE(WEEKDAY(A169,2),"Пн","Вт","Ср","Чт","Пт","Сб","Вс"))</f>
        <v/>
      </c>
      <c r="C169" s="59" t="n"/>
      <c r="D169" s="59" t="n"/>
      <c r="E169" s="60">
        <f>IF(OR(C169="",D169=""),"",MOD(D169-C169,1)*24)</f>
        <v/>
      </c>
      <c r="F169" s="50" t="n"/>
      <c r="G169" s="51" t="n"/>
      <c r="H169" s="51" t="n"/>
      <c r="I169" s="51" t="n"/>
      <c r="J169" s="51" t="n"/>
      <c r="K169" s="51" t="n"/>
      <c r="L169" s="54">
        <f>IF(OR(A169="",C169="",D169=""),"",IF(COUNTIFS($A$5:$A$3004,A169,$C$5:$C$3004,"&lt;"&amp;D169,$D$5:$D$3004,"&gt;"&amp;C169)&gt;1,"⚠️ пересечение",""))</f>
        <v/>
      </c>
      <c r="M169" s="54">
        <f>IF(F169="","",IF(J169="✅ Сделано","✔ ",IF(J169="❌ Пропущено","✖ ","⏰ "))&amp;IF(C169="","",RIGHT("0"&amp;HOUR(C169),2)&amp;":"&amp;RIGHT("0"&amp;MINUTE(C169),2)&amp;IF(D169="","","–"&amp;RIGHT("0"&amp;HOUR(D169),2)&amp;":"&amp;RIGHT("0"&amp;MINUTE(D169),2))&amp;" ")&amp;F169)</f>
        <v/>
      </c>
      <c r="N169" s="54">
        <f>IF(OR(A169="",F169=""),"",A169&amp;"#"&amp;(COUNTIFS($A$5:$A$3004,A169,$F$5:$F$3004,"?*",$O$5:$O$3004,"&lt;"&amp;O169)+COUNTIFS($A$5:A169,A169,$F$5:F169,"?*",$O$5:O169,O169)))</f>
        <v/>
      </c>
      <c r="O169" s="54">
        <f>IF(A169="","",IF(C169="",0,C169))</f>
        <v/>
      </c>
    </row>
    <row r="170">
      <c r="A170" s="58" t="n"/>
      <c r="B170" s="49">
        <f>IF(A170="","",CHOOSE(WEEKDAY(A170,2),"Пн","Вт","Ср","Чт","Пт","Сб","Вс"))</f>
        <v/>
      </c>
      <c r="C170" s="59" t="n"/>
      <c r="D170" s="59" t="n"/>
      <c r="E170" s="60">
        <f>IF(OR(C170="",D170=""),"",MOD(D170-C170,1)*24)</f>
        <v/>
      </c>
      <c r="F170" s="50" t="n"/>
      <c r="G170" s="51" t="n"/>
      <c r="H170" s="51" t="n"/>
      <c r="I170" s="51" t="n"/>
      <c r="J170" s="51" t="n"/>
      <c r="K170" s="51" t="n"/>
      <c r="L170" s="54">
        <f>IF(OR(A170="",C170="",D170=""),"",IF(COUNTIFS($A$5:$A$3004,A170,$C$5:$C$3004,"&lt;"&amp;D170,$D$5:$D$3004,"&gt;"&amp;C170)&gt;1,"⚠️ пересечение",""))</f>
        <v/>
      </c>
      <c r="M170" s="54">
        <f>IF(F170="","",IF(J170="✅ Сделано","✔ ",IF(J170="❌ Пропущено","✖ ","⏰ "))&amp;IF(C170="","",RIGHT("0"&amp;HOUR(C170),2)&amp;":"&amp;RIGHT("0"&amp;MINUTE(C170),2)&amp;IF(D170="","","–"&amp;RIGHT("0"&amp;HOUR(D170),2)&amp;":"&amp;RIGHT("0"&amp;MINUTE(D170),2))&amp;" ")&amp;F170)</f>
        <v/>
      </c>
      <c r="N170" s="54">
        <f>IF(OR(A170="",F170=""),"",A170&amp;"#"&amp;(COUNTIFS($A$5:$A$3004,A170,$F$5:$F$3004,"?*",$O$5:$O$3004,"&lt;"&amp;O170)+COUNTIFS($A$5:A170,A170,$F$5:F170,"?*",$O$5:O170,O170)))</f>
        <v/>
      </c>
      <c r="O170" s="54">
        <f>IF(A170="","",IF(C170="",0,C170))</f>
        <v/>
      </c>
    </row>
    <row r="171">
      <c r="A171" s="58" t="n"/>
      <c r="B171" s="49">
        <f>IF(A171="","",CHOOSE(WEEKDAY(A171,2),"Пн","Вт","Ср","Чт","Пт","Сб","Вс"))</f>
        <v/>
      </c>
      <c r="C171" s="59" t="n"/>
      <c r="D171" s="59" t="n"/>
      <c r="E171" s="60">
        <f>IF(OR(C171="",D171=""),"",MOD(D171-C171,1)*24)</f>
        <v/>
      </c>
      <c r="F171" s="50" t="n"/>
      <c r="G171" s="51" t="n"/>
      <c r="H171" s="51" t="n"/>
      <c r="I171" s="51" t="n"/>
      <c r="J171" s="51" t="n"/>
      <c r="K171" s="51" t="n"/>
      <c r="L171" s="54">
        <f>IF(OR(A171="",C171="",D171=""),"",IF(COUNTIFS($A$5:$A$3004,A171,$C$5:$C$3004,"&lt;"&amp;D171,$D$5:$D$3004,"&gt;"&amp;C171)&gt;1,"⚠️ пересечение",""))</f>
        <v/>
      </c>
      <c r="M171" s="54">
        <f>IF(F171="","",IF(J171="✅ Сделано","✔ ",IF(J171="❌ Пропущено","✖ ","⏰ "))&amp;IF(C171="","",RIGHT("0"&amp;HOUR(C171),2)&amp;":"&amp;RIGHT("0"&amp;MINUTE(C171),2)&amp;IF(D171="","","–"&amp;RIGHT("0"&amp;HOUR(D171),2)&amp;":"&amp;RIGHT("0"&amp;MINUTE(D171),2))&amp;" ")&amp;F171)</f>
        <v/>
      </c>
      <c r="N171" s="54">
        <f>IF(OR(A171="",F171=""),"",A171&amp;"#"&amp;(COUNTIFS($A$5:$A$3004,A171,$F$5:$F$3004,"?*",$O$5:$O$3004,"&lt;"&amp;O171)+COUNTIFS($A$5:A171,A171,$F$5:F171,"?*",$O$5:O171,O171)))</f>
        <v/>
      </c>
      <c r="O171" s="54">
        <f>IF(A171="","",IF(C171="",0,C171))</f>
        <v/>
      </c>
    </row>
    <row r="172">
      <c r="A172" s="58" t="n"/>
      <c r="B172" s="49">
        <f>IF(A172="","",CHOOSE(WEEKDAY(A172,2),"Пн","Вт","Ср","Чт","Пт","Сб","Вс"))</f>
        <v/>
      </c>
      <c r="C172" s="59" t="n"/>
      <c r="D172" s="59" t="n"/>
      <c r="E172" s="60">
        <f>IF(OR(C172="",D172=""),"",MOD(D172-C172,1)*24)</f>
        <v/>
      </c>
      <c r="F172" s="50" t="n"/>
      <c r="G172" s="51" t="n"/>
      <c r="H172" s="51" t="n"/>
      <c r="I172" s="51" t="n"/>
      <c r="J172" s="51" t="n"/>
      <c r="K172" s="51" t="n"/>
      <c r="L172" s="54">
        <f>IF(OR(A172="",C172="",D172=""),"",IF(COUNTIFS($A$5:$A$3004,A172,$C$5:$C$3004,"&lt;"&amp;D172,$D$5:$D$3004,"&gt;"&amp;C172)&gt;1,"⚠️ пересечение",""))</f>
        <v/>
      </c>
      <c r="M172" s="54">
        <f>IF(F172="","",IF(J172="✅ Сделано","✔ ",IF(J172="❌ Пропущено","✖ ","⏰ "))&amp;IF(C172="","",RIGHT("0"&amp;HOUR(C172),2)&amp;":"&amp;RIGHT("0"&amp;MINUTE(C172),2)&amp;IF(D172="","","–"&amp;RIGHT("0"&amp;HOUR(D172),2)&amp;":"&amp;RIGHT("0"&amp;MINUTE(D172),2))&amp;" ")&amp;F172)</f>
        <v/>
      </c>
      <c r="N172" s="54">
        <f>IF(OR(A172="",F172=""),"",A172&amp;"#"&amp;(COUNTIFS($A$5:$A$3004,A172,$F$5:$F$3004,"?*",$O$5:$O$3004,"&lt;"&amp;O172)+COUNTIFS($A$5:A172,A172,$F$5:F172,"?*",$O$5:O172,O172)))</f>
        <v/>
      </c>
      <c r="O172" s="54">
        <f>IF(A172="","",IF(C172="",0,C172))</f>
        <v/>
      </c>
    </row>
    <row r="173">
      <c r="A173" s="58" t="n"/>
      <c r="B173" s="49">
        <f>IF(A173="","",CHOOSE(WEEKDAY(A173,2),"Пн","Вт","Ср","Чт","Пт","Сб","Вс"))</f>
        <v/>
      </c>
      <c r="C173" s="59" t="n"/>
      <c r="D173" s="59" t="n"/>
      <c r="E173" s="60">
        <f>IF(OR(C173="",D173=""),"",MOD(D173-C173,1)*24)</f>
        <v/>
      </c>
      <c r="F173" s="50" t="n"/>
      <c r="G173" s="51" t="n"/>
      <c r="H173" s="51" t="n"/>
      <c r="I173" s="51" t="n"/>
      <c r="J173" s="51" t="n"/>
      <c r="K173" s="51" t="n"/>
      <c r="L173" s="54">
        <f>IF(OR(A173="",C173="",D173=""),"",IF(COUNTIFS($A$5:$A$3004,A173,$C$5:$C$3004,"&lt;"&amp;D173,$D$5:$D$3004,"&gt;"&amp;C173)&gt;1,"⚠️ пересечение",""))</f>
        <v/>
      </c>
      <c r="M173" s="54">
        <f>IF(F173="","",IF(J173="✅ Сделано","✔ ",IF(J173="❌ Пропущено","✖ ","⏰ "))&amp;IF(C173="","",RIGHT("0"&amp;HOUR(C173),2)&amp;":"&amp;RIGHT("0"&amp;MINUTE(C173),2)&amp;IF(D173="","","–"&amp;RIGHT("0"&amp;HOUR(D173),2)&amp;":"&amp;RIGHT("0"&amp;MINUTE(D173),2))&amp;" ")&amp;F173)</f>
        <v/>
      </c>
      <c r="N173" s="54">
        <f>IF(OR(A173="",F173=""),"",A173&amp;"#"&amp;(COUNTIFS($A$5:$A$3004,A173,$F$5:$F$3004,"?*",$O$5:$O$3004,"&lt;"&amp;O173)+COUNTIFS($A$5:A173,A173,$F$5:F173,"?*",$O$5:O173,O173)))</f>
        <v/>
      </c>
      <c r="O173" s="54">
        <f>IF(A173="","",IF(C173="",0,C173))</f>
        <v/>
      </c>
    </row>
    <row r="174">
      <c r="A174" s="58" t="n"/>
      <c r="B174" s="49">
        <f>IF(A174="","",CHOOSE(WEEKDAY(A174,2),"Пн","Вт","Ср","Чт","Пт","Сб","Вс"))</f>
        <v/>
      </c>
      <c r="C174" s="59" t="n"/>
      <c r="D174" s="59" t="n"/>
      <c r="E174" s="60">
        <f>IF(OR(C174="",D174=""),"",MOD(D174-C174,1)*24)</f>
        <v/>
      </c>
      <c r="F174" s="50" t="n"/>
      <c r="G174" s="51" t="n"/>
      <c r="H174" s="51" t="n"/>
      <c r="I174" s="51" t="n"/>
      <c r="J174" s="51" t="n"/>
      <c r="K174" s="51" t="n"/>
      <c r="L174" s="54">
        <f>IF(OR(A174="",C174="",D174=""),"",IF(COUNTIFS($A$5:$A$3004,A174,$C$5:$C$3004,"&lt;"&amp;D174,$D$5:$D$3004,"&gt;"&amp;C174)&gt;1,"⚠️ пересечение",""))</f>
        <v/>
      </c>
      <c r="M174" s="54">
        <f>IF(F174="","",IF(J174="✅ Сделано","✔ ",IF(J174="❌ Пропущено","✖ ","⏰ "))&amp;IF(C174="","",RIGHT("0"&amp;HOUR(C174),2)&amp;":"&amp;RIGHT("0"&amp;MINUTE(C174),2)&amp;IF(D174="","","–"&amp;RIGHT("0"&amp;HOUR(D174),2)&amp;":"&amp;RIGHT("0"&amp;MINUTE(D174),2))&amp;" ")&amp;F174)</f>
        <v/>
      </c>
      <c r="N174" s="54">
        <f>IF(OR(A174="",F174=""),"",A174&amp;"#"&amp;(COUNTIFS($A$5:$A$3004,A174,$F$5:$F$3004,"?*",$O$5:$O$3004,"&lt;"&amp;O174)+COUNTIFS($A$5:A174,A174,$F$5:F174,"?*",$O$5:O174,O174)))</f>
        <v/>
      </c>
      <c r="O174" s="54">
        <f>IF(A174="","",IF(C174="",0,C174))</f>
        <v/>
      </c>
    </row>
    <row r="175">
      <c r="A175" s="58" t="n"/>
      <c r="B175" s="49">
        <f>IF(A175="","",CHOOSE(WEEKDAY(A175,2),"Пн","Вт","Ср","Чт","Пт","Сб","Вс"))</f>
        <v/>
      </c>
      <c r="C175" s="59" t="n"/>
      <c r="D175" s="59" t="n"/>
      <c r="E175" s="60">
        <f>IF(OR(C175="",D175=""),"",MOD(D175-C175,1)*24)</f>
        <v/>
      </c>
      <c r="F175" s="50" t="n"/>
      <c r="G175" s="51" t="n"/>
      <c r="H175" s="51" t="n"/>
      <c r="I175" s="51" t="n"/>
      <c r="J175" s="51" t="n"/>
      <c r="K175" s="51" t="n"/>
      <c r="L175" s="54">
        <f>IF(OR(A175="",C175="",D175=""),"",IF(COUNTIFS($A$5:$A$3004,A175,$C$5:$C$3004,"&lt;"&amp;D175,$D$5:$D$3004,"&gt;"&amp;C175)&gt;1,"⚠️ пересечение",""))</f>
        <v/>
      </c>
      <c r="M175" s="54">
        <f>IF(F175="","",IF(J175="✅ Сделано","✔ ",IF(J175="❌ Пропущено","✖ ","⏰ "))&amp;IF(C175="","",RIGHT("0"&amp;HOUR(C175),2)&amp;":"&amp;RIGHT("0"&amp;MINUTE(C175),2)&amp;IF(D175="","","–"&amp;RIGHT("0"&amp;HOUR(D175),2)&amp;":"&amp;RIGHT("0"&amp;MINUTE(D175),2))&amp;" ")&amp;F175)</f>
        <v/>
      </c>
      <c r="N175" s="54">
        <f>IF(OR(A175="",F175=""),"",A175&amp;"#"&amp;(COUNTIFS($A$5:$A$3004,A175,$F$5:$F$3004,"?*",$O$5:$O$3004,"&lt;"&amp;O175)+COUNTIFS($A$5:A175,A175,$F$5:F175,"?*",$O$5:O175,O175)))</f>
        <v/>
      </c>
      <c r="O175" s="54">
        <f>IF(A175="","",IF(C175="",0,C175))</f>
        <v/>
      </c>
    </row>
    <row r="176">
      <c r="A176" s="58" t="n"/>
      <c r="B176" s="49">
        <f>IF(A176="","",CHOOSE(WEEKDAY(A176,2),"Пн","Вт","Ср","Чт","Пт","Сб","Вс"))</f>
        <v/>
      </c>
      <c r="C176" s="59" t="n"/>
      <c r="D176" s="59" t="n"/>
      <c r="E176" s="60">
        <f>IF(OR(C176="",D176=""),"",MOD(D176-C176,1)*24)</f>
        <v/>
      </c>
      <c r="F176" s="50" t="n"/>
      <c r="G176" s="51" t="n"/>
      <c r="H176" s="51" t="n"/>
      <c r="I176" s="51" t="n"/>
      <c r="J176" s="51" t="n"/>
      <c r="K176" s="51" t="n"/>
      <c r="L176" s="54">
        <f>IF(OR(A176="",C176="",D176=""),"",IF(COUNTIFS($A$5:$A$3004,A176,$C$5:$C$3004,"&lt;"&amp;D176,$D$5:$D$3004,"&gt;"&amp;C176)&gt;1,"⚠️ пересечение",""))</f>
        <v/>
      </c>
      <c r="M176" s="54">
        <f>IF(F176="","",IF(J176="✅ Сделано","✔ ",IF(J176="❌ Пропущено","✖ ","⏰ "))&amp;IF(C176="","",RIGHT("0"&amp;HOUR(C176),2)&amp;":"&amp;RIGHT("0"&amp;MINUTE(C176),2)&amp;IF(D176="","","–"&amp;RIGHT("0"&amp;HOUR(D176),2)&amp;":"&amp;RIGHT("0"&amp;MINUTE(D176),2))&amp;" ")&amp;F176)</f>
        <v/>
      </c>
      <c r="N176" s="54">
        <f>IF(OR(A176="",F176=""),"",A176&amp;"#"&amp;(COUNTIFS($A$5:$A$3004,A176,$F$5:$F$3004,"?*",$O$5:$O$3004,"&lt;"&amp;O176)+COUNTIFS($A$5:A176,A176,$F$5:F176,"?*",$O$5:O176,O176)))</f>
        <v/>
      </c>
      <c r="O176" s="54">
        <f>IF(A176="","",IF(C176="",0,C176))</f>
        <v/>
      </c>
    </row>
    <row r="177">
      <c r="A177" s="58" t="n"/>
      <c r="B177" s="49">
        <f>IF(A177="","",CHOOSE(WEEKDAY(A177,2),"Пн","Вт","Ср","Чт","Пт","Сб","Вс"))</f>
        <v/>
      </c>
      <c r="C177" s="59" t="n"/>
      <c r="D177" s="59" t="n"/>
      <c r="E177" s="60">
        <f>IF(OR(C177="",D177=""),"",MOD(D177-C177,1)*24)</f>
        <v/>
      </c>
      <c r="F177" s="50" t="n"/>
      <c r="G177" s="51" t="n"/>
      <c r="H177" s="51" t="n"/>
      <c r="I177" s="51" t="n"/>
      <c r="J177" s="51" t="n"/>
      <c r="K177" s="51" t="n"/>
      <c r="L177" s="54">
        <f>IF(OR(A177="",C177="",D177=""),"",IF(COUNTIFS($A$5:$A$3004,A177,$C$5:$C$3004,"&lt;"&amp;D177,$D$5:$D$3004,"&gt;"&amp;C177)&gt;1,"⚠️ пересечение",""))</f>
        <v/>
      </c>
      <c r="M177" s="54">
        <f>IF(F177="","",IF(J177="✅ Сделано","✔ ",IF(J177="❌ Пропущено","✖ ","⏰ "))&amp;IF(C177="","",RIGHT("0"&amp;HOUR(C177),2)&amp;":"&amp;RIGHT("0"&amp;MINUTE(C177),2)&amp;IF(D177="","","–"&amp;RIGHT("0"&amp;HOUR(D177),2)&amp;":"&amp;RIGHT("0"&amp;MINUTE(D177),2))&amp;" ")&amp;F177)</f>
        <v/>
      </c>
      <c r="N177" s="54">
        <f>IF(OR(A177="",F177=""),"",A177&amp;"#"&amp;(COUNTIFS($A$5:$A$3004,A177,$F$5:$F$3004,"?*",$O$5:$O$3004,"&lt;"&amp;O177)+COUNTIFS($A$5:A177,A177,$F$5:F177,"?*",$O$5:O177,O177)))</f>
        <v/>
      </c>
      <c r="O177" s="54">
        <f>IF(A177="","",IF(C177="",0,C177))</f>
        <v/>
      </c>
    </row>
    <row r="178">
      <c r="A178" s="58" t="n"/>
      <c r="B178" s="49">
        <f>IF(A178="","",CHOOSE(WEEKDAY(A178,2),"Пн","Вт","Ср","Чт","Пт","Сб","Вс"))</f>
        <v/>
      </c>
      <c r="C178" s="59" t="n"/>
      <c r="D178" s="59" t="n"/>
      <c r="E178" s="60">
        <f>IF(OR(C178="",D178=""),"",MOD(D178-C178,1)*24)</f>
        <v/>
      </c>
      <c r="F178" s="50" t="n"/>
      <c r="G178" s="51" t="n"/>
      <c r="H178" s="51" t="n"/>
      <c r="I178" s="51" t="n"/>
      <c r="J178" s="51" t="n"/>
      <c r="K178" s="51" t="n"/>
      <c r="L178" s="54">
        <f>IF(OR(A178="",C178="",D178=""),"",IF(COUNTIFS($A$5:$A$3004,A178,$C$5:$C$3004,"&lt;"&amp;D178,$D$5:$D$3004,"&gt;"&amp;C178)&gt;1,"⚠️ пересечение",""))</f>
        <v/>
      </c>
      <c r="M178" s="54">
        <f>IF(F178="","",IF(J178="✅ Сделано","✔ ",IF(J178="❌ Пропущено","✖ ","⏰ "))&amp;IF(C178="","",RIGHT("0"&amp;HOUR(C178),2)&amp;":"&amp;RIGHT("0"&amp;MINUTE(C178),2)&amp;IF(D178="","","–"&amp;RIGHT("0"&amp;HOUR(D178),2)&amp;":"&amp;RIGHT("0"&amp;MINUTE(D178),2))&amp;" ")&amp;F178)</f>
        <v/>
      </c>
      <c r="N178" s="54">
        <f>IF(OR(A178="",F178=""),"",A178&amp;"#"&amp;(COUNTIFS($A$5:$A$3004,A178,$F$5:$F$3004,"?*",$O$5:$O$3004,"&lt;"&amp;O178)+COUNTIFS($A$5:A178,A178,$F$5:F178,"?*",$O$5:O178,O178)))</f>
        <v/>
      </c>
      <c r="O178" s="54">
        <f>IF(A178="","",IF(C178="",0,C178))</f>
        <v/>
      </c>
    </row>
    <row r="179">
      <c r="A179" s="58" t="n"/>
      <c r="B179" s="49">
        <f>IF(A179="","",CHOOSE(WEEKDAY(A179,2),"Пн","Вт","Ср","Чт","Пт","Сб","Вс"))</f>
        <v/>
      </c>
      <c r="C179" s="59" t="n"/>
      <c r="D179" s="59" t="n"/>
      <c r="E179" s="60">
        <f>IF(OR(C179="",D179=""),"",MOD(D179-C179,1)*24)</f>
        <v/>
      </c>
      <c r="F179" s="50" t="n"/>
      <c r="G179" s="51" t="n"/>
      <c r="H179" s="51" t="n"/>
      <c r="I179" s="51" t="n"/>
      <c r="J179" s="51" t="n"/>
      <c r="K179" s="51" t="n"/>
      <c r="L179" s="54">
        <f>IF(OR(A179="",C179="",D179=""),"",IF(COUNTIFS($A$5:$A$3004,A179,$C$5:$C$3004,"&lt;"&amp;D179,$D$5:$D$3004,"&gt;"&amp;C179)&gt;1,"⚠️ пересечение",""))</f>
        <v/>
      </c>
      <c r="M179" s="54">
        <f>IF(F179="","",IF(J179="✅ Сделано","✔ ",IF(J179="❌ Пропущено","✖ ","⏰ "))&amp;IF(C179="","",RIGHT("0"&amp;HOUR(C179),2)&amp;":"&amp;RIGHT("0"&amp;MINUTE(C179),2)&amp;IF(D179="","","–"&amp;RIGHT("0"&amp;HOUR(D179),2)&amp;":"&amp;RIGHT("0"&amp;MINUTE(D179),2))&amp;" ")&amp;F179)</f>
        <v/>
      </c>
      <c r="N179" s="54">
        <f>IF(OR(A179="",F179=""),"",A179&amp;"#"&amp;(COUNTIFS($A$5:$A$3004,A179,$F$5:$F$3004,"?*",$O$5:$O$3004,"&lt;"&amp;O179)+COUNTIFS($A$5:A179,A179,$F$5:F179,"?*",$O$5:O179,O179)))</f>
        <v/>
      </c>
      <c r="O179" s="54">
        <f>IF(A179="","",IF(C179="",0,C179))</f>
        <v/>
      </c>
    </row>
    <row r="180">
      <c r="A180" s="58" t="n"/>
      <c r="B180" s="49">
        <f>IF(A180="","",CHOOSE(WEEKDAY(A180,2),"Пн","Вт","Ср","Чт","Пт","Сб","Вс"))</f>
        <v/>
      </c>
      <c r="C180" s="59" t="n"/>
      <c r="D180" s="59" t="n"/>
      <c r="E180" s="60">
        <f>IF(OR(C180="",D180=""),"",MOD(D180-C180,1)*24)</f>
        <v/>
      </c>
      <c r="F180" s="50" t="n"/>
      <c r="G180" s="51" t="n"/>
      <c r="H180" s="51" t="n"/>
      <c r="I180" s="51" t="n"/>
      <c r="J180" s="51" t="n"/>
      <c r="K180" s="51" t="n"/>
      <c r="L180" s="54">
        <f>IF(OR(A180="",C180="",D180=""),"",IF(COUNTIFS($A$5:$A$3004,A180,$C$5:$C$3004,"&lt;"&amp;D180,$D$5:$D$3004,"&gt;"&amp;C180)&gt;1,"⚠️ пересечение",""))</f>
        <v/>
      </c>
      <c r="M180" s="54">
        <f>IF(F180="","",IF(J180="✅ Сделано","✔ ",IF(J180="❌ Пропущено","✖ ","⏰ "))&amp;IF(C180="","",RIGHT("0"&amp;HOUR(C180),2)&amp;":"&amp;RIGHT("0"&amp;MINUTE(C180),2)&amp;IF(D180="","","–"&amp;RIGHT("0"&amp;HOUR(D180),2)&amp;":"&amp;RIGHT("0"&amp;MINUTE(D180),2))&amp;" ")&amp;F180)</f>
        <v/>
      </c>
      <c r="N180" s="54">
        <f>IF(OR(A180="",F180=""),"",A180&amp;"#"&amp;(COUNTIFS($A$5:$A$3004,A180,$F$5:$F$3004,"?*",$O$5:$O$3004,"&lt;"&amp;O180)+COUNTIFS($A$5:A180,A180,$F$5:F180,"?*",$O$5:O180,O180)))</f>
        <v/>
      </c>
      <c r="O180" s="54">
        <f>IF(A180="","",IF(C180="",0,C180))</f>
        <v/>
      </c>
    </row>
    <row r="181">
      <c r="A181" s="58" t="n"/>
      <c r="B181" s="49">
        <f>IF(A181="","",CHOOSE(WEEKDAY(A181,2),"Пн","Вт","Ср","Чт","Пт","Сб","Вс"))</f>
        <v/>
      </c>
      <c r="C181" s="59" t="n"/>
      <c r="D181" s="59" t="n"/>
      <c r="E181" s="60">
        <f>IF(OR(C181="",D181=""),"",MOD(D181-C181,1)*24)</f>
        <v/>
      </c>
      <c r="F181" s="50" t="n"/>
      <c r="G181" s="51" t="n"/>
      <c r="H181" s="51" t="n"/>
      <c r="I181" s="51" t="n"/>
      <c r="J181" s="51" t="n"/>
      <c r="K181" s="51" t="n"/>
      <c r="L181" s="54">
        <f>IF(OR(A181="",C181="",D181=""),"",IF(COUNTIFS($A$5:$A$3004,A181,$C$5:$C$3004,"&lt;"&amp;D181,$D$5:$D$3004,"&gt;"&amp;C181)&gt;1,"⚠️ пересечение",""))</f>
        <v/>
      </c>
      <c r="M181" s="54">
        <f>IF(F181="","",IF(J181="✅ Сделано","✔ ",IF(J181="❌ Пропущено","✖ ","⏰ "))&amp;IF(C181="","",RIGHT("0"&amp;HOUR(C181),2)&amp;":"&amp;RIGHT("0"&amp;MINUTE(C181),2)&amp;IF(D181="","","–"&amp;RIGHT("0"&amp;HOUR(D181),2)&amp;":"&amp;RIGHT("0"&amp;MINUTE(D181),2))&amp;" ")&amp;F181)</f>
        <v/>
      </c>
      <c r="N181" s="54">
        <f>IF(OR(A181="",F181=""),"",A181&amp;"#"&amp;(COUNTIFS($A$5:$A$3004,A181,$F$5:$F$3004,"?*",$O$5:$O$3004,"&lt;"&amp;O181)+COUNTIFS($A$5:A181,A181,$F$5:F181,"?*",$O$5:O181,O181)))</f>
        <v/>
      </c>
      <c r="O181" s="54">
        <f>IF(A181="","",IF(C181="",0,C181))</f>
        <v/>
      </c>
    </row>
    <row r="182">
      <c r="A182" s="58" t="n"/>
      <c r="B182" s="49">
        <f>IF(A182="","",CHOOSE(WEEKDAY(A182,2),"Пн","Вт","Ср","Чт","Пт","Сб","Вс"))</f>
        <v/>
      </c>
      <c r="C182" s="59" t="n"/>
      <c r="D182" s="59" t="n"/>
      <c r="E182" s="60">
        <f>IF(OR(C182="",D182=""),"",MOD(D182-C182,1)*24)</f>
        <v/>
      </c>
      <c r="F182" s="50" t="n"/>
      <c r="G182" s="51" t="n"/>
      <c r="H182" s="51" t="n"/>
      <c r="I182" s="51" t="n"/>
      <c r="J182" s="51" t="n"/>
      <c r="K182" s="51" t="n"/>
      <c r="L182" s="54">
        <f>IF(OR(A182="",C182="",D182=""),"",IF(COUNTIFS($A$5:$A$3004,A182,$C$5:$C$3004,"&lt;"&amp;D182,$D$5:$D$3004,"&gt;"&amp;C182)&gt;1,"⚠️ пересечение",""))</f>
        <v/>
      </c>
      <c r="M182" s="54">
        <f>IF(F182="","",IF(J182="✅ Сделано","✔ ",IF(J182="❌ Пропущено","✖ ","⏰ "))&amp;IF(C182="","",RIGHT("0"&amp;HOUR(C182),2)&amp;":"&amp;RIGHT("0"&amp;MINUTE(C182),2)&amp;IF(D182="","","–"&amp;RIGHT("0"&amp;HOUR(D182),2)&amp;":"&amp;RIGHT("0"&amp;MINUTE(D182),2))&amp;" ")&amp;F182)</f>
        <v/>
      </c>
      <c r="N182" s="54">
        <f>IF(OR(A182="",F182=""),"",A182&amp;"#"&amp;(COUNTIFS($A$5:$A$3004,A182,$F$5:$F$3004,"?*",$O$5:$O$3004,"&lt;"&amp;O182)+COUNTIFS($A$5:A182,A182,$F$5:F182,"?*",$O$5:O182,O182)))</f>
        <v/>
      </c>
      <c r="O182" s="54">
        <f>IF(A182="","",IF(C182="",0,C182))</f>
        <v/>
      </c>
    </row>
    <row r="183">
      <c r="A183" s="58" t="n"/>
      <c r="B183" s="49">
        <f>IF(A183="","",CHOOSE(WEEKDAY(A183,2),"Пн","Вт","Ср","Чт","Пт","Сб","Вс"))</f>
        <v/>
      </c>
      <c r="C183" s="59" t="n"/>
      <c r="D183" s="59" t="n"/>
      <c r="E183" s="60">
        <f>IF(OR(C183="",D183=""),"",MOD(D183-C183,1)*24)</f>
        <v/>
      </c>
      <c r="F183" s="50" t="n"/>
      <c r="G183" s="51" t="n"/>
      <c r="H183" s="51" t="n"/>
      <c r="I183" s="51" t="n"/>
      <c r="J183" s="51" t="n"/>
      <c r="K183" s="51" t="n"/>
      <c r="L183" s="54">
        <f>IF(OR(A183="",C183="",D183=""),"",IF(COUNTIFS($A$5:$A$3004,A183,$C$5:$C$3004,"&lt;"&amp;D183,$D$5:$D$3004,"&gt;"&amp;C183)&gt;1,"⚠️ пересечение",""))</f>
        <v/>
      </c>
      <c r="M183" s="54">
        <f>IF(F183="","",IF(J183="✅ Сделано","✔ ",IF(J183="❌ Пропущено","✖ ","⏰ "))&amp;IF(C183="","",RIGHT("0"&amp;HOUR(C183),2)&amp;":"&amp;RIGHT("0"&amp;MINUTE(C183),2)&amp;IF(D183="","","–"&amp;RIGHT("0"&amp;HOUR(D183),2)&amp;":"&amp;RIGHT("0"&amp;MINUTE(D183),2))&amp;" ")&amp;F183)</f>
        <v/>
      </c>
      <c r="N183" s="54">
        <f>IF(OR(A183="",F183=""),"",A183&amp;"#"&amp;(COUNTIFS($A$5:$A$3004,A183,$F$5:$F$3004,"?*",$O$5:$O$3004,"&lt;"&amp;O183)+COUNTIFS($A$5:A183,A183,$F$5:F183,"?*",$O$5:O183,O183)))</f>
        <v/>
      </c>
      <c r="O183" s="54">
        <f>IF(A183="","",IF(C183="",0,C183))</f>
        <v/>
      </c>
    </row>
    <row r="184">
      <c r="A184" s="58" t="n"/>
      <c r="B184" s="49">
        <f>IF(A184="","",CHOOSE(WEEKDAY(A184,2),"Пн","Вт","Ср","Чт","Пт","Сб","Вс"))</f>
        <v/>
      </c>
      <c r="C184" s="59" t="n"/>
      <c r="D184" s="59" t="n"/>
      <c r="E184" s="60">
        <f>IF(OR(C184="",D184=""),"",MOD(D184-C184,1)*24)</f>
        <v/>
      </c>
      <c r="F184" s="50" t="n"/>
      <c r="G184" s="51" t="n"/>
      <c r="H184" s="51" t="n"/>
      <c r="I184" s="51" t="n"/>
      <c r="J184" s="51" t="n"/>
      <c r="K184" s="51" t="n"/>
      <c r="L184" s="54">
        <f>IF(OR(A184="",C184="",D184=""),"",IF(COUNTIFS($A$5:$A$3004,A184,$C$5:$C$3004,"&lt;"&amp;D184,$D$5:$D$3004,"&gt;"&amp;C184)&gt;1,"⚠️ пересечение",""))</f>
        <v/>
      </c>
      <c r="M184" s="54">
        <f>IF(F184="","",IF(J184="✅ Сделано","✔ ",IF(J184="❌ Пропущено","✖ ","⏰ "))&amp;IF(C184="","",RIGHT("0"&amp;HOUR(C184),2)&amp;":"&amp;RIGHT("0"&amp;MINUTE(C184),2)&amp;IF(D184="","","–"&amp;RIGHT("0"&amp;HOUR(D184),2)&amp;":"&amp;RIGHT("0"&amp;MINUTE(D184),2))&amp;" ")&amp;F184)</f>
        <v/>
      </c>
      <c r="N184" s="54">
        <f>IF(OR(A184="",F184=""),"",A184&amp;"#"&amp;(COUNTIFS($A$5:$A$3004,A184,$F$5:$F$3004,"?*",$O$5:$O$3004,"&lt;"&amp;O184)+COUNTIFS($A$5:A184,A184,$F$5:F184,"?*",$O$5:O184,O184)))</f>
        <v/>
      </c>
      <c r="O184" s="54">
        <f>IF(A184="","",IF(C184="",0,C184))</f>
        <v/>
      </c>
    </row>
    <row r="185">
      <c r="A185" s="58" t="n"/>
      <c r="B185" s="49">
        <f>IF(A185="","",CHOOSE(WEEKDAY(A185,2),"Пн","Вт","Ср","Чт","Пт","Сб","Вс"))</f>
        <v/>
      </c>
      <c r="C185" s="59" t="n"/>
      <c r="D185" s="59" t="n"/>
      <c r="E185" s="60">
        <f>IF(OR(C185="",D185=""),"",MOD(D185-C185,1)*24)</f>
        <v/>
      </c>
      <c r="F185" s="50" t="n"/>
      <c r="G185" s="51" t="n"/>
      <c r="H185" s="51" t="n"/>
      <c r="I185" s="51" t="n"/>
      <c r="J185" s="51" t="n"/>
      <c r="K185" s="51" t="n"/>
      <c r="L185" s="54">
        <f>IF(OR(A185="",C185="",D185=""),"",IF(COUNTIFS($A$5:$A$3004,A185,$C$5:$C$3004,"&lt;"&amp;D185,$D$5:$D$3004,"&gt;"&amp;C185)&gt;1,"⚠️ пересечение",""))</f>
        <v/>
      </c>
      <c r="M185" s="54">
        <f>IF(F185="","",IF(J185="✅ Сделано","✔ ",IF(J185="❌ Пропущено","✖ ","⏰ "))&amp;IF(C185="","",RIGHT("0"&amp;HOUR(C185),2)&amp;":"&amp;RIGHT("0"&amp;MINUTE(C185),2)&amp;IF(D185="","","–"&amp;RIGHT("0"&amp;HOUR(D185),2)&amp;":"&amp;RIGHT("0"&amp;MINUTE(D185),2))&amp;" ")&amp;F185)</f>
        <v/>
      </c>
      <c r="N185" s="54">
        <f>IF(OR(A185="",F185=""),"",A185&amp;"#"&amp;(COUNTIFS($A$5:$A$3004,A185,$F$5:$F$3004,"?*",$O$5:$O$3004,"&lt;"&amp;O185)+COUNTIFS($A$5:A185,A185,$F$5:F185,"?*",$O$5:O185,O185)))</f>
        <v/>
      </c>
      <c r="O185" s="54">
        <f>IF(A185="","",IF(C185="",0,C185))</f>
        <v/>
      </c>
    </row>
    <row r="186">
      <c r="A186" s="58" t="n"/>
      <c r="B186" s="49">
        <f>IF(A186="","",CHOOSE(WEEKDAY(A186,2),"Пн","Вт","Ср","Чт","Пт","Сб","Вс"))</f>
        <v/>
      </c>
      <c r="C186" s="59" t="n"/>
      <c r="D186" s="59" t="n"/>
      <c r="E186" s="60">
        <f>IF(OR(C186="",D186=""),"",MOD(D186-C186,1)*24)</f>
        <v/>
      </c>
      <c r="F186" s="50" t="n"/>
      <c r="G186" s="51" t="n"/>
      <c r="H186" s="51" t="n"/>
      <c r="I186" s="51" t="n"/>
      <c r="J186" s="51" t="n"/>
      <c r="K186" s="51" t="n"/>
      <c r="L186" s="54">
        <f>IF(OR(A186="",C186="",D186=""),"",IF(COUNTIFS($A$5:$A$3004,A186,$C$5:$C$3004,"&lt;"&amp;D186,$D$5:$D$3004,"&gt;"&amp;C186)&gt;1,"⚠️ пересечение",""))</f>
        <v/>
      </c>
      <c r="M186" s="54">
        <f>IF(F186="","",IF(J186="✅ Сделано","✔ ",IF(J186="❌ Пропущено","✖ ","⏰ "))&amp;IF(C186="","",RIGHT("0"&amp;HOUR(C186),2)&amp;":"&amp;RIGHT("0"&amp;MINUTE(C186),2)&amp;IF(D186="","","–"&amp;RIGHT("0"&amp;HOUR(D186),2)&amp;":"&amp;RIGHT("0"&amp;MINUTE(D186),2))&amp;" ")&amp;F186)</f>
        <v/>
      </c>
      <c r="N186" s="54">
        <f>IF(OR(A186="",F186=""),"",A186&amp;"#"&amp;(COUNTIFS($A$5:$A$3004,A186,$F$5:$F$3004,"?*",$O$5:$O$3004,"&lt;"&amp;O186)+COUNTIFS($A$5:A186,A186,$F$5:F186,"?*",$O$5:O186,O186)))</f>
        <v/>
      </c>
      <c r="O186" s="54">
        <f>IF(A186="","",IF(C186="",0,C186))</f>
        <v/>
      </c>
    </row>
    <row r="187">
      <c r="A187" s="58" t="n"/>
      <c r="B187" s="49">
        <f>IF(A187="","",CHOOSE(WEEKDAY(A187,2),"Пн","Вт","Ср","Чт","Пт","Сб","Вс"))</f>
        <v/>
      </c>
      <c r="C187" s="59" t="n"/>
      <c r="D187" s="59" t="n"/>
      <c r="E187" s="60">
        <f>IF(OR(C187="",D187=""),"",MOD(D187-C187,1)*24)</f>
        <v/>
      </c>
      <c r="F187" s="50" t="n"/>
      <c r="G187" s="51" t="n"/>
      <c r="H187" s="51" t="n"/>
      <c r="I187" s="51" t="n"/>
      <c r="J187" s="51" t="n"/>
      <c r="K187" s="51" t="n"/>
      <c r="L187" s="54">
        <f>IF(OR(A187="",C187="",D187=""),"",IF(COUNTIFS($A$5:$A$3004,A187,$C$5:$C$3004,"&lt;"&amp;D187,$D$5:$D$3004,"&gt;"&amp;C187)&gt;1,"⚠️ пересечение",""))</f>
        <v/>
      </c>
      <c r="M187" s="54">
        <f>IF(F187="","",IF(J187="✅ Сделано","✔ ",IF(J187="❌ Пропущено","✖ ","⏰ "))&amp;IF(C187="","",RIGHT("0"&amp;HOUR(C187),2)&amp;":"&amp;RIGHT("0"&amp;MINUTE(C187),2)&amp;IF(D187="","","–"&amp;RIGHT("0"&amp;HOUR(D187),2)&amp;":"&amp;RIGHT("0"&amp;MINUTE(D187),2))&amp;" ")&amp;F187)</f>
        <v/>
      </c>
      <c r="N187" s="54">
        <f>IF(OR(A187="",F187=""),"",A187&amp;"#"&amp;(COUNTIFS($A$5:$A$3004,A187,$F$5:$F$3004,"?*",$O$5:$O$3004,"&lt;"&amp;O187)+COUNTIFS($A$5:A187,A187,$F$5:F187,"?*",$O$5:O187,O187)))</f>
        <v/>
      </c>
      <c r="O187" s="54">
        <f>IF(A187="","",IF(C187="",0,C187))</f>
        <v/>
      </c>
    </row>
    <row r="188">
      <c r="A188" s="58" t="n"/>
      <c r="B188" s="49">
        <f>IF(A188="","",CHOOSE(WEEKDAY(A188,2),"Пн","Вт","Ср","Чт","Пт","Сб","Вс"))</f>
        <v/>
      </c>
      <c r="C188" s="59" t="n"/>
      <c r="D188" s="59" t="n"/>
      <c r="E188" s="60">
        <f>IF(OR(C188="",D188=""),"",MOD(D188-C188,1)*24)</f>
        <v/>
      </c>
      <c r="F188" s="50" t="n"/>
      <c r="G188" s="51" t="n"/>
      <c r="H188" s="51" t="n"/>
      <c r="I188" s="51" t="n"/>
      <c r="J188" s="51" t="n"/>
      <c r="K188" s="51" t="n"/>
      <c r="L188" s="54">
        <f>IF(OR(A188="",C188="",D188=""),"",IF(COUNTIFS($A$5:$A$3004,A188,$C$5:$C$3004,"&lt;"&amp;D188,$D$5:$D$3004,"&gt;"&amp;C188)&gt;1,"⚠️ пересечение",""))</f>
        <v/>
      </c>
      <c r="M188" s="54">
        <f>IF(F188="","",IF(J188="✅ Сделано","✔ ",IF(J188="❌ Пропущено","✖ ","⏰ "))&amp;IF(C188="","",RIGHT("0"&amp;HOUR(C188),2)&amp;":"&amp;RIGHT("0"&amp;MINUTE(C188),2)&amp;IF(D188="","","–"&amp;RIGHT("0"&amp;HOUR(D188),2)&amp;":"&amp;RIGHT("0"&amp;MINUTE(D188),2))&amp;" ")&amp;F188)</f>
        <v/>
      </c>
      <c r="N188" s="54">
        <f>IF(OR(A188="",F188=""),"",A188&amp;"#"&amp;(COUNTIFS($A$5:$A$3004,A188,$F$5:$F$3004,"?*",$O$5:$O$3004,"&lt;"&amp;O188)+COUNTIFS($A$5:A188,A188,$F$5:F188,"?*",$O$5:O188,O188)))</f>
        <v/>
      </c>
      <c r="O188" s="54">
        <f>IF(A188="","",IF(C188="",0,C188))</f>
        <v/>
      </c>
    </row>
    <row r="189">
      <c r="A189" s="58" t="n"/>
      <c r="B189" s="49">
        <f>IF(A189="","",CHOOSE(WEEKDAY(A189,2),"Пн","Вт","Ср","Чт","Пт","Сб","Вс"))</f>
        <v/>
      </c>
      <c r="C189" s="59" t="n"/>
      <c r="D189" s="59" t="n"/>
      <c r="E189" s="60">
        <f>IF(OR(C189="",D189=""),"",MOD(D189-C189,1)*24)</f>
        <v/>
      </c>
      <c r="F189" s="50" t="n"/>
      <c r="G189" s="51" t="n"/>
      <c r="H189" s="51" t="n"/>
      <c r="I189" s="51" t="n"/>
      <c r="J189" s="51" t="n"/>
      <c r="K189" s="51" t="n"/>
      <c r="L189" s="54">
        <f>IF(OR(A189="",C189="",D189=""),"",IF(COUNTIFS($A$5:$A$3004,A189,$C$5:$C$3004,"&lt;"&amp;D189,$D$5:$D$3004,"&gt;"&amp;C189)&gt;1,"⚠️ пересечение",""))</f>
        <v/>
      </c>
      <c r="M189" s="54">
        <f>IF(F189="","",IF(J189="✅ Сделано","✔ ",IF(J189="❌ Пропущено","✖ ","⏰ "))&amp;IF(C189="","",RIGHT("0"&amp;HOUR(C189),2)&amp;":"&amp;RIGHT("0"&amp;MINUTE(C189),2)&amp;IF(D189="","","–"&amp;RIGHT("0"&amp;HOUR(D189),2)&amp;":"&amp;RIGHT("0"&amp;MINUTE(D189),2))&amp;" ")&amp;F189)</f>
        <v/>
      </c>
      <c r="N189" s="54">
        <f>IF(OR(A189="",F189=""),"",A189&amp;"#"&amp;(COUNTIFS($A$5:$A$3004,A189,$F$5:$F$3004,"?*",$O$5:$O$3004,"&lt;"&amp;O189)+COUNTIFS($A$5:A189,A189,$F$5:F189,"?*",$O$5:O189,O189)))</f>
        <v/>
      </c>
      <c r="O189" s="54">
        <f>IF(A189="","",IF(C189="",0,C189))</f>
        <v/>
      </c>
    </row>
    <row r="190">
      <c r="A190" s="58" t="n"/>
      <c r="B190" s="49">
        <f>IF(A190="","",CHOOSE(WEEKDAY(A190,2),"Пн","Вт","Ср","Чт","Пт","Сб","Вс"))</f>
        <v/>
      </c>
      <c r="C190" s="59" t="n"/>
      <c r="D190" s="59" t="n"/>
      <c r="E190" s="60">
        <f>IF(OR(C190="",D190=""),"",MOD(D190-C190,1)*24)</f>
        <v/>
      </c>
      <c r="F190" s="50" t="n"/>
      <c r="G190" s="51" t="n"/>
      <c r="H190" s="51" t="n"/>
      <c r="I190" s="51" t="n"/>
      <c r="J190" s="51" t="n"/>
      <c r="K190" s="51" t="n"/>
      <c r="L190" s="54">
        <f>IF(OR(A190="",C190="",D190=""),"",IF(COUNTIFS($A$5:$A$3004,A190,$C$5:$C$3004,"&lt;"&amp;D190,$D$5:$D$3004,"&gt;"&amp;C190)&gt;1,"⚠️ пересечение",""))</f>
        <v/>
      </c>
      <c r="M190" s="54">
        <f>IF(F190="","",IF(J190="✅ Сделано","✔ ",IF(J190="❌ Пропущено","✖ ","⏰ "))&amp;IF(C190="","",RIGHT("0"&amp;HOUR(C190),2)&amp;":"&amp;RIGHT("0"&amp;MINUTE(C190),2)&amp;IF(D190="","","–"&amp;RIGHT("0"&amp;HOUR(D190),2)&amp;":"&amp;RIGHT("0"&amp;MINUTE(D190),2))&amp;" ")&amp;F190)</f>
        <v/>
      </c>
      <c r="N190" s="54">
        <f>IF(OR(A190="",F190=""),"",A190&amp;"#"&amp;(COUNTIFS($A$5:$A$3004,A190,$F$5:$F$3004,"?*",$O$5:$O$3004,"&lt;"&amp;O190)+COUNTIFS($A$5:A190,A190,$F$5:F190,"?*",$O$5:O190,O190)))</f>
        <v/>
      </c>
      <c r="O190" s="54">
        <f>IF(A190="","",IF(C190="",0,C190))</f>
        <v/>
      </c>
    </row>
    <row r="191">
      <c r="A191" s="58" t="n"/>
      <c r="B191" s="49">
        <f>IF(A191="","",CHOOSE(WEEKDAY(A191,2),"Пн","Вт","Ср","Чт","Пт","Сб","Вс"))</f>
        <v/>
      </c>
      <c r="C191" s="59" t="n"/>
      <c r="D191" s="59" t="n"/>
      <c r="E191" s="60">
        <f>IF(OR(C191="",D191=""),"",MOD(D191-C191,1)*24)</f>
        <v/>
      </c>
      <c r="F191" s="50" t="n"/>
      <c r="G191" s="51" t="n"/>
      <c r="H191" s="51" t="n"/>
      <c r="I191" s="51" t="n"/>
      <c r="J191" s="51" t="n"/>
      <c r="K191" s="51" t="n"/>
      <c r="L191" s="54">
        <f>IF(OR(A191="",C191="",D191=""),"",IF(COUNTIFS($A$5:$A$3004,A191,$C$5:$C$3004,"&lt;"&amp;D191,$D$5:$D$3004,"&gt;"&amp;C191)&gt;1,"⚠️ пересечение",""))</f>
        <v/>
      </c>
      <c r="M191" s="54">
        <f>IF(F191="","",IF(J191="✅ Сделано","✔ ",IF(J191="❌ Пропущено","✖ ","⏰ "))&amp;IF(C191="","",RIGHT("0"&amp;HOUR(C191),2)&amp;":"&amp;RIGHT("0"&amp;MINUTE(C191),2)&amp;IF(D191="","","–"&amp;RIGHT("0"&amp;HOUR(D191),2)&amp;":"&amp;RIGHT("0"&amp;MINUTE(D191),2))&amp;" ")&amp;F191)</f>
        <v/>
      </c>
      <c r="N191" s="54">
        <f>IF(OR(A191="",F191=""),"",A191&amp;"#"&amp;(COUNTIFS($A$5:$A$3004,A191,$F$5:$F$3004,"?*",$O$5:$O$3004,"&lt;"&amp;O191)+COUNTIFS($A$5:A191,A191,$F$5:F191,"?*",$O$5:O191,O191)))</f>
        <v/>
      </c>
      <c r="O191" s="54">
        <f>IF(A191="","",IF(C191="",0,C191))</f>
        <v/>
      </c>
    </row>
    <row r="192">
      <c r="A192" s="58" t="n"/>
      <c r="B192" s="49">
        <f>IF(A192="","",CHOOSE(WEEKDAY(A192,2),"Пн","Вт","Ср","Чт","Пт","Сб","Вс"))</f>
        <v/>
      </c>
      <c r="C192" s="59" t="n"/>
      <c r="D192" s="59" t="n"/>
      <c r="E192" s="60">
        <f>IF(OR(C192="",D192=""),"",MOD(D192-C192,1)*24)</f>
        <v/>
      </c>
      <c r="F192" s="50" t="n"/>
      <c r="G192" s="51" t="n"/>
      <c r="H192" s="51" t="n"/>
      <c r="I192" s="51" t="n"/>
      <c r="J192" s="51" t="n"/>
      <c r="K192" s="51" t="n"/>
      <c r="L192" s="54">
        <f>IF(OR(A192="",C192="",D192=""),"",IF(COUNTIFS($A$5:$A$3004,A192,$C$5:$C$3004,"&lt;"&amp;D192,$D$5:$D$3004,"&gt;"&amp;C192)&gt;1,"⚠️ пересечение",""))</f>
        <v/>
      </c>
      <c r="M192" s="54">
        <f>IF(F192="","",IF(J192="✅ Сделано","✔ ",IF(J192="❌ Пропущено","✖ ","⏰ "))&amp;IF(C192="","",RIGHT("0"&amp;HOUR(C192),2)&amp;":"&amp;RIGHT("0"&amp;MINUTE(C192),2)&amp;IF(D192="","","–"&amp;RIGHT("0"&amp;HOUR(D192),2)&amp;":"&amp;RIGHT("0"&amp;MINUTE(D192),2))&amp;" ")&amp;F192)</f>
        <v/>
      </c>
      <c r="N192" s="54">
        <f>IF(OR(A192="",F192=""),"",A192&amp;"#"&amp;(COUNTIFS($A$5:$A$3004,A192,$F$5:$F$3004,"?*",$O$5:$O$3004,"&lt;"&amp;O192)+COUNTIFS($A$5:A192,A192,$F$5:F192,"?*",$O$5:O192,O192)))</f>
        <v/>
      </c>
      <c r="O192" s="54">
        <f>IF(A192="","",IF(C192="",0,C192))</f>
        <v/>
      </c>
    </row>
    <row r="193">
      <c r="A193" s="58" t="n"/>
      <c r="B193" s="49">
        <f>IF(A193="","",CHOOSE(WEEKDAY(A193,2),"Пн","Вт","Ср","Чт","Пт","Сб","Вс"))</f>
        <v/>
      </c>
      <c r="C193" s="59" t="n"/>
      <c r="D193" s="59" t="n"/>
      <c r="E193" s="60">
        <f>IF(OR(C193="",D193=""),"",MOD(D193-C193,1)*24)</f>
        <v/>
      </c>
      <c r="F193" s="50" t="n"/>
      <c r="G193" s="51" t="n"/>
      <c r="H193" s="51" t="n"/>
      <c r="I193" s="51" t="n"/>
      <c r="J193" s="51" t="n"/>
      <c r="K193" s="51" t="n"/>
      <c r="L193" s="54">
        <f>IF(OR(A193="",C193="",D193=""),"",IF(COUNTIFS($A$5:$A$3004,A193,$C$5:$C$3004,"&lt;"&amp;D193,$D$5:$D$3004,"&gt;"&amp;C193)&gt;1,"⚠️ пересечение",""))</f>
        <v/>
      </c>
      <c r="M193" s="54">
        <f>IF(F193="","",IF(J193="✅ Сделано","✔ ",IF(J193="❌ Пропущено","✖ ","⏰ "))&amp;IF(C193="","",RIGHT("0"&amp;HOUR(C193),2)&amp;":"&amp;RIGHT("0"&amp;MINUTE(C193),2)&amp;IF(D193="","","–"&amp;RIGHT("0"&amp;HOUR(D193),2)&amp;":"&amp;RIGHT("0"&amp;MINUTE(D193),2))&amp;" ")&amp;F193)</f>
        <v/>
      </c>
      <c r="N193" s="54">
        <f>IF(OR(A193="",F193=""),"",A193&amp;"#"&amp;(COUNTIFS($A$5:$A$3004,A193,$F$5:$F$3004,"?*",$O$5:$O$3004,"&lt;"&amp;O193)+COUNTIFS($A$5:A193,A193,$F$5:F193,"?*",$O$5:O193,O193)))</f>
        <v/>
      </c>
      <c r="O193" s="54">
        <f>IF(A193="","",IF(C193="",0,C193))</f>
        <v/>
      </c>
    </row>
    <row r="194">
      <c r="A194" s="58" t="n"/>
      <c r="B194" s="49">
        <f>IF(A194="","",CHOOSE(WEEKDAY(A194,2),"Пн","Вт","Ср","Чт","Пт","Сб","Вс"))</f>
        <v/>
      </c>
      <c r="C194" s="59" t="n"/>
      <c r="D194" s="59" t="n"/>
      <c r="E194" s="60">
        <f>IF(OR(C194="",D194=""),"",MOD(D194-C194,1)*24)</f>
        <v/>
      </c>
      <c r="F194" s="50" t="n"/>
      <c r="G194" s="51" t="n"/>
      <c r="H194" s="51" t="n"/>
      <c r="I194" s="51" t="n"/>
      <c r="J194" s="51" t="n"/>
      <c r="K194" s="51" t="n"/>
      <c r="L194" s="54">
        <f>IF(OR(A194="",C194="",D194=""),"",IF(COUNTIFS($A$5:$A$3004,A194,$C$5:$C$3004,"&lt;"&amp;D194,$D$5:$D$3004,"&gt;"&amp;C194)&gt;1,"⚠️ пересечение",""))</f>
        <v/>
      </c>
      <c r="M194" s="54">
        <f>IF(F194="","",IF(J194="✅ Сделано","✔ ",IF(J194="❌ Пропущено","✖ ","⏰ "))&amp;IF(C194="","",RIGHT("0"&amp;HOUR(C194),2)&amp;":"&amp;RIGHT("0"&amp;MINUTE(C194),2)&amp;IF(D194="","","–"&amp;RIGHT("0"&amp;HOUR(D194),2)&amp;":"&amp;RIGHT("0"&amp;MINUTE(D194),2))&amp;" ")&amp;F194)</f>
        <v/>
      </c>
      <c r="N194" s="54">
        <f>IF(OR(A194="",F194=""),"",A194&amp;"#"&amp;(COUNTIFS($A$5:$A$3004,A194,$F$5:$F$3004,"?*",$O$5:$O$3004,"&lt;"&amp;O194)+COUNTIFS($A$5:A194,A194,$F$5:F194,"?*",$O$5:O194,O194)))</f>
        <v/>
      </c>
      <c r="O194" s="54">
        <f>IF(A194="","",IF(C194="",0,C194))</f>
        <v/>
      </c>
    </row>
    <row r="195">
      <c r="A195" s="58" t="n"/>
      <c r="B195" s="49">
        <f>IF(A195="","",CHOOSE(WEEKDAY(A195,2),"Пн","Вт","Ср","Чт","Пт","Сб","Вс"))</f>
        <v/>
      </c>
      <c r="C195" s="59" t="n"/>
      <c r="D195" s="59" t="n"/>
      <c r="E195" s="60">
        <f>IF(OR(C195="",D195=""),"",MOD(D195-C195,1)*24)</f>
        <v/>
      </c>
      <c r="F195" s="50" t="n"/>
      <c r="G195" s="51" t="n"/>
      <c r="H195" s="51" t="n"/>
      <c r="I195" s="51" t="n"/>
      <c r="J195" s="51" t="n"/>
      <c r="K195" s="51" t="n"/>
      <c r="L195" s="54">
        <f>IF(OR(A195="",C195="",D195=""),"",IF(COUNTIFS($A$5:$A$3004,A195,$C$5:$C$3004,"&lt;"&amp;D195,$D$5:$D$3004,"&gt;"&amp;C195)&gt;1,"⚠️ пересечение",""))</f>
        <v/>
      </c>
      <c r="M195" s="54">
        <f>IF(F195="","",IF(J195="✅ Сделано","✔ ",IF(J195="❌ Пропущено","✖ ","⏰ "))&amp;IF(C195="","",RIGHT("0"&amp;HOUR(C195),2)&amp;":"&amp;RIGHT("0"&amp;MINUTE(C195),2)&amp;IF(D195="","","–"&amp;RIGHT("0"&amp;HOUR(D195),2)&amp;":"&amp;RIGHT("0"&amp;MINUTE(D195),2))&amp;" ")&amp;F195)</f>
        <v/>
      </c>
      <c r="N195" s="54">
        <f>IF(OR(A195="",F195=""),"",A195&amp;"#"&amp;(COUNTIFS($A$5:$A$3004,A195,$F$5:$F$3004,"?*",$O$5:$O$3004,"&lt;"&amp;O195)+COUNTIFS($A$5:A195,A195,$F$5:F195,"?*",$O$5:O195,O195)))</f>
        <v/>
      </c>
      <c r="O195" s="54">
        <f>IF(A195="","",IF(C195="",0,C195))</f>
        <v/>
      </c>
    </row>
    <row r="196">
      <c r="A196" s="58" t="n"/>
      <c r="B196" s="49">
        <f>IF(A196="","",CHOOSE(WEEKDAY(A196,2),"Пн","Вт","Ср","Чт","Пт","Сб","Вс"))</f>
        <v/>
      </c>
      <c r="C196" s="59" t="n"/>
      <c r="D196" s="59" t="n"/>
      <c r="E196" s="60">
        <f>IF(OR(C196="",D196=""),"",MOD(D196-C196,1)*24)</f>
        <v/>
      </c>
      <c r="F196" s="50" t="n"/>
      <c r="G196" s="51" t="n"/>
      <c r="H196" s="51" t="n"/>
      <c r="I196" s="51" t="n"/>
      <c r="J196" s="51" t="n"/>
      <c r="K196" s="51" t="n"/>
      <c r="L196" s="54">
        <f>IF(OR(A196="",C196="",D196=""),"",IF(COUNTIFS($A$5:$A$3004,A196,$C$5:$C$3004,"&lt;"&amp;D196,$D$5:$D$3004,"&gt;"&amp;C196)&gt;1,"⚠️ пересечение",""))</f>
        <v/>
      </c>
      <c r="M196" s="54">
        <f>IF(F196="","",IF(J196="✅ Сделано","✔ ",IF(J196="❌ Пропущено","✖ ","⏰ "))&amp;IF(C196="","",RIGHT("0"&amp;HOUR(C196),2)&amp;":"&amp;RIGHT("0"&amp;MINUTE(C196),2)&amp;IF(D196="","","–"&amp;RIGHT("0"&amp;HOUR(D196),2)&amp;":"&amp;RIGHT("0"&amp;MINUTE(D196),2))&amp;" ")&amp;F196)</f>
        <v/>
      </c>
      <c r="N196" s="54">
        <f>IF(OR(A196="",F196=""),"",A196&amp;"#"&amp;(COUNTIFS($A$5:$A$3004,A196,$F$5:$F$3004,"?*",$O$5:$O$3004,"&lt;"&amp;O196)+COUNTIFS($A$5:A196,A196,$F$5:F196,"?*",$O$5:O196,O196)))</f>
        <v/>
      </c>
      <c r="O196" s="54">
        <f>IF(A196="","",IF(C196="",0,C196))</f>
        <v/>
      </c>
    </row>
    <row r="197">
      <c r="A197" s="58" t="n"/>
      <c r="B197" s="49">
        <f>IF(A197="","",CHOOSE(WEEKDAY(A197,2),"Пн","Вт","Ср","Чт","Пт","Сб","Вс"))</f>
        <v/>
      </c>
      <c r="C197" s="59" t="n"/>
      <c r="D197" s="59" t="n"/>
      <c r="E197" s="60">
        <f>IF(OR(C197="",D197=""),"",MOD(D197-C197,1)*24)</f>
        <v/>
      </c>
      <c r="F197" s="50" t="n"/>
      <c r="G197" s="51" t="n"/>
      <c r="H197" s="51" t="n"/>
      <c r="I197" s="51" t="n"/>
      <c r="J197" s="51" t="n"/>
      <c r="K197" s="51" t="n"/>
      <c r="L197" s="54">
        <f>IF(OR(A197="",C197="",D197=""),"",IF(COUNTIFS($A$5:$A$3004,A197,$C$5:$C$3004,"&lt;"&amp;D197,$D$5:$D$3004,"&gt;"&amp;C197)&gt;1,"⚠️ пересечение",""))</f>
        <v/>
      </c>
      <c r="M197" s="54">
        <f>IF(F197="","",IF(J197="✅ Сделано","✔ ",IF(J197="❌ Пропущено","✖ ","⏰ "))&amp;IF(C197="","",RIGHT("0"&amp;HOUR(C197),2)&amp;":"&amp;RIGHT("0"&amp;MINUTE(C197),2)&amp;IF(D197="","","–"&amp;RIGHT("0"&amp;HOUR(D197),2)&amp;":"&amp;RIGHT("0"&amp;MINUTE(D197),2))&amp;" ")&amp;F197)</f>
        <v/>
      </c>
      <c r="N197" s="54">
        <f>IF(OR(A197="",F197=""),"",A197&amp;"#"&amp;(COUNTIFS($A$5:$A$3004,A197,$F$5:$F$3004,"?*",$O$5:$O$3004,"&lt;"&amp;O197)+COUNTIFS($A$5:A197,A197,$F$5:F197,"?*",$O$5:O197,O197)))</f>
        <v/>
      </c>
      <c r="O197" s="54">
        <f>IF(A197="","",IF(C197="",0,C197))</f>
        <v/>
      </c>
    </row>
    <row r="198">
      <c r="A198" s="58" t="n"/>
      <c r="B198" s="49">
        <f>IF(A198="","",CHOOSE(WEEKDAY(A198,2),"Пн","Вт","Ср","Чт","Пт","Сб","Вс"))</f>
        <v/>
      </c>
      <c r="C198" s="59" t="n"/>
      <c r="D198" s="59" t="n"/>
      <c r="E198" s="60">
        <f>IF(OR(C198="",D198=""),"",MOD(D198-C198,1)*24)</f>
        <v/>
      </c>
      <c r="F198" s="50" t="n"/>
      <c r="G198" s="51" t="n"/>
      <c r="H198" s="51" t="n"/>
      <c r="I198" s="51" t="n"/>
      <c r="J198" s="51" t="n"/>
      <c r="K198" s="51" t="n"/>
      <c r="L198" s="54">
        <f>IF(OR(A198="",C198="",D198=""),"",IF(COUNTIFS($A$5:$A$3004,A198,$C$5:$C$3004,"&lt;"&amp;D198,$D$5:$D$3004,"&gt;"&amp;C198)&gt;1,"⚠️ пересечение",""))</f>
        <v/>
      </c>
      <c r="M198" s="54">
        <f>IF(F198="","",IF(J198="✅ Сделано","✔ ",IF(J198="❌ Пропущено","✖ ","⏰ "))&amp;IF(C198="","",RIGHT("0"&amp;HOUR(C198),2)&amp;":"&amp;RIGHT("0"&amp;MINUTE(C198),2)&amp;IF(D198="","","–"&amp;RIGHT("0"&amp;HOUR(D198),2)&amp;":"&amp;RIGHT("0"&amp;MINUTE(D198),2))&amp;" ")&amp;F198)</f>
        <v/>
      </c>
      <c r="N198" s="54">
        <f>IF(OR(A198="",F198=""),"",A198&amp;"#"&amp;(COUNTIFS($A$5:$A$3004,A198,$F$5:$F$3004,"?*",$O$5:$O$3004,"&lt;"&amp;O198)+COUNTIFS($A$5:A198,A198,$F$5:F198,"?*",$O$5:O198,O198)))</f>
        <v/>
      </c>
      <c r="O198" s="54">
        <f>IF(A198="","",IF(C198="",0,C198))</f>
        <v/>
      </c>
    </row>
    <row r="199">
      <c r="A199" s="58" t="n"/>
      <c r="B199" s="49">
        <f>IF(A199="","",CHOOSE(WEEKDAY(A199,2),"Пн","Вт","Ср","Чт","Пт","Сб","Вс"))</f>
        <v/>
      </c>
      <c r="C199" s="59" t="n"/>
      <c r="D199" s="59" t="n"/>
      <c r="E199" s="60">
        <f>IF(OR(C199="",D199=""),"",MOD(D199-C199,1)*24)</f>
        <v/>
      </c>
      <c r="F199" s="50" t="n"/>
      <c r="G199" s="51" t="n"/>
      <c r="H199" s="51" t="n"/>
      <c r="I199" s="51" t="n"/>
      <c r="J199" s="51" t="n"/>
      <c r="K199" s="51" t="n"/>
      <c r="L199" s="54">
        <f>IF(OR(A199="",C199="",D199=""),"",IF(COUNTIFS($A$5:$A$3004,A199,$C$5:$C$3004,"&lt;"&amp;D199,$D$5:$D$3004,"&gt;"&amp;C199)&gt;1,"⚠️ пересечение",""))</f>
        <v/>
      </c>
      <c r="M199" s="54">
        <f>IF(F199="","",IF(J199="✅ Сделано","✔ ",IF(J199="❌ Пропущено","✖ ","⏰ "))&amp;IF(C199="","",RIGHT("0"&amp;HOUR(C199),2)&amp;":"&amp;RIGHT("0"&amp;MINUTE(C199),2)&amp;IF(D199="","","–"&amp;RIGHT("0"&amp;HOUR(D199),2)&amp;":"&amp;RIGHT("0"&amp;MINUTE(D199),2))&amp;" ")&amp;F199)</f>
        <v/>
      </c>
      <c r="N199" s="54">
        <f>IF(OR(A199="",F199=""),"",A199&amp;"#"&amp;(COUNTIFS($A$5:$A$3004,A199,$F$5:$F$3004,"?*",$O$5:$O$3004,"&lt;"&amp;O199)+COUNTIFS($A$5:A199,A199,$F$5:F199,"?*",$O$5:O199,O199)))</f>
        <v/>
      </c>
      <c r="O199" s="54">
        <f>IF(A199="","",IF(C199="",0,C199))</f>
        <v/>
      </c>
    </row>
    <row r="200">
      <c r="A200" s="58" t="n"/>
      <c r="B200" s="49">
        <f>IF(A200="","",CHOOSE(WEEKDAY(A200,2),"Пн","Вт","Ср","Чт","Пт","Сб","Вс"))</f>
        <v/>
      </c>
      <c r="C200" s="59" t="n"/>
      <c r="D200" s="59" t="n"/>
      <c r="E200" s="60">
        <f>IF(OR(C200="",D200=""),"",MOD(D200-C200,1)*24)</f>
        <v/>
      </c>
      <c r="F200" s="50" t="n"/>
      <c r="G200" s="51" t="n"/>
      <c r="H200" s="51" t="n"/>
      <c r="I200" s="51" t="n"/>
      <c r="J200" s="51" t="n"/>
      <c r="K200" s="51" t="n"/>
      <c r="L200" s="54">
        <f>IF(OR(A200="",C200="",D200=""),"",IF(COUNTIFS($A$5:$A$3004,A200,$C$5:$C$3004,"&lt;"&amp;D200,$D$5:$D$3004,"&gt;"&amp;C200)&gt;1,"⚠️ пересечение",""))</f>
        <v/>
      </c>
      <c r="M200" s="54">
        <f>IF(F200="","",IF(J200="✅ Сделано","✔ ",IF(J200="❌ Пропущено","✖ ","⏰ "))&amp;IF(C200="","",RIGHT("0"&amp;HOUR(C200),2)&amp;":"&amp;RIGHT("0"&amp;MINUTE(C200),2)&amp;IF(D200="","","–"&amp;RIGHT("0"&amp;HOUR(D200),2)&amp;":"&amp;RIGHT("0"&amp;MINUTE(D200),2))&amp;" ")&amp;F200)</f>
        <v/>
      </c>
      <c r="N200" s="54">
        <f>IF(OR(A200="",F200=""),"",A200&amp;"#"&amp;(COUNTIFS($A$5:$A$3004,A200,$F$5:$F$3004,"?*",$O$5:$O$3004,"&lt;"&amp;O200)+COUNTIFS($A$5:A200,A200,$F$5:F200,"?*",$O$5:O200,O200)))</f>
        <v/>
      </c>
      <c r="O200" s="54">
        <f>IF(A200="","",IF(C200="",0,C200))</f>
        <v/>
      </c>
    </row>
    <row r="201">
      <c r="A201" s="58" t="n"/>
      <c r="B201" s="49">
        <f>IF(A201="","",CHOOSE(WEEKDAY(A201,2),"Пн","Вт","Ср","Чт","Пт","Сб","Вс"))</f>
        <v/>
      </c>
      <c r="C201" s="59" t="n"/>
      <c r="D201" s="59" t="n"/>
      <c r="E201" s="60">
        <f>IF(OR(C201="",D201=""),"",MOD(D201-C201,1)*24)</f>
        <v/>
      </c>
      <c r="F201" s="50" t="n"/>
      <c r="G201" s="51" t="n"/>
      <c r="H201" s="51" t="n"/>
      <c r="I201" s="51" t="n"/>
      <c r="J201" s="51" t="n"/>
      <c r="K201" s="51" t="n"/>
      <c r="L201" s="54">
        <f>IF(OR(A201="",C201="",D201=""),"",IF(COUNTIFS($A$5:$A$3004,A201,$C$5:$C$3004,"&lt;"&amp;D201,$D$5:$D$3004,"&gt;"&amp;C201)&gt;1,"⚠️ пересечение",""))</f>
        <v/>
      </c>
      <c r="M201" s="54">
        <f>IF(F201="","",IF(J201="✅ Сделано","✔ ",IF(J201="❌ Пропущено","✖ ","⏰ "))&amp;IF(C201="","",RIGHT("0"&amp;HOUR(C201),2)&amp;":"&amp;RIGHT("0"&amp;MINUTE(C201),2)&amp;IF(D201="","","–"&amp;RIGHT("0"&amp;HOUR(D201),2)&amp;":"&amp;RIGHT("0"&amp;MINUTE(D201),2))&amp;" ")&amp;F201)</f>
        <v/>
      </c>
      <c r="N201" s="54">
        <f>IF(OR(A201="",F201=""),"",A201&amp;"#"&amp;(COUNTIFS($A$5:$A$3004,A201,$F$5:$F$3004,"?*",$O$5:$O$3004,"&lt;"&amp;O201)+COUNTIFS($A$5:A201,A201,$F$5:F201,"?*",$O$5:O201,O201)))</f>
        <v/>
      </c>
      <c r="O201" s="54">
        <f>IF(A201="","",IF(C201="",0,C201))</f>
        <v/>
      </c>
    </row>
    <row r="202">
      <c r="A202" s="58" t="n"/>
      <c r="B202" s="49">
        <f>IF(A202="","",CHOOSE(WEEKDAY(A202,2),"Пн","Вт","Ср","Чт","Пт","Сб","Вс"))</f>
        <v/>
      </c>
      <c r="C202" s="59" t="n"/>
      <c r="D202" s="59" t="n"/>
      <c r="E202" s="60">
        <f>IF(OR(C202="",D202=""),"",MOD(D202-C202,1)*24)</f>
        <v/>
      </c>
      <c r="F202" s="50" t="n"/>
      <c r="G202" s="51" t="n"/>
      <c r="H202" s="51" t="n"/>
      <c r="I202" s="51" t="n"/>
      <c r="J202" s="51" t="n"/>
      <c r="K202" s="51" t="n"/>
      <c r="L202" s="54">
        <f>IF(OR(A202="",C202="",D202=""),"",IF(COUNTIFS($A$5:$A$3004,A202,$C$5:$C$3004,"&lt;"&amp;D202,$D$5:$D$3004,"&gt;"&amp;C202)&gt;1,"⚠️ пересечение",""))</f>
        <v/>
      </c>
      <c r="M202" s="54">
        <f>IF(F202="","",IF(J202="✅ Сделано","✔ ",IF(J202="❌ Пропущено","✖ ","⏰ "))&amp;IF(C202="","",RIGHT("0"&amp;HOUR(C202),2)&amp;":"&amp;RIGHT("0"&amp;MINUTE(C202),2)&amp;IF(D202="","","–"&amp;RIGHT("0"&amp;HOUR(D202),2)&amp;":"&amp;RIGHT("0"&amp;MINUTE(D202),2))&amp;" ")&amp;F202)</f>
        <v/>
      </c>
      <c r="N202" s="54">
        <f>IF(OR(A202="",F202=""),"",A202&amp;"#"&amp;(COUNTIFS($A$5:$A$3004,A202,$F$5:$F$3004,"?*",$O$5:$O$3004,"&lt;"&amp;O202)+COUNTIFS($A$5:A202,A202,$F$5:F202,"?*",$O$5:O202,O202)))</f>
        <v/>
      </c>
      <c r="O202" s="54">
        <f>IF(A202="","",IF(C202="",0,C202))</f>
        <v/>
      </c>
    </row>
    <row r="203">
      <c r="A203" s="58" t="n"/>
      <c r="B203" s="49">
        <f>IF(A203="","",CHOOSE(WEEKDAY(A203,2),"Пн","Вт","Ср","Чт","Пт","Сб","Вс"))</f>
        <v/>
      </c>
      <c r="C203" s="59" t="n"/>
      <c r="D203" s="59" t="n"/>
      <c r="E203" s="60">
        <f>IF(OR(C203="",D203=""),"",MOD(D203-C203,1)*24)</f>
        <v/>
      </c>
      <c r="F203" s="50" t="n"/>
      <c r="G203" s="51" t="n"/>
      <c r="H203" s="51" t="n"/>
      <c r="I203" s="51" t="n"/>
      <c r="J203" s="51" t="n"/>
      <c r="K203" s="51" t="n"/>
      <c r="L203" s="54">
        <f>IF(OR(A203="",C203="",D203=""),"",IF(COUNTIFS($A$5:$A$3004,A203,$C$5:$C$3004,"&lt;"&amp;D203,$D$5:$D$3004,"&gt;"&amp;C203)&gt;1,"⚠️ пересечение",""))</f>
        <v/>
      </c>
      <c r="M203" s="54">
        <f>IF(F203="","",IF(J203="✅ Сделано","✔ ",IF(J203="❌ Пропущено","✖ ","⏰ "))&amp;IF(C203="","",RIGHT("0"&amp;HOUR(C203),2)&amp;":"&amp;RIGHT("0"&amp;MINUTE(C203),2)&amp;IF(D203="","","–"&amp;RIGHT("0"&amp;HOUR(D203),2)&amp;":"&amp;RIGHT("0"&amp;MINUTE(D203),2))&amp;" ")&amp;F203)</f>
        <v/>
      </c>
      <c r="N203" s="54">
        <f>IF(OR(A203="",F203=""),"",A203&amp;"#"&amp;(COUNTIFS($A$5:$A$3004,A203,$F$5:$F$3004,"?*",$O$5:$O$3004,"&lt;"&amp;O203)+COUNTIFS($A$5:A203,A203,$F$5:F203,"?*",$O$5:O203,O203)))</f>
        <v/>
      </c>
      <c r="O203" s="54">
        <f>IF(A203="","",IF(C203="",0,C203))</f>
        <v/>
      </c>
    </row>
    <row r="204">
      <c r="A204" s="58" t="n"/>
      <c r="B204" s="49">
        <f>IF(A204="","",CHOOSE(WEEKDAY(A204,2),"Пн","Вт","Ср","Чт","Пт","Сб","Вс"))</f>
        <v/>
      </c>
      <c r="C204" s="59" t="n"/>
      <c r="D204" s="59" t="n"/>
      <c r="E204" s="60">
        <f>IF(OR(C204="",D204=""),"",MOD(D204-C204,1)*24)</f>
        <v/>
      </c>
      <c r="F204" s="50" t="n"/>
      <c r="G204" s="51" t="n"/>
      <c r="H204" s="51" t="n"/>
      <c r="I204" s="51" t="n"/>
      <c r="J204" s="51" t="n"/>
      <c r="K204" s="51" t="n"/>
      <c r="L204" s="54">
        <f>IF(OR(A204="",C204="",D204=""),"",IF(COUNTIFS($A$5:$A$3004,A204,$C$5:$C$3004,"&lt;"&amp;D204,$D$5:$D$3004,"&gt;"&amp;C204)&gt;1,"⚠️ пересечение",""))</f>
        <v/>
      </c>
      <c r="M204" s="54">
        <f>IF(F204="","",IF(J204="✅ Сделано","✔ ",IF(J204="❌ Пропущено","✖ ","⏰ "))&amp;IF(C204="","",RIGHT("0"&amp;HOUR(C204),2)&amp;":"&amp;RIGHT("0"&amp;MINUTE(C204),2)&amp;IF(D204="","","–"&amp;RIGHT("0"&amp;HOUR(D204),2)&amp;":"&amp;RIGHT("0"&amp;MINUTE(D204),2))&amp;" ")&amp;F204)</f>
        <v/>
      </c>
      <c r="N204" s="54">
        <f>IF(OR(A204="",F204=""),"",A204&amp;"#"&amp;(COUNTIFS($A$5:$A$3004,A204,$F$5:$F$3004,"?*",$O$5:$O$3004,"&lt;"&amp;O204)+COUNTIFS($A$5:A204,A204,$F$5:F204,"?*",$O$5:O204,O204)))</f>
        <v/>
      </c>
      <c r="O204" s="54">
        <f>IF(A204="","",IF(C204="",0,C204))</f>
        <v/>
      </c>
    </row>
    <row r="205">
      <c r="A205" s="58" t="n"/>
      <c r="B205" s="49">
        <f>IF(A205="","",CHOOSE(WEEKDAY(A205,2),"Пн","Вт","Ср","Чт","Пт","Сб","Вс"))</f>
        <v/>
      </c>
      <c r="C205" s="59" t="n"/>
      <c r="D205" s="59" t="n"/>
      <c r="E205" s="60">
        <f>IF(OR(C205="",D205=""),"",MOD(D205-C205,1)*24)</f>
        <v/>
      </c>
      <c r="F205" s="50" t="n"/>
      <c r="G205" s="51" t="n"/>
      <c r="H205" s="51" t="n"/>
      <c r="I205" s="51" t="n"/>
      <c r="J205" s="51" t="n"/>
      <c r="K205" s="51" t="n"/>
      <c r="L205" s="54">
        <f>IF(OR(A205="",C205="",D205=""),"",IF(COUNTIFS($A$5:$A$3004,A205,$C$5:$C$3004,"&lt;"&amp;D205,$D$5:$D$3004,"&gt;"&amp;C205)&gt;1,"⚠️ пересечение",""))</f>
        <v/>
      </c>
      <c r="M205" s="54">
        <f>IF(F205="","",IF(J205="✅ Сделано","✔ ",IF(J205="❌ Пропущено","✖ ","⏰ "))&amp;IF(C205="","",RIGHT("0"&amp;HOUR(C205),2)&amp;":"&amp;RIGHT("0"&amp;MINUTE(C205),2)&amp;IF(D205="","","–"&amp;RIGHT("0"&amp;HOUR(D205),2)&amp;":"&amp;RIGHT("0"&amp;MINUTE(D205),2))&amp;" ")&amp;F205)</f>
        <v/>
      </c>
      <c r="N205" s="54">
        <f>IF(OR(A205="",F205=""),"",A205&amp;"#"&amp;(COUNTIFS($A$5:$A$3004,A205,$F$5:$F$3004,"?*",$O$5:$O$3004,"&lt;"&amp;O205)+COUNTIFS($A$5:A205,A205,$F$5:F205,"?*",$O$5:O205,O205)))</f>
        <v/>
      </c>
      <c r="O205" s="54">
        <f>IF(A205="","",IF(C205="",0,C205))</f>
        <v/>
      </c>
    </row>
    <row r="206">
      <c r="A206" s="58" t="n"/>
      <c r="B206" s="49">
        <f>IF(A206="","",CHOOSE(WEEKDAY(A206,2),"Пн","Вт","Ср","Чт","Пт","Сб","Вс"))</f>
        <v/>
      </c>
      <c r="C206" s="59" t="n"/>
      <c r="D206" s="59" t="n"/>
      <c r="E206" s="60">
        <f>IF(OR(C206="",D206=""),"",MOD(D206-C206,1)*24)</f>
        <v/>
      </c>
      <c r="F206" s="50" t="n"/>
      <c r="G206" s="51" t="n"/>
      <c r="H206" s="51" t="n"/>
      <c r="I206" s="51" t="n"/>
      <c r="J206" s="51" t="n"/>
      <c r="K206" s="51" t="n"/>
      <c r="L206" s="54">
        <f>IF(OR(A206="",C206="",D206=""),"",IF(COUNTIFS($A$5:$A$3004,A206,$C$5:$C$3004,"&lt;"&amp;D206,$D$5:$D$3004,"&gt;"&amp;C206)&gt;1,"⚠️ пересечение",""))</f>
        <v/>
      </c>
      <c r="M206" s="54">
        <f>IF(F206="","",IF(J206="✅ Сделано","✔ ",IF(J206="❌ Пропущено","✖ ","⏰ "))&amp;IF(C206="","",RIGHT("0"&amp;HOUR(C206),2)&amp;":"&amp;RIGHT("0"&amp;MINUTE(C206),2)&amp;IF(D206="","","–"&amp;RIGHT("0"&amp;HOUR(D206),2)&amp;":"&amp;RIGHT("0"&amp;MINUTE(D206),2))&amp;" ")&amp;F206)</f>
        <v/>
      </c>
      <c r="N206" s="54">
        <f>IF(OR(A206="",F206=""),"",A206&amp;"#"&amp;(COUNTIFS($A$5:$A$3004,A206,$F$5:$F$3004,"?*",$O$5:$O$3004,"&lt;"&amp;O206)+COUNTIFS($A$5:A206,A206,$F$5:F206,"?*",$O$5:O206,O206)))</f>
        <v/>
      </c>
      <c r="O206" s="54">
        <f>IF(A206="","",IF(C206="",0,C206))</f>
        <v/>
      </c>
    </row>
    <row r="207">
      <c r="A207" s="58" t="n"/>
      <c r="B207" s="49">
        <f>IF(A207="","",CHOOSE(WEEKDAY(A207,2),"Пн","Вт","Ср","Чт","Пт","Сб","Вс"))</f>
        <v/>
      </c>
      <c r="C207" s="59" t="n"/>
      <c r="D207" s="59" t="n"/>
      <c r="E207" s="60">
        <f>IF(OR(C207="",D207=""),"",MOD(D207-C207,1)*24)</f>
        <v/>
      </c>
      <c r="F207" s="50" t="n"/>
      <c r="G207" s="51" t="n"/>
      <c r="H207" s="51" t="n"/>
      <c r="I207" s="51" t="n"/>
      <c r="J207" s="51" t="n"/>
      <c r="K207" s="51" t="n"/>
      <c r="L207" s="54">
        <f>IF(OR(A207="",C207="",D207=""),"",IF(COUNTIFS($A$5:$A$3004,A207,$C$5:$C$3004,"&lt;"&amp;D207,$D$5:$D$3004,"&gt;"&amp;C207)&gt;1,"⚠️ пересечение",""))</f>
        <v/>
      </c>
      <c r="M207" s="54">
        <f>IF(F207="","",IF(J207="✅ Сделано","✔ ",IF(J207="❌ Пропущено","✖ ","⏰ "))&amp;IF(C207="","",RIGHT("0"&amp;HOUR(C207),2)&amp;":"&amp;RIGHT("0"&amp;MINUTE(C207),2)&amp;IF(D207="","","–"&amp;RIGHT("0"&amp;HOUR(D207),2)&amp;":"&amp;RIGHT("0"&amp;MINUTE(D207),2))&amp;" ")&amp;F207)</f>
        <v/>
      </c>
      <c r="N207" s="54">
        <f>IF(OR(A207="",F207=""),"",A207&amp;"#"&amp;(COUNTIFS($A$5:$A$3004,A207,$F$5:$F$3004,"?*",$O$5:$O$3004,"&lt;"&amp;O207)+COUNTIFS($A$5:A207,A207,$F$5:F207,"?*",$O$5:O207,O207)))</f>
        <v/>
      </c>
      <c r="O207" s="54">
        <f>IF(A207="","",IF(C207="",0,C207))</f>
        <v/>
      </c>
    </row>
    <row r="208">
      <c r="A208" s="58" t="n"/>
      <c r="B208" s="49">
        <f>IF(A208="","",CHOOSE(WEEKDAY(A208,2),"Пн","Вт","Ср","Чт","Пт","Сб","Вс"))</f>
        <v/>
      </c>
      <c r="C208" s="59" t="n"/>
      <c r="D208" s="59" t="n"/>
      <c r="E208" s="60">
        <f>IF(OR(C208="",D208=""),"",MOD(D208-C208,1)*24)</f>
        <v/>
      </c>
      <c r="F208" s="50" t="n"/>
      <c r="G208" s="51" t="n"/>
      <c r="H208" s="51" t="n"/>
      <c r="I208" s="51" t="n"/>
      <c r="J208" s="51" t="n"/>
      <c r="K208" s="51" t="n"/>
      <c r="L208" s="54">
        <f>IF(OR(A208="",C208="",D208=""),"",IF(COUNTIFS($A$5:$A$3004,A208,$C$5:$C$3004,"&lt;"&amp;D208,$D$5:$D$3004,"&gt;"&amp;C208)&gt;1,"⚠️ пересечение",""))</f>
        <v/>
      </c>
      <c r="M208" s="54">
        <f>IF(F208="","",IF(J208="✅ Сделано","✔ ",IF(J208="❌ Пропущено","✖ ","⏰ "))&amp;IF(C208="","",RIGHT("0"&amp;HOUR(C208),2)&amp;":"&amp;RIGHT("0"&amp;MINUTE(C208),2)&amp;IF(D208="","","–"&amp;RIGHT("0"&amp;HOUR(D208),2)&amp;":"&amp;RIGHT("0"&amp;MINUTE(D208),2))&amp;" ")&amp;F208)</f>
        <v/>
      </c>
      <c r="N208" s="54">
        <f>IF(OR(A208="",F208=""),"",A208&amp;"#"&amp;(COUNTIFS($A$5:$A$3004,A208,$F$5:$F$3004,"?*",$O$5:$O$3004,"&lt;"&amp;O208)+COUNTIFS($A$5:A208,A208,$F$5:F208,"?*",$O$5:O208,O208)))</f>
        <v/>
      </c>
      <c r="O208" s="54">
        <f>IF(A208="","",IF(C208="",0,C208))</f>
        <v/>
      </c>
    </row>
    <row r="209">
      <c r="A209" s="58" t="n"/>
      <c r="B209" s="49">
        <f>IF(A209="","",CHOOSE(WEEKDAY(A209,2),"Пн","Вт","Ср","Чт","Пт","Сб","Вс"))</f>
        <v/>
      </c>
      <c r="C209" s="59" t="n"/>
      <c r="D209" s="59" t="n"/>
      <c r="E209" s="60">
        <f>IF(OR(C209="",D209=""),"",MOD(D209-C209,1)*24)</f>
        <v/>
      </c>
      <c r="F209" s="50" t="n"/>
      <c r="G209" s="51" t="n"/>
      <c r="H209" s="51" t="n"/>
      <c r="I209" s="51" t="n"/>
      <c r="J209" s="51" t="n"/>
      <c r="K209" s="51" t="n"/>
      <c r="L209" s="54">
        <f>IF(OR(A209="",C209="",D209=""),"",IF(COUNTIFS($A$5:$A$3004,A209,$C$5:$C$3004,"&lt;"&amp;D209,$D$5:$D$3004,"&gt;"&amp;C209)&gt;1,"⚠️ пересечение",""))</f>
        <v/>
      </c>
      <c r="M209" s="54">
        <f>IF(F209="","",IF(J209="✅ Сделано","✔ ",IF(J209="❌ Пропущено","✖ ","⏰ "))&amp;IF(C209="","",RIGHT("0"&amp;HOUR(C209),2)&amp;":"&amp;RIGHT("0"&amp;MINUTE(C209),2)&amp;IF(D209="","","–"&amp;RIGHT("0"&amp;HOUR(D209),2)&amp;":"&amp;RIGHT("0"&amp;MINUTE(D209),2))&amp;" ")&amp;F209)</f>
        <v/>
      </c>
      <c r="N209" s="54">
        <f>IF(OR(A209="",F209=""),"",A209&amp;"#"&amp;(COUNTIFS($A$5:$A$3004,A209,$F$5:$F$3004,"?*",$O$5:$O$3004,"&lt;"&amp;O209)+COUNTIFS($A$5:A209,A209,$F$5:F209,"?*",$O$5:O209,O209)))</f>
        <v/>
      </c>
      <c r="O209" s="54">
        <f>IF(A209="","",IF(C209="",0,C209))</f>
        <v/>
      </c>
    </row>
    <row r="210">
      <c r="A210" s="58" t="n"/>
      <c r="B210" s="49">
        <f>IF(A210="","",CHOOSE(WEEKDAY(A210,2),"Пн","Вт","Ср","Чт","Пт","Сб","Вс"))</f>
        <v/>
      </c>
      <c r="C210" s="59" t="n"/>
      <c r="D210" s="59" t="n"/>
      <c r="E210" s="60">
        <f>IF(OR(C210="",D210=""),"",MOD(D210-C210,1)*24)</f>
        <v/>
      </c>
      <c r="F210" s="50" t="n"/>
      <c r="G210" s="51" t="n"/>
      <c r="H210" s="51" t="n"/>
      <c r="I210" s="51" t="n"/>
      <c r="J210" s="51" t="n"/>
      <c r="K210" s="51" t="n"/>
      <c r="L210" s="54">
        <f>IF(OR(A210="",C210="",D210=""),"",IF(COUNTIFS($A$5:$A$3004,A210,$C$5:$C$3004,"&lt;"&amp;D210,$D$5:$D$3004,"&gt;"&amp;C210)&gt;1,"⚠️ пересечение",""))</f>
        <v/>
      </c>
      <c r="M210" s="54">
        <f>IF(F210="","",IF(J210="✅ Сделано","✔ ",IF(J210="❌ Пропущено","✖ ","⏰ "))&amp;IF(C210="","",RIGHT("0"&amp;HOUR(C210),2)&amp;":"&amp;RIGHT("0"&amp;MINUTE(C210),2)&amp;IF(D210="","","–"&amp;RIGHT("0"&amp;HOUR(D210),2)&amp;":"&amp;RIGHT("0"&amp;MINUTE(D210),2))&amp;" ")&amp;F210)</f>
        <v/>
      </c>
      <c r="N210" s="54">
        <f>IF(OR(A210="",F210=""),"",A210&amp;"#"&amp;(COUNTIFS($A$5:$A$3004,A210,$F$5:$F$3004,"?*",$O$5:$O$3004,"&lt;"&amp;O210)+COUNTIFS($A$5:A210,A210,$F$5:F210,"?*",$O$5:O210,O210)))</f>
        <v/>
      </c>
      <c r="O210" s="54">
        <f>IF(A210="","",IF(C210="",0,C210))</f>
        <v/>
      </c>
    </row>
    <row r="211">
      <c r="A211" s="58" t="n"/>
      <c r="B211" s="49">
        <f>IF(A211="","",CHOOSE(WEEKDAY(A211,2),"Пн","Вт","Ср","Чт","Пт","Сб","Вс"))</f>
        <v/>
      </c>
      <c r="C211" s="59" t="n"/>
      <c r="D211" s="59" t="n"/>
      <c r="E211" s="60">
        <f>IF(OR(C211="",D211=""),"",MOD(D211-C211,1)*24)</f>
        <v/>
      </c>
      <c r="F211" s="50" t="n"/>
      <c r="G211" s="51" t="n"/>
      <c r="H211" s="51" t="n"/>
      <c r="I211" s="51" t="n"/>
      <c r="J211" s="51" t="n"/>
      <c r="K211" s="51" t="n"/>
      <c r="L211" s="54">
        <f>IF(OR(A211="",C211="",D211=""),"",IF(COUNTIFS($A$5:$A$3004,A211,$C$5:$C$3004,"&lt;"&amp;D211,$D$5:$D$3004,"&gt;"&amp;C211)&gt;1,"⚠️ пересечение",""))</f>
        <v/>
      </c>
      <c r="M211" s="54">
        <f>IF(F211="","",IF(J211="✅ Сделано","✔ ",IF(J211="❌ Пропущено","✖ ","⏰ "))&amp;IF(C211="","",RIGHT("0"&amp;HOUR(C211),2)&amp;":"&amp;RIGHT("0"&amp;MINUTE(C211),2)&amp;IF(D211="","","–"&amp;RIGHT("0"&amp;HOUR(D211),2)&amp;":"&amp;RIGHT("0"&amp;MINUTE(D211),2))&amp;" ")&amp;F211)</f>
        <v/>
      </c>
      <c r="N211" s="54">
        <f>IF(OR(A211="",F211=""),"",A211&amp;"#"&amp;(COUNTIFS($A$5:$A$3004,A211,$F$5:$F$3004,"?*",$O$5:$O$3004,"&lt;"&amp;O211)+COUNTIFS($A$5:A211,A211,$F$5:F211,"?*",$O$5:O211,O211)))</f>
        <v/>
      </c>
      <c r="O211" s="54">
        <f>IF(A211="","",IF(C211="",0,C211))</f>
        <v/>
      </c>
    </row>
    <row r="212">
      <c r="A212" s="58" t="n"/>
      <c r="B212" s="49">
        <f>IF(A212="","",CHOOSE(WEEKDAY(A212,2),"Пн","Вт","Ср","Чт","Пт","Сб","Вс"))</f>
        <v/>
      </c>
      <c r="C212" s="59" t="n"/>
      <c r="D212" s="59" t="n"/>
      <c r="E212" s="60">
        <f>IF(OR(C212="",D212=""),"",MOD(D212-C212,1)*24)</f>
        <v/>
      </c>
      <c r="F212" s="50" t="n"/>
      <c r="G212" s="51" t="n"/>
      <c r="H212" s="51" t="n"/>
      <c r="I212" s="51" t="n"/>
      <c r="J212" s="51" t="n"/>
      <c r="K212" s="51" t="n"/>
      <c r="L212" s="54">
        <f>IF(OR(A212="",C212="",D212=""),"",IF(COUNTIFS($A$5:$A$3004,A212,$C$5:$C$3004,"&lt;"&amp;D212,$D$5:$D$3004,"&gt;"&amp;C212)&gt;1,"⚠️ пересечение",""))</f>
        <v/>
      </c>
      <c r="M212" s="54">
        <f>IF(F212="","",IF(J212="✅ Сделано","✔ ",IF(J212="❌ Пропущено","✖ ","⏰ "))&amp;IF(C212="","",RIGHT("0"&amp;HOUR(C212),2)&amp;":"&amp;RIGHT("0"&amp;MINUTE(C212),2)&amp;IF(D212="","","–"&amp;RIGHT("0"&amp;HOUR(D212),2)&amp;":"&amp;RIGHT("0"&amp;MINUTE(D212),2))&amp;" ")&amp;F212)</f>
        <v/>
      </c>
      <c r="N212" s="54">
        <f>IF(OR(A212="",F212=""),"",A212&amp;"#"&amp;(COUNTIFS($A$5:$A$3004,A212,$F$5:$F$3004,"?*",$O$5:$O$3004,"&lt;"&amp;O212)+COUNTIFS($A$5:A212,A212,$F$5:F212,"?*",$O$5:O212,O212)))</f>
        <v/>
      </c>
      <c r="O212" s="54">
        <f>IF(A212="","",IF(C212="",0,C212))</f>
        <v/>
      </c>
    </row>
    <row r="213">
      <c r="A213" s="58" t="n"/>
      <c r="B213" s="49">
        <f>IF(A213="","",CHOOSE(WEEKDAY(A213,2),"Пн","Вт","Ср","Чт","Пт","Сб","Вс"))</f>
        <v/>
      </c>
      <c r="C213" s="59" t="n"/>
      <c r="D213" s="59" t="n"/>
      <c r="E213" s="60">
        <f>IF(OR(C213="",D213=""),"",MOD(D213-C213,1)*24)</f>
        <v/>
      </c>
      <c r="F213" s="50" t="n"/>
      <c r="G213" s="51" t="n"/>
      <c r="H213" s="51" t="n"/>
      <c r="I213" s="51" t="n"/>
      <c r="J213" s="51" t="n"/>
      <c r="K213" s="51" t="n"/>
      <c r="L213" s="54">
        <f>IF(OR(A213="",C213="",D213=""),"",IF(COUNTIFS($A$5:$A$3004,A213,$C$5:$C$3004,"&lt;"&amp;D213,$D$5:$D$3004,"&gt;"&amp;C213)&gt;1,"⚠️ пересечение",""))</f>
        <v/>
      </c>
      <c r="M213" s="54">
        <f>IF(F213="","",IF(J213="✅ Сделано","✔ ",IF(J213="❌ Пропущено","✖ ","⏰ "))&amp;IF(C213="","",RIGHT("0"&amp;HOUR(C213),2)&amp;":"&amp;RIGHT("0"&amp;MINUTE(C213),2)&amp;IF(D213="","","–"&amp;RIGHT("0"&amp;HOUR(D213),2)&amp;":"&amp;RIGHT("0"&amp;MINUTE(D213),2))&amp;" ")&amp;F213)</f>
        <v/>
      </c>
      <c r="N213" s="54">
        <f>IF(OR(A213="",F213=""),"",A213&amp;"#"&amp;(COUNTIFS($A$5:$A$3004,A213,$F$5:$F$3004,"?*",$O$5:$O$3004,"&lt;"&amp;O213)+COUNTIFS($A$5:A213,A213,$F$5:F213,"?*",$O$5:O213,O213)))</f>
        <v/>
      </c>
      <c r="O213" s="54">
        <f>IF(A213="","",IF(C213="",0,C213))</f>
        <v/>
      </c>
    </row>
    <row r="214">
      <c r="A214" s="58" t="n"/>
      <c r="B214" s="49">
        <f>IF(A214="","",CHOOSE(WEEKDAY(A214,2),"Пн","Вт","Ср","Чт","Пт","Сб","Вс"))</f>
        <v/>
      </c>
      <c r="C214" s="59" t="n"/>
      <c r="D214" s="59" t="n"/>
      <c r="E214" s="60">
        <f>IF(OR(C214="",D214=""),"",MOD(D214-C214,1)*24)</f>
        <v/>
      </c>
      <c r="F214" s="50" t="n"/>
      <c r="G214" s="51" t="n"/>
      <c r="H214" s="51" t="n"/>
      <c r="I214" s="51" t="n"/>
      <c r="J214" s="51" t="n"/>
      <c r="K214" s="51" t="n"/>
      <c r="L214" s="54">
        <f>IF(OR(A214="",C214="",D214=""),"",IF(COUNTIFS($A$5:$A$3004,A214,$C$5:$C$3004,"&lt;"&amp;D214,$D$5:$D$3004,"&gt;"&amp;C214)&gt;1,"⚠️ пересечение",""))</f>
        <v/>
      </c>
      <c r="M214" s="54">
        <f>IF(F214="","",IF(J214="✅ Сделано","✔ ",IF(J214="❌ Пропущено","✖ ","⏰ "))&amp;IF(C214="","",RIGHT("0"&amp;HOUR(C214),2)&amp;":"&amp;RIGHT("0"&amp;MINUTE(C214),2)&amp;IF(D214="","","–"&amp;RIGHT("0"&amp;HOUR(D214),2)&amp;":"&amp;RIGHT("0"&amp;MINUTE(D214),2))&amp;" ")&amp;F214)</f>
        <v/>
      </c>
      <c r="N214" s="54">
        <f>IF(OR(A214="",F214=""),"",A214&amp;"#"&amp;(COUNTIFS($A$5:$A$3004,A214,$F$5:$F$3004,"?*",$O$5:$O$3004,"&lt;"&amp;O214)+COUNTIFS($A$5:A214,A214,$F$5:F214,"?*",$O$5:O214,O214)))</f>
        <v/>
      </c>
      <c r="O214" s="54">
        <f>IF(A214="","",IF(C214="",0,C214))</f>
        <v/>
      </c>
    </row>
    <row r="215">
      <c r="A215" s="58" t="n"/>
      <c r="B215" s="49">
        <f>IF(A215="","",CHOOSE(WEEKDAY(A215,2),"Пн","Вт","Ср","Чт","Пт","Сб","Вс"))</f>
        <v/>
      </c>
      <c r="C215" s="59" t="n"/>
      <c r="D215" s="59" t="n"/>
      <c r="E215" s="60">
        <f>IF(OR(C215="",D215=""),"",MOD(D215-C215,1)*24)</f>
        <v/>
      </c>
      <c r="F215" s="50" t="n"/>
      <c r="G215" s="51" t="n"/>
      <c r="H215" s="51" t="n"/>
      <c r="I215" s="51" t="n"/>
      <c r="J215" s="51" t="n"/>
      <c r="K215" s="51" t="n"/>
      <c r="L215" s="54">
        <f>IF(OR(A215="",C215="",D215=""),"",IF(COUNTIFS($A$5:$A$3004,A215,$C$5:$C$3004,"&lt;"&amp;D215,$D$5:$D$3004,"&gt;"&amp;C215)&gt;1,"⚠️ пересечение",""))</f>
        <v/>
      </c>
      <c r="M215" s="54">
        <f>IF(F215="","",IF(J215="✅ Сделано","✔ ",IF(J215="❌ Пропущено","✖ ","⏰ "))&amp;IF(C215="","",RIGHT("0"&amp;HOUR(C215),2)&amp;":"&amp;RIGHT("0"&amp;MINUTE(C215),2)&amp;IF(D215="","","–"&amp;RIGHT("0"&amp;HOUR(D215),2)&amp;":"&amp;RIGHT("0"&amp;MINUTE(D215),2))&amp;" ")&amp;F215)</f>
        <v/>
      </c>
      <c r="N215" s="54">
        <f>IF(OR(A215="",F215=""),"",A215&amp;"#"&amp;(COUNTIFS($A$5:$A$3004,A215,$F$5:$F$3004,"?*",$O$5:$O$3004,"&lt;"&amp;O215)+COUNTIFS($A$5:A215,A215,$F$5:F215,"?*",$O$5:O215,O215)))</f>
        <v/>
      </c>
      <c r="O215" s="54">
        <f>IF(A215="","",IF(C215="",0,C215))</f>
        <v/>
      </c>
    </row>
    <row r="216">
      <c r="A216" s="58" t="n"/>
      <c r="B216" s="49">
        <f>IF(A216="","",CHOOSE(WEEKDAY(A216,2),"Пн","Вт","Ср","Чт","Пт","Сб","Вс"))</f>
        <v/>
      </c>
      <c r="C216" s="59" t="n"/>
      <c r="D216" s="59" t="n"/>
      <c r="E216" s="60">
        <f>IF(OR(C216="",D216=""),"",MOD(D216-C216,1)*24)</f>
        <v/>
      </c>
      <c r="F216" s="50" t="n"/>
      <c r="G216" s="51" t="n"/>
      <c r="H216" s="51" t="n"/>
      <c r="I216" s="51" t="n"/>
      <c r="J216" s="51" t="n"/>
      <c r="K216" s="51" t="n"/>
      <c r="L216" s="54">
        <f>IF(OR(A216="",C216="",D216=""),"",IF(COUNTIFS($A$5:$A$3004,A216,$C$5:$C$3004,"&lt;"&amp;D216,$D$5:$D$3004,"&gt;"&amp;C216)&gt;1,"⚠️ пересечение",""))</f>
        <v/>
      </c>
      <c r="M216" s="54">
        <f>IF(F216="","",IF(J216="✅ Сделано","✔ ",IF(J216="❌ Пропущено","✖ ","⏰ "))&amp;IF(C216="","",RIGHT("0"&amp;HOUR(C216),2)&amp;":"&amp;RIGHT("0"&amp;MINUTE(C216),2)&amp;IF(D216="","","–"&amp;RIGHT("0"&amp;HOUR(D216),2)&amp;":"&amp;RIGHT("0"&amp;MINUTE(D216),2))&amp;" ")&amp;F216)</f>
        <v/>
      </c>
      <c r="N216" s="54">
        <f>IF(OR(A216="",F216=""),"",A216&amp;"#"&amp;(COUNTIFS($A$5:$A$3004,A216,$F$5:$F$3004,"?*",$O$5:$O$3004,"&lt;"&amp;O216)+COUNTIFS($A$5:A216,A216,$F$5:F216,"?*",$O$5:O216,O216)))</f>
        <v/>
      </c>
      <c r="O216" s="54">
        <f>IF(A216="","",IF(C216="",0,C216))</f>
        <v/>
      </c>
    </row>
    <row r="217">
      <c r="A217" s="58" t="n"/>
      <c r="B217" s="49">
        <f>IF(A217="","",CHOOSE(WEEKDAY(A217,2),"Пн","Вт","Ср","Чт","Пт","Сб","Вс"))</f>
        <v/>
      </c>
      <c r="C217" s="59" t="n"/>
      <c r="D217" s="59" t="n"/>
      <c r="E217" s="60">
        <f>IF(OR(C217="",D217=""),"",MOD(D217-C217,1)*24)</f>
        <v/>
      </c>
      <c r="F217" s="50" t="n"/>
      <c r="G217" s="51" t="n"/>
      <c r="H217" s="51" t="n"/>
      <c r="I217" s="51" t="n"/>
      <c r="J217" s="51" t="n"/>
      <c r="K217" s="51" t="n"/>
      <c r="L217" s="54">
        <f>IF(OR(A217="",C217="",D217=""),"",IF(COUNTIFS($A$5:$A$3004,A217,$C$5:$C$3004,"&lt;"&amp;D217,$D$5:$D$3004,"&gt;"&amp;C217)&gt;1,"⚠️ пересечение",""))</f>
        <v/>
      </c>
      <c r="M217" s="54">
        <f>IF(F217="","",IF(J217="✅ Сделано","✔ ",IF(J217="❌ Пропущено","✖ ","⏰ "))&amp;IF(C217="","",RIGHT("0"&amp;HOUR(C217),2)&amp;":"&amp;RIGHT("0"&amp;MINUTE(C217),2)&amp;IF(D217="","","–"&amp;RIGHT("0"&amp;HOUR(D217),2)&amp;":"&amp;RIGHT("0"&amp;MINUTE(D217),2))&amp;" ")&amp;F217)</f>
        <v/>
      </c>
      <c r="N217" s="54">
        <f>IF(OR(A217="",F217=""),"",A217&amp;"#"&amp;(COUNTIFS($A$5:$A$3004,A217,$F$5:$F$3004,"?*",$O$5:$O$3004,"&lt;"&amp;O217)+COUNTIFS($A$5:A217,A217,$F$5:F217,"?*",$O$5:O217,O217)))</f>
        <v/>
      </c>
      <c r="O217" s="54">
        <f>IF(A217="","",IF(C217="",0,C217))</f>
        <v/>
      </c>
    </row>
    <row r="218">
      <c r="A218" s="58" t="n"/>
      <c r="B218" s="49">
        <f>IF(A218="","",CHOOSE(WEEKDAY(A218,2),"Пн","Вт","Ср","Чт","Пт","Сб","Вс"))</f>
        <v/>
      </c>
      <c r="C218" s="59" t="n"/>
      <c r="D218" s="59" t="n"/>
      <c r="E218" s="60">
        <f>IF(OR(C218="",D218=""),"",MOD(D218-C218,1)*24)</f>
        <v/>
      </c>
      <c r="F218" s="50" t="n"/>
      <c r="G218" s="51" t="n"/>
      <c r="H218" s="51" t="n"/>
      <c r="I218" s="51" t="n"/>
      <c r="J218" s="51" t="n"/>
      <c r="K218" s="51" t="n"/>
      <c r="L218" s="54">
        <f>IF(OR(A218="",C218="",D218=""),"",IF(COUNTIFS($A$5:$A$3004,A218,$C$5:$C$3004,"&lt;"&amp;D218,$D$5:$D$3004,"&gt;"&amp;C218)&gt;1,"⚠️ пересечение",""))</f>
        <v/>
      </c>
      <c r="M218" s="54">
        <f>IF(F218="","",IF(J218="✅ Сделано","✔ ",IF(J218="❌ Пропущено","✖ ","⏰ "))&amp;IF(C218="","",RIGHT("0"&amp;HOUR(C218),2)&amp;":"&amp;RIGHT("0"&amp;MINUTE(C218),2)&amp;IF(D218="","","–"&amp;RIGHT("0"&amp;HOUR(D218),2)&amp;":"&amp;RIGHT("0"&amp;MINUTE(D218),2))&amp;" ")&amp;F218)</f>
        <v/>
      </c>
      <c r="N218" s="54">
        <f>IF(OR(A218="",F218=""),"",A218&amp;"#"&amp;(COUNTIFS($A$5:$A$3004,A218,$F$5:$F$3004,"?*",$O$5:$O$3004,"&lt;"&amp;O218)+COUNTIFS($A$5:A218,A218,$F$5:F218,"?*",$O$5:O218,O218)))</f>
        <v/>
      </c>
      <c r="O218" s="54">
        <f>IF(A218="","",IF(C218="",0,C218))</f>
        <v/>
      </c>
    </row>
    <row r="219">
      <c r="A219" s="58" t="n"/>
      <c r="B219" s="49">
        <f>IF(A219="","",CHOOSE(WEEKDAY(A219,2),"Пн","Вт","Ср","Чт","Пт","Сб","Вс"))</f>
        <v/>
      </c>
      <c r="C219" s="59" t="n"/>
      <c r="D219" s="59" t="n"/>
      <c r="E219" s="60">
        <f>IF(OR(C219="",D219=""),"",MOD(D219-C219,1)*24)</f>
        <v/>
      </c>
      <c r="F219" s="50" t="n"/>
      <c r="G219" s="51" t="n"/>
      <c r="H219" s="51" t="n"/>
      <c r="I219" s="51" t="n"/>
      <c r="J219" s="51" t="n"/>
      <c r="K219" s="51" t="n"/>
      <c r="L219" s="54">
        <f>IF(OR(A219="",C219="",D219=""),"",IF(COUNTIFS($A$5:$A$3004,A219,$C$5:$C$3004,"&lt;"&amp;D219,$D$5:$D$3004,"&gt;"&amp;C219)&gt;1,"⚠️ пересечение",""))</f>
        <v/>
      </c>
      <c r="M219" s="54">
        <f>IF(F219="","",IF(J219="✅ Сделано","✔ ",IF(J219="❌ Пропущено","✖ ","⏰ "))&amp;IF(C219="","",RIGHT("0"&amp;HOUR(C219),2)&amp;":"&amp;RIGHT("0"&amp;MINUTE(C219),2)&amp;IF(D219="","","–"&amp;RIGHT("0"&amp;HOUR(D219),2)&amp;":"&amp;RIGHT("0"&amp;MINUTE(D219),2))&amp;" ")&amp;F219)</f>
        <v/>
      </c>
      <c r="N219" s="54">
        <f>IF(OR(A219="",F219=""),"",A219&amp;"#"&amp;(COUNTIFS($A$5:$A$3004,A219,$F$5:$F$3004,"?*",$O$5:$O$3004,"&lt;"&amp;O219)+COUNTIFS($A$5:A219,A219,$F$5:F219,"?*",$O$5:O219,O219)))</f>
        <v/>
      </c>
      <c r="O219" s="54">
        <f>IF(A219="","",IF(C219="",0,C219))</f>
        <v/>
      </c>
    </row>
    <row r="220">
      <c r="A220" s="58" t="n"/>
      <c r="B220" s="49">
        <f>IF(A220="","",CHOOSE(WEEKDAY(A220,2),"Пн","Вт","Ср","Чт","Пт","Сб","Вс"))</f>
        <v/>
      </c>
      <c r="C220" s="59" t="n"/>
      <c r="D220" s="59" t="n"/>
      <c r="E220" s="60">
        <f>IF(OR(C220="",D220=""),"",MOD(D220-C220,1)*24)</f>
        <v/>
      </c>
      <c r="F220" s="50" t="n"/>
      <c r="G220" s="51" t="n"/>
      <c r="H220" s="51" t="n"/>
      <c r="I220" s="51" t="n"/>
      <c r="J220" s="51" t="n"/>
      <c r="K220" s="51" t="n"/>
      <c r="L220" s="54">
        <f>IF(OR(A220="",C220="",D220=""),"",IF(COUNTIFS($A$5:$A$3004,A220,$C$5:$C$3004,"&lt;"&amp;D220,$D$5:$D$3004,"&gt;"&amp;C220)&gt;1,"⚠️ пересечение",""))</f>
        <v/>
      </c>
      <c r="M220" s="54">
        <f>IF(F220="","",IF(J220="✅ Сделано","✔ ",IF(J220="❌ Пропущено","✖ ","⏰ "))&amp;IF(C220="","",RIGHT("0"&amp;HOUR(C220),2)&amp;":"&amp;RIGHT("0"&amp;MINUTE(C220),2)&amp;IF(D220="","","–"&amp;RIGHT("0"&amp;HOUR(D220),2)&amp;":"&amp;RIGHT("0"&amp;MINUTE(D220),2))&amp;" ")&amp;F220)</f>
        <v/>
      </c>
      <c r="N220" s="54">
        <f>IF(OR(A220="",F220=""),"",A220&amp;"#"&amp;(COUNTIFS($A$5:$A$3004,A220,$F$5:$F$3004,"?*",$O$5:$O$3004,"&lt;"&amp;O220)+COUNTIFS($A$5:A220,A220,$F$5:F220,"?*",$O$5:O220,O220)))</f>
        <v/>
      </c>
      <c r="O220" s="54">
        <f>IF(A220="","",IF(C220="",0,C220))</f>
        <v/>
      </c>
    </row>
    <row r="221">
      <c r="A221" s="58" t="n"/>
      <c r="B221" s="49">
        <f>IF(A221="","",CHOOSE(WEEKDAY(A221,2),"Пн","Вт","Ср","Чт","Пт","Сб","Вс"))</f>
        <v/>
      </c>
      <c r="C221" s="59" t="n"/>
      <c r="D221" s="59" t="n"/>
      <c r="E221" s="60">
        <f>IF(OR(C221="",D221=""),"",MOD(D221-C221,1)*24)</f>
        <v/>
      </c>
      <c r="F221" s="50" t="n"/>
      <c r="G221" s="51" t="n"/>
      <c r="H221" s="51" t="n"/>
      <c r="I221" s="51" t="n"/>
      <c r="J221" s="51" t="n"/>
      <c r="K221" s="51" t="n"/>
      <c r="L221" s="54">
        <f>IF(OR(A221="",C221="",D221=""),"",IF(COUNTIFS($A$5:$A$3004,A221,$C$5:$C$3004,"&lt;"&amp;D221,$D$5:$D$3004,"&gt;"&amp;C221)&gt;1,"⚠️ пересечение",""))</f>
        <v/>
      </c>
      <c r="M221" s="54">
        <f>IF(F221="","",IF(J221="✅ Сделано","✔ ",IF(J221="❌ Пропущено","✖ ","⏰ "))&amp;IF(C221="","",RIGHT("0"&amp;HOUR(C221),2)&amp;":"&amp;RIGHT("0"&amp;MINUTE(C221),2)&amp;IF(D221="","","–"&amp;RIGHT("0"&amp;HOUR(D221),2)&amp;":"&amp;RIGHT("0"&amp;MINUTE(D221),2))&amp;" ")&amp;F221)</f>
        <v/>
      </c>
      <c r="N221" s="54">
        <f>IF(OR(A221="",F221=""),"",A221&amp;"#"&amp;(COUNTIFS($A$5:$A$3004,A221,$F$5:$F$3004,"?*",$O$5:$O$3004,"&lt;"&amp;O221)+COUNTIFS($A$5:A221,A221,$F$5:F221,"?*",$O$5:O221,O221)))</f>
        <v/>
      </c>
      <c r="O221" s="54">
        <f>IF(A221="","",IF(C221="",0,C221))</f>
        <v/>
      </c>
    </row>
    <row r="222">
      <c r="A222" s="58" t="n"/>
      <c r="B222" s="49">
        <f>IF(A222="","",CHOOSE(WEEKDAY(A222,2),"Пн","Вт","Ср","Чт","Пт","Сб","Вс"))</f>
        <v/>
      </c>
      <c r="C222" s="59" t="n"/>
      <c r="D222" s="59" t="n"/>
      <c r="E222" s="60">
        <f>IF(OR(C222="",D222=""),"",MOD(D222-C222,1)*24)</f>
        <v/>
      </c>
      <c r="F222" s="50" t="n"/>
      <c r="G222" s="51" t="n"/>
      <c r="H222" s="51" t="n"/>
      <c r="I222" s="51" t="n"/>
      <c r="J222" s="51" t="n"/>
      <c r="K222" s="51" t="n"/>
      <c r="L222" s="54">
        <f>IF(OR(A222="",C222="",D222=""),"",IF(COUNTIFS($A$5:$A$3004,A222,$C$5:$C$3004,"&lt;"&amp;D222,$D$5:$D$3004,"&gt;"&amp;C222)&gt;1,"⚠️ пересечение",""))</f>
        <v/>
      </c>
      <c r="M222" s="54">
        <f>IF(F222="","",IF(J222="✅ Сделано","✔ ",IF(J222="❌ Пропущено","✖ ","⏰ "))&amp;IF(C222="","",RIGHT("0"&amp;HOUR(C222),2)&amp;":"&amp;RIGHT("0"&amp;MINUTE(C222),2)&amp;IF(D222="","","–"&amp;RIGHT("0"&amp;HOUR(D222),2)&amp;":"&amp;RIGHT("0"&amp;MINUTE(D222),2))&amp;" ")&amp;F222)</f>
        <v/>
      </c>
      <c r="N222" s="54">
        <f>IF(OR(A222="",F222=""),"",A222&amp;"#"&amp;(COUNTIFS($A$5:$A$3004,A222,$F$5:$F$3004,"?*",$O$5:$O$3004,"&lt;"&amp;O222)+COUNTIFS($A$5:A222,A222,$F$5:F222,"?*",$O$5:O222,O222)))</f>
        <v/>
      </c>
      <c r="O222" s="54">
        <f>IF(A222="","",IF(C222="",0,C222))</f>
        <v/>
      </c>
    </row>
    <row r="223">
      <c r="A223" s="58" t="n"/>
      <c r="B223" s="49">
        <f>IF(A223="","",CHOOSE(WEEKDAY(A223,2),"Пн","Вт","Ср","Чт","Пт","Сб","Вс"))</f>
        <v/>
      </c>
      <c r="C223" s="59" t="n"/>
      <c r="D223" s="59" t="n"/>
      <c r="E223" s="60">
        <f>IF(OR(C223="",D223=""),"",MOD(D223-C223,1)*24)</f>
        <v/>
      </c>
      <c r="F223" s="50" t="n"/>
      <c r="G223" s="51" t="n"/>
      <c r="H223" s="51" t="n"/>
      <c r="I223" s="51" t="n"/>
      <c r="J223" s="51" t="n"/>
      <c r="K223" s="51" t="n"/>
      <c r="L223" s="54">
        <f>IF(OR(A223="",C223="",D223=""),"",IF(COUNTIFS($A$5:$A$3004,A223,$C$5:$C$3004,"&lt;"&amp;D223,$D$5:$D$3004,"&gt;"&amp;C223)&gt;1,"⚠️ пересечение",""))</f>
        <v/>
      </c>
      <c r="M223" s="54">
        <f>IF(F223="","",IF(J223="✅ Сделано","✔ ",IF(J223="❌ Пропущено","✖ ","⏰ "))&amp;IF(C223="","",RIGHT("0"&amp;HOUR(C223),2)&amp;":"&amp;RIGHT("0"&amp;MINUTE(C223),2)&amp;IF(D223="","","–"&amp;RIGHT("0"&amp;HOUR(D223),2)&amp;":"&amp;RIGHT("0"&amp;MINUTE(D223),2))&amp;" ")&amp;F223)</f>
        <v/>
      </c>
      <c r="N223" s="54">
        <f>IF(OR(A223="",F223=""),"",A223&amp;"#"&amp;(COUNTIFS($A$5:$A$3004,A223,$F$5:$F$3004,"?*",$O$5:$O$3004,"&lt;"&amp;O223)+COUNTIFS($A$5:A223,A223,$F$5:F223,"?*",$O$5:O223,O223)))</f>
        <v/>
      </c>
      <c r="O223" s="54">
        <f>IF(A223="","",IF(C223="",0,C223))</f>
        <v/>
      </c>
    </row>
    <row r="224">
      <c r="A224" s="58" t="n"/>
      <c r="B224" s="49">
        <f>IF(A224="","",CHOOSE(WEEKDAY(A224,2),"Пн","Вт","Ср","Чт","Пт","Сб","Вс"))</f>
        <v/>
      </c>
      <c r="C224" s="59" t="n"/>
      <c r="D224" s="59" t="n"/>
      <c r="E224" s="60">
        <f>IF(OR(C224="",D224=""),"",MOD(D224-C224,1)*24)</f>
        <v/>
      </c>
      <c r="F224" s="50" t="n"/>
      <c r="G224" s="51" t="n"/>
      <c r="H224" s="51" t="n"/>
      <c r="I224" s="51" t="n"/>
      <c r="J224" s="51" t="n"/>
      <c r="K224" s="51" t="n"/>
      <c r="L224" s="54">
        <f>IF(OR(A224="",C224="",D224=""),"",IF(COUNTIFS($A$5:$A$3004,A224,$C$5:$C$3004,"&lt;"&amp;D224,$D$5:$D$3004,"&gt;"&amp;C224)&gt;1,"⚠️ пересечение",""))</f>
        <v/>
      </c>
      <c r="M224" s="54">
        <f>IF(F224="","",IF(J224="✅ Сделано","✔ ",IF(J224="❌ Пропущено","✖ ","⏰ "))&amp;IF(C224="","",RIGHT("0"&amp;HOUR(C224),2)&amp;":"&amp;RIGHT("0"&amp;MINUTE(C224),2)&amp;IF(D224="","","–"&amp;RIGHT("0"&amp;HOUR(D224),2)&amp;":"&amp;RIGHT("0"&amp;MINUTE(D224),2))&amp;" ")&amp;F224)</f>
        <v/>
      </c>
      <c r="N224" s="54">
        <f>IF(OR(A224="",F224=""),"",A224&amp;"#"&amp;(COUNTIFS($A$5:$A$3004,A224,$F$5:$F$3004,"?*",$O$5:$O$3004,"&lt;"&amp;O224)+COUNTIFS($A$5:A224,A224,$F$5:F224,"?*",$O$5:O224,O224)))</f>
        <v/>
      </c>
      <c r="O224" s="54">
        <f>IF(A224="","",IF(C224="",0,C224))</f>
        <v/>
      </c>
    </row>
    <row r="225">
      <c r="A225" s="58" t="n"/>
      <c r="B225" s="49">
        <f>IF(A225="","",CHOOSE(WEEKDAY(A225,2),"Пн","Вт","Ср","Чт","Пт","Сб","Вс"))</f>
        <v/>
      </c>
      <c r="C225" s="59" t="n"/>
      <c r="D225" s="59" t="n"/>
      <c r="E225" s="60">
        <f>IF(OR(C225="",D225=""),"",MOD(D225-C225,1)*24)</f>
        <v/>
      </c>
      <c r="F225" s="50" t="n"/>
      <c r="G225" s="51" t="n"/>
      <c r="H225" s="51" t="n"/>
      <c r="I225" s="51" t="n"/>
      <c r="J225" s="51" t="n"/>
      <c r="K225" s="51" t="n"/>
      <c r="L225" s="54">
        <f>IF(OR(A225="",C225="",D225=""),"",IF(COUNTIFS($A$5:$A$3004,A225,$C$5:$C$3004,"&lt;"&amp;D225,$D$5:$D$3004,"&gt;"&amp;C225)&gt;1,"⚠️ пересечение",""))</f>
        <v/>
      </c>
      <c r="M225" s="54">
        <f>IF(F225="","",IF(J225="✅ Сделано","✔ ",IF(J225="❌ Пропущено","✖ ","⏰ "))&amp;IF(C225="","",RIGHT("0"&amp;HOUR(C225),2)&amp;":"&amp;RIGHT("0"&amp;MINUTE(C225),2)&amp;IF(D225="","","–"&amp;RIGHT("0"&amp;HOUR(D225),2)&amp;":"&amp;RIGHT("0"&amp;MINUTE(D225),2))&amp;" ")&amp;F225)</f>
        <v/>
      </c>
      <c r="N225" s="54">
        <f>IF(OR(A225="",F225=""),"",A225&amp;"#"&amp;(COUNTIFS($A$5:$A$3004,A225,$F$5:$F$3004,"?*",$O$5:$O$3004,"&lt;"&amp;O225)+COUNTIFS($A$5:A225,A225,$F$5:F225,"?*",$O$5:O225,O225)))</f>
        <v/>
      </c>
      <c r="O225" s="54">
        <f>IF(A225="","",IF(C225="",0,C225))</f>
        <v/>
      </c>
    </row>
    <row r="226">
      <c r="A226" s="58" t="n"/>
      <c r="B226" s="49">
        <f>IF(A226="","",CHOOSE(WEEKDAY(A226,2),"Пн","Вт","Ср","Чт","Пт","Сб","Вс"))</f>
        <v/>
      </c>
      <c r="C226" s="59" t="n"/>
      <c r="D226" s="59" t="n"/>
      <c r="E226" s="60">
        <f>IF(OR(C226="",D226=""),"",MOD(D226-C226,1)*24)</f>
        <v/>
      </c>
      <c r="F226" s="50" t="n"/>
      <c r="G226" s="51" t="n"/>
      <c r="H226" s="51" t="n"/>
      <c r="I226" s="51" t="n"/>
      <c r="J226" s="51" t="n"/>
      <c r="K226" s="51" t="n"/>
      <c r="L226" s="54">
        <f>IF(OR(A226="",C226="",D226=""),"",IF(COUNTIFS($A$5:$A$3004,A226,$C$5:$C$3004,"&lt;"&amp;D226,$D$5:$D$3004,"&gt;"&amp;C226)&gt;1,"⚠️ пересечение",""))</f>
        <v/>
      </c>
      <c r="M226" s="54">
        <f>IF(F226="","",IF(J226="✅ Сделано","✔ ",IF(J226="❌ Пропущено","✖ ","⏰ "))&amp;IF(C226="","",RIGHT("0"&amp;HOUR(C226),2)&amp;":"&amp;RIGHT("0"&amp;MINUTE(C226),2)&amp;IF(D226="","","–"&amp;RIGHT("0"&amp;HOUR(D226),2)&amp;":"&amp;RIGHT("0"&amp;MINUTE(D226),2))&amp;" ")&amp;F226)</f>
        <v/>
      </c>
      <c r="N226" s="54">
        <f>IF(OR(A226="",F226=""),"",A226&amp;"#"&amp;(COUNTIFS($A$5:$A$3004,A226,$F$5:$F$3004,"?*",$O$5:$O$3004,"&lt;"&amp;O226)+COUNTIFS($A$5:A226,A226,$F$5:F226,"?*",$O$5:O226,O226)))</f>
        <v/>
      </c>
      <c r="O226" s="54">
        <f>IF(A226="","",IF(C226="",0,C226))</f>
        <v/>
      </c>
    </row>
    <row r="227">
      <c r="A227" s="58" t="n"/>
      <c r="B227" s="49">
        <f>IF(A227="","",CHOOSE(WEEKDAY(A227,2),"Пн","Вт","Ср","Чт","Пт","Сб","Вс"))</f>
        <v/>
      </c>
      <c r="C227" s="59" t="n"/>
      <c r="D227" s="59" t="n"/>
      <c r="E227" s="60">
        <f>IF(OR(C227="",D227=""),"",MOD(D227-C227,1)*24)</f>
        <v/>
      </c>
      <c r="F227" s="50" t="n"/>
      <c r="G227" s="51" t="n"/>
      <c r="H227" s="51" t="n"/>
      <c r="I227" s="51" t="n"/>
      <c r="J227" s="51" t="n"/>
      <c r="K227" s="51" t="n"/>
      <c r="L227" s="54">
        <f>IF(OR(A227="",C227="",D227=""),"",IF(COUNTIFS($A$5:$A$3004,A227,$C$5:$C$3004,"&lt;"&amp;D227,$D$5:$D$3004,"&gt;"&amp;C227)&gt;1,"⚠️ пересечение",""))</f>
        <v/>
      </c>
      <c r="M227" s="54">
        <f>IF(F227="","",IF(J227="✅ Сделано","✔ ",IF(J227="❌ Пропущено","✖ ","⏰ "))&amp;IF(C227="","",RIGHT("0"&amp;HOUR(C227),2)&amp;":"&amp;RIGHT("0"&amp;MINUTE(C227),2)&amp;IF(D227="","","–"&amp;RIGHT("0"&amp;HOUR(D227),2)&amp;":"&amp;RIGHT("0"&amp;MINUTE(D227),2))&amp;" ")&amp;F227)</f>
        <v/>
      </c>
      <c r="N227" s="54">
        <f>IF(OR(A227="",F227=""),"",A227&amp;"#"&amp;(COUNTIFS($A$5:$A$3004,A227,$F$5:$F$3004,"?*",$O$5:$O$3004,"&lt;"&amp;O227)+COUNTIFS($A$5:A227,A227,$F$5:F227,"?*",$O$5:O227,O227)))</f>
        <v/>
      </c>
      <c r="O227" s="54">
        <f>IF(A227="","",IF(C227="",0,C227))</f>
        <v/>
      </c>
    </row>
    <row r="228">
      <c r="A228" s="58" t="n"/>
      <c r="B228" s="49">
        <f>IF(A228="","",CHOOSE(WEEKDAY(A228,2),"Пн","Вт","Ср","Чт","Пт","Сб","Вс"))</f>
        <v/>
      </c>
      <c r="C228" s="59" t="n"/>
      <c r="D228" s="59" t="n"/>
      <c r="E228" s="60">
        <f>IF(OR(C228="",D228=""),"",MOD(D228-C228,1)*24)</f>
        <v/>
      </c>
      <c r="F228" s="50" t="n"/>
      <c r="G228" s="51" t="n"/>
      <c r="H228" s="51" t="n"/>
      <c r="I228" s="51" t="n"/>
      <c r="J228" s="51" t="n"/>
      <c r="K228" s="51" t="n"/>
      <c r="L228" s="54">
        <f>IF(OR(A228="",C228="",D228=""),"",IF(COUNTIFS($A$5:$A$3004,A228,$C$5:$C$3004,"&lt;"&amp;D228,$D$5:$D$3004,"&gt;"&amp;C228)&gt;1,"⚠️ пересечение",""))</f>
        <v/>
      </c>
      <c r="M228" s="54">
        <f>IF(F228="","",IF(J228="✅ Сделано","✔ ",IF(J228="❌ Пропущено","✖ ","⏰ "))&amp;IF(C228="","",RIGHT("0"&amp;HOUR(C228),2)&amp;":"&amp;RIGHT("0"&amp;MINUTE(C228),2)&amp;IF(D228="","","–"&amp;RIGHT("0"&amp;HOUR(D228),2)&amp;":"&amp;RIGHT("0"&amp;MINUTE(D228),2))&amp;" ")&amp;F228)</f>
        <v/>
      </c>
      <c r="N228" s="54">
        <f>IF(OR(A228="",F228=""),"",A228&amp;"#"&amp;(COUNTIFS($A$5:$A$3004,A228,$F$5:$F$3004,"?*",$O$5:$O$3004,"&lt;"&amp;O228)+COUNTIFS($A$5:A228,A228,$F$5:F228,"?*",$O$5:O228,O228)))</f>
        <v/>
      </c>
      <c r="O228" s="54">
        <f>IF(A228="","",IF(C228="",0,C228))</f>
        <v/>
      </c>
    </row>
    <row r="229">
      <c r="A229" s="58" t="n"/>
      <c r="B229" s="49">
        <f>IF(A229="","",CHOOSE(WEEKDAY(A229,2),"Пн","Вт","Ср","Чт","Пт","Сб","Вс"))</f>
        <v/>
      </c>
      <c r="C229" s="59" t="n"/>
      <c r="D229" s="59" t="n"/>
      <c r="E229" s="60">
        <f>IF(OR(C229="",D229=""),"",MOD(D229-C229,1)*24)</f>
        <v/>
      </c>
      <c r="F229" s="50" t="n"/>
      <c r="G229" s="51" t="n"/>
      <c r="H229" s="51" t="n"/>
      <c r="I229" s="51" t="n"/>
      <c r="J229" s="51" t="n"/>
      <c r="K229" s="51" t="n"/>
      <c r="L229" s="54">
        <f>IF(OR(A229="",C229="",D229=""),"",IF(COUNTIFS($A$5:$A$3004,A229,$C$5:$C$3004,"&lt;"&amp;D229,$D$5:$D$3004,"&gt;"&amp;C229)&gt;1,"⚠️ пересечение",""))</f>
        <v/>
      </c>
      <c r="M229" s="54">
        <f>IF(F229="","",IF(J229="✅ Сделано","✔ ",IF(J229="❌ Пропущено","✖ ","⏰ "))&amp;IF(C229="","",RIGHT("0"&amp;HOUR(C229),2)&amp;":"&amp;RIGHT("0"&amp;MINUTE(C229),2)&amp;IF(D229="","","–"&amp;RIGHT("0"&amp;HOUR(D229),2)&amp;":"&amp;RIGHT("0"&amp;MINUTE(D229),2))&amp;" ")&amp;F229)</f>
        <v/>
      </c>
      <c r="N229" s="54">
        <f>IF(OR(A229="",F229=""),"",A229&amp;"#"&amp;(COUNTIFS($A$5:$A$3004,A229,$F$5:$F$3004,"?*",$O$5:$O$3004,"&lt;"&amp;O229)+COUNTIFS($A$5:A229,A229,$F$5:F229,"?*",$O$5:O229,O229)))</f>
        <v/>
      </c>
      <c r="O229" s="54">
        <f>IF(A229="","",IF(C229="",0,C229))</f>
        <v/>
      </c>
    </row>
    <row r="230">
      <c r="A230" s="58" t="n"/>
      <c r="B230" s="49">
        <f>IF(A230="","",CHOOSE(WEEKDAY(A230,2),"Пн","Вт","Ср","Чт","Пт","Сб","Вс"))</f>
        <v/>
      </c>
      <c r="C230" s="59" t="n"/>
      <c r="D230" s="59" t="n"/>
      <c r="E230" s="60">
        <f>IF(OR(C230="",D230=""),"",MOD(D230-C230,1)*24)</f>
        <v/>
      </c>
      <c r="F230" s="50" t="n"/>
      <c r="G230" s="51" t="n"/>
      <c r="H230" s="51" t="n"/>
      <c r="I230" s="51" t="n"/>
      <c r="J230" s="51" t="n"/>
      <c r="K230" s="51" t="n"/>
      <c r="L230" s="54">
        <f>IF(OR(A230="",C230="",D230=""),"",IF(COUNTIFS($A$5:$A$3004,A230,$C$5:$C$3004,"&lt;"&amp;D230,$D$5:$D$3004,"&gt;"&amp;C230)&gt;1,"⚠️ пересечение",""))</f>
        <v/>
      </c>
      <c r="M230" s="54">
        <f>IF(F230="","",IF(J230="✅ Сделано","✔ ",IF(J230="❌ Пропущено","✖ ","⏰ "))&amp;IF(C230="","",RIGHT("0"&amp;HOUR(C230),2)&amp;":"&amp;RIGHT("0"&amp;MINUTE(C230),2)&amp;IF(D230="","","–"&amp;RIGHT("0"&amp;HOUR(D230),2)&amp;":"&amp;RIGHT("0"&amp;MINUTE(D230),2))&amp;" ")&amp;F230)</f>
        <v/>
      </c>
      <c r="N230" s="54">
        <f>IF(OR(A230="",F230=""),"",A230&amp;"#"&amp;(COUNTIFS($A$5:$A$3004,A230,$F$5:$F$3004,"?*",$O$5:$O$3004,"&lt;"&amp;O230)+COUNTIFS($A$5:A230,A230,$F$5:F230,"?*",$O$5:O230,O230)))</f>
        <v/>
      </c>
      <c r="O230" s="54">
        <f>IF(A230="","",IF(C230="",0,C230))</f>
        <v/>
      </c>
    </row>
    <row r="231">
      <c r="A231" s="58" t="n"/>
      <c r="B231" s="49">
        <f>IF(A231="","",CHOOSE(WEEKDAY(A231,2),"Пн","Вт","Ср","Чт","Пт","Сб","Вс"))</f>
        <v/>
      </c>
      <c r="C231" s="59" t="n"/>
      <c r="D231" s="59" t="n"/>
      <c r="E231" s="60">
        <f>IF(OR(C231="",D231=""),"",MOD(D231-C231,1)*24)</f>
        <v/>
      </c>
      <c r="F231" s="50" t="n"/>
      <c r="G231" s="51" t="n"/>
      <c r="H231" s="51" t="n"/>
      <c r="I231" s="51" t="n"/>
      <c r="J231" s="51" t="n"/>
      <c r="K231" s="51" t="n"/>
      <c r="L231" s="54">
        <f>IF(OR(A231="",C231="",D231=""),"",IF(COUNTIFS($A$5:$A$3004,A231,$C$5:$C$3004,"&lt;"&amp;D231,$D$5:$D$3004,"&gt;"&amp;C231)&gt;1,"⚠️ пересечение",""))</f>
        <v/>
      </c>
      <c r="M231" s="54">
        <f>IF(F231="","",IF(J231="✅ Сделано","✔ ",IF(J231="❌ Пропущено","✖ ","⏰ "))&amp;IF(C231="","",RIGHT("0"&amp;HOUR(C231),2)&amp;":"&amp;RIGHT("0"&amp;MINUTE(C231),2)&amp;IF(D231="","","–"&amp;RIGHT("0"&amp;HOUR(D231),2)&amp;":"&amp;RIGHT("0"&amp;MINUTE(D231),2))&amp;" ")&amp;F231)</f>
        <v/>
      </c>
      <c r="N231" s="54">
        <f>IF(OR(A231="",F231=""),"",A231&amp;"#"&amp;(COUNTIFS($A$5:$A$3004,A231,$F$5:$F$3004,"?*",$O$5:$O$3004,"&lt;"&amp;O231)+COUNTIFS($A$5:A231,A231,$F$5:F231,"?*",$O$5:O231,O231)))</f>
        <v/>
      </c>
      <c r="O231" s="54">
        <f>IF(A231="","",IF(C231="",0,C231))</f>
        <v/>
      </c>
    </row>
    <row r="232">
      <c r="A232" s="58" t="n"/>
      <c r="B232" s="49">
        <f>IF(A232="","",CHOOSE(WEEKDAY(A232,2),"Пн","Вт","Ср","Чт","Пт","Сб","Вс"))</f>
        <v/>
      </c>
      <c r="C232" s="59" t="n"/>
      <c r="D232" s="59" t="n"/>
      <c r="E232" s="60">
        <f>IF(OR(C232="",D232=""),"",MOD(D232-C232,1)*24)</f>
        <v/>
      </c>
      <c r="F232" s="50" t="n"/>
      <c r="G232" s="51" t="n"/>
      <c r="H232" s="51" t="n"/>
      <c r="I232" s="51" t="n"/>
      <c r="J232" s="51" t="n"/>
      <c r="K232" s="51" t="n"/>
      <c r="L232" s="54">
        <f>IF(OR(A232="",C232="",D232=""),"",IF(COUNTIFS($A$5:$A$3004,A232,$C$5:$C$3004,"&lt;"&amp;D232,$D$5:$D$3004,"&gt;"&amp;C232)&gt;1,"⚠️ пересечение",""))</f>
        <v/>
      </c>
      <c r="M232" s="54">
        <f>IF(F232="","",IF(J232="✅ Сделано","✔ ",IF(J232="❌ Пропущено","✖ ","⏰ "))&amp;IF(C232="","",RIGHT("0"&amp;HOUR(C232),2)&amp;":"&amp;RIGHT("0"&amp;MINUTE(C232),2)&amp;IF(D232="","","–"&amp;RIGHT("0"&amp;HOUR(D232),2)&amp;":"&amp;RIGHT("0"&amp;MINUTE(D232),2))&amp;" ")&amp;F232)</f>
        <v/>
      </c>
      <c r="N232" s="54">
        <f>IF(OR(A232="",F232=""),"",A232&amp;"#"&amp;(COUNTIFS($A$5:$A$3004,A232,$F$5:$F$3004,"?*",$O$5:$O$3004,"&lt;"&amp;O232)+COUNTIFS($A$5:A232,A232,$F$5:F232,"?*",$O$5:O232,O232)))</f>
        <v/>
      </c>
      <c r="O232" s="54">
        <f>IF(A232="","",IF(C232="",0,C232))</f>
        <v/>
      </c>
    </row>
    <row r="233">
      <c r="A233" s="58" t="n"/>
      <c r="B233" s="49">
        <f>IF(A233="","",CHOOSE(WEEKDAY(A233,2),"Пн","Вт","Ср","Чт","Пт","Сб","Вс"))</f>
        <v/>
      </c>
      <c r="C233" s="59" t="n"/>
      <c r="D233" s="59" t="n"/>
      <c r="E233" s="60">
        <f>IF(OR(C233="",D233=""),"",MOD(D233-C233,1)*24)</f>
        <v/>
      </c>
      <c r="F233" s="50" t="n"/>
      <c r="G233" s="51" t="n"/>
      <c r="H233" s="51" t="n"/>
      <c r="I233" s="51" t="n"/>
      <c r="J233" s="51" t="n"/>
      <c r="K233" s="51" t="n"/>
      <c r="L233" s="54">
        <f>IF(OR(A233="",C233="",D233=""),"",IF(COUNTIFS($A$5:$A$3004,A233,$C$5:$C$3004,"&lt;"&amp;D233,$D$5:$D$3004,"&gt;"&amp;C233)&gt;1,"⚠️ пересечение",""))</f>
        <v/>
      </c>
      <c r="M233" s="54">
        <f>IF(F233="","",IF(J233="✅ Сделано","✔ ",IF(J233="❌ Пропущено","✖ ","⏰ "))&amp;IF(C233="","",RIGHT("0"&amp;HOUR(C233),2)&amp;":"&amp;RIGHT("0"&amp;MINUTE(C233),2)&amp;IF(D233="","","–"&amp;RIGHT("0"&amp;HOUR(D233),2)&amp;":"&amp;RIGHT("0"&amp;MINUTE(D233),2))&amp;" ")&amp;F233)</f>
        <v/>
      </c>
      <c r="N233" s="54">
        <f>IF(OR(A233="",F233=""),"",A233&amp;"#"&amp;(COUNTIFS($A$5:$A$3004,A233,$F$5:$F$3004,"?*",$O$5:$O$3004,"&lt;"&amp;O233)+COUNTIFS($A$5:A233,A233,$F$5:F233,"?*",$O$5:O233,O233)))</f>
        <v/>
      </c>
      <c r="O233" s="54">
        <f>IF(A233="","",IF(C233="",0,C233))</f>
        <v/>
      </c>
    </row>
    <row r="234">
      <c r="A234" s="58" t="n"/>
      <c r="B234" s="49">
        <f>IF(A234="","",CHOOSE(WEEKDAY(A234,2),"Пн","Вт","Ср","Чт","Пт","Сб","Вс"))</f>
        <v/>
      </c>
      <c r="C234" s="59" t="n"/>
      <c r="D234" s="59" t="n"/>
      <c r="E234" s="60">
        <f>IF(OR(C234="",D234=""),"",MOD(D234-C234,1)*24)</f>
        <v/>
      </c>
      <c r="F234" s="50" t="n"/>
      <c r="G234" s="51" t="n"/>
      <c r="H234" s="51" t="n"/>
      <c r="I234" s="51" t="n"/>
      <c r="J234" s="51" t="n"/>
      <c r="K234" s="51" t="n"/>
      <c r="L234" s="54">
        <f>IF(OR(A234="",C234="",D234=""),"",IF(COUNTIFS($A$5:$A$3004,A234,$C$5:$C$3004,"&lt;"&amp;D234,$D$5:$D$3004,"&gt;"&amp;C234)&gt;1,"⚠️ пересечение",""))</f>
        <v/>
      </c>
      <c r="M234" s="54">
        <f>IF(F234="","",IF(J234="✅ Сделано","✔ ",IF(J234="❌ Пропущено","✖ ","⏰ "))&amp;IF(C234="","",RIGHT("0"&amp;HOUR(C234),2)&amp;":"&amp;RIGHT("0"&amp;MINUTE(C234),2)&amp;IF(D234="","","–"&amp;RIGHT("0"&amp;HOUR(D234),2)&amp;":"&amp;RIGHT("0"&amp;MINUTE(D234),2))&amp;" ")&amp;F234)</f>
        <v/>
      </c>
      <c r="N234" s="54">
        <f>IF(OR(A234="",F234=""),"",A234&amp;"#"&amp;(COUNTIFS($A$5:$A$3004,A234,$F$5:$F$3004,"?*",$O$5:$O$3004,"&lt;"&amp;O234)+COUNTIFS($A$5:A234,A234,$F$5:F234,"?*",$O$5:O234,O234)))</f>
        <v/>
      </c>
      <c r="O234" s="54">
        <f>IF(A234="","",IF(C234="",0,C234))</f>
        <v/>
      </c>
    </row>
    <row r="235">
      <c r="A235" s="58" t="n"/>
      <c r="B235" s="49">
        <f>IF(A235="","",CHOOSE(WEEKDAY(A235,2),"Пн","Вт","Ср","Чт","Пт","Сб","Вс"))</f>
        <v/>
      </c>
      <c r="C235" s="59" t="n"/>
      <c r="D235" s="59" t="n"/>
      <c r="E235" s="60">
        <f>IF(OR(C235="",D235=""),"",MOD(D235-C235,1)*24)</f>
        <v/>
      </c>
      <c r="F235" s="50" t="n"/>
      <c r="G235" s="51" t="n"/>
      <c r="H235" s="51" t="n"/>
      <c r="I235" s="51" t="n"/>
      <c r="J235" s="51" t="n"/>
      <c r="K235" s="51" t="n"/>
      <c r="L235" s="54">
        <f>IF(OR(A235="",C235="",D235=""),"",IF(COUNTIFS($A$5:$A$3004,A235,$C$5:$C$3004,"&lt;"&amp;D235,$D$5:$D$3004,"&gt;"&amp;C235)&gt;1,"⚠️ пересечение",""))</f>
        <v/>
      </c>
      <c r="M235" s="54">
        <f>IF(F235="","",IF(J235="✅ Сделано","✔ ",IF(J235="❌ Пропущено","✖ ","⏰ "))&amp;IF(C235="","",RIGHT("0"&amp;HOUR(C235),2)&amp;":"&amp;RIGHT("0"&amp;MINUTE(C235),2)&amp;IF(D235="","","–"&amp;RIGHT("0"&amp;HOUR(D235),2)&amp;":"&amp;RIGHT("0"&amp;MINUTE(D235),2))&amp;" ")&amp;F235)</f>
        <v/>
      </c>
      <c r="N235" s="54">
        <f>IF(OR(A235="",F235=""),"",A235&amp;"#"&amp;(COUNTIFS($A$5:$A$3004,A235,$F$5:$F$3004,"?*",$O$5:$O$3004,"&lt;"&amp;O235)+COUNTIFS($A$5:A235,A235,$F$5:F235,"?*",$O$5:O235,O235)))</f>
        <v/>
      </c>
      <c r="O235" s="54">
        <f>IF(A235="","",IF(C235="",0,C235))</f>
        <v/>
      </c>
    </row>
    <row r="236">
      <c r="A236" s="58" t="n"/>
      <c r="B236" s="49">
        <f>IF(A236="","",CHOOSE(WEEKDAY(A236,2),"Пн","Вт","Ср","Чт","Пт","Сб","Вс"))</f>
        <v/>
      </c>
      <c r="C236" s="59" t="n"/>
      <c r="D236" s="59" t="n"/>
      <c r="E236" s="60">
        <f>IF(OR(C236="",D236=""),"",MOD(D236-C236,1)*24)</f>
        <v/>
      </c>
      <c r="F236" s="50" t="n"/>
      <c r="G236" s="51" t="n"/>
      <c r="H236" s="51" t="n"/>
      <c r="I236" s="51" t="n"/>
      <c r="J236" s="51" t="n"/>
      <c r="K236" s="51" t="n"/>
      <c r="L236" s="54">
        <f>IF(OR(A236="",C236="",D236=""),"",IF(COUNTIFS($A$5:$A$3004,A236,$C$5:$C$3004,"&lt;"&amp;D236,$D$5:$D$3004,"&gt;"&amp;C236)&gt;1,"⚠️ пересечение",""))</f>
        <v/>
      </c>
      <c r="M236" s="54">
        <f>IF(F236="","",IF(J236="✅ Сделано","✔ ",IF(J236="❌ Пропущено","✖ ","⏰ "))&amp;IF(C236="","",RIGHT("0"&amp;HOUR(C236),2)&amp;":"&amp;RIGHT("0"&amp;MINUTE(C236),2)&amp;IF(D236="","","–"&amp;RIGHT("0"&amp;HOUR(D236),2)&amp;":"&amp;RIGHT("0"&amp;MINUTE(D236),2))&amp;" ")&amp;F236)</f>
        <v/>
      </c>
      <c r="N236" s="54">
        <f>IF(OR(A236="",F236=""),"",A236&amp;"#"&amp;(COUNTIFS($A$5:$A$3004,A236,$F$5:$F$3004,"?*",$O$5:$O$3004,"&lt;"&amp;O236)+COUNTIFS($A$5:A236,A236,$F$5:F236,"?*",$O$5:O236,O236)))</f>
        <v/>
      </c>
      <c r="O236" s="54">
        <f>IF(A236="","",IF(C236="",0,C236))</f>
        <v/>
      </c>
    </row>
    <row r="237">
      <c r="A237" s="58" t="n"/>
      <c r="B237" s="49">
        <f>IF(A237="","",CHOOSE(WEEKDAY(A237,2),"Пн","Вт","Ср","Чт","Пт","Сб","Вс"))</f>
        <v/>
      </c>
      <c r="C237" s="59" t="n"/>
      <c r="D237" s="59" t="n"/>
      <c r="E237" s="60">
        <f>IF(OR(C237="",D237=""),"",MOD(D237-C237,1)*24)</f>
        <v/>
      </c>
      <c r="F237" s="50" t="n"/>
      <c r="G237" s="51" t="n"/>
      <c r="H237" s="51" t="n"/>
      <c r="I237" s="51" t="n"/>
      <c r="J237" s="51" t="n"/>
      <c r="K237" s="51" t="n"/>
      <c r="L237" s="54">
        <f>IF(OR(A237="",C237="",D237=""),"",IF(COUNTIFS($A$5:$A$3004,A237,$C$5:$C$3004,"&lt;"&amp;D237,$D$5:$D$3004,"&gt;"&amp;C237)&gt;1,"⚠️ пересечение",""))</f>
        <v/>
      </c>
      <c r="M237" s="54">
        <f>IF(F237="","",IF(J237="✅ Сделано","✔ ",IF(J237="❌ Пропущено","✖ ","⏰ "))&amp;IF(C237="","",RIGHT("0"&amp;HOUR(C237),2)&amp;":"&amp;RIGHT("0"&amp;MINUTE(C237),2)&amp;IF(D237="","","–"&amp;RIGHT("0"&amp;HOUR(D237),2)&amp;":"&amp;RIGHT("0"&amp;MINUTE(D237),2))&amp;" ")&amp;F237)</f>
        <v/>
      </c>
      <c r="N237" s="54">
        <f>IF(OR(A237="",F237=""),"",A237&amp;"#"&amp;(COUNTIFS($A$5:$A$3004,A237,$F$5:$F$3004,"?*",$O$5:$O$3004,"&lt;"&amp;O237)+COUNTIFS($A$5:A237,A237,$F$5:F237,"?*",$O$5:O237,O237)))</f>
        <v/>
      </c>
      <c r="O237" s="54">
        <f>IF(A237="","",IF(C237="",0,C237))</f>
        <v/>
      </c>
    </row>
    <row r="238">
      <c r="A238" s="58" t="n"/>
      <c r="B238" s="49">
        <f>IF(A238="","",CHOOSE(WEEKDAY(A238,2),"Пн","Вт","Ср","Чт","Пт","Сб","Вс"))</f>
        <v/>
      </c>
      <c r="C238" s="59" t="n"/>
      <c r="D238" s="59" t="n"/>
      <c r="E238" s="60">
        <f>IF(OR(C238="",D238=""),"",MOD(D238-C238,1)*24)</f>
        <v/>
      </c>
      <c r="F238" s="50" t="n"/>
      <c r="G238" s="51" t="n"/>
      <c r="H238" s="51" t="n"/>
      <c r="I238" s="51" t="n"/>
      <c r="J238" s="51" t="n"/>
      <c r="K238" s="51" t="n"/>
      <c r="L238" s="54">
        <f>IF(OR(A238="",C238="",D238=""),"",IF(COUNTIFS($A$5:$A$3004,A238,$C$5:$C$3004,"&lt;"&amp;D238,$D$5:$D$3004,"&gt;"&amp;C238)&gt;1,"⚠️ пересечение",""))</f>
        <v/>
      </c>
      <c r="M238" s="54">
        <f>IF(F238="","",IF(J238="✅ Сделано","✔ ",IF(J238="❌ Пропущено","✖ ","⏰ "))&amp;IF(C238="","",RIGHT("0"&amp;HOUR(C238),2)&amp;":"&amp;RIGHT("0"&amp;MINUTE(C238),2)&amp;IF(D238="","","–"&amp;RIGHT("0"&amp;HOUR(D238),2)&amp;":"&amp;RIGHT("0"&amp;MINUTE(D238),2))&amp;" ")&amp;F238)</f>
        <v/>
      </c>
      <c r="N238" s="54">
        <f>IF(OR(A238="",F238=""),"",A238&amp;"#"&amp;(COUNTIFS($A$5:$A$3004,A238,$F$5:$F$3004,"?*",$O$5:$O$3004,"&lt;"&amp;O238)+COUNTIFS($A$5:A238,A238,$F$5:F238,"?*",$O$5:O238,O238)))</f>
        <v/>
      </c>
      <c r="O238" s="54">
        <f>IF(A238="","",IF(C238="",0,C238))</f>
        <v/>
      </c>
    </row>
    <row r="239">
      <c r="A239" s="58" t="n"/>
      <c r="B239" s="49">
        <f>IF(A239="","",CHOOSE(WEEKDAY(A239,2),"Пн","Вт","Ср","Чт","Пт","Сб","Вс"))</f>
        <v/>
      </c>
      <c r="C239" s="59" t="n"/>
      <c r="D239" s="59" t="n"/>
      <c r="E239" s="60">
        <f>IF(OR(C239="",D239=""),"",MOD(D239-C239,1)*24)</f>
        <v/>
      </c>
      <c r="F239" s="50" t="n"/>
      <c r="G239" s="51" t="n"/>
      <c r="H239" s="51" t="n"/>
      <c r="I239" s="51" t="n"/>
      <c r="J239" s="51" t="n"/>
      <c r="K239" s="51" t="n"/>
      <c r="L239" s="54">
        <f>IF(OR(A239="",C239="",D239=""),"",IF(COUNTIFS($A$5:$A$3004,A239,$C$5:$C$3004,"&lt;"&amp;D239,$D$5:$D$3004,"&gt;"&amp;C239)&gt;1,"⚠️ пересечение",""))</f>
        <v/>
      </c>
      <c r="M239" s="54">
        <f>IF(F239="","",IF(J239="✅ Сделано","✔ ",IF(J239="❌ Пропущено","✖ ","⏰ "))&amp;IF(C239="","",RIGHT("0"&amp;HOUR(C239),2)&amp;":"&amp;RIGHT("0"&amp;MINUTE(C239),2)&amp;IF(D239="","","–"&amp;RIGHT("0"&amp;HOUR(D239),2)&amp;":"&amp;RIGHT("0"&amp;MINUTE(D239),2))&amp;" ")&amp;F239)</f>
        <v/>
      </c>
      <c r="N239" s="54">
        <f>IF(OR(A239="",F239=""),"",A239&amp;"#"&amp;(COUNTIFS($A$5:$A$3004,A239,$F$5:$F$3004,"?*",$O$5:$O$3004,"&lt;"&amp;O239)+COUNTIFS($A$5:A239,A239,$F$5:F239,"?*",$O$5:O239,O239)))</f>
        <v/>
      </c>
      <c r="O239" s="54">
        <f>IF(A239="","",IF(C239="",0,C239))</f>
        <v/>
      </c>
    </row>
    <row r="240">
      <c r="A240" s="58" t="n"/>
      <c r="B240" s="49">
        <f>IF(A240="","",CHOOSE(WEEKDAY(A240,2),"Пн","Вт","Ср","Чт","Пт","Сб","Вс"))</f>
        <v/>
      </c>
      <c r="C240" s="59" t="n"/>
      <c r="D240" s="59" t="n"/>
      <c r="E240" s="60">
        <f>IF(OR(C240="",D240=""),"",MOD(D240-C240,1)*24)</f>
        <v/>
      </c>
      <c r="F240" s="50" t="n"/>
      <c r="G240" s="51" t="n"/>
      <c r="H240" s="51" t="n"/>
      <c r="I240" s="51" t="n"/>
      <c r="J240" s="51" t="n"/>
      <c r="K240" s="51" t="n"/>
      <c r="L240" s="54">
        <f>IF(OR(A240="",C240="",D240=""),"",IF(COUNTIFS($A$5:$A$3004,A240,$C$5:$C$3004,"&lt;"&amp;D240,$D$5:$D$3004,"&gt;"&amp;C240)&gt;1,"⚠️ пересечение",""))</f>
        <v/>
      </c>
      <c r="M240" s="54">
        <f>IF(F240="","",IF(J240="✅ Сделано","✔ ",IF(J240="❌ Пропущено","✖ ","⏰ "))&amp;IF(C240="","",RIGHT("0"&amp;HOUR(C240),2)&amp;":"&amp;RIGHT("0"&amp;MINUTE(C240),2)&amp;IF(D240="","","–"&amp;RIGHT("0"&amp;HOUR(D240),2)&amp;":"&amp;RIGHT("0"&amp;MINUTE(D240),2))&amp;" ")&amp;F240)</f>
        <v/>
      </c>
      <c r="N240" s="54">
        <f>IF(OR(A240="",F240=""),"",A240&amp;"#"&amp;(COUNTIFS($A$5:$A$3004,A240,$F$5:$F$3004,"?*",$O$5:$O$3004,"&lt;"&amp;O240)+COUNTIFS($A$5:A240,A240,$F$5:F240,"?*",$O$5:O240,O240)))</f>
        <v/>
      </c>
      <c r="O240" s="54">
        <f>IF(A240="","",IF(C240="",0,C240))</f>
        <v/>
      </c>
    </row>
    <row r="241">
      <c r="A241" s="58" t="n"/>
      <c r="B241" s="49">
        <f>IF(A241="","",CHOOSE(WEEKDAY(A241,2),"Пн","Вт","Ср","Чт","Пт","Сб","Вс"))</f>
        <v/>
      </c>
      <c r="C241" s="59" t="n"/>
      <c r="D241" s="59" t="n"/>
      <c r="E241" s="60">
        <f>IF(OR(C241="",D241=""),"",MOD(D241-C241,1)*24)</f>
        <v/>
      </c>
      <c r="F241" s="50" t="n"/>
      <c r="G241" s="51" t="n"/>
      <c r="H241" s="51" t="n"/>
      <c r="I241" s="51" t="n"/>
      <c r="J241" s="51" t="n"/>
      <c r="K241" s="51" t="n"/>
      <c r="L241" s="54">
        <f>IF(OR(A241="",C241="",D241=""),"",IF(COUNTIFS($A$5:$A$3004,A241,$C$5:$C$3004,"&lt;"&amp;D241,$D$5:$D$3004,"&gt;"&amp;C241)&gt;1,"⚠️ пересечение",""))</f>
        <v/>
      </c>
      <c r="M241" s="54">
        <f>IF(F241="","",IF(J241="✅ Сделано","✔ ",IF(J241="❌ Пропущено","✖ ","⏰ "))&amp;IF(C241="","",RIGHT("0"&amp;HOUR(C241),2)&amp;":"&amp;RIGHT("0"&amp;MINUTE(C241),2)&amp;IF(D241="","","–"&amp;RIGHT("0"&amp;HOUR(D241),2)&amp;":"&amp;RIGHT("0"&amp;MINUTE(D241),2))&amp;" ")&amp;F241)</f>
        <v/>
      </c>
      <c r="N241" s="54">
        <f>IF(OR(A241="",F241=""),"",A241&amp;"#"&amp;(COUNTIFS($A$5:$A$3004,A241,$F$5:$F$3004,"?*",$O$5:$O$3004,"&lt;"&amp;O241)+COUNTIFS($A$5:A241,A241,$F$5:F241,"?*",$O$5:O241,O241)))</f>
        <v/>
      </c>
      <c r="O241" s="54">
        <f>IF(A241="","",IF(C241="",0,C241))</f>
        <v/>
      </c>
    </row>
    <row r="242">
      <c r="A242" s="58" t="n"/>
      <c r="B242" s="49">
        <f>IF(A242="","",CHOOSE(WEEKDAY(A242,2),"Пн","Вт","Ср","Чт","Пт","Сб","Вс"))</f>
        <v/>
      </c>
      <c r="C242" s="59" t="n"/>
      <c r="D242" s="59" t="n"/>
      <c r="E242" s="60">
        <f>IF(OR(C242="",D242=""),"",MOD(D242-C242,1)*24)</f>
        <v/>
      </c>
      <c r="F242" s="50" t="n"/>
      <c r="G242" s="51" t="n"/>
      <c r="H242" s="51" t="n"/>
      <c r="I242" s="51" t="n"/>
      <c r="J242" s="51" t="n"/>
      <c r="K242" s="51" t="n"/>
      <c r="L242" s="54">
        <f>IF(OR(A242="",C242="",D242=""),"",IF(COUNTIFS($A$5:$A$3004,A242,$C$5:$C$3004,"&lt;"&amp;D242,$D$5:$D$3004,"&gt;"&amp;C242)&gt;1,"⚠️ пересечение",""))</f>
        <v/>
      </c>
      <c r="M242" s="54">
        <f>IF(F242="","",IF(J242="✅ Сделано","✔ ",IF(J242="❌ Пропущено","✖ ","⏰ "))&amp;IF(C242="","",RIGHT("0"&amp;HOUR(C242),2)&amp;":"&amp;RIGHT("0"&amp;MINUTE(C242),2)&amp;IF(D242="","","–"&amp;RIGHT("0"&amp;HOUR(D242),2)&amp;":"&amp;RIGHT("0"&amp;MINUTE(D242),2))&amp;" ")&amp;F242)</f>
        <v/>
      </c>
      <c r="N242" s="54">
        <f>IF(OR(A242="",F242=""),"",A242&amp;"#"&amp;(COUNTIFS($A$5:$A$3004,A242,$F$5:$F$3004,"?*",$O$5:$O$3004,"&lt;"&amp;O242)+COUNTIFS($A$5:A242,A242,$F$5:F242,"?*",$O$5:O242,O242)))</f>
        <v/>
      </c>
      <c r="O242" s="54">
        <f>IF(A242="","",IF(C242="",0,C242))</f>
        <v/>
      </c>
    </row>
    <row r="243">
      <c r="A243" s="58" t="n"/>
      <c r="B243" s="49">
        <f>IF(A243="","",CHOOSE(WEEKDAY(A243,2),"Пн","Вт","Ср","Чт","Пт","Сб","Вс"))</f>
        <v/>
      </c>
      <c r="C243" s="59" t="n"/>
      <c r="D243" s="59" t="n"/>
      <c r="E243" s="60">
        <f>IF(OR(C243="",D243=""),"",MOD(D243-C243,1)*24)</f>
        <v/>
      </c>
      <c r="F243" s="50" t="n"/>
      <c r="G243" s="51" t="n"/>
      <c r="H243" s="51" t="n"/>
      <c r="I243" s="51" t="n"/>
      <c r="J243" s="51" t="n"/>
      <c r="K243" s="51" t="n"/>
      <c r="L243" s="54">
        <f>IF(OR(A243="",C243="",D243=""),"",IF(COUNTIFS($A$5:$A$3004,A243,$C$5:$C$3004,"&lt;"&amp;D243,$D$5:$D$3004,"&gt;"&amp;C243)&gt;1,"⚠️ пересечение",""))</f>
        <v/>
      </c>
      <c r="M243" s="54">
        <f>IF(F243="","",IF(J243="✅ Сделано","✔ ",IF(J243="❌ Пропущено","✖ ","⏰ "))&amp;IF(C243="","",RIGHT("0"&amp;HOUR(C243),2)&amp;":"&amp;RIGHT("0"&amp;MINUTE(C243),2)&amp;IF(D243="","","–"&amp;RIGHT("0"&amp;HOUR(D243),2)&amp;":"&amp;RIGHT("0"&amp;MINUTE(D243),2))&amp;" ")&amp;F243)</f>
        <v/>
      </c>
      <c r="N243" s="54">
        <f>IF(OR(A243="",F243=""),"",A243&amp;"#"&amp;(COUNTIFS($A$5:$A$3004,A243,$F$5:$F$3004,"?*",$O$5:$O$3004,"&lt;"&amp;O243)+COUNTIFS($A$5:A243,A243,$F$5:F243,"?*",$O$5:O243,O243)))</f>
        <v/>
      </c>
      <c r="O243" s="54">
        <f>IF(A243="","",IF(C243="",0,C243))</f>
        <v/>
      </c>
    </row>
    <row r="244">
      <c r="A244" s="58" t="n"/>
      <c r="B244" s="49">
        <f>IF(A244="","",CHOOSE(WEEKDAY(A244,2),"Пн","Вт","Ср","Чт","Пт","Сб","Вс"))</f>
        <v/>
      </c>
      <c r="C244" s="59" t="n"/>
      <c r="D244" s="59" t="n"/>
      <c r="E244" s="60">
        <f>IF(OR(C244="",D244=""),"",MOD(D244-C244,1)*24)</f>
        <v/>
      </c>
      <c r="F244" s="50" t="n"/>
      <c r="G244" s="51" t="n"/>
      <c r="H244" s="51" t="n"/>
      <c r="I244" s="51" t="n"/>
      <c r="J244" s="51" t="n"/>
      <c r="K244" s="51" t="n"/>
      <c r="L244" s="54">
        <f>IF(OR(A244="",C244="",D244=""),"",IF(COUNTIFS($A$5:$A$3004,A244,$C$5:$C$3004,"&lt;"&amp;D244,$D$5:$D$3004,"&gt;"&amp;C244)&gt;1,"⚠️ пересечение",""))</f>
        <v/>
      </c>
      <c r="M244" s="54">
        <f>IF(F244="","",IF(J244="✅ Сделано","✔ ",IF(J244="❌ Пропущено","✖ ","⏰ "))&amp;IF(C244="","",RIGHT("0"&amp;HOUR(C244),2)&amp;":"&amp;RIGHT("0"&amp;MINUTE(C244),2)&amp;IF(D244="","","–"&amp;RIGHT("0"&amp;HOUR(D244),2)&amp;":"&amp;RIGHT("0"&amp;MINUTE(D244),2))&amp;" ")&amp;F244)</f>
        <v/>
      </c>
      <c r="N244" s="54">
        <f>IF(OR(A244="",F244=""),"",A244&amp;"#"&amp;(COUNTIFS($A$5:$A$3004,A244,$F$5:$F$3004,"?*",$O$5:$O$3004,"&lt;"&amp;O244)+COUNTIFS($A$5:A244,A244,$F$5:F244,"?*",$O$5:O244,O244)))</f>
        <v/>
      </c>
      <c r="O244" s="54">
        <f>IF(A244="","",IF(C244="",0,C244))</f>
        <v/>
      </c>
    </row>
    <row r="245">
      <c r="A245" s="58" t="n"/>
      <c r="B245" s="49">
        <f>IF(A245="","",CHOOSE(WEEKDAY(A245,2),"Пн","Вт","Ср","Чт","Пт","Сб","Вс"))</f>
        <v/>
      </c>
      <c r="C245" s="59" t="n"/>
      <c r="D245" s="59" t="n"/>
      <c r="E245" s="60">
        <f>IF(OR(C245="",D245=""),"",MOD(D245-C245,1)*24)</f>
        <v/>
      </c>
      <c r="F245" s="50" t="n"/>
      <c r="G245" s="51" t="n"/>
      <c r="H245" s="51" t="n"/>
      <c r="I245" s="51" t="n"/>
      <c r="J245" s="51" t="n"/>
      <c r="K245" s="51" t="n"/>
      <c r="L245" s="54">
        <f>IF(OR(A245="",C245="",D245=""),"",IF(COUNTIFS($A$5:$A$3004,A245,$C$5:$C$3004,"&lt;"&amp;D245,$D$5:$D$3004,"&gt;"&amp;C245)&gt;1,"⚠️ пересечение",""))</f>
        <v/>
      </c>
      <c r="M245" s="54">
        <f>IF(F245="","",IF(J245="✅ Сделано","✔ ",IF(J245="❌ Пропущено","✖ ","⏰ "))&amp;IF(C245="","",RIGHT("0"&amp;HOUR(C245),2)&amp;":"&amp;RIGHT("0"&amp;MINUTE(C245),2)&amp;IF(D245="","","–"&amp;RIGHT("0"&amp;HOUR(D245),2)&amp;":"&amp;RIGHT("0"&amp;MINUTE(D245),2))&amp;" ")&amp;F245)</f>
        <v/>
      </c>
      <c r="N245" s="54">
        <f>IF(OR(A245="",F245=""),"",A245&amp;"#"&amp;(COUNTIFS($A$5:$A$3004,A245,$F$5:$F$3004,"?*",$O$5:$O$3004,"&lt;"&amp;O245)+COUNTIFS($A$5:A245,A245,$F$5:F245,"?*",$O$5:O245,O245)))</f>
        <v/>
      </c>
      <c r="O245" s="54">
        <f>IF(A245="","",IF(C245="",0,C245))</f>
        <v/>
      </c>
    </row>
    <row r="246">
      <c r="A246" s="58" t="n"/>
      <c r="B246" s="49">
        <f>IF(A246="","",CHOOSE(WEEKDAY(A246,2),"Пн","Вт","Ср","Чт","Пт","Сб","Вс"))</f>
        <v/>
      </c>
      <c r="C246" s="59" t="n"/>
      <c r="D246" s="59" t="n"/>
      <c r="E246" s="60">
        <f>IF(OR(C246="",D246=""),"",MOD(D246-C246,1)*24)</f>
        <v/>
      </c>
      <c r="F246" s="50" t="n"/>
      <c r="G246" s="51" t="n"/>
      <c r="H246" s="51" t="n"/>
      <c r="I246" s="51" t="n"/>
      <c r="J246" s="51" t="n"/>
      <c r="K246" s="51" t="n"/>
      <c r="L246" s="54">
        <f>IF(OR(A246="",C246="",D246=""),"",IF(COUNTIFS($A$5:$A$3004,A246,$C$5:$C$3004,"&lt;"&amp;D246,$D$5:$D$3004,"&gt;"&amp;C246)&gt;1,"⚠️ пересечение",""))</f>
        <v/>
      </c>
      <c r="M246" s="54">
        <f>IF(F246="","",IF(J246="✅ Сделано","✔ ",IF(J246="❌ Пропущено","✖ ","⏰ "))&amp;IF(C246="","",RIGHT("0"&amp;HOUR(C246),2)&amp;":"&amp;RIGHT("0"&amp;MINUTE(C246),2)&amp;IF(D246="","","–"&amp;RIGHT("0"&amp;HOUR(D246),2)&amp;":"&amp;RIGHT("0"&amp;MINUTE(D246),2))&amp;" ")&amp;F246)</f>
        <v/>
      </c>
      <c r="N246" s="54">
        <f>IF(OR(A246="",F246=""),"",A246&amp;"#"&amp;(COUNTIFS($A$5:$A$3004,A246,$F$5:$F$3004,"?*",$O$5:$O$3004,"&lt;"&amp;O246)+COUNTIFS($A$5:A246,A246,$F$5:F246,"?*",$O$5:O246,O246)))</f>
        <v/>
      </c>
      <c r="O246" s="54">
        <f>IF(A246="","",IF(C246="",0,C246))</f>
        <v/>
      </c>
    </row>
    <row r="247">
      <c r="A247" s="58" t="n"/>
      <c r="B247" s="49">
        <f>IF(A247="","",CHOOSE(WEEKDAY(A247,2),"Пн","Вт","Ср","Чт","Пт","Сб","Вс"))</f>
        <v/>
      </c>
      <c r="C247" s="59" t="n"/>
      <c r="D247" s="59" t="n"/>
      <c r="E247" s="60">
        <f>IF(OR(C247="",D247=""),"",MOD(D247-C247,1)*24)</f>
        <v/>
      </c>
      <c r="F247" s="50" t="n"/>
      <c r="G247" s="51" t="n"/>
      <c r="H247" s="51" t="n"/>
      <c r="I247" s="51" t="n"/>
      <c r="J247" s="51" t="n"/>
      <c r="K247" s="51" t="n"/>
      <c r="L247" s="54">
        <f>IF(OR(A247="",C247="",D247=""),"",IF(COUNTIFS($A$5:$A$3004,A247,$C$5:$C$3004,"&lt;"&amp;D247,$D$5:$D$3004,"&gt;"&amp;C247)&gt;1,"⚠️ пересечение",""))</f>
        <v/>
      </c>
      <c r="M247" s="54">
        <f>IF(F247="","",IF(J247="✅ Сделано","✔ ",IF(J247="❌ Пропущено","✖ ","⏰ "))&amp;IF(C247="","",RIGHT("0"&amp;HOUR(C247),2)&amp;":"&amp;RIGHT("0"&amp;MINUTE(C247),2)&amp;IF(D247="","","–"&amp;RIGHT("0"&amp;HOUR(D247),2)&amp;":"&amp;RIGHT("0"&amp;MINUTE(D247),2))&amp;" ")&amp;F247)</f>
        <v/>
      </c>
      <c r="N247" s="54">
        <f>IF(OR(A247="",F247=""),"",A247&amp;"#"&amp;(COUNTIFS($A$5:$A$3004,A247,$F$5:$F$3004,"?*",$O$5:$O$3004,"&lt;"&amp;O247)+COUNTIFS($A$5:A247,A247,$F$5:F247,"?*",$O$5:O247,O247)))</f>
        <v/>
      </c>
      <c r="O247" s="54">
        <f>IF(A247="","",IF(C247="",0,C247))</f>
        <v/>
      </c>
    </row>
    <row r="248">
      <c r="A248" s="58" t="n"/>
      <c r="B248" s="49">
        <f>IF(A248="","",CHOOSE(WEEKDAY(A248,2),"Пн","Вт","Ср","Чт","Пт","Сб","Вс"))</f>
        <v/>
      </c>
      <c r="C248" s="59" t="n"/>
      <c r="D248" s="59" t="n"/>
      <c r="E248" s="60">
        <f>IF(OR(C248="",D248=""),"",MOD(D248-C248,1)*24)</f>
        <v/>
      </c>
      <c r="F248" s="50" t="n"/>
      <c r="G248" s="51" t="n"/>
      <c r="H248" s="51" t="n"/>
      <c r="I248" s="51" t="n"/>
      <c r="J248" s="51" t="n"/>
      <c r="K248" s="51" t="n"/>
      <c r="L248" s="54">
        <f>IF(OR(A248="",C248="",D248=""),"",IF(COUNTIFS($A$5:$A$3004,A248,$C$5:$C$3004,"&lt;"&amp;D248,$D$5:$D$3004,"&gt;"&amp;C248)&gt;1,"⚠️ пересечение",""))</f>
        <v/>
      </c>
      <c r="M248" s="54">
        <f>IF(F248="","",IF(J248="✅ Сделано","✔ ",IF(J248="❌ Пропущено","✖ ","⏰ "))&amp;IF(C248="","",RIGHT("0"&amp;HOUR(C248),2)&amp;":"&amp;RIGHT("0"&amp;MINUTE(C248),2)&amp;IF(D248="","","–"&amp;RIGHT("0"&amp;HOUR(D248),2)&amp;":"&amp;RIGHT("0"&amp;MINUTE(D248),2))&amp;" ")&amp;F248)</f>
        <v/>
      </c>
      <c r="N248" s="54">
        <f>IF(OR(A248="",F248=""),"",A248&amp;"#"&amp;(COUNTIFS($A$5:$A$3004,A248,$F$5:$F$3004,"?*",$O$5:$O$3004,"&lt;"&amp;O248)+COUNTIFS($A$5:A248,A248,$F$5:F248,"?*",$O$5:O248,O248)))</f>
        <v/>
      </c>
      <c r="O248" s="54">
        <f>IF(A248="","",IF(C248="",0,C248))</f>
        <v/>
      </c>
    </row>
    <row r="249">
      <c r="A249" s="58" t="n"/>
      <c r="B249" s="49">
        <f>IF(A249="","",CHOOSE(WEEKDAY(A249,2),"Пн","Вт","Ср","Чт","Пт","Сб","Вс"))</f>
        <v/>
      </c>
      <c r="C249" s="59" t="n"/>
      <c r="D249" s="59" t="n"/>
      <c r="E249" s="60">
        <f>IF(OR(C249="",D249=""),"",MOD(D249-C249,1)*24)</f>
        <v/>
      </c>
      <c r="F249" s="50" t="n"/>
      <c r="G249" s="51" t="n"/>
      <c r="H249" s="51" t="n"/>
      <c r="I249" s="51" t="n"/>
      <c r="J249" s="51" t="n"/>
      <c r="K249" s="51" t="n"/>
      <c r="L249" s="54">
        <f>IF(OR(A249="",C249="",D249=""),"",IF(COUNTIFS($A$5:$A$3004,A249,$C$5:$C$3004,"&lt;"&amp;D249,$D$5:$D$3004,"&gt;"&amp;C249)&gt;1,"⚠️ пересечение",""))</f>
        <v/>
      </c>
      <c r="M249" s="54">
        <f>IF(F249="","",IF(J249="✅ Сделано","✔ ",IF(J249="❌ Пропущено","✖ ","⏰ "))&amp;IF(C249="","",RIGHT("0"&amp;HOUR(C249),2)&amp;":"&amp;RIGHT("0"&amp;MINUTE(C249),2)&amp;IF(D249="","","–"&amp;RIGHT("0"&amp;HOUR(D249),2)&amp;":"&amp;RIGHT("0"&amp;MINUTE(D249),2))&amp;" ")&amp;F249)</f>
        <v/>
      </c>
      <c r="N249" s="54">
        <f>IF(OR(A249="",F249=""),"",A249&amp;"#"&amp;(COUNTIFS($A$5:$A$3004,A249,$F$5:$F$3004,"?*",$O$5:$O$3004,"&lt;"&amp;O249)+COUNTIFS($A$5:A249,A249,$F$5:F249,"?*",$O$5:O249,O249)))</f>
        <v/>
      </c>
      <c r="O249" s="54">
        <f>IF(A249="","",IF(C249="",0,C249))</f>
        <v/>
      </c>
    </row>
    <row r="250">
      <c r="A250" s="58" t="n"/>
      <c r="B250" s="49">
        <f>IF(A250="","",CHOOSE(WEEKDAY(A250,2),"Пн","Вт","Ср","Чт","Пт","Сб","Вс"))</f>
        <v/>
      </c>
      <c r="C250" s="59" t="n"/>
      <c r="D250" s="59" t="n"/>
      <c r="E250" s="60">
        <f>IF(OR(C250="",D250=""),"",MOD(D250-C250,1)*24)</f>
        <v/>
      </c>
      <c r="F250" s="50" t="n"/>
      <c r="G250" s="51" t="n"/>
      <c r="H250" s="51" t="n"/>
      <c r="I250" s="51" t="n"/>
      <c r="J250" s="51" t="n"/>
      <c r="K250" s="51" t="n"/>
      <c r="L250" s="54">
        <f>IF(OR(A250="",C250="",D250=""),"",IF(COUNTIFS($A$5:$A$3004,A250,$C$5:$C$3004,"&lt;"&amp;D250,$D$5:$D$3004,"&gt;"&amp;C250)&gt;1,"⚠️ пересечение",""))</f>
        <v/>
      </c>
      <c r="M250" s="54">
        <f>IF(F250="","",IF(J250="✅ Сделано","✔ ",IF(J250="❌ Пропущено","✖ ","⏰ "))&amp;IF(C250="","",RIGHT("0"&amp;HOUR(C250),2)&amp;":"&amp;RIGHT("0"&amp;MINUTE(C250),2)&amp;IF(D250="","","–"&amp;RIGHT("0"&amp;HOUR(D250),2)&amp;":"&amp;RIGHT("0"&amp;MINUTE(D250),2))&amp;" ")&amp;F250)</f>
        <v/>
      </c>
      <c r="N250" s="54">
        <f>IF(OR(A250="",F250=""),"",A250&amp;"#"&amp;(COUNTIFS($A$5:$A$3004,A250,$F$5:$F$3004,"?*",$O$5:$O$3004,"&lt;"&amp;O250)+COUNTIFS($A$5:A250,A250,$F$5:F250,"?*",$O$5:O250,O250)))</f>
        <v/>
      </c>
      <c r="O250" s="54">
        <f>IF(A250="","",IF(C250="",0,C250))</f>
        <v/>
      </c>
    </row>
    <row r="251">
      <c r="A251" s="58" t="n"/>
      <c r="B251" s="49">
        <f>IF(A251="","",CHOOSE(WEEKDAY(A251,2),"Пн","Вт","Ср","Чт","Пт","Сб","Вс"))</f>
        <v/>
      </c>
      <c r="C251" s="59" t="n"/>
      <c r="D251" s="59" t="n"/>
      <c r="E251" s="60">
        <f>IF(OR(C251="",D251=""),"",MOD(D251-C251,1)*24)</f>
        <v/>
      </c>
      <c r="F251" s="50" t="n"/>
      <c r="G251" s="51" t="n"/>
      <c r="H251" s="51" t="n"/>
      <c r="I251" s="51" t="n"/>
      <c r="J251" s="51" t="n"/>
      <c r="K251" s="51" t="n"/>
      <c r="L251" s="54">
        <f>IF(OR(A251="",C251="",D251=""),"",IF(COUNTIFS($A$5:$A$3004,A251,$C$5:$C$3004,"&lt;"&amp;D251,$D$5:$D$3004,"&gt;"&amp;C251)&gt;1,"⚠️ пересечение",""))</f>
        <v/>
      </c>
      <c r="M251" s="54">
        <f>IF(F251="","",IF(J251="✅ Сделано","✔ ",IF(J251="❌ Пропущено","✖ ","⏰ "))&amp;IF(C251="","",RIGHT("0"&amp;HOUR(C251),2)&amp;":"&amp;RIGHT("0"&amp;MINUTE(C251),2)&amp;IF(D251="","","–"&amp;RIGHT("0"&amp;HOUR(D251),2)&amp;":"&amp;RIGHT("0"&amp;MINUTE(D251),2))&amp;" ")&amp;F251)</f>
        <v/>
      </c>
      <c r="N251" s="54">
        <f>IF(OR(A251="",F251=""),"",A251&amp;"#"&amp;(COUNTIFS($A$5:$A$3004,A251,$F$5:$F$3004,"?*",$O$5:$O$3004,"&lt;"&amp;O251)+COUNTIFS($A$5:A251,A251,$F$5:F251,"?*",$O$5:O251,O251)))</f>
        <v/>
      </c>
      <c r="O251" s="54">
        <f>IF(A251="","",IF(C251="",0,C251))</f>
        <v/>
      </c>
    </row>
    <row r="252">
      <c r="A252" s="58" t="n"/>
      <c r="B252" s="49">
        <f>IF(A252="","",CHOOSE(WEEKDAY(A252,2),"Пн","Вт","Ср","Чт","Пт","Сб","Вс"))</f>
        <v/>
      </c>
      <c r="C252" s="59" t="n"/>
      <c r="D252" s="59" t="n"/>
      <c r="E252" s="60">
        <f>IF(OR(C252="",D252=""),"",MOD(D252-C252,1)*24)</f>
        <v/>
      </c>
      <c r="F252" s="50" t="n"/>
      <c r="G252" s="51" t="n"/>
      <c r="H252" s="51" t="n"/>
      <c r="I252" s="51" t="n"/>
      <c r="J252" s="51" t="n"/>
      <c r="K252" s="51" t="n"/>
      <c r="L252" s="54">
        <f>IF(OR(A252="",C252="",D252=""),"",IF(COUNTIFS($A$5:$A$3004,A252,$C$5:$C$3004,"&lt;"&amp;D252,$D$5:$D$3004,"&gt;"&amp;C252)&gt;1,"⚠️ пересечение",""))</f>
        <v/>
      </c>
      <c r="M252" s="54">
        <f>IF(F252="","",IF(J252="✅ Сделано","✔ ",IF(J252="❌ Пропущено","✖ ","⏰ "))&amp;IF(C252="","",RIGHT("0"&amp;HOUR(C252),2)&amp;":"&amp;RIGHT("0"&amp;MINUTE(C252),2)&amp;IF(D252="","","–"&amp;RIGHT("0"&amp;HOUR(D252),2)&amp;":"&amp;RIGHT("0"&amp;MINUTE(D252),2))&amp;" ")&amp;F252)</f>
        <v/>
      </c>
      <c r="N252" s="54">
        <f>IF(OR(A252="",F252=""),"",A252&amp;"#"&amp;(COUNTIFS($A$5:$A$3004,A252,$F$5:$F$3004,"?*",$O$5:$O$3004,"&lt;"&amp;O252)+COUNTIFS($A$5:A252,A252,$F$5:F252,"?*",$O$5:O252,O252)))</f>
        <v/>
      </c>
      <c r="O252" s="54">
        <f>IF(A252="","",IF(C252="",0,C252))</f>
        <v/>
      </c>
    </row>
    <row r="253">
      <c r="A253" s="58" t="n"/>
      <c r="B253" s="49">
        <f>IF(A253="","",CHOOSE(WEEKDAY(A253,2),"Пн","Вт","Ср","Чт","Пт","Сб","Вс"))</f>
        <v/>
      </c>
      <c r="C253" s="59" t="n"/>
      <c r="D253" s="59" t="n"/>
      <c r="E253" s="60">
        <f>IF(OR(C253="",D253=""),"",MOD(D253-C253,1)*24)</f>
        <v/>
      </c>
      <c r="F253" s="50" t="n"/>
      <c r="G253" s="51" t="n"/>
      <c r="H253" s="51" t="n"/>
      <c r="I253" s="51" t="n"/>
      <c r="J253" s="51" t="n"/>
      <c r="K253" s="51" t="n"/>
      <c r="L253" s="54">
        <f>IF(OR(A253="",C253="",D253=""),"",IF(COUNTIFS($A$5:$A$3004,A253,$C$5:$C$3004,"&lt;"&amp;D253,$D$5:$D$3004,"&gt;"&amp;C253)&gt;1,"⚠️ пересечение",""))</f>
        <v/>
      </c>
      <c r="M253" s="54">
        <f>IF(F253="","",IF(J253="✅ Сделано","✔ ",IF(J253="❌ Пропущено","✖ ","⏰ "))&amp;IF(C253="","",RIGHT("0"&amp;HOUR(C253),2)&amp;":"&amp;RIGHT("0"&amp;MINUTE(C253),2)&amp;IF(D253="","","–"&amp;RIGHT("0"&amp;HOUR(D253),2)&amp;":"&amp;RIGHT("0"&amp;MINUTE(D253),2))&amp;" ")&amp;F253)</f>
        <v/>
      </c>
      <c r="N253" s="54">
        <f>IF(OR(A253="",F253=""),"",A253&amp;"#"&amp;(COUNTIFS($A$5:$A$3004,A253,$F$5:$F$3004,"?*",$O$5:$O$3004,"&lt;"&amp;O253)+COUNTIFS($A$5:A253,A253,$F$5:F253,"?*",$O$5:O253,O253)))</f>
        <v/>
      </c>
      <c r="O253" s="54">
        <f>IF(A253="","",IF(C253="",0,C253))</f>
        <v/>
      </c>
    </row>
    <row r="254">
      <c r="A254" s="58" t="n"/>
      <c r="B254" s="49">
        <f>IF(A254="","",CHOOSE(WEEKDAY(A254,2),"Пн","Вт","Ср","Чт","Пт","Сб","Вс"))</f>
        <v/>
      </c>
      <c r="C254" s="59" t="n"/>
      <c r="D254" s="59" t="n"/>
      <c r="E254" s="60">
        <f>IF(OR(C254="",D254=""),"",MOD(D254-C254,1)*24)</f>
        <v/>
      </c>
      <c r="F254" s="50" t="n"/>
      <c r="G254" s="51" t="n"/>
      <c r="H254" s="51" t="n"/>
      <c r="I254" s="51" t="n"/>
      <c r="J254" s="51" t="n"/>
      <c r="K254" s="51" t="n"/>
      <c r="L254" s="54">
        <f>IF(OR(A254="",C254="",D254=""),"",IF(COUNTIFS($A$5:$A$3004,A254,$C$5:$C$3004,"&lt;"&amp;D254,$D$5:$D$3004,"&gt;"&amp;C254)&gt;1,"⚠️ пересечение",""))</f>
        <v/>
      </c>
      <c r="M254" s="54">
        <f>IF(F254="","",IF(J254="✅ Сделано","✔ ",IF(J254="❌ Пропущено","✖ ","⏰ "))&amp;IF(C254="","",RIGHT("0"&amp;HOUR(C254),2)&amp;":"&amp;RIGHT("0"&amp;MINUTE(C254),2)&amp;IF(D254="","","–"&amp;RIGHT("0"&amp;HOUR(D254),2)&amp;":"&amp;RIGHT("0"&amp;MINUTE(D254),2))&amp;" ")&amp;F254)</f>
        <v/>
      </c>
      <c r="N254" s="54">
        <f>IF(OR(A254="",F254=""),"",A254&amp;"#"&amp;(COUNTIFS($A$5:$A$3004,A254,$F$5:$F$3004,"?*",$O$5:$O$3004,"&lt;"&amp;O254)+COUNTIFS($A$5:A254,A254,$F$5:F254,"?*",$O$5:O254,O254)))</f>
        <v/>
      </c>
      <c r="O254" s="54">
        <f>IF(A254="","",IF(C254="",0,C254))</f>
        <v/>
      </c>
    </row>
    <row r="255">
      <c r="A255" s="58" t="n"/>
      <c r="B255" s="49">
        <f>IF(A255="","",CHOOSE(WEEKDAY(A255,2),"Пн","Вт","Ср","Чт","Пт","Сб","Вс"))</f>
        <v/>
      </c>
      <c r="C255" s="59" t="n"/>
      <c r="D255" s="59" t="n"/>
      <c r="E255" s="60">
        <f>IF(OR(C255="",D255=""),"",MOD(D255-C255,1)*24)</f>
        <v/>
      </c>
      <c r="F255" s="50" t="n"/>
      <c r="G255" s="51" t="n"/>
      <c r="H255" s="51" t="n"/>
      <c r="I255" s="51" t="n"/>
      <c r="J255" s="51" t="n"/>
      <c r="K255" s="51" t="n"/>
      <c r="L255" s="54">
        <f>IF(OR(A255="",C255="",D255=""),"",IF(COUNTIFS($A$5:$A$3004,A255,$C$5:$C$3004,"&lt;"&amp;D255,$D$5:$D$3004,"&gt;"&amp;C255)&gt;1,"⚠️ пересечение",""))</f>
        <v/>
      </c>
      <c r="M255" s="54">
        <f>IF(F255="","",IF(J255="✅ Сделано","✔ ",IF(J255="❌ Пропущено","✖ ","⏰ "))&amp;IF(C255="","",RIGHT("0"&amp;HOUR(C255),2)&amp;":"&amp;RIGHT("0"&amp;MINUTE(C255),2)&amp;IF(D255="","","–"&amp;RIGHT("0"&amp;HOUR(D255),2)&amp;":"&amp;RIGHT("0"&amp;MINUTE(D255),2))&amp;" ")&amp;F255)</f>
        <v/>
      </c>
      <c r="N255" s="54">
        <f>IF(OR(A255="",F255=""),"",A255&amp;"#"&amp;(COUNTIFS($A$5:$A$3004,A255,$F$5:$F$3004,"?*",$O$5:$O$3004,"&lt;"&amp;O255)+COUNTIFS($A$5:A255,A255,$F$5:F255,"?*",$O$5:O255,O255)))</f>
        <v/>
      </c>
      <c r="O255" s="54">
        <f>IF(A255="","",IF(C255="",0,C255))</f>
        <v/>
      </c>
    </row>
    <row r="256">
      <c r="A256" s="58" t="n"/>
      <c r="B256" s="49">
        <f>IF(A256="","",CHOOSE(WEEKDAY(A256,2),"Пн","Вт","Ср","Чт","Пт","Сб","Вс"))</f>
        <v/>
      </c>
      <c r="C256" s="59" t="n"/>
      <c r="D256" s="59" t="n"/>
      <c r="E256" s="60">
        <f>IF(OR(C256="",D256=""),"",MOD(D256-C256,1)*24)</f>
        <v/>
      </c>
      <c r="F256" s="50" t="n"/>
      <c r="G256" s="51" t="n"/>
      <c r="H256" s="51" t="n"/>
      <c r="I256" s="51" t="n"/>
      <c r="J256" s="51" t="n"/>
      <c r="K256" s="51" t="n"/>
      <c r="L256" s="54">
        <f>IF(OR(A256="",C256="",D256=""),"",IF(COUNTIFS($A$5:$A$3004,A256,$C$5:$C$3004,"&lt;"&amp;D256,$D$5:$D$3004,"&gt;"&amp;C256)&gt;1,"⚠️ пересечение",""))</f>
        <v/>
      </c>
      <c r="M256" s="54">
        <f>IF(F256="","",IF(J256="✅ Сделано","✔ ",IF(J256="❌ Пропущено","✖ ","⏰ "))&amp;IF(C256="","",RIGHT("0"&amp;HOUR(C256),2)&amp;":"&amp;RIGHT("0"&amp;MINUTE(C256),2)&amp;IF(D256="","","–"&amp;RIGHT("0"&amp;HOUR(D256),2)&amp;":"&amp;RIGHT("0"&amp;MINUTE(D256),2))&amp;" ")&amp;F256)</f>
        <v/>
      </c>
      <c r="N256" s="54">
        <f>IF(OR(A256="",F256=""),"",A256&amp;"#"&amp;(COUNTIFS($A$5:$A$3004,A256,$F$5:$F$3004,"?*",$O$5:$O$3004,"&lt;"&amp;O256)+COUNTIFS($A$5:A256,A256,$F$5:F256,"?*",$O$5:O256,O256)))</f>
        <v/>
      </c>
      <c r="O256" s="54">
        <f>IF(A256="","",IF(C256="",0,C256))</f>
        <v/>
      </c>
    </row>
    <row r="257">
      <c r="A257" s="58" t="n"/>
      <c r="B257" s="49">
        <f>IF(A257="","",CHOOSE(WEEKDAY(A257,2),"Пн","Вт","Ср","Чт","Пт","Сб","Вс"))</f>
        <v/>
      </c>
      <c r="C257" s="59" t="n"/>
      <c r="D257" s="59" t="n"/>
      <c r="E257" s="60">
        <f>IF(OR(C257="",D257=""),"",MOD(D257-C257,1)*24)</f>
        <v/>
      </c>
      <c r="F257" s="50" t="n"/>
      <c r="G257" s="51" t="n"/>
      <c r="H257" s="51" t="n"/>
      <c r="I257" s="51" t="n"/>
      <c r="J257" s="51" t="n"/>
      <c r="K257" s="51" t="n"/>
      <c r="L257" s="54">
        <f>IF(OR(A257="",C257="",D257=""),"",IF(COUNTIFS($A$5:$A$3004,A257,$C$5:$C$3004,"&lt;"&amp;D257,$D$5:$D$3004,"&gt;"&amp;C257)&gt;1,"⚠️ пересечение",""))</f>
        <v/>
      </c>
      <c r="M257" s="54">
        <f>IF(F257="","",IF(J257="✅ Сделано","✔ ",IF(J257="❌ Пропущено","✖ ","⏰ "))&amp;IF(C257="","",RIGHT("0"&amp;HOUR(C257),2)&amp;":"&amp;RIGHT("0"&amp;MINUTE(C257),2)&amp;IF(D257="","","–"&amp;RIGHT("0"&amp;HOUR(D257),2)&amp;":"&amp;RIGHT("0"&amp;MINUTE(D257),2))&amp;" ")&amp;F257)</f>
        <v/>
      </c>
      <c r="N257" s="54">
        <f>IF(OR(A257="",F257=""),"",A257&amp;"#"&amp;(COUNTIFS($A$5:$A$3004,A257,$F$5:$F$3004,"?*",$O$5:$O$3004,"&lt;"&amp;O257)+COUNTIFS($A$5:A257,A257,$F$5:F257,"?*",$O$5:O257,O257)))</f>
        <v/>
      </c>
      <c r="O257" s="54">
        <f>IF(A257="","",IF(C257="",0,C257))</f>
        <v/>
      </c>
    </row>
    <row r="258">
      <c r="A258" s="58" t="n"/>
      <c r="B258" s="49">
        <f>IF(A258="","",CHOOSE(WEEKDAY(A258,2),"Пн","Вт","Ср","Чт","Пт","Сб","Вс"))</f>
        <v/>
      </c>
      <c r="C258" s="59" t="n"/>
      <c r="D258" s="59" t="n"/>
      <c r="E258" s="60">
        <f>IF(OR(C258="",D258=""),"",MOD(D258-C258,1)*24)</f>
        <v/>
      </c>
      <c r="F258" s="50" t="n"/>
      <c r="G258" s="51" t="n"/>
      <c r="H258" s="51" t="n"/>
      <c r="I258" s="51" t="n"/>
      <c r="J258" s="51" t="n"/>
      <c r="K258" s="51" t="n"/>
      <c r="L258" s="54">
        <f>IF(OR(A258="",C258="",D258=""),"",IF(COUNTIFS($A$5:$A$3004,A258,$C$5:$C$3004,"&lt;"&amp;D258,$D$5:$D$3004,"&gt;"&amp;C258)&gt;1,"⚠️ пересечение",""))</f>
        <v/>
      </c>
      <c r="M258" s="54">
        <f>IF(F258="","",IF(J258="✅ Сделано","✔ ",IF(J258="❌ Пропущено","✖ ","⏰ "))&amp;IF(C258="","",RIGHT("0"&amp;HOUR(C258),2)&amp;":"&amp;RIGHT("0"&amp;MINUTE(C258),2)&amp;IF(D258="","","–"&amp;RIGHT("0"&amp;HOUR(D258),2)&amp;":"&amp;RIGHT("0"&amp;MINUTE(D258),2))&amp;" ")&amp;F258)</f>
        <v/>
      </c>
      <c r="N258" s="54">
        <f>IF(OR(A258="",F258=""),"",A258&amp;"#"&amp;(COUNTIFS($A$5:$A$3004,A258,$F$5:$F$3004,"?*",$O$5:$O$3004,"&lt;"&amp;O258)+COUNTIFS($A$5:A258,A258,$F$5:F258,"?*",$O$5:O258,O258)))</f>
        <v/>
      </c>
      <c r="O258" s="54">
        <f>IF(A258="","",IF(C258="",0,C258))</f>
        <v/>
      </c>
    </row>
    <row r="259">
      <c r="A259" s="58" t="n"/>
      <c r="B259" s="49">
        <f>IF(A259="","",CHOOSE(WEEKDAY(A259,2),"Пн","Вт","Ср","Чт","Пт","Сб","Вс"))</f>
        <v/>
      </c>
      <c r="C259" s="59" t="n"/>
      <c r="D259" s="59" t="n"/>
      <c r="E259" s="60">
        <f>IF(OR(C259="",D259=""),"",MOD(D259-C259,1)*24)</f>
        <v/>
      </c>
      <c r="F259" s="50" t="n"/>
      <c r="G259" s="51" t="n"/>
      <c r="H259" s="51" t="n"/>
      <c r="I259" s="51" t="n"/>
      <c r="J259" s="51" t="n"/>
      <c r="K259" s="51" t="n"/>
      <c r="L259" s="54">
        <f>IF(OR(A259="",C259="",D259=""),"",IF(COUNTIFS($A$5:$A$3004,A259,$C$5:$C$3004,"&lt;"&amp;D259,$D$5:$D$3004,"&gt;"&amp;C259)&gt;1,"⚠️ пересечение",""))</f>
        <v/>
      </c>
      <c r="M259" s="54">
        <f>IF(F259="","",IF(J259="✅ Сделано","✔ ",IF(J259="❌ Пропущено","✖ ","⏰ "))&amp;IF(C259="","",RIGHT("0"&amp;HOUR(C259),2)&amp;":"&amp;RIGHT("0"&amp;MINUTE(C259),2)&amp;IF(D259="","","–"&amp;RIGHT("0"&amp;HOUR(D259),2)&amp;":"&amp;RIGHT("0"&amp;MINUTE(D259),2))&amp;" ")&amp;F259)</f>
        <v/>
      </c>
      <c r="N259" s="54">
        <f>IF(OR(A259="",F259=""),"",A259&amp;"#"&amp;(COUNTIFS($A$5:$A$3004,A259,$F$5:$F$3004,"?*",$O$5:$O$3004,"&lt;"&amp;O259)+COUNTIFS($A$5:A259,A259,$F$5:F259,"?*",$O$5:O259,O259)))</f>
        <v/>
      </c>
      <c r="O259" s="54">
        <f>IF(A259="","",IF(C259="",0,C259))</f>
        <v/>
      </c>
    </row>
    <row r="260">
      <c r="A260" s="58" t="n"/>
      <c r="B260" s="49">
        <f>IF(A260="","",CHOOSE(WEEKDAY(A260,2),"Пн","Вт","Ср","Чт","Пт","Сб","Вс"))</f>
        <v/>
      </c>
      <c r="C260" s="59" t="n"/>
      <c r="D260" s="59" t="n"/>
      <c r="E260" s="60">
        <f>IF(OR(C260="",D260=""),"",MOD(D260-C260,1)*24)</f>
        <v/>
      </c>
      <c r="F260" s="50" t="n"/>
      <c r="G260" s="51" t="n"/>
      <c r="H260" s="51" t="n"/>
      <c r="I260" s="51" t="n"/>
      <c r="J260" s="51" t="n"/>
      <c r="K260" s="51" t="n"/>
      <c r="L260" s="54">
        <f>IF(OR(A260="",C260="",D260=""),"",IF(COUNTIFS($A$5:$A$3004,A260,$C$5:$C$3004,"&lt;"&amp;D260,$D$5:$D$3004,"&gt;"&amp;C260)&gt;1,"⚠️ пересечение",""))</f>
        <v/>
      </c>
      <c r="M260" s="54">
        <f>IF(F260="","",IF(J260="✅ Сделано","✔ ",IF(J260="❌ Пропущено","✖ ","⏰ "))&amp;IF(C260="","",RIGHT("0"&amp;HOUR(C260),2)&amp;":"&amp;RIGHT("0"&amp;MINUTE(C260),2)&amp;IF(D260="","","–"&amp;RIGHT("0"&amp;HOUR(D260),2)&amp;":"&amp;RIGHT("0"&amp;MINUTE(D260),2))&amp;" ")&amp;F260)</f>
        <v/>
      </c>
      <c r="N260" s="54">
        <f>IF(OR(A260="",F260=""),"",A260&amp;"#"&amp;(COUNTIFS($A$5:$A$3004,A260,$F$5:$F$3004,"?*",$O$5:$O$3004,"&lt;"&amp;O260)+COUNTIFS($A$5:A260,A260,$F$5:F260,"?*",$O$5:O260,O260)))</f>
        <v/>
      </c>
      <c r="O260" s="54">
        <f>IF(A260="","",IF(C260="",0,C260))</f>
        <v/>
      </c>
    </row>
    <row r="261">
      <c r="A261" s="58" t="n"/>
      <c r="B261" s="49">
        <f>IF(A261="","",CHOOSE(WEEKDAY(A261,2),"Пн","Вт","Ср","Чт","Пт","Сб","Вс"))</f>
        <v/>
      </c>
      <c r="C261" s="59" t="n"/>
      <c r="D261" s="59" t="n"/>
      <c r="E261" s="60">
        <f>IF(OR(C261="",D261=""),"",MOD(D261-C261,1)*24)</f>
        <v/>
      </c>
      <c r="F261" s="50" t="n"/>
      <c r="G261" s="51" t="n"/>
      <c r="H261" s="51" t="n"/>
      <c r="I261" s="51" t="n"/>
      <c r="J261" s="51" t="n"/>
      <c r="K261" s="51" t="n"/>
      <c r="L261" s="54">
        <f>IF(OR(A261="",C261="",D261=""),"",IF(COUNTIFS($A$5:$A$3004,A261,$C$5:$C$3004,"&lt;"&amp;D261,$D$5:$D$3004,"&gt;"&amp;C261)&gt;1,"⚠️ пересечение",""))</f>
        <v/>
      </c>
      <c r="M261" s="54">
        <f>IF(F261="","",IF(J261="✅ Сделано","✔ ",IF(J261="❌ Пропущено","✖ ","⏰ "))&amp;IF(C261="","",RIGHT("0"&amp;HOUR(C261),2)&amp;":"&amp;RIGHT("0"&amp;MINUTE(C261),2)&amp;IF(D261="","","–"&amp;RIGHT("0"&amp;HOUR(D261),2)&amp;":"&amp;RIGHT("0"&amp;MINUTE(D261),2))&amp;" ")&amp;F261)</f>
        <v/>
      </c>
      <c r="N261" s="54">
        <f>IF(OR(A261="",F261=""),"",A261&amp;"#"&amp;(COUNTIFS($A$5:$A$3004,A261,$F$5:$F$3004,"?*",$O$5:$O$3004,"&lt;"&amp;O261)+COUNTIFS($A$5:A261,A261,$F$5:F261,"?*",$O$5:O261,O261)))</f>
        <v/>
      </c>
      <c r="O261" s="54">
        <f>IF(A261="","",IF(C261="",0,C261))</f>
        <v/>
      </c>
    </row>
    <row r="262">
      <c r="A262" s="58" t="n"/>
      <c r="B262" s="49">
        <f>IF(A262="","",CHOOSE(WEEKDAY(A262,2),"Пн","Вт","Ср","Чт","Пт","Сб","Вс"))</f>
        <v/>
      </c>
      <c r="C262" s="59" t="n"/>
      <c r="D262" s="59" t="n"/>
      <c r="E262" s="60">
        <f>IF(OR(C262="",D262=""),"",MOD(D262-C262,1)*24)</f>
        <v/>
      </c>
      <c r="F262" s="50" t="n"/>
      <c r="G262" s="51" t="n"/>
      <c r="H262" s="51" t="n"/>
      <c r="I262" s="51" t="n"/>
      <c r="J262" s="51" t="n"/>
      <c r="K262" s="51" t="n"/>
      <c r="L262" s="54">
        <f>IF(OR(A262="",C262="",D262=""),"",IF(COUNTIFS($A$5:$A$3004,A262,$C$5:$C$3004,"&lt;"&amp;D262,$D$5:$D$3004,"&gt;"&amp;C262)&gt;1,"⚠️ пересечение",""))</f>
        <v/>
      </c>
      <c r="M262" s="54">
        <f>IF(F262="","",IF(J262="✅ Сделано","✔ ",IF(J262="❌ Пропущено","✖ ","⏰ "))&amp;IF(C262="","",RIGHT("0"&amp;HOUR(C262),2)&amp;":"&amp;RIGHT("0"&amp;MINUTE(C262),2)&amp;IF(D262="","","–"&amp;RIGHT("0"&amp;HOUR(D262),2)&amp;":"&amp;RIGHT("0"&amp;MINUTE(D262),2))&amp;" ")&amp;F262)</f>
        <v/>
      </c>
      <c r="N262" s="54">
        <f>IF(OR(A262="",F262=""),"",A262&amp;"#"&amp;(COUNTIFS($A$5:$A$3004,A262,$F$5:$F$3004,"?*",$O$5:$O$3004,"&lt;"&amp;O262)+COUNTIFS($A$5:A262,A262,$F$5:F262,"?*",$O$5:O262,O262)))</f>
        <v/>
      </c>
      <c r="O262" s="54">
        <f>IF(A262="","",IF(C262="",0,C262))</f>
        <v/>
      </c>
    </row>
    <row r="263">
      <c r="A263" s="58" t="n"/>
      <c r="B263" s="49">
        <f>IF(A263="","",CHOOSE(WEEKDAY(A263,2),"Пн","Вт","Ср","Чт","Пт","Сб","Вс"))</f>
        <v/>
      </c>
      <c r="C263" s="59" t="n"/>
      <c r="D263" s="59" t="n"/>
      <c r="E263" s="60">
        <f>IF(OR(C263="",D263=""),"",MOD(D263-C263,1)*24)</f>
        <v/>
      </c>
      <c r="F263" s="50" t="n"/>
      <c r="G263" s="51" t="n"/>
      <c r="H263" s="51" t="n"/>
      <c r="I263" s="51" t="n"/>
      <c r="J263" s="51" t="n"/>
      <c r="K263" s="51" t="n"/>
      <c r="L263" s="54">
        <f>IF(OR(A263="",C263="",D263=""),"",IF(COUNTIFS($A$5:$A$3004,A263,$C$5:$C$3004,"&lt;"&amp;D263,$D$5:$D$3004,"&gt;"&amp;C263)&gt;1,"⚠️ пересечение",""))</f>
        <v/>
      </c>
      <c r="M263" s="54">
        <f>IF(F263="","",IF(J263="✅ Сделано","✔ ",IF(J263="❌ Пропущено","✖ ","⏰ "))&amp;IF(C263="","",RIGHT("0"&amp;HOUR(C263),2)&amp;":"&amp;RIGHT("0"&amp;MINUTE(C263),2)&amp;IF(D263="","","–"&amp;RIGHT("0"&amp;HOUR(D263),2)&amp;":"&amp;RIGHT("0"&amp;MINUTE(D263),2))&amp;" ")&amp;F263)</f>
        <v/>
      </c>
      <c r="N263" s="54">
        <f>IF(OR(A263="",F263=""),"",A263&amp;"#"&amp;(COUNTIFS($A$5:$A$3004,A263,$F$5:$F$3004,"?*",$O$5:$O$3004,"&lt;"&amp;O263)+COUNTIFS($A$5:A263,A263,$F$5:F263,"?*",$O$5:O263,O263)))</f>
        <v/>
      </c>
      <c r="O263" s="54">
        <f>IF(A263="","",IF(C263="",0,C263))</f>
        <v/>
      </c>
    </row>
    <row r="264">
      <c r="A264" s="58" t="n"/>
      <c r="B264" s="49">
        <f>IF(A264="","",CHOOSE(WEEKDAY(A264,2),"Пн","Вт","Ср","Чт","Пт","Сб","Вс"))</f>
        <v/>
      </c>
      <c r="C264" s="59" t="n"/>
      <c r="D264" s="59" t="n"/>
      <c r="E264" s="60">
        <f>IF(OR(C264="",D264=""),"",MOD(D264-C264,1)*24)</f>
        <v/>
      </c>
      <c r="F264" s="50" t="n"/>
      <c r="G264" s="51" t="n"/>
      <c r="H264" s="51" t="n"/>
      <c r="I264" s="51" t="n"/>
      <c r="J264" s="51" t="n"/>
      <c r="K264" s="51" t="n"/>
      <c r="L264" s="54">
        <f>IF(OR(A264="",C264="",D264=""),"",IF(COUNTIFS($A$5:$A$3004,A264,$C$5:$C$3004,"&lt;"&amp;D264,$D$5:$D$3004,"&gt;"&amp;C264)&gt;1,"⚠️ пересечение",""))</f>
        <v/>
      </c>
      <c r="M264" s="54">
        <f>IF(F264="","",IF(J264="✅ Сделано","✔ ",IF(J264="❌ Пропущено","✖ ","⏰ "))&amp;IF(C264="","",RIGHT("0"&amp;HOUR(C264),2)&amp;":"&amp;RIGHT("0"&amp;MINUTE(C264),2)&amp;IF(D264="","","–"&amp;RIGHT("0"&amp;HOUR(D264),2)&amp;":"&amp;RIGHT("0"&amp;MINUTE(D264),2))&amp;" ")&amp;F264)</f>
        <v/>
      </c>
      <c r="N264" s="54">
        <f>IF(OR(A264="",F264=""),"",A264&amp;"#"&amp;(COUNTIFS($A$5:$A$3004,A264,$F$5:$F$3004,"?*",$O$5:$O$3004,"&lt;"&amp;O264)+COUNTIFS($A$5:A264,A264,$F$5:F264,"?*",$O$5:O264,O264)))</f>
        <v/>
      </c>
      <c r="O264" s="54">
        <f>IF(A264="","",IF(C264="",0,C264))</f>
        <v/>
      </c>
    </row>
    <row r="265">
      <c r="A265" s="58" t="n"/>
      <c r="B265" s="49">
        <f>IF(A265="","",CHOOSE(WEEKDAY(A265,2),"Пн","Вт","Ср","Чт","Пт","Сб","Вс"))</f>
        <v/>
      </c>
      <c r="C265" s="59" t="n"/>
      <c r="D265" s="59" t="n"/>
      <c r="E265" s="60">
        <f>IF(OR(C265="",D265=""),"",MOD(D265-C265,1)*24)</f>
        <v/>
      </c>
      <c r="F265" s="50" t="n"/>
      <c r="G265" s="51" t="n"/>
      <c r="H265" s="51" t="n"/>
      <c r="I265" s="51" t="n"/>
      <c r="J265" s="51" t="n"/>
      <c r="K265" s="51" t="n"/>
      <c r="L265" s="54">
        <f>IF(OR(A265="",C265="",D265=""),"",IF(COUNTIFS($A$5:$A$3004,A265,$C$5:$C$3004,"&lt;"&amp;D265,$D$5:$D$3004,"&gt;"&amp;C265)&gt;1,"⚠️ пересечение",""))</f>
        <v/>
      </c>
      <c r="M265" s="54">
        <f>IF(F265="","",IF(J265="✅ Сделано","✔ ",IF(J265="❌ Пропущено","✖ ","⏰ "))&amp;IF(C265="","",RIGHT("0"&amp;HOUR(C265),2)&amp;":"&amp;RIGHT("0"&amp;MINUTE(C265),2)&amp;IF(D265="","","–"&amp;RIGHT("0"&amp;HOUR(D265),2)&amp;":"&amp;RIGHT("0"&amp;MINUTE(D265),2))&amp;" ")&amp;F265)</f>
        <v/>
      </c>
      <c r="N265" s="54">
        <f>IF(OR(A265="",F265=""),"",A265&amp;"#"&amp;(COUNTIFS($A$5:$A$3004,A265,$F$5:$F$3004,"?*",$O$5:$O$3004,"&lt;"&amp;O265)+COUNTIFS($A$5:A265,A265,$F$5:F265,"?*",$O$5:O265,O265)))</f>
        <v/>
      </c>
      <c r="O265" s="54">
        <f>IF(A265="","",IF(C265="",0,C265))</f>
        <v/>
      </c>
    </row>
    <row r="266">
      <c r="A266" s="58" t="n"/>
      <c r="B266" s="49">
        <f>IF(A266="","",CHOOSE(WEEKDAY(A266,2),"Пн","Вт","Ср","Чт","Пт","Сб","Вс"))</f>
        <v/>
      </c>
      <c r="C266" s="59" t="n"/>
      <c r="D266" s="59" t="n"/>
      <c r="E266" s="60">
        <f>IF(OR(C266="",D266=""),"",MOD(D266-C266,1)*24)</f>
        <v/>
      </c>
      <c r="F266" s="50" t="n"/>
      <c r="G266" s="51" t="n"/>
      <c r="H266" s="51" t="n"/>
      <c r="I266" s="51" t="n"/>
      <c r="J266" s="51" t="n"/>
      <c r="K266" s="51" t="n"/>
      <c r="L266" s="54">
        <f>IF(OR(A266="",C266="",D266=""),"",IF(COUNTIFS($A$5:$A$3004,A266,$C$5:$C$3004,"&lt;"&amp;D266,$D$5:$D$3004,"&gt;"&amp;C266)&gt;1,"⚠️ пересечение",""))</f>
        <v/>
      </c>
      <c r="M266" s="54">
        <f>IF(F266="","",IF(J266="✅ Сделано","✔ ",IF(J266="❌ Пропущено","✖ ","⏰ "))&amp;IF(C266="","",RIGHT("0"&amp;HOUR(C266),2)&amp;":"&amp;RIGHT("0"&amp;MINUTE(C266),2)&amp;IF(D266="","","–"&amp;RIGHT("0"&amp;HOUR(D266),2)&amp;":"&amp;RIGHT("0"&amp;MINUTE(D266),2))&amp;" ")&amp;F266)</f>
        <v/>
      </c>
      <c r="N266" s="54">
        <f>IF(OR(A266="",F266=""),"",A266&amp;"#"&amp;(COUNTIFS($A$5:$A$3004,A266,$F$5:$F$3004,"?*",$O$5:$O$3004,"&lt;"&amp;O266)+COUNTIFS($A$5:A266,A266,$F$5:F266,"?*",$O$5:O266,O266)))</f>
        <v/>
      </c>
      <c r="O266" s="54">
        <f>IF(A266="","",IF(C266="",0,C266))</f>
        <v/>
      </c>
    </row>
    <row r="267">
      <c r="A267" s="58" t="n"/>
      <c r="B267" s="49">
        <f>IF(A267="","",CHOOSE(WEEKDAY(A267,2),"Пн","Вт","Ср","Чт","Пт","Сб","Вс"))</f>
        <v/>
      </c>
      <c r="C267" s="59" t="n"/>
      <c r="D267" s="59" t="n"/>
      <c r="E267" s="60">
        <f>IF(OR(C267="",D267=""),"",MOD(D267-C267,1)*24)</f>
        <v/>
      </c>
      <c r="F267" s="50" t="n"/>
      <c r="G267" s="51" t="n"/>
      <c r="H267" s="51" t="n"/>
      <c r="I267" s="51" t="n"/>
      <c r="J267" s="51" t="n"/>
      <c r="K267" s="51" t="n"/>
      <c r="L267" s="54">
        <f>IF(OR(A267="",C267="",D267=""),"",IF(COUNTIFS($A$5:$A$3004,A267,$C$5:$C$3004,"&lt;"&amp;D267,$D$5:$D$3004,"&gt;"&amp;C267)&gt;1,"⚠️ пересечение",""))</f>
        <v/>
      </c>
      <c r="M267" s="54">
        <f>IF(F267="","",IF(J267="✅ Сделано","✔ ",IF(J267="❌ Пропущено","✖ ","⏰ "))&amp;IF(C267="","",RIGHT("0"&amp;HOUR(C267),2)&amp;":"&amp;RIGHT("0"&amp;MINUTE(C267),2)&amp;IF(D267="","","–"&amp;RIGHT("0"&amp;HOUR(D267),2)&amp;":"&amp;RIGHT("0"&amp;MINUTE(D267),2))&amp;" ")&amp;F267)</f>
        <v/>
      </c>
      <c r="N267" s="54">
        <f>IF(OR(A267="",F267=""),"",A267&amp;"#"&amp;(COUNTIFS($A$5:$A$3004,A267,$F$5:$F$3004,"?*",$O$5:$O$3004,"&lt;"&amp;O267)+COUNTIFS($A$5:A267,A267,$F$5:F267,"?*",$O$5:O267,O267)))</f>
        <v/>
      </c>
      <c r="O267" s="54">
        <f>IF(A267="","",IF(C267="",0,C267))</f>
        <v/>
      </c>
    </row>
    <row r="268">
      <c r="A268" s="58" t="n"/>
      <c r="B268" s="49">
        <f>IF(A268="","",CHOOSE(WEEKDAY(A268,2),"Пн","Вт","Ср","Чт","Пт","Сб","Вс"))</f>
        <v/>
      </c>
      <c r="C268" s="59" t="n"/>
      <c r="D268" s="59" t="n"/>
      <c r="E268" s="60">
        <f>IF(OR(C268="",D268=""),"",MOD(D268-C268,1)*24)</f>
        <v/>
      </c>
      <c r="F268" s="50" t="n"/>
      <c r="G268" s="51" t="n"/>
      <c r="H268" s="51" t="n"/>
      <c r="I268" s="51" t="n"/>
      <c r="J268" s="51" t="n"/>
      <c r="K268" s="51" t="n"/>
      <c r="L268" s="54">
        <f>IF(OR(A268="",C268="",D268=""),"",IF(COUNTIFS($A$5:$A$3004,A268,$C$5:$C$3004,"&lt;"&amp;D268,$D$5:$D$3004,"&gt;"&amp;C268)&gt;1,"⚠️ пересечение",""))</f>
        <v/>
      </c>
      <c r="M268" s="54">
        <f>IF(F268="","",IF(J268="✅ Сделано","✔ ",IF(J268="❌ Пропущено","✖ ","⏰ "))&amp;IF(C268="","",RIGHT("0"&amp;HOUR(C268),2)&amp;":"&amp;RIGHT("0"&amp;MINUTE(C268),2)&amp;IF(D268="","","–"&amp;RIGHT("0"&amp;HOUR(D268),2)&amp;":"&amp;RIGHT("0"&amp;MINUTE(D268),2))&amp;" ")&amp;F268)</f>
        <v/>
      </c>
      <c r="N268" s="54">
        <f>IF(OR(A268="",F268=""),"",A268&amp;"#"&amp;(COUNTIFS($A$5:$A$3004,A268,$F$5:$F$3004,"?*",$O$5:$O$3004,"&lt;"&amp;O268)+COUNTIFS($A$5:A268,A268,$F$5:F268,"?*",$O$5:O268,O268)))</f>
        <v/>
      </c>
      <c r="O268" s="54">
        <f>IF(A268="","",IF(C268="",0,C268))</f>
        <v/>
      </c>
    </row>
    <row r="269">
      <c r="A269" s="58" t="n"/>
      <c r="B269" s="49">
        <f>IF(A269="","",CHOOSE(WEEKDAY(A269,2),"Пн","Вт","Ср","Чт","Пт","Сб","Вс"))</f>
        <v/>
      </c>
      <c r="C269" s="59" t="n"/>
      <c r="D269" s="59" t="n"/>
      <c r="E269" s="60">
        <f>IF(OR(C269="",D269=""),"",MOD(D269-C269,1)*24)</f>
        <v/>
      </c>
      <c r="F269" s="50" t="n"/>
      <c r="G269" s="51" t="n"/>
      <c r="H269" s="51" t="n"/>
      <c r="I269" s="51" t="n"/>
      <c r="J269" s="51" t="n"/>
      <c r="K269" s="51" t="n"/>
      <c r="L269" s="54">
        <f>IF(OR(A269="",C269="",D269=""),"",IF(COUNTIFS($A$5:$A$3004,A269,$C$5:$C$3004,"&lt;"&amp;D269,$D$5:$D$3004,"&gt;"&amp;C269)&gt;1,"⚠️ пересечение",""))</f>
        <v/>
      </c>
      <c r="M269" s="54">
        <f>IF(F269="","",IF(J269="✅ Сделано","✔ ",IF(J269="❌ Пропущено","✖ ","⏰ "))&amp;IF(C269="","",RIGHT("0"&amp;HOUR(C269),2)&amp;":"&amp;RIGHT("0"&amp;MINUTE(C269),2)&amp;IF(D269="","","–"&amp;RIGHT("0"&amp;HOUR(D269),2)&amp;":"&amp;RIGHT("0"&amp;MINUTE(D269),2))&amp;" ")&amp;F269)</f>
        <v/>
      </c>
      <c r="N269" s="54">
        <f>IF(OR(A269="",F269=""),"",A269&amp;"#"&amp;(COUNTIFS($A$5:$A$3004,A269,$F$5:$F$3004,"?*",$O$5:$O$3004,"&lt;"&amp;O269)+COUNTIFS($A$5:A269,A269,$F$5:F269,"?*",$O$5:O269,O269)))</f>
        <v/>
      </c>
      <c r="O269" s="54">
        <f>IF(A269="","",IF(C269="",0,C269))</f>
        <v/>
      </c>
    </row>
    <row r="270">
      <c r="A270" s="58" t="n"/>
      <c r="B270" s="49">
        <f>IF(A270="","",CHOOSE(WEEKDAY(A270,2),"Пн","Вт","Ср","Чт","Пт","Сб","Вс"))</f>
        <v/>
      </c>
      <c r="C270" s="59" t="n"/>
      <c r="D270" s="59" t="n"/>
      <c r="E270" s="60">
        <f>IF(OR(C270="",D270=""),"",MOD(D270-C270,1)*24)</f>
        <v/>
      </c>
      <c r="F270" s="50" t="n"/>
      <c r="G270" s="51" t="n"/>
      <c r="H270" s="51" t="n"/>
      <c r="I270" s="51" t="n"/>
      <c r="J270" s="51" t="n"/>
      <c r="K270" s="51" t="n"/>
      <c r="L270" s="54">
        <f>IF(OR(A270="",C270="",D270=""),"",IF(COUNTIFS($A$5:$A$3004,A270,$C$5:$C$3004,"&lt;"&amp;D270,$D$5:$D$3004,"&gt;"&amp;C270)&gt;1,"⚠️ пересечение",""))</f>
        <v/>
      </c>
      <c r="M270" s="54">
        <f>IF(F270="","",IF(J270="✅ Сделано","✔ ",IF(J270="❌ Пропущено","✖ ","⏰ "))&amp;IF(C270="","",RIGHT("0"&amp;HOUR(C270),2)&amp;":"&amp;RIGHT("0"&amp;MINUTE(C270),2)&amp;IF(D270="","","–"&amp;RIGHT("0"&amp;HOUR(D270),2)&amp;":"&amp;RIGHT("0"&amp;MINUTE(D270),2))&amp;" ")&amp;F270)</f>
        <v/>
      </c>
      <c r="N270" s="54">
        <f>IF(OR(A270="",F270=""),"",A270&amp;"#"&amp;(COUNTIFS($A$5:$A$3004,A270,$F$5:$F$3004,"?*",$O$5:$O$3004,"&lt;"&amp;O270)+COUNTIFS($A$5:A270,A270,$F$5:F270,"?*",$O$5:O270,O270)))</f>
        <v/>
      </c>
      <c r="O270" s="54">
        <f>IF(A270="","",IF(C270="",0,C270))</f>
        <v/>
      </c>
    </row>
    <row r="271">
      <c r="A271" s="58" t="n"/>
      <c r="B271" s="49">
        <f>IF(A271="","",CHOOSE(WEEKDAY(A271,2),"Пн","Вт","Ср","Чт","Пт","Сб","Вс"))</f>
        <v/>
      </c>
      <c r="C271" s="59" t="n"/>
      <c r="D271" s="59" t="n"/>
      <c r="E271" s="60">
        <f>IF(OR(C271="",D271=""),"",MOD(D271-C271,1)*24)</f>
        <v/>
      </c>
      <c r="F271" s="50" t="n"/>
      <c r="G271" s="51" t="n"/>
      <c r="H271" s="51" t="n"/>
      <c r="I271" s="51" t="n"/>
      <c r="J271" s="51" t="n"/>
      <c r="K271" s="51" t="n"/>
      <c r="L271" s="54">
        <f>IF(OR(A271="",C271="",D271=""),"",IF(COUNTIFS($A$5:$A$3004,A271,$C$5:$C$3004,"&lt;"&amp;D271,$D$5:$D$3004,"&gt;"&amp;C271)&gt;1,"⚠️ пересечение",""))</f>
        <v/>
      </c>
      <c r="M271" s="54">
        <f>IF(F271="","",IF(J271="✅ Сделано","✔ ",IF(J271="❌ Пропущено","✖ ","⏰ "))&amp;IF(C271="","",RIGHT("0"&amp;HOUR(C271),2)&amp;":"&amp;RIGHT("0"&amp;MINUTE(C271),2)&amp;IF(D271="","","–"&amp;RIGHT("0"&amp;HOUR(D271),2)&amp;":"&amp;RIGHT("0"&amp;MINUTE(D271),2))&amp;" ")&amp;F271)</f>
        <v/>
      </c>
      <c r="N271" s="54">
        <f>IF(OR(A271="",F271=""),"",A271&amp;"#"&amp;(COUNTIFS($A$5:$A$3004,A271,$F$5:$F$3004,"?*",$O$5:$O$3004,"&lt;"&amp;O271)+COUNTIFS($A$5:A271,A271,$F$5:F271,"?*",$O$5:O271,O271)))</f>
        <v/>
      </c>
      <c r="O271" s="54">
        <f>IF(A271="","",IF(C271="",0,C271))</f>
        <v/>
      </c>
    </row>
    <row r="272">
      <c r="A272" s="58" t="n"/>
      <c r="B272" s="49">
        <f>IF(A272="","",CHOOSE(WEEKDAY(A272,2),"Пн","Вт","Ср","Чт","Пт","Сб","Вс"))</f>
        <v/>
      </c>
      <c r="C272" s="59" t="n"/>
      <c r="D272" s="59" t="n"/>
      <c r="E272" s="60">
        <f>IF(OR(C272="",D272=""),"",MOD(D272-C272,1)*24)</f>
        <v/>
      </c>
      <c r="F272" s="50" t="n"/>
      <c r="G272" s="51" t="n"/>
      <c r="H272" s="51" t="n"/>
      <c r="I272" s="51" t="n"/>
      <c r="J272" s="51" t="n"/>
      <c r="K272" s="51" t="n"/>
      <c r="L272" s="54">
        <f>IF(OR(A272="",C272="",D272=""),"",IF(COUNTIFS($A$5:$A$3004,A272,$C$5:$C$3004,"&lt;"&amp;D272,$D$5:$D$3004,"&gt;"&amp;C272)&gt;1,"⚠️ пересечение",""))</f>
        <v/>
      </c>
      <c r="M272" s="54">
        <f>IF(F272="","",IF(J272="✅ Сделано","✔ ",IF(J272="❌ Пропущено","✖ ","⏰ "))&amp;IF(C272="","",RIGHT("0"&amp;HOUR(C272),2)&amp;":"&amp;RIGHT("0"&amp;MINUTE(C272),2)&amp;IF(D272="","","–"&amp;RIGHT("0"&amp;HOUR(D272),2)&amp;":"&amp;RIGHT("0"&amp;MINUTE(D272),2))&amp;" ")&amp;F272)</f>
        <v/>
      </c>
      <c r="N272" s="54">
        <f>IF(OR(A272="",F272=""),"",A272&amp;"#"&amp;(COUNTIFS($A$5:$A$3004,A272,$F$5:$F$3004,"?*",$O$5:$O$3004,"&lt;"&amp;O272)+COUNTIFS($A$5:A272,A272,$F$5:F272,"?*",$O$5:O272,O272)))</f>
        <v/>
      </c>
      <c r="O272" s="54">
        <f>IF(A272="","",IF(C272="",0,C272))</f>
        <v/>
      </c>
    </row>
    <row r="273">
      <c r="A273" s="58" t="n"/>
      <c r="B273" s="49">
        <f>IF(A273="","",CHOOSE(WEEKDAY(A273,2),"Пн","Вт","Ср","Чт","Пт","Сб","Вс"))</f>
        <v/>
      </c>
      <c r="C273" s="59" t="n"/>
      <c r="D273" s="59" t="n"/>
      <c r="E273" s="60">
        <f>IF(OR(C273="",D273=""),"",MOD(D273-C273,1)*24)</f>
        <v/>
      </c>
      <c r="F273" s="50" t="n"/>
      <c r="G273" s="51" t="n"/>
      <c r="H273" s="51" t="n"/>
      <c r="I273" s="51" t="n"/>
      <c r="J273" s="51" t="n"/>
      <c r="K273" s="51" t="n"/>
      <c r="L273" s="54">
        <f>IF(OR(A273="",C273="",D273=""),"",IF(COUNTIFS($A$5:$A$3004,A273,$C$5:$C$3004,"&lt;"&amp;D273,$D$5:$D$3004,"&gt;"&amp;C273)&gt;1,"⚠️ пересечение",""))</f>
        <v/>
      </c>
      <c r="M273" s="54">
        <f>IF(F273="","",IF(J273="✅ Сделано","✔ ",IF(J273="❌ Пропущено","✖ ","⏰ "))&amp;IF(C273="","",RIGHT("0"&amp;HOUR(C273),2)&amp;":"&amp;RIGHT("0"&amp;MINUTE(C273),2)&amp;IF(D273="","","–"&amp;RIGHT("0"&amp;HOUR(D273),2)&amp;":"&amp;RIGHT("0"&amp;MINUTE(D273),2))&amp;" ")&amp;F273)</f>
        <v/>
      </c>
      <c r="N273" s="54">
        <f>IF(OR(A273="",F273=""),"",A273&amp;"#"&amp;(COUNTIFS($A$5:$A$3004,A273,$F$5:$F$3004,"?*",$O$5:$O$3004,"&lt;"&amp;O273)+COUNTIFS($A$5:A273,A273,$F$5:F273,"?*",$O$5:O273,O273)))</f>
        <v/>
      </c>
      <c r="O273" s="54">
        <f>IF(A273="","",IF(C273="",0,C273))</f>
        <v/>
      </c>
    </row>
    <row r="274">
      <c r="A274" s="58" t="n"/>
      <c r="B274" s="49">
        <f>IF(A274="","",CHOOSE(WEEKDAY(A274,2),"Пн","Вт","Ср","Чт","Пт","Сб","Вс"))</f>
        <v/>
      </c>
      <c r="C274" s="59" t="n"/>
      <c r="D274" s="59" t="n"/>
      <c r="E274" s="60">
        <f>IF(OR(C274="",D274=""),"",MOD(D274-C274,1)*24)</f>
        <v/>
      </c>
      <c r="F274" s="50" t="n"/>
      <c r="G274" s="51" t="n"/>
      <c r="H274" s="51" t="n"/>
      <c r="I274" s="51" t="n"/>
      <c r="J274" s="51" t="n"/>
      <c r="K274" s="51" t="n"/>
      <c r="L274" s="54">
        <f>IF(OR(A274="",C274="",D274=""),"",IF(COUNTIFS($A$5:$A$3004,A274,$C$5:$C$3004,"&lt;"&amp;D274,$D$5:$D$3004,"&gt;"&amp;C274)&gt;1,"⚠️ пересечение",""))</f>
        <v/>
      </c>
      <c r="M274" s="54">
        <f>IF(F274="","",IF(J274="✅ Сделано","✔ ",IF(J274="❌ Пропущено","✖ ","⏰ "))&amp;IF(C274="","",RIGHT("0"&amp;HOUR(C274),2)&amp;":"&amp;RIGHT("0"&amp;MINUTE(C274),2)&amp;IF(D274="","","–"&amp;RIGHT("0"&amp;HOUR(D274),2)&amp;":"&amp;RIGHT("0"&amp;MINUTE(D274),2))&amp;" ")&amp;F274)</f>
        <v/>
      </c>
      <c r="N274" s="54">
        <f>IF(OR(A274="",F274=""),"",A274&amp;"#"&amp;(COUNTIFS($A$5:$A$3004,A274,$F$5:$F$3004,"?*",$O$5:$O$3004,"&lt;"&amp;O274)+COUNTIFS($A$5:A274,A274,$F$5:F274,"?*",$O$5:O274,O274)))</f>
        <v/>
      </c>
      <c r="O274" s="54">
        <f>IF(A274="","",IF(C274="",0,C274))</f>
        <v/>
      </c>
    </row>
    <row r="275">
      <c r="A275" s="58" t="n"/>
      <c r="B275" s="49">
        <f>IF(A275="","",CHOOSE(WEEKDAY(A275,2),"Пн","Вт","Ср","Чт","Пт","Сб","Вс"))</f>
        <v/>
      </c>
      <c r="C275" s="59" t="n"/>
      <c r="D275" s="59" t="n"/>
      <c r="E275" s="60">
        <f>IF(OR(C275="",D275=""),"",MOD(D275-C275,1)*24)</f>
        <v/>
      </c>
      <c r="F275" s="50" t="n"/>
      <c r="G275" s="51" t="n"/>
      <c r="H275" s="51" t="n"/>
      <c r="I275" s="51" t="n"/>
      <c r="J275" s="51" t="n"/>
      <c r="K275" s="51" t="n"/>
      <c r="L275" s="54">
        <f>IF(OR(A275="",C275="",D275=""),"",IF(COUNTIFS($A$5:$A$3004,A275,$C$5:$C$3004,"&lt;"&amp;D275,$D$5:$D$3004,"&gt;"&amp;C275)&gt;1,"⚠️ пересечение",""))</f>
        <v/>
      </c>
      <c r="M275" s="54">
        <f>IF(F275="","",IF(J275="✅ Сделано","✔ ",IF(J275="❌ Пропущено","✖ ","⏰ "))&amp;IF(C275="","",RIGHT("0"&amp;HOUR(C275),2)&amp;":"&amp;RIGHT("0"&amp;MINUTE(C275),2)&amp;IF(D275="","","–"&amp;RIGHT("0"&amp;HOUR(D275),2)&amp;":"&amp;RIGHT("0"&amp;MINUTE(D275),2))&amp;" ")&amp;F275)</f>
        <v/>
      </c>
      <c r="N275" s="54">
        <f>IF(OR(A275="",F275=""),"",A275&amp;"#"&amp;(COUNTIFS($A$5:$A$3004,A275,$F$5:$F$3004,"?*",$O$5:$O$3004,"&lt;"&amp;O275)+COUNTIFS($A$5:A275,A275,$F$5:F275,"?*",$O$5:O275,O275)))</f>
        <v/>
      </c>
      <c r="O275" s="54">
        <f>IF(A275="","",IF(C275="",0,C275))</f>
        <v/>
      </c>
    </row>
    <row r="276">
      <c r="A276" s="58" t="n"/>
      <c r="B276" s="49">
        <f>IF(A276="","",CHOOSE(WEEKDAY(A276,2),"Пн","Вт","Ср","Чт","Пт","Сб","Вс"))</f>
        <v/>
      </c>
      <c r="C276" s="59" t="n"/>
      <c r="D276" s="59" t="n"/>
      <c r="E276" s="60">
        <f>IF(OR(C276="",D276=""),"",MOD(D276-C276,1)*24)</f>
        <v/>
      </c>
      <c r="F276" s="50" t="n"/>
      <c r="G276" s="51" t="n"/>
      <c r="H276" s="51" t="n"/>
      <c r="I276" s="51" t="n"/>
      <c r="J276" s="51" t="n"/>
      <c r="K276" s="51" t="n"/>
      <c r="L276" s="54">
        <f>IF(OR(A276="",C276="",D276=""),"",IF(COUNTIFS($A$5:$A$3004,A276,$C$5:$C$3004,"&lt;"&amp;D276,$D$5:$D$3004,"&gt;"&amp;C276)&gt;1,"⚠️ пересечение",""))</f>
        <v/>
      </c>
      <c r="M276" s="54">
        <f>IF(F276="","",IF(J276="✅ Сделано","✔ ",IF(J276="❌ Пропущено","✖ ","⏰ "))&amp;IF(C276="","",RIGHT("0"&amp;HOUR(C276),2)&amp;":"&amp;RIGHT("0"&amp;MINUTE(C276),2)&amp;IF(D276="","","–"&amp;RIGHT("0"&amp;HOUR(D276),2)&amp;":"&amp;RIGHT("0"&amp;MINUTE(D276),2))&amp;" ")&amp;F276)</f>
        <v/>
      </c>
      <c r="N276" s="54">
        <f>IF(OR(A276="",F276=""),"",A276&amp;"#"&amp;(COUNTIFS($A$5:$A$3004,A276,$F$5:$F$3004,"?*",$O$5:$O$3004,"&lt;"&amp;O276)+COUNTIFS($A$5:A276,A276,$F$5:F276,"?*",$O$5:O276,O276)))</f>
        <v/>
      </c>
      <c r="O276" s="54">
        <f>IF(A276="","",IF(C276="",0,C276))</f>
        <v/>
      </c>
    </row>
    <row r="277">
      <c r="A277" s="58" t="n"/>
      <c r="B277" s="49">
        <f>IF(A277="","",CHOOSE(WEEKDAY(A277,2),"Пн","Вт","Ср","Чт","Пт","Сб","Вс"))</f>
        <v/>
      </c>
      <c r="C277" s="59" t="n"/>
      <c r="D277" s="59" t="n"/>
      <c r="E277" s="60">
        <f>IF(OR(C277="",D277=""),"",MOD(D277-C277,1)*24)</f>
        <v/>
      </c>
      <c r="F277" s="50" t="n"/>
      <c r="G277" s="51" t="n"/>
      <c r="H277" s="51" t="n"/>
      <c r="I277" s="51" t="n"/>
      <c r="J277" s="51" t="n"/>
      <c r="K277" s="51" t="n"/>
      <c r="L277" s="54">
        <f>IF(OR(A277="",C277="",D277=""),"",IF(COUNTIFS($A$5:$A$3004,A277,$C$5:$C$3004,"&lt;"&amp;D277,$D$5:$D$3004,"&gt;"&amp;C277)&gt;1,"⚠️ пересечение",""))</f>
        <v/>
      </c>
      <c r="M277" s="54">
        <f>IF(F277="","",IF(J277="✅ Сделано","✔ ",IF(J277="❌ Пропущено","✖ ","⏰ "))&amp;IF(C277="","",RIGHT("0"&amp;HOUR(C277),2)&amp;":"&amp;RIGHT("0"&amp;MINUTE(C277),2)&amp;IF(D277="","","–"&amp;RIGHT("0"&amp;HOUR(D277),2)&amp;":"&amp;RIGHT("0"&amp;MINUTE(D277),2))&amp;" ")&amp;F277)</f>
        <v/>
      </c>
      <c r="N277" s="54">
        <f>IF(OR(A277="",F277=""),"",A277&amp;"#"&amp;(COUNTIFS($A$5:$A$3004,A277,$F$5:$F$3004,"?*",$O$5:$O$3004,"&lt;"&amp;O277)+COUNTIFS($A$5:A277,A277,$F$5:F277,"?*",$O$5:O277,O277)))</f>
        <v/>
      </c>
      <c r="O277" s="54">
        <f>IF(A277="","",IF(C277="",0,C277))</f>
        <v/>
      </c>
    </row>
    <row r="278">
      <c r="A278" s="58" t="n"/>
      <c r="B278" s="49">
        <f>IF(A278="","",CHOOSE(WEEKDAY(A278,2),"Пн","Вт","Ср","Чт","Пт","Сб","Вс"))</f>
        <v/>
      </c>
      <c r="C278" s="59" t="n"/>
      <c r="D278" s="59" t="n"/>
      <c r="E278" s="60">
        <f>IF(OR(C278="",D278=""),"",MOD(D278-C278,1)*24)</f>
        <v/>
      </c>
      <c r="F278" s="50" t="n"/>
      <c r="G278" s="51" t="n"/>
      <c r="H278" s="51" t="n"/>
      <c r="I278" s="51" t="n"/>
      <c r="J278" s="51" t="n"/>
      <c r="K278" s="51" t="n"/>
      <c r="L278" s="54">
        <f>IF(OR(A278="",C278="",D278=""),"",IF(COUNTIFS($A$5:$A$3004,A278,$C$5:$C$3004,"&lt;"&amp;D278,$D$5:$D$3004,"&gt;"&amp;C278)&gt;1,"⚠️ пересечение",""))</f>
        <v/>
      </c>
      <c r="M278" s="54">
        <f>IF(F278="","",IF(J278="✅ Сделано","✔ ",IF(J278="❌ Пропущено","✖ ","⏰ "))&amp;IF(C278="","",RIGHT("0"&amp;HOUR(C278),2)&amp;":"&amp;RIGHT("0"&amp;MINUTE(C278),2)&amp;IF(D278="","","–"&amp;RIGHT("0"&amp;HOUR(D278),2)&amp;":"&amp;RIGHT("0"&amp;MINUTE(D278),2))&amp;" ")&amp;F278)</f>
        <v/>
      </c>
      <c r="N278" s="54">
        <f>IF(OR(A278="",F278=""),"",A278&amp;"#"&amp;(COUNTIFS($A$5:$A$3004,A278,$F$5:$F$3004,"?*",$O$5:$O$3004,"&lt;"&amp;O278)+COUNTIFS($A$5:A278,A278,$F$5:F278,"?*",$O$5:O278,O278)))</f>
        <v/>
      </c>
      <c r="O278" s="54">
        <f>IF(A278="","",IF(C278="",0,C278))</f>
        <v/>
      </c>
    </row>
    <row r="279">
      <c r="A279" s="58" t="n"/>
      <c r="B279" s="49">
        <f>IF(A279="","",CHOOSE(WEEKDAY(A279,2),"Пн","Вт","Ср","Чт","Пт","Сб","Вс"))</f>
        <v/>
      </c>
      <c r="C279" s="59" t="n"/>
      <c r="D279" s="59" t="n"/>
      <c r="E279" s="60">
        <f>IF(OR(C279="",D279=""),"",MOD(D279-C279,1)*24)</f>
        <v/>
      </c>
      <c r="F279" s="50" t="n"/>
      <c r="G279" s="51" t="n"/>
      <c r="H279" s="51" t="n"/>
      <c r="I279" s="51" t="n"/>
      <c r="J279" s="51" t="n"/>
      <c r="K279" s="51" t="n"/>
      <c r="L279" s="54">
        <f>IF(OR(A279="",C279="",D279=""),"",IF(COUNTIFS($A$5:$A$3004,A279,$C$5:$C$3004,"&lt;"&amp;D279,$D$5:$D$3004,"&gt;"&amp;C279)&gt;1,"⚠️ пересечение",""))</f>
        <v/>
      </c>
      <c r="M279" s="54">
        <f>IF(F279="","",IF(J279="✅ Сделано","✔ ",IF(J279="❌ Пропущено","✖ ","⏰ "))&amp;IF(C279="","",RIGHT("0"&amp;HOUR(C279),2)&amp;":"&amp;RIGHT("0"&amp;MINUTE(C279),2)&amp;IF(D279="","","–"&amp;RIGHT("0"&amp;HOUR(D279),2)&amp;":"&amp;RIGHT("0"&amp;MINUTE(D279),2))&amp;" ")&amp;F279)</f>
        <v/>
      </c>
      <c r="N279" s="54">
        <f>IF(OR(A279="",F279=""),"",A279&amp;"#"&amp;(COUNTIFS($A$5:$A$3004,A279,$F$5:$F$3004,"?*",$O$5:$O$3004,"&lt;"&amp;O279)+COUNTIFS($A$5:A279,A279,$F$5:F279,"?*",$O$5:O279,O279)))</f>
        <v/>
      </c>
      <c r="O279" s="54">
        <f>IF(A279="","",IF(C279="",0,C279))</f>
        <v/>
      </c>
    </row>
    <row r="280">
      <c r="A280" s="58" t="n"/>
      <c r="B280" s="49">
        <f>IF(A280="","",CHOOSE(WEEKDAY(A280,2),"Пн","Вт","Ср","Чт","Пт","Сб","Вс"))</f>
        <v/>
      </c>
      <c r="C280" s="59" t="n"/>
      <c r="D280" s="59" t="n"/>
      <c r="E280" s="60">
        <f>IF(OR(C280="",D280=""),"",MOD(D280-C280,1)*24)</f>
        <v/>
      </c>
      <c r="F280" s="50" t="n"/>
      <c r="G280" s="51" t="n"/>
      <c r="H280" s="51" t="n"/>
      <c r="I280" s="51" t="n"/>
      <c r="J280" s="51" t="n"/>
      <c r="K280" s="51" t="n"/>
      <c r="L280" s="54">
        <f>IF(OR(A280="",C280="",D280=""),"",IF(COUNTIFS($A$5:$A$3004,A280,$C$5:$C$3004,"&lt;"&amp;D280,$D$5:$D$3004,"&gt;"&amp;C280)&gt;1,"⚠️ пересечение",""))</f>
        <v/>
      </c>
      <c r="M280" s="54">
        <f>IF(F280="","",IF(J280="✅ Сделано","✔ ",IF(J280="❌ Пропущено","✖ ","⏰ "))&amp;IF(C280="","",RIGHT("0"&amp;HOUR(C280),2)&amp;":"&amp;RIGHT("0"&amp;MINUTE(C280),2)&amp;IF(D280="","","–"&amp;RIGHT("0"&amp;HOUR(D280),2)&amp;":"&amp;RIGHT("0"&amp;MINUTE(D280),2))&amp;" ")&amp;F280)</f>
        <v/>
      </c>
      <c r="N280" s="54">
        <f>IF(OR(A280="",F280=""),"",A280&amp;"#"&amp;(COUNTIFS($A$5:$A$3004,A280,$F$5:$F$3004,"?*",$O$5:$O$3004,"&lt;"&amp;O280)+COUNTIFS($A$5:A280,A280,$F$5:F280,"?*",$O$5:O280,O280)))</f>
        <v/>
      </c>
      <c r="O280" s="54">
        <f>IF(A280="","",IF(C280="",0,C280))</f>
        <v/>
      </c>
    </row>
    <row r="281">
      <c r="A281" s="58" t="n"/>
      <c r="B281" s="49">
        <f>IF(A281="","",CHOOSE(WEEKDAY(A281,2),"Пн","Вт","Ср","Чт","Пт","Сб","Вс"))</f>
        <v/>
      </c>
      <c r="C281" s="59" t="n"/>
      <c r="D281" s="59" t="n"/>
      <c r="E281" s="60">
        <f>IF(OR(C281="",D281=""),"",MOD(D281-C281,1)*24)</f>
        <v/>
      </c>
      <c r="F281" s="50" t="n"/>
      <c r="G281" s="51" t="n"/>
      <c r="H281" s="51" t="n"/>
      <c r="I281" s="51" t="n"/>
      <c r="J281" s="51" t="n"/>
      <c r="K281" s="51" t="n"/>
      <c r="L281" s="54">
        <f>IF(OR(A281="",C281="",D281=""),"",IF(COUNTIFS($A$5:$A$3004,A281,$C$5:$C$3004,"&lt;"&amp;D281,$D$5:$D$3004,"&gt;"&amp;C281)&gt;1,"⚠️ пересечение",""))</f>
        <v/>
      </c>
      <c r="M281" s="54">
        <f>IF(F281="","",IF(J281="✅ Сделано","✔ ",IF(J281="❌ Пропущено","✖ ","⏰ "))&amp;IF(C281="","",RIGHT("0"&amp;HOUR(C281),2)&amp;":"&amp;RIGHT("0"&amp;MINUTE(C281),2)&amp;IF(D281="","","–"&amp;RIGHT("0"&amp;HOUR(D281),2)&amp;":"&amp;RIGHT("0"&amp;MINUTE(D281),2))&amp;" ")&amp;F281)</f>
        <v/>
      </c>
      <c r="N281" s="54">
        <f>IF(OR(A281="",F281=""),"",A281&amp;"#"&amp;(COUNTIFS($A$5:$A$3004,A281,$F$5:$F$3004,"?*",$O$5:$O$3004,"&lt;"&amp;O281)+COUNTIFS($A$5:A281,A281,$F$5:F281,"?*",$O$5:O281,O281)))</f>
        <v/>
      </c>
      <c r="O281" s="54">
        <f>IF(A281="","",IF(C281="",0,C281))</f>
        <v/>
      </c>
    </row>
    <row r="282">
      <c r="A282" s="58" t="n"/>
      <c r="B282" s="49">
        <f>IF(A282="","",CHOOSE(WEEKDAY(A282,2),"Пн","Вт","Ср","Чт","Пт","Сб","Вс"))</f>
        <v/>
      </c>
      <c r="C282" s="59" t="n"/>
      <c r="D282" s="59" t="n"/>
      <c r="E282" s="60">
        <f>IF(OR(C282="",D282=""),"",MOD(D282-C282,1)*24)</f>
        <v/>
      </c>
      <c r="F282" s="50" t="n"/>
      <c r="G282" s="51" t="n"/>
      <c r="H282" s="51" t="n"/>
      <c r="I282" s="51" t="n"/>
      <c r="J282" s="51" t="n"/>
      <c r="K282" s="51" t="n"/>
      <c r="L282" s="54">
        <f>IF(OR(A282="",C282="",D282=""),"",IF(COUNTIFS($A$5:$A$3004,A282,$C$5:$C$3004,"&lt;"&amp;D282,$D$5:$D$3004,"&gt;"&amp;C282)&gt;1,"⚠️ пересечение",""))</f>
        <v/>
      </c>
      <c r="M282" s="54">
        <f>IF(F282="","",IF(J282="✅ Сделано","✔ ",IF(J282="❌ Пропущено","✖ ","⏰ "))&amp;IF(C282="","",RIGHT("0"&amp;HOUR(C282),2)&amp;":"&amp;RIGHT("0"&amp;MINUTE(C282),2)&amp;IF(D282="","","–"&amp;RIGHT("0"&amp;HOUR(D282),2)&amp;":"&amp;RIGHT("0"&amp;MINUTE(D282),2))&amp;" ")&amp;F282)</f>
        <v/>
      </c>
      <c r="N282" s="54">
        <f>IF(OR(A282="",F282=""),"",A282&amp;"#"&amp;(COUNTIFS($A$5:$A$3004,A282,$F$5:$F$3004,"?*",$O$5:$O$3004,"&lt;"&amp;O282)+COUNTIFS($A$5:A282,A282,$F$5:F282,"?*",$O$5:O282,O282)))</f>
        <v/>
      </c>
      <c r="O282" s="54">
        <f>IF(A282="","",IF(C282="",0,C282))</f>
        <v/>
      </c>
    </row>
    <row r="283">
      <c r="A283" s="58" t="n"/>
      <c r="B283" s="49">
        <f>IF(A283="","",CHOOSE(WEEKDAY(A283,2),"Пн","Вт","Ср","Чт","Пт","Сб","Вс"))</f>
        <v/>
      </c>
      <c r="C283" s="59" t="n"/>
      <c r="D283" s="59" t="n"/>
      <c r="E283" s="60">
        <f>IF(OR(C283="",D283=""),"",MOD(D283-C283,1)*24)</f>
        <v/>
      </c>
      <c r="F283" s="50" t="n"/>
      <c r="G283" s="51" t="n"/>
      <c r="H283" s="51" t="n"/>
      <c r="I283" s="51" t="n"/>
      <c r="J283" s="51" t="n"/>
      <c r="K283" s="51" t="n"/>
      <c r="L283" s="54">
        <f>IF(OR(A283="",C283="",D283=""),"",IF(COUNTIFS($A$5:$A$3004,A283,$C$5:$C$3004,"&lt;"&amp;D283,$D$5:$D$3004,"&gt;"&amp;C283)&gt;1,"⚠️ пересечение",""))</f>
        <v/>
      </c>
      <c r="M283" s="54">
        <f>IF(F283="","",IF(J283="✅ Сделано","✔ ",IF(J283="❌ Пропущено","✖ ","⏰ "))&amp;IF(C283="","",RIGHT("0"&amp;HOUR(C283),2)&amp;":"&amp;RIGHT("0"&amp;MINUTE(C283),2)&amp;IF(D283="","","–"&amp;RIGHT("0"&amp;HOUR(D283),2)&amp;":"&amp;RIGHT("0"&amp;MINUTE(D283),2))&amp;" ")&amp;F283)</f>
        <v/>
      </c>
      <c r="N283" s="54">
        <f>IF(OR(A283="",F283=""),"",A283&amp;"#"&amp;(COUNTIFS($A$5:$A$3004,A283,$F$5:$F$3004,"?*",$O$5:$O$3004,"&lt;"&amp;O283)+COUNTIFS($A$5:A283,A283,$F$5:F283,"?*",$O$5:O283,O283)))</f>
        <v/>
      </c>
      <c r="O283" s="54">
        <f>IF(A283="","",IF(C283="",0,C283))</f>
        <v/>
      </c>
    </row>
    <row r="284">
      <c r="A284" s="58" t="n"/>
      <c r="B284" s="49">
        <f>IF(A284="","",CHOOSE(WEEKDAY(A284,2),"Пн","Вт","Ср","Чт","Пт","Сб","Вс"))</f>
        <v/>
      </c>
      <c r="C284" s="59" t="n"/>
      <c r="D284" s="59" t="n"/>
      <c r="E284" s="60">
        <f>IF(OR(C284="",D284=""),"",MOD(D284-C284,1)*24)</f>
        <v/>
      </c>
      <c r="F284" s="50" t="n"/>
      <c r="G284" s="51" t="n"/>
      <c r="H284" s="51" t="n"/>
      <c r="I284" s="51" t="n"/>
      <c r="J284" s="51" t="n"/>
      <c r="K284" s="51" t="n"/>
      <c r="L284" s="54">
        <f>IF(OR(A284="",C284="",D284=""),"",IF(COUNTIFS($A$5:$A$3004,A284,$C$5:$C$3004,"&lt;"&amp;D284,$D$5:$D$3004,"&gt;"&amp;C284)&gt;1,"⚠️ пересечение",""))</f>
        <v/>
      </c>
      <c r="M284" s="54">
        <f>IF(F284="","",IF(J284="✅ Сделано","✔ ",IF(J284="❌ Пропущено","✖ ","⏰ "))&amp;IF(C284="","",RIGHT("0"&amp;HOUR(C284),2)&amp;":"&amp;RIGHT("0"&amp;MINUTE(C284),2)&amp;IF(D284="","","–"&amp;RIGHT("0"&amp;HOUR(D284),2)&amp;":"&amp;RIGHT("0"&amp;MINUTE(D284),2))&amp;" ")&amp;F284)</f>
        <v/>
      </c>
      <c r="N284" s="54">
        <f>IF(OR(A284="",F284=""),"",A284&amp;"#"&amp;(COUNTIFS($A$5:$A$3004,A284,$F$5:$F$3004,"?*",$O$5:$O$3004,"&lt;"&amp;O284)+COUNTIFS($A$5:A284,A284,$F$5:F284,"?*",$O$5:O284,O284)))</f>
        <v/>
      </c>
      <c r="O284" s="54">
        <f>IF(A284="","",IF(C284="",0,C284))</f>
        <v/>
      </c>
    </row>
    <row r="285">
      <c r="A285" s="58" t="n"/>
      <c r="B285" s="49">
        <f>IF(A285="","",CHOOSE(WEEKDAY(A285,2),"Пн","Вт","Ср","Чт","Пт","Сб","Вс"))</f>
        <v/>
      </c>
      <c r="C285" s="59" t="n"/>
      <c r="D285" s="59" t="n"/>
      <c r="E285" s="60">
        <f>IF(OR(C285="",D285=""),"",MOD(D285-C285,1)*24)</f>
        <v/>
      </c>
      <c r="F285" s="50" t="n"/>
      <c r="G285" s="51" t="n"/>
      <c r="H285" s="51" t="n"/>
      <c r="I285" s="51" t="n"/>
      <c r="J285" s="51" t="n"/>
      <c r="K285" s="51" t="n"/>
      <c r="L285" s="54">
        <f>IF(OR(A285="",C285="",D285=""),"",IF(COUNTIFS($A$5:$A$3004,A285,$C$5:$C$3004,"&lt;"&amp;D285,$D$5:$D$3004,"&gt;"&amp;C285)&gt;1,"⚠️ пересечение",""))</f>
        <v/>
      </c>
      <c r="M285" s="54">
        <f>IF(F285="","",IF(J285="✅ Сделано","✔ ",IF(J285="❌ Пропущено","✖ ","⏰ "))&amp;IF(C285="","",RIGHT("0"&amp;HOUR(C285),2)&amp;":"&amp;RIGHT("0"&amp;MINUTE(C285),2)&amp;IF(D285="","","–"&amp;RIGHT("0"&amp;HOUR(D285),2)&amp;":"&amp;RIGHT("0"&amp;MINUTE(D285),2))&amp;" ")&amp;F285)</f>
        <v/>
      </c>
      <c r="N285" s="54">
        <f>IF(OR(A285="",F285=""),"",A285&amp;"#"&amp;(COUNTIFS($A$5:$A$3004,A285,$F$5:$F$3004,"?*",$O$5:$O$3004,"&lt;"&amp;O285)+COUNTIFS($A$5:A285,A285,$F$5:F285,"?*",$O$5:O285,O285)))</f>
        <v/>
      </c>
      <c r="O285" s="54">
        <f>IF(A285="","",IF(C285="",0,C285))</f>
        <v/>
      </c>
    </row>
    <row r="286">
      <c r="A286" s="58" t="n"/>
      <c r="B286" s="49">
        <f>IF(A286="","",CHOOSE(WEEKDAY(A286,2),"Пн","Вт","Ср","Чт","Пт","Сб","Вс"))</f>
        <v/>
      </c>
      <c r="C286" s="59" t="n"/>
      <c r="D286" s="59" t="n"/>
      <c r="E286" s="60">
        <f>IF(OR(C286="",D286=""),"",MOD(D286-C286,1)*24)</f>
        <v/>
      </c>
      <c r="F286" s="50" t="n"/>
      <c r="G286" s="51" t="n"/>
      <c r="H286" s="51" t="n"/>
      <c r="I286" s="51" t="n"/>
      <c r="J286" s="51" t="n"/>
      <c r="K286" s="51" t="n"/>
      <c r="L286" s="54">
        <f>IF(OR(A286="",C286="",D286=""),"",IF(COUNTIFS($A$5:$A$3004,A286,$C$5:$C$3004,"&lt;"&amp;D286,$D$5:$D$3004,"&gt;"&amp;C286)&gt;1,"⚠️ пересечение",""))</f>
        <v/>
      </c>
      <c r="M286" s="54">
        <f>IF(F286="","",IF(J286="✅ Сделано","✔ ",IF(J286="❌ Пропущено","✖ ","⏰ "))&amp;IF(C286="","",RIGHT("0"&amp;HOUR(C286),2)&amp;":"&amp;RIGHT("0"&amp;MINUTE(C286),2)&amp;IF(D286="","","–"&amp;RIGHT("0"&amp;HOUR(D286),2)&amp;":"&amp;RIGHT("0"&amp;MINUTE(D286),2))&amp;" ")&amp;F286)</f>
        <v/>
      </c>
      <c r="N286" s="54">
        <f>IF(OR(A286="",F286=""),"",A286&amp;"#"&amp;(COUNTIFS($A$5:$A$3004,A286,$F$5:$F$3004,"?*",$O$5:$O$3004,"&lt;"&amp;O286)+COUNTIFS($A$5:A286,A286,$F$5:F286,"?*",$O$5:O286,O286)))</f>
        <v/>
      </c>
      <c r="O286" s="54">
        <f>IF(A286="","",IF(C286="",0,C286))</f>
        <v/>
      </c>
    </row>
    <row r="287">
      <c r="A287" s="58" t="n"/>
      <c r="B287" s="49">
        <f>IF(A287="","",CHOOSE(WEEKDAY(A287,2),"Пн","Вт","Ср","Чт","Пт","Сб","Вс"))</f>
        <v/>
      </c>
      <c r="C287" s="59" t="n"/>
      <c r="D287" s="59" t="n"/>
      <c r="E287" s="60">
        <f>IF(OR(C287="",D287=""),"",MOD(D287-C287,1)*24)</f>
        <v/>
      </c>
      <c r="F287" s="50" t="n"/>
      <c r="G287" s="51" t="n"/>
      <c r="H287" s="51" t="n"/>
      <c r="I287" s="51" t="n"/>
      <c r="J287" s="51" t="n"/>
      <c r="K287" s="51" t="n"/>
      <c r="L287" s="54">
        <f>IF(OR(A287="",C287="",D287=""),"",IF(COUNTIFS($A$5:$A$3004,A287,$C$5:$C$3004,"&lt;"&amp;D287,$D$5:$D$3004,"&gt;"&amp;C287)&gt;1,"⚠️ пересечение",""))</f>
        <v/>
      </c>
      <c r="M287" s="54">
        <f>IF(F287="","",IF(J287="✅ Сделано","✔ ",IF(J287="❌ Пропущено","✖ ","⏰ "))&amp;IF(C287="","",RIGHT("0"&amp;HOUR(C287),2)&amp;":"&amp;RIGHT("0"&amp;MINUTE(C287),2)&amp;IF(D287="","","–"&amp;RIGHT("0"&amp;HOUR(D287),2)&amp;":"&amp;RIGHT("0"&amp;MINUTE(D287),2))&amp;" ")&amp;F287)</f>
        <v/>
      </c>
      <c r="N287" s="54">
        <f>IF(OR(A287="",F287=""),"",A287&amp;"#"&amp;(COUNTIFS($A$5:$A$3004,A287,$F$5:$F$3004,"?*",$O$5:$O$3004,"&lt;"&amp;O287)+COUNTIFS($A$5:A287,A287,$F$5:F287,"?*",$O$5:O287,O287)))</f>
        <v/>
      </c>
      <c r="O287" s="54">
        <f>IF(A287="","",IF(C287="",0,C287))</f>
        <v/>
      </c>
    </row>
    <row r="288">
      <c r="A288" s="58" t="n"/>
      <c r="B288" s="49">
        <f>IF(A288="","",CHOOSE(WEEKDAY(A288,2),"Пн","Вт","Ср","Чт","Пт","Сб","Вс"))</f>
        <v/>
      </c>
      <c r="C288" s="59" t="n"/>
      <c r="D288" s="59" t="n"/>
      <c r="E288" s="60">
        <f>IF(OR(C288="",D288=""),"",MOD(D288-C288,1)*24)</f>
        <v/>
      </c>
      <c r="F288" s="50" t="n"/>
      <c r="G288" s="51" t="n"/>
      <c r="H288" s="51" t="n"/>
      <c r="I288" s="51" t="n"/>
      <c r="J288" s="51" t="n"/>
      <c r="K288" s="51" t="n"/>
      <c r="L288" s="54">
        <f>IF(OR(A288="",C288="",D288=""),"",IF(COUNTIFS($A$5:$A$3004,A288,$C$5:$C$3004,"&lt;"&amp;D288,$D$5:$D$3004,"&gt;"&amp;C288)&gt;1,"⚠️ пересечение",""))</f>
        <v/>
      </c>
      <c r="M288" s="54">
        <f>IF(F288="","",IF(J288="✅ Сделано","✔ ",IF(J288="❌ Пропущено","✖ ","⏰ "))&amp;IF(C288="","",RIGHT("0"&amp;HOUR(C288),2)&amp;":"&amp;RIGHT("0"&amp;MINUTE(C288),2)&amp;IF(D288="","","–"&amp;RIGHT("0"&amp;HOUR(D288),2)&amp;":"&amp;RIGHT("0"&amp;MINUTE(D288),2))&amp;" ")&amp;F288)</f>
        <v/>
      </c>
      <c r="N288" s="54">
        <f>IF(OR(A288="",F288=""),"",A288&amp;"#"&amp;(COUNTIFS($A$5:$A$3004,A288,$F$5:$F$3004,"?*",$O$5:$O$3004,"&lt;"&amp;O288)+COUNTIFS($A$5:A288,A288,$F$5:F288,"?*",$O$5:O288,O288)))</f>
        <v/>
      </c>
      <c r="O288" s="54">
        <f>IF(A288="","",IF(C288="",0,C288))</f>
        <v/>
      </c>
    </row>
    <row r="289">
      <c r="A289" s="58" t="n"/>
      <c r="B289" s="49">
        <f>IF(A289="","",CHOOSE(WEEKDAY(A289,2),"Пн","Вт","Ср","Чт","Пт","Сб","Вс"))</f>
        <v/>
      </c>
      <c r="C289" s="59" t="n"/>
      <c r="D289" s="59" t="n"/>
      <c r="E289" s="60">
        <f>IF(OR(C289="",D289=""),"",MOD(D289-C289,1)*24)</f>
        <v/>
      </c>
      <c r="F289" s="50" t="n"/>
      <c r="G289" s="51" t="n"/>
      <c r="H289" s="51" t="n"/>
      <c r="I289" s="51" t="n"/>
      <c r="J289" s="51" t="n"/>
      <c r="K289" s="51" t="n"/>
      <c r="L289" s="54">
        <f>IF(OR(A289="",C289="",D289=""),"",IF(COUNTIFS($A$5:$A$3004,A289,$C$5:$C$3004,"&lt;"&amp;D289,$D$5:$D$3004,"&gt;"&amp;C289)&gt;1,"⚠️ пересечение",""))</f>
        <v/>
      </c>
      <c r="M289" s="54">
        <f>IF(F289="","",IF(J289="✅ Сделано","✔ ",IF(J289="❌ Пропущено","✖ ","⏰ "))&amp;IF(C289="","",RIGHT("0"&amp;HOUR(C289),2)&amp;":"&amp;RIGHT("0"&amp;MINUTE(C289),2)&amp;IF(D289="","","–"&amp;RIGHT("0"&amp;HOUR(D289),2)&amp;":"&amp;RIGHT("0"&amp;MINUTE(D289),2))&amp;" ")&amp;F289)</f>
        <v/>
      </c>
      <c r="N289" s="54">
        <f>IF(OR(A289="",F289=""),"",A289&amp;"#"&amp;(COUNTIFS($A$5:$A$3004,A289,$F$5:$F$3004,"?*",$O$5:$O$3004,"&lt;"&amp;O289)+COUNTIFS($A$5:A289,A289,$F$5:F289,"?*",$O$5:O289,O289)))</f>
        <v/>
      </c>
      <c r="O289" s="54">
        <f>IF(A289="","",IF(C289="",0,C289))</f>
        <v/>
      </c>
    </row>
    <row r="290">
      <c r="A290" s="58" t="n"/>
      <c r="B290" s="49">
        <f>IF(A290="","",CHOOSE(WEEKDAY(A290,2),"Пн","Вт","Ср","Чт","Пт","Сб","Вс"))</f>
        <v/>
      </c>
      <c r="C290" s="59" t="n"/>
      <c r="D290" s="59" t="n"/>
      <c r="E290" s="60">
        <f>IF(OR(C290="",D290=""),"",MOD(D290-C290,1)*24)</f>
        <v/>
      </c>
      <c r="F290" s="50" t="n"/>
      <c r="G290" s="51" t="n"/>
      <c r="H290" s="51" t="n"/>
      <c r="I290" s="51" t="n"/>
      <c r="J290" s="51" t="n"/>
      <c r="K290" s="51" t="n"/>
      <c r="L290" s="54">
        <f>IF(OR(A290="",C290="",D290=""),"",IF(COUNTIFS($A$5:$A$3004,A290,$C$5:$C$3004,"&lt;"&amp;D290,$D$5:$D$3004,"&gt;"&amp;C290)&gt;1,"⚠️ пересечение",""))</f>
        <v/>
      </c>
      <c r="M290" s="54">
        <f>IF(F290="","",IF(J290="✅ Сделано","✔ ",IF(J290="❌ Пропущено","✖ ","⏰ "))&amp;IF(C290="","",RIGHT("0"&amp;HOUR(C290),2)&amp;":"&amp;RIGHT("0"&amp;MINUTE(C290),2)&amp;IF(D290="","","–"&amp;RIGHT("0"&amp;HOUR(D290),2)&amp;":"&amp;RIGHT("0"&amp;MINUTE(D290),2))&amp;" ")&amp;F290)</f>
        <v/>
      </c>
      <c r="N290" s="54">
        <f>IF(OR(A290="",F290=""),"",A290&amp;"#"&amp;(COUNTIFS($A$5:$A$3004,A290,$F$5:$F$3004,"?*",$O$5:$O$3004,"&lt;"&amp;O290)+COUNTIFS($A$5:A290,A290,$F$5:F290,"?*",$O$5:O290,O290)))</f>
        <v/>
      </c>
      <c r="O290" s="54">
        <f>IF(A290="","",IF(C290="",0,C290))</f>
        <v/>
      </c>
    </row>
    <row r="291">
      <c r="A291" s="58" t="n"/>
      <c r="B291" s="49">
        <f>IF(A291="","",CHOOSE(WEEKDAY(A291,2),"Пн","Вт","Ср","Чт","Пт","Сб","Вс"))</f>
        <v/>
      </c>
      <c r="C291" s="59" t="n"/>
      <c r="D291" s="59" t="n"/>
      <c r="E291" s="60">
        <f>IF(OR(C291="",D291=""),"",MOD(D291-C291,1)*24)</f>
        <v/>
      </c>
      <c r="F291" s="50" t="n"/>
      <c r="G291" s="51" t="n"/>
      <c r="H291" s="51" t="n"/>
      <c r="I291" s="51" t="n"/>
      <c r="J291" s="51" t="n"/>
      <c r="K291" s="51" t="n"/>
      <c r="L291" s="54">
        <f>IF(OR(A291="",C291="",D291=""),"",IF(COUNTIFS($A$5:$A$3004,A291,$C$5:$C$3004,"&lt;"&amp;D291,$D$5:$D$3004,"&gt;"&amp;C291)&gt;1,"⚠️ пересечение",""))</f>
        <v/>
      </c>
      <c r="M291" s="54">
        <f>IF(F291="","",IF(J291="✅ Сделано","✔ ",IF(J291="❌ Пропущено","✖ ","⏰ "))&amp;IF(C291="","",RIGHT("0"&amp;HOUR(C291),2)&amp;":"&amp;RIGHT("0"&amp;MINUTE(C291),2)&amp;IF(D291="","","–"&amp;RIGHT("0"&amp;HOUR(D291),2)&amp;":"&amp;RIGHT("0"&amp;MINUTE(D291),2))&amp;" ")&amp;F291)</f>
        <v/>
      </c>
      <c r="N291" s="54">
        <f>IF(OR(A291="",F291=""),"",A291&amp;"#"&amp;(COUNTIFS($A$5:$A$3004,A291,$F$5:$F$3004,"?*",$O$5:$O$3004,"&lt;"&amp;O291)+COUNTIFS($A$5:A291,A291,$F$5:F291,"?*",$O$5:O291,O291)))</f>
        <v/>
      </c>
      <c r="O291" s="54">
        <f>IF(A291="","",IF(C291="",0,C291))</f>
        <v/>
      </c>
    </row>
    <row r="292">
      <c r="A292" s="58" t="n"/>
      <c r="B292" s="49">
        <f>IF(A292="","",CHOOSE(WEEKDAY(A292,2),"Пн","Вт","Ср","Чт","Пт","Сб","Вс"))</f>
        <v/>
      </c>
      <c r="C292" s="59" t="n"/>
      <c r="D292" s="59" t="n"/>
      <c r="E292" s="60">
        <f>IF(OR(C292="",D292=""),"",MOD(D292-C292,1)*24)</f>
        <v/>
      </c>
      <c r="F292" s="50" t="n"/>
      <c r="G292" s="51" t="n"/>
      <c r="H292" s="51" t="n"/>
      <c r="I292" s="51" t="n"/>
      <c r="J292" s="51" t="n"/>
      <c r="K292" s="51" t="n"/>
      <c r="L292" s="54">
        <f>IF(OR(A292="",C292="",D292=""),"",IF(COUNTIFS($A$5:$A$3004,A292,$C$5:$C$3004,"&lt;"&amp;D292,$D$5:$D$3004,"&gt;"&amp;C292)&gt;1,"⚠️ пересечение",""))</f>
        <v/>
      </c>
      <c r="M292" s="54">
        <f>IF(F292="","",IF(J292="✅ Сделано","✔ ",IF(J292="❌ Пропущено","✖ ","⏰ "))&amp;IF(C292="","",RIGHT("0"&amp;HOUR(C292),2)&amp;":"&amp;RIGHT("0"&amp;MINUTE(C292),2)&amp;IF(D292="","","–"&amp;RIGHT("0"&amp;HOUR(D292),2)&amp;":"&amp;RIGHT("0"&amp;MINUTE(D292),2))&amp;" ")&amp;F292)</f>
        <v/>
      </c>
      <c r="N292" s="54">
        <f>IF(OR(A292="",F292=""),"",A292&amp;"#"&amp;(COUNTIFS($A$5:$A$3004,A292,$F$5:$F$3004,"?*",$O$5:$O$3004,"&lt;"&amp;O292)+COUNTIFS($A$5:A292,A292,$F$5:F292,"?*",$O$5:O292,O292)))</f>
        <v/>
      </c>
      <c r="O292" s="54">
        <f>IF(A292="","",IF(C292="",0,C292))</f>
        <v/>
      </c>
    </row>
    <row r="293">
      <c r="A293" s="58" t="n"/>
      <c r="B293" s="49">
        <f>IF(A293="","",CHOOSE(WEEKDAY(A293,2),"Пн","Вт","Ср","Чт","Пт","Сб","Вс"))</f>
        <v/>
      </c>
      <c r="C293" s="59" t="n"/>
      <c r="D293" s="59" t="n"/>
      <c r="E293" s="60">
        <f>IF(OR(C293="",D293=""),"",MOD(D293-C293,1)*24)</f>
        <v/>
      </c>
      <c r="F293" s="50" t="n"/>
      <c r="G293" s="51" t="n"/>
      <c r="H293" s="51" t="n"/>
      <c r="I293" s="51" t="n"/>
      <c r="J293" s="51" t="n"/>
      <c r="K293" s="51" t="n"/>
      <c r="L293" s="54">
        <f>IF(OR(A293="",C293="",D293=""),"",IF(COUNTIFS($A$5:$A$3004,A293,$C$5:$C$3004,"&lt;"&amp;D293,$D$5:$D$3004,"&gt;"&amp;C293)&gt;1,"⚠️ пересечение",""))</f>
        <v/>
      </c>
      <c r="M293" s="54">
        <f>IF(F293="","",IF(J293="✅ Сделано","✔ ",IF(J293="❌ Пропущено","✖ ","⏰ "))&amp;IF(C293="","",RIGHT("0"&amp;HOUR(C293),2)&amp;":"&amp;RIGHT("0"&amp;MINUTE(C293),2)&amp;IF(D293="","","–"&amp;RIGHT("0"&amp;HOUR(D293),2)&amp;":"&amp;RIGHT("0"&amp;MINUTE(D293),2))&amp;" ")&amp;F293)</f>
        <v/>
      </c>
      <c r="N293" s="54">
        <f>IF(OR(A293="",F293=""),"",A293&amp;"#"&amp;(COUNTIFS($A$5:$A$3004,A293,$F$5:$F$3004,"?*",$O$5:$O$3004,"&lt;"&amp;O293)+COUNTIFS($A$5:A293,A293,$F$5:F293,"?*",$O$5:O293,O293)))</f>
        <v/>
      </c>
      <c r="O293" s="54">
        <f>IF(A293="","",IF(C293="",0,C293))</f>
        <v/>
      </c>
    </row>
    <row r="294">
      <c r="A294" s="58" t="n"/>
      <c r="B294" s="49">
        <f>IF(A294="","",CHOOSE(WEEKDAY(A294,2),"Пн","Вт","Ср","Чт","Пт","Сб","Вс"))</f>
        <v/>
      </c>
      <c r="C294" s="59" t="n"/>
      <c r="D294" s="59" t="n"/>
      <c r="E294" s="60">
        <f>IF(OR(C294="",D294=""),"",MOD(D294-C294,1)*24)</f>
        <v/>
      </c>
      <c r="F294" s="50" t="n"/>
      <c r="G294" s="51" t="n"/>
      <c r="H294" s="51" t="n"/>
      <c r="I294" s="51" t="n"/>
      <c r="J294" s="51" t="n"/>
      <c r="K294" s="51" t="n"/>
      <c r="L294" s="54">
        <f>IF(OR(A294="",C294="",D294=""),"",IF(COUNTIFS($A$5:$A$3004,A294,$C$5:$C$3004,"&lt;"&amp;D294,$D$5:$D$3004,"&gt;"&amp;C294)&gt;1,"⚠️ пересечение",""))</f>
        <v/>
      </c>
      <c r="M294" s="54">
        <f>IF(F294="","",IF(J294="✅ Сделано","✔ ",IF(J294="❌ Пропущено","✖ ","⏰ "))&amp;IF(C294="","",RIGHT("0"&amp;HOUR(C294),2)&amp;":"&amp;RIGHT("0"&amp;MINUTE(C294),2)&amp;IF(D294="","","–"&amp;RIGHT("0"&amp;HOUR(D294),2)&amp;":"&amp;RIGHT("0"&amp;MINUTE(D294),2))&amp;" ")&amp;F294)</f>
        <v/>
      </c>
      <c r="N294" s="54">
        <f>IF(OR(A294="",F294=""),"",A294&amp;"#"&amp;(COUNTIFS($A$5:$A$3004,A294,$F$5:$F$3004,"?*",$O$5:$O$3004,"&lt;"&amp;O294)+COUNTIFS($A$5:A294,A294,$F$5:F294,"?*",$O$5:O294,O294)))</f>
        <v/>
      </c>
      <c r="O294" s="54">
        <f>IF(A294="","",IF(C294="",0,C294))</f>
        <v/>
      </c>
    </row>
    <row r="295">
      <c r="A295" s="58" t="n"/>
      <c r="B295" s="49">
        <f>IF(A295="","",CHOOSE(WEEKDAY(A295,2),"Пн","Вт","Ср","Чт","Пт","Сб","Вс"))</f>
        <v/>
      </c>
      <c r="C295" s="59" t="n"/>
      <c r="D295" s="59" t="n"/>
      <c r="E295" s="60">
        <f>IF(OR(C295="",D295=""),"",MOD(D295-C295,1)*24)</f>
        <v/>
      </c>
      <c r="F295" s="50" t="n"/>
      <c r="G295" s="51" t="n"/>
      <c r="H295" s="51" t="n"/>
      <c r="I295" s="51" t="n"/>
      <c r="J295" s="51" t="n"/>
      <c r="K295" s="51" t="n"/>
      <c r="L295" s="54">
        <f>IF(OR(A295="",C295="",D295=""),"",IF(COUNTIFS($A$5:$A$3004,A295,$C$5:$C$3004,"&lt;"&amp;D295,$D$5:$D$3004,"&gt;"&amp;C295)&gt;1,"⚠️ пересечение",""))</f>
        <v/>
      </c>
      <c r="M295" s="54">
        <f>IF(F295="","",IF(J295="✅ Сделано","✔ ",IF(J295="❌ Пропущено","✖ ","⏰ "))&amp;IF(C295="","",RIGHT("0"&amp;HOUR(C295),2)&amp;":"&amp;RIGHT("0"&amp;MINUTE(C295),2)&amp;IF(D295="","","–"&amp;RIGHT("0"&amp;HOUR(D295),2)&amp;":"&amp;RIGHT("0"&amp;MINUTE(D295),2))&amp;" ")&amp;F295)</f>
        <v/>
      </c>
      <c r="N295" s="54">
        <f>IF(OR(A295="",F295=""),"",A295&amp;"#"&amp;(COUNTIFS($A$5:$A$3004,A295,$F$5:$F$3004,"?*",$O$5:$O$3004,"&lt;"&amp;O295)+COUNTIFS($A$5:A295,A295,$F$5:F295,"?*",$O$5:O295,O295)))</f>
        <v/>
      </c>
      <c r="O295" s="54">
        <f>IF(A295="","",IF(C295="",0,C295))</f>
        <v/>
      </c>
    </row>
    <row r="296">
      <c r="A296" s="58" t="n"/>
      <c r="B296" s="49">
        <f>IF(A296="","",CHOOSE(WEEKDAY(A296,2),"Пн","Вт","Ср","Чт","Пт","Сб","Вс"))</f>
        <v/>
      </c>
      <c r="C296" s="59" t="n"/>
      <c r="D296" s="59" t="n"/>
      <c r="E296" s="60">
        <f>IF(OR(C296="",D296=""),"",MOD(D296-C296,1)*24)</f>
        <v/>
      </c>
      <c r="F296" s="50" t="n"/>
      <c r="G296" s="51" t="n"/>
      <c r="H296" s="51" t="n"/>
      <c r="I296" s="51" t="n"/>
      <c r="J296" s="51" t="n"/>
      <c r="K296" s="51" t="n"/>
      <c r="L296" s="54">
        <f>IF(OR(A296="",C296="",D296=""),"",IF(COUNTIFS($A$5:$A$3004,A296,$C$5:$C$3004,"&lt;"&amp;D296,$D$5:$D$3004,"&gt;"&amp;C296)&gt;1,"⚠️ пересечение",""))</f>
        <v/>
      </c>
      <c r="M296" s="54">
        <f>IF(F296="","",IF(J296="✅ Сделано","✔ ",IF(J296="❌ Пропущено","✖ ","⏰ "))&amp;IF(C296="","",RIGHT("0"&amp;HOUR(C296),2)&amp;":"&amp;RIGHT("0"&amp;MINUTE(C296),2)&amp;IF(D296="","","–"&amp;RIGHT("0"&amp;HOUR(D296),2)&amp;":"&amp;RIGHT("0"&amp;MINUTE(D296),2))&amp;" ")&amp;F296)</f>
        <v/>
      </c>
      <c r="N296" s="54">
        <f>IF(OR(A296="",F296=""),"",A296&amp;"#"&amp;(COUNTIFS($A$5:$A$3004,A296,$F$5:$F$3004,"?*",$O$5:$O$3004,"&lt;"&amp;O296)+COUNTIFS($A$5:A296,A296,$F$5:F296,"?*",$O$5:O296,O296)))</f>
        <v/>
      </c>
      <c r="O296" s="54">
        <f>IF(A296="","",IF(C296="",0,C296))</f>
        <v/>
      </c>
    </row>
    <row r="297">
      <c r="A297" s="58" t="n"/>
      <c r="B297" s="49">
        <f>IF(A297="","",CHOOSE(WEEKDAY(A297,2),"Пн","Вт","Ср","Чт","Пт","Сб","Вс"))</f>
        <v/>
      </c>
      <c r="C297" s="59" t="n"/>
      <c r="D297" s="59" t="n"/>
      <c r="E297" s="60">
        <f>IF(OR(C297="",D297=""),"",MOD(D297-C297,1)*24)</f>
        <v/>
      </c>
      <c r="F297" s="50" t="n"/>
      <c r="G297" s="51" t="n"/>
      <c r="H297" s="51" t="n"/>
      <c r="I297" s="51" t="n"/>
      <c r="J297" s="51" t="n"/>
      <c r="K297" s="51" t="n"/>
      <c r="L297" s="54">
        <f>IF(OR(A297="",C297="",D297=""),"",IF(COUNTIFS($A$5:$A$3004,A297,$C$5:$C$3004,"&lt;"&amp;D297,$D$5:$D$3004,"&gt;"&amp;C297)&gt;1,"⚠️ пересечение",""))</f>
        <v/>
      </c>
      <c r="M297" s="54">
        <f>IF(F297="","",IF(J297="✅ Сделано","✔ ",IF(J297="❌ Пропущено","✖ ","⏰ "))&amp;IF(C297="","",RIGHT("0"&amp;HOUR(C297),2)&amp;":"&amp;RIGHT("0"&amp;MINUTE(C297),2)&amp;IF(D297="","","–"&amp;RIGHT("0"&amp;HOUR(D297),2)&amp;":"&amp;RIGHT("0"&amp;MINUTE(D297),2))&amp;" ")&amp;F297)</f>
        <v/>
      </c>
      <c r="N297" s="54">
        <f>IF(OR(A297="",F297=""),"",A297&amp;"#"&amp;(COUNTIFS($A$5:$A$3004,A297,$F$5:$F$3004,"?*",$O$5:$O$3004,"&lt;"&amp;O297)+COUNTIFS($A$5:A297,A297,$F$5:F297,"?*",$O$5:O297,O297)))</f>
        <v/>
      </c>
      <c r="O297" s="54">
        <f>IF(A297="","",IF(C297="",0,C297))</f>
        <v/>
      </c>
    </row>
    <row r="298">
      <c r="A298" s="58" t="n"/>
      <c r="B298" s="49">
        <f>IF(A298="","",CHOOSE(WEEKDAY(A298,2),"Пн","Вт","Ср","Чт","Пт","Сб","Вс"))</f>
        <v/>
      </c>
      <c r="C298" s="59" t="n"/>
      <c r="D298" s="59" t="n"/>
      <c r="E298" s="60">
        <f>IF(OR(C298="",D298=""),"",MOD(D298-C298,1)*24)</f>
        <v/>
      </c>
      <c r="F298" s="50" t="n"/>
      <c r="G298" s="51" t="n"/>
      <c r="H298" s="51" t="n"/>
      <c r="I298" s="51" t="n"/>
      <c r="J298" s="51" t="n"/>
      <c r="K298" s="51" t="n"/>
      <c r="L298" s="54">
        <f>IF(OR(A298="",C298="",D298=""),"",IF(COUNTIFS($A$5:$A$3004,A298,$C$5:$C$3004,"&lt;"&amp;D298,$D$5:$D$3004,"&gt;"&amp;C298)&gt;1,"⚠️ пересечение",""))</f>
        <v/>
      </c>
      <c r="M298" s="54">
        <f>IF(F298="","",IF(J298="✅ Сделано","✔ ",IF(J298="❌ Пропущено","✖ ","⏰ "))&amp;IF(C298="","",RIGHT("0"&amp;HOUR(C298),2)&amp;":"&amp;RIGHT("0"&amp;MINUTE(C298),2)&amp;IF(D298="","","–"&amp;RIGHT("0"&amp;HOUR(D298),2)&amp;":"&amp;RIGHT("0"&amp;MINUTE(D298),2))&amp;" ")&amp;F298)</f>
        <v/>
      </c>
      <c r="N298" s="54">
        <f>IF(OR(A298="",F298=""),"",A298&amp;"#"&amp;(COUNTIFS($A$5:$A$3004,A298,$F$5:$F$3004,"?*",$O$5:$O$3004,"&lt;"&amp;O298)+COUNTIFS($A$5:A298,A298,$F$5:F298,"?*",$O$5:O298,O298)))</f>
        <v/>
      </c>
      <c r="O298" s="54">
        <f>IF(A298="","",IF(C298="",0,C298))</f>
        <v/>
      </c>
    </row>
    <row r="299">
      <c r="A299" s="58" t="n"/>
      <c r="B299" s="49">
        <f>IF(A299="","",CHOOSE(WEEKDAY(A299,2),"Пн","Вт","Ср","Чт","Пт","Сб","Вс"))</f>
        <v/>
      </c>
      <c r="C299" s="59" t="n"/>
      <c r="D299" s="59" t="n"/>
      <c r="E299" s="60">
        <f>IF(OR(C299="",D299=""),"",MOD(D299-C299,1)*24)</f>
        <v/>
      </c>
      <c r="F299" s="50" t="n"/>
      <c r="G299" s="51" t="n"/>
      <c r="H299" s="51" t="n"/>
      <c r="I299" s="51" t="n"/>
      <c r="J299" s="51" t="n"/>
      <c r="K299" s="51" t="n"/>
      <c r="L299" s="54">
        <f>IF(OR(A299="",C299="",D299=""),"",IF(COUNTIFS($A$5:$A$3004,A299,$C$5:$C$3004,"&lt;"&amp;D299,$D$5:$D$3004,"&gt;"&amp;C299)&gt;1,"⚠️ пересечение",""))</f>
        <v/>
      </c>
      <c r="M299" s="54">
        <f>IF(F299="","",IF(J299="✅ Сделано","✔ ",IF(J299="❌ Пропущено","✖ ","⏰ "))&amp;IF(C299="","",RIGHT("0"&amp;HOUR(C299),2)&amp;":"&amp;RIGHT("0"&amp;MINUTE(C299),2)&amp;IF(D299="","","–"&amp;RIGHT("0"&amp;HOUR(D299),2)&amp;":"&amp;RIGHT("0"&amp;MINUTE(D299),2))&amp;" ")&amp;F299)</f>
        <v/>
      </c>
      <c r="N299" s="54">
        <f>IF(OR(A299="",F299=""),"",A299&amp;"#"&amp;(COUNTIFS($A$5:$A$3004,A299,$F$5:$F$3004,"?*",$O$5:$O$3004,"&lt;"&amp;O299)+COUNTIFS($A$5:A299,A299,$F$5:F299,"?*",$O$5:O299,O299)))</f>
        <v/>
      </c>
      <c r="O299" s="54">
        <f>IF(A299="","",IF(C299="",0,C299))</f>
        <v/>
      </c>
    </row>
    <row r="300">
      <c r="A300" s="58" t="n"/>
      <c r="B300" s="49">
        <f>IF(A300="","",CHOOSE(WEEKDAY(A300,2),"Пн","Вт","Ср","Чт","Пт","Сб","Вс"))</f>
        <v/>
      </c>
      <c r="C300" s="59" t="n"/>
      <c r="D300" s="59" t="n"/>
      <c r="E300" s="60">
        <f>IF(OR(C300="",D300=""),"",MOD(D300-C300,1)*24)</f>
        <v/>
      </c>
      <c r="F300" s="50" t="n"/>
      <c r="G300" s="51" t="n"/>
      <c r="H300" s="51" t="n"/>
      <c r="I300" s="51" t="n"/>
      <c r="J300" s="51" t="n"/>
      <c r="K300" s="51" t="n"/>
      <c r="L300" s="54">
        <f>IF(OR(A300="",C300="",D300=""),"",IF(COUNTIFS($A$5:$A$3004,A300,$C$5:$C$3004,"&lt;"&amp;D300,$D$5:$D$3004,"&gt;"&amp;C300)&gt;1,"⚠️ пересечение",""))</f>
        <v/>
      </c>
      <c r="M300" s="54">
        <f>IF(F300="","",IF(J300="✅ Сделано","✔ ",IF(J300="❌ Пропущено","✖ ","⏰ "))&amp;IF(C300="","",RIGHT("0"&amp;HOUR(C300),2)&amp;":"&amp;RIGHT("0"&amp;MINUTE(C300),2)&amp;IF(D300="","","–"&amp;RIGHT("0"&amp;HOUR(D300),2)&amp;":"&amp;RIGHT("0"&amp;MINUTE(D300),2))&amp;" ")&amp;F300)</f>
        <v/>
      </c>
      <c r="N300" s="54">
        <f>IF(OR(A300="",F300=""),"",A300&amp;"#"&amp;(COUNTIFS($A$5:$A$3004,A300,$F$5:$F$3004,"?*",$O$5:$O$3004,"&lt;"&amp;O300)+COUNTIFS($A$5:A300,A300,$F$5:F300,"?*",$O$5:O300,O300)))</f>
        <v/>
      </c>
      <c r="O300" s="54">
        <f>IF(A300="","",IF(C300="",0,C300))</f>
        <v/>
      </c>
    </row>
    <row r="301">
      <c r="A301" s="58" t="n"/>
      <c r="B301" s="49">
        <f>IF(A301="","",CHOOSE(WEEKDAY(A301,2),"Пн","Вт","Ср","Чт","Пт","Сб","Вс"))</f>
        <v/>
      </c>
      <c r="C301" s="59" t="n"/>
      <c r="D301" s="59" t="n"/>
      <c r="E301" s="60">
        <f>IF(OR(C301="",D301=""),"",MOD(D301-C301,1)*24)</f>
        <v/>
      </c>
      <c r="F301" s="50" t="n"/>
      <c r="G301" s="51" t="n"/>
      <c r="H301" s="51" t="n"/>
      <c r="I301" s="51" t="n"/>
      <c r="J301" s="51" t="n"/>
      <c r="K301" s="51" t="n"/>
      <c r="L301" s="54">
        <f>IF(OR(A301="",C301="",D301=""),"",IF(COUNTIFS($A$5:$A$3004,A301,$C$5:$C$3004,"&lt;"&amp;D301,$D$5:$D$3004,"&gt;"&amp;C301)&gt;1,"⚠️ пересечение",""))</f>
        <v/>
      </c>
      <c r="M301" s="54">
        <f>IF(F301="","",IF(J301="✅ Сделано","✔ ",IF(J301="❌ Пропущено","✖ ","⏰ "))&amp;IF(C301="","",RIGHT("0"&amp;HOUR(C301),2)&amp;":"&amp;RIGHT("0"&amp;MINUTE(C301),2)&amp;IF(D301="","","–"&amp;RIGHT("0"&amp;HOUR(D301),2)&amp;":"&amp;RIGHT("0"&amp;MINUTE(D301),2))&amp;" ")&amp;F301)</f>
        <v/>
      </c>
      <c r="N301" s="54">
        <f>IF(OR(A301="",F301=""),"",A301&amp;"#"&amp;(COUNTIFS($A$5:$A$3004,A301,$F$5:$F$3004,"?*",$O$5:$O$3004,"&lt;"&amp;O301)+COUNTIFS($A$5:A301,A301,$F$5:F301,"?*",$O$5:O301,O301)))</f>
        <v/>
      </c>
      <c r="O301" s="54">
        <f>IF(A301="","",IF(C301="",0,C301))</f>
        <v/>
      </c>
    </row>
    <row r="302">
      <c r="A302" s="58" t="n"/>
      <c r="B302" s="49">
        <f>IF(A302="","",CHOOSE(WEEKDAY(A302,2),"Пн","Вт","Ср","Чт","Пт","Сб","Вс"))</f>
        <v/>
      </c>
      <c r="C302" s="59" t="n"/>
      <c r="D302" s="59" t="n"/>
      <c r="E302" s="60">
        <f>IF(OR(C302="",D302=""),"",MOD(D302-C302,1)*24)</f>
        <v/>
      </c>
      <c r="F302" s="50" t="n"/>
      <c r="G302" s="51" t="n"/>
      <c r="H302" s="51" t="n"/>
      <c r="I302" s="51" t="n"/>
      <c r="J302" s="51" t="n"/>
      <c r="K302" s="51" t="n"/>
      <c r="L302" s="54">
        <f>IF(OR(A302="",C302="",D302=""),"",IF(COUNTIFS($A$5:$A$3004,A302,$C$5:$C$3004,"&lt;"&amp;D302,$D$5:$D$3004,"&gt;"&amp;C302)&gt;1,"⚠️ пересечение",""))</f>
        <v/>
      </c>
      <c r="M302" s="54">
        <f>IF(F302="","",IF(J302="✅ Сделано","✔ ",IF(J302="❌ Пропущено","✖ ","⏰ "))&amp;IF(C302="","",RIGHT("0"&amp;HOUR(C302),2)&amp;":"&amp;RIGHT("0"&amp;MINUTE(C302),2)&amp;IF(D302="","","–"&amp;RIGHT("0"&amp;HOUR(D302),2)&amp;":"&amp;RIGHT("0"&amp;MINUTE(D302),2))&amp;" ")&amp;F302)</f>
        <v/>
      </c>
      <c r="N302" s="54">
        <f>IF(OR(A302="",F302=""),"",A302&amp;"#"&amp;(COUNTIFS($A$5:$A$3004,A302,$F$5:$F$3004,"?*",$O$5:$O$3004,"&lt;"&amp;O302)+COUNTIFS($A$5:A302,A302,$F$5:F302,"?*",$O$5:O302,O302)))</f>
        <v/>
      </c>
      <c r="O302" s="54">
        <f>IF(A302="","",IF(C302="",0,C302))</f>
        <v/>
      </c>
    </row>
    <row r="303">
      <c r="A303" s="58" t="n"/>
      <c r="B303" s="49">
        <f>IF(A303="","",CHOOSE(WEEKDAY(A303,2),"Пн","Вт","Ср","Чт","Пт","Сб","Вс"))</f>
        <v/>
      </c>
      <c r="C303" s="59" t="n"/>
      <c r="D303" s="59" t="n"/>
      <c r="E303" s="60">
        <f>IF(OR(C303="",D303=""),"",MOD(D303-C303,1)*24)</f>
        <v/>
      </c>
      <c r="F303" s="50" t="n"/>
      <c r="G303" s="51" t="n"/>
      <c r="H303" s="51" t="n"/>
      <c r="I303" s="51" t="n"/>
      <c r="J303" s="51" t="n"/>
      <c r="K303" s="51" t="n"/>
      <c r="L303" s="54">
        <f>IF(OR(A303="",C303="",D303=""),"",IF(COUNTIFS($A$5:$A$3004,A303,$C$5:$C$3004,"&lt;"&amp;D303,$D$5:$D$3004,"&gt;"&amp;C303)&gt;1,"⚠️ пересечение",""))</f>
        <v/>
      </c>
      <c r="M303" s="54">
        <f>IF(F303="","",IF(J303="✅ Сделано","✔ ",IF(J303="❌ Пропущено","✖ ","⏰ "))&amp;IF(C303="","",RIGHT("0"&amp;HOUR(C303),2)&amp;":"&amp;RIGHT("0"&amp;MINUTE(C303),2)&amp;IF(D303="","","–"&amp;RIGHT("0"&amp;HOUR(D303),2)&amp;":"&amp;RIGHT("0"&amp;MINUTE(D303),2))&amp;" ")&amp;F303)</f>
        <v/>
      </c>
      <c r="N303" s="54">
        <f>IF(OR(A303="",F303=""),"",A303&amp;"#"&amp;(COUNTIFS($A$5:$A$3004,A303,$F$5:$F$3004,"?*",$O$5:$O$3004,"&lt;"&amp;O303)+COUNTIFS($A$5:A303,A303,$F$5:F303,"?*",$O$5:O303,O303)))</f>
        <v/>
      </c>
      <c r="O303" s="54">
        <f>IF(A303="","",IF(C303="",0,C303))</f>
        <v/>
      </c>
    </row>
    <row r="304">
      <c r="A304" s="58" t="n"/>
      <c r="B304" s="49">
        <f>IF(A304="","",CHOOSE(WEEKDAY(A304,2),"Пн","Вт","Ср","Чт","Пт","Сб","Вс"))</f>
        <v/>
      </c>
      <c r="C304" s="59" t="n"/>
      <c r="D304" s="59" t="n"/>
      <c r="E304" s="60">
        <f>IF(OR(C304="",D304=""),"",MOD(D304-C304,1)*24)</f>
        <v/>
      </c>
      <c r="F304" s="50" t="n"/>
      <c r="G304" s="51" t="n"/>
      <c r="H304" s="51" t="n"/>
      <c r="I304" s="51" t="n"/>
      <c r="J304" s="51" t="n"/>
      <c r="K304" s="51" t="n"/>
      <c r="L304" s="54">
        <f>IF(OR(A304="",C304="",D304=""),"",IF(COUNTIFS($A$5:$A$3004,A304,$C$5:$C$3004,"&lt;"&amp;D304,$D$5:$D$3004,"&gt;"&amp;C304)&gt;1,"⚠️ пересечение",""))</f>
        <v/>
      </c>
      <c r="M304" s="54">
        <f>IF(F304="","",IF(J304="✅ Сделано","✔ ",IF(J304="❌ Пропущено","✖ ","⏰ "))&amp;IF(C304="","",RIGHT("0"&amp;HOUR(C304),2)&amp;":"&amp;RIGHT("0"&amp;MINUTE(C304),2)&amp;IF(D304="","","–"&amp;RIGHT("0"&amp;HOUR(D304),2)&amp;":"&amp;RIGHT("0"&amp;MINUTE(D304),2))&amp;" ")&amp;F304)</f>
        <v/>
      </c>
      <c r="N304" s="54">
        <f>IF(OR(A304="",F304=""),"",A304&amp;"#"&amp;(COUNTIFS($A$5:$A$3004,A304,$F$5:$F$3004,"?*",$O$5:$O$3004,"&lt;"&amp;O304)+COUNTIFS($A$5:A304,A304,$F$5:F304,"?*",$O$5:O304,O304)))</f>
        <v/>
      </c>
      <c r="O304" s="54">
        <f>IF(A304="","",IF(C304="",0,C304))</f>
        <v/>
      </c>
    </row>
    <row r="305">
      <c r="A305" s="58" t="n"/>
      <c r="B305" s="49">
        <f>IF(A305="","",CHOOSE(WEEKDAY(A305,2),"Пн","Вт","Ср","Чт","Пт","Сб","Вс"))</f>
        <v/>
      </c>
      <c r="C305" s="59" t="n"/>
      <c r="D305" s="59" t="n"/>
      <c r="E305" s="60">
        <f>IF(OR(C305="",D305=""),"",MOD(D305-C305,1)*24)</f>
        <v/>
      </c>
      <c r="F305" s="50" t="n"/>
      <c r="G305" s="51" t="n"/>
      <c r="H305" s="51" t="n"/>
      <c r="I305" s="51" t="n"/>
      <c r="J305" s="51" t="n"/>
      <c r="K305" s="51" t="n"/>
      <c r="L305" s="54">
        <f>IF(OR(A305="",C305="",D305=""),"",IF(COUNTIFS($A$5:$A$3004,A305,$C$5:$C$3004,"&lt;"&amp;D305,$D$5:$D$3004,"&gt;"&amp;C305)&gt;1,"⚠️ пересечение",""))</f>
        <v/>
      </c>
      <c r="M305" s="54">
        <f>IF(F305="","",IF(J305="✅ Сделано","✔ ",IF(J305="❌ Пропущено","✖ ","⏰ "))&amp;IF(C305="","",RIGHT("0"&amp;HOUR(C305),2)&amp;":"&amp;RIGHT("0"&amp;MINUTE(C305),2)&amp;IF(D305="","","–"&amp;RIGHT("0"&amp;HOUR(D305),2)&amp;":"&amp;RIGHT("0"&amp;MINUTE(D305),2))&amp;" ")&amp;F305)</f>
        <v/>
      </c>
      <c r="N305" s="54">
        <f>IF(OR(A305="",F305=""),"",A305&amp;"#"&amp;(COUNTIFS($A$5:$A$3004,A305,$F$5:$F$3004,"?*",$O$5:$O$3004,"&lt;"&amp;O305)+COUNTIFS($A$5:A305,A305,$F$5:F305,"?*",$O$5:O305,O305)))</f>
        <v/>
      </c>
      <c r="O305" s="54">
        <f>IF(A305="","",IF(C305="",0,C305))</f>
        <v/>
      </c>
    </row>
    <row r="306">
      <c r="A306" s="58" t="n"/>
      <c r="B306" s="49">
        <f>IF(A306="","",CHOOSE(WEEKDAY(A306,2),"Пн","Вт","Ср","Чт","Пт","Сб","Вс"))</f>
        <v/>
      </c>
      <c r="C306" s="59" t="n"/>
      <c r="D306" s="59" t="n"/>
      <c r="E306" s="60">
        <f>IF(OR(C306="",D306=""),"",MOD(D306-C306,1)*24)</f>
        <v/>
      </c>
      <c r="F306" s="50" t="n"/>
      <c r="G306" s="51" t="n"/>
      <c r="H306" s="51" t="n"/>
      <c r="I306" s="51" t="n"/>
      <c r="J306" s="51" t="n"/>
      <c r="K306" s="51" t="n"/>
      <c r="L306" s="54">
        <f>IF(OR(A306="",C306="",D306=""),"",IF(COUNTIFS($A$5:$A$3004,A306,$C$5:$C$3004,"&lt;"&amp;D306,$D$5:$D$3004,"&gt;"&amp;C306)&gt;1,"⚠️ пересечение",""))</f>
        <v/>
      </c>
      <c r="M306" s="54">
        <f>IF(F306="","",IF(J306="✅ Сделано","✔ ",IF(J306="❌ Пропущено","✖ ","⏰ "))&amp;IF(C306="","",RIGHT("0"&amp;HOUR(C306),2)&amp;":"&amp;RIGHT("0"&amp;MINUTE(C306),2)&amp;IF(D306="","","–"&amp;RIGHT("0"&amp;HOUR(D306),2)&amp;":"&amp;RIGHT("0"&amp;MINUTE(D306),2))&amp;" ")&amp;F306)</f>
        <v/>
      </c>
      <c r="N306" s="54">
        <f>IF(OR(A306="",F306=""),"",A306&amp;"#"&amp;(COUNTIFS($A$5:$A$3004,A306,$F$5:$F$3004,"?*",$O$5:$O$3004,"&lt;"&amp;O306)+COUNTIFS($A$5:A306,A306,$F$5:F306,"?*",$O$5:O306,O306)))</f>
        <v/>
      </c>
      <c r="O306" s="54">
        <f>IF(A306="","",IF(C306="",0,C306))</f>
        <v/>
      </c>
    </row>
    <row r="307">
      <c r="A307" s="58" t="n"/>
      <c r="B307" s="49">
        <f>IF(A307="","",CHOOSE(WEEKDAY(A307,2),"Пн","Вт","Ср","Чт","Пт","Сб","Вс"))</f>
        <v/>
      </c>
      <c r="C307" s="59" t="n"/>
      <c r="D307" s="59" t="n"/>
      <c r="E307" s="60">
        <f>IF(OR(C307="",D307=""),"",MOD(D307-C307,1)*24)</f>
        <v/>
      </c>
      <c r="F307" s="50" t="n"/>
      <c r="G307" s="51" t="n"/>
      <c r="H307" s="51" t="n"/>
      <c r="I307" s="51" t="n"/>
      <c r="J307" s="51" t="n"/>
      <c r="K307" s="51" t="n"/>
      <c r="L307" s="54">
        <f>IF(OR(A307="",C307="",D307=""),"",IF(COUNTIFS($A$5:$A$3004,A307,$C$5:$C$3004,"&lt;"&amp;D307,$D$5:$D$3004,"&gt;"&amp;C307)&gt;1,"⚠️ пересечение",""))</f>
        <v/>
      </c>
      <c r="M307" s="54">
        <f>IF(F307="","",IF(J307="✅ Сделано","✔ ",IF(J307="❌ Пропущено","✖ ","⏰ "))&amp;IF(C307="","",RIGHT("0"&amp;HOUR(C307),2)&amp;":"&amp;RIGHT("0"&amp;MINUTE(C307),2)&amp;IF(D307="","","–"&amp;RIGHT("0"&amp;HOUR(D307),2)&amp;":"&amp;RIGHT("0"&amp;MINUTE(D307),2))&amp;" ")&amp;F307)</f>
        <v/>
      </c>
      <c r="N307" s="54">
        <f>IF(OR(A307="",F307=""),"",A307&amp;"#"&amp;(COUNTIFS($A$5:$A$3004,A307,$F$5:$F$3004,"?*",$O$5:$O$3004,"&lt;"&amp;O307)+COUNTIFS($A$5:A307,A307,$F$5:F307,"?*",$O$5:O307,O307)))</f>
        <v/>
      </c>
      <c r="O307" s="54">
        <f>IF(A307="","",IF(C307="",0,C307))</f>
        <v/>
      </c>
    </row>
    <row r="308">
      <c r="A308" s="58" t="n"/>
      <c r="B308" s="49">
        <f>IF(A308="","",CHOOSE(WEEKDAY(A308,2),"Пн","Вт","Ср","Чт","Пт","Сб","Вс"))</f>
        <v/>
      </c>
      <c r="C308" s="59" t="n"/>
      <c r="D308" s="59" t="n"/>
      <c r="E308" s="60">
        <f>IF(OR(C308="",D308=""),"",MOD(D308-C308,1)*24)</f>
        <v/>
      </c>
      <c r="F308" s="50" t="n"/>
      <c r="G308" s="51" t="n"/>
      <c r="H308" s="51" t="n"/>
      <c r="I308" s="51" t="n"/>
      <c r="J308" s="51" t="n"/>
      <c r="K308" s="51" t="n"/>
      <c r="L308" s="54">
        <f>IF(OR(A308="",C308="",D308=""),"",IF(COUNTIFS($A$5:$A$3004,A308,$C$5:$C$3004,"&lt;"&amp;D308,$D$5:$D$3004,"&gt;"&amp;C308)&gt;1,"⚠️ пересечение",""))</f>
        <v/>
      </c>
      <c r="M308" s="54">
        <f>IF(F308="","",IF(J308="✅ Сделано","✔ ",IF(J308="❌ Пропущено","✖ ","⏰ "))&amp;IF(C308="","",RIGHT("0"&amp;HOUR(C308),2)&amp;":"&amp;RIGHT("0"&amp;MINUTE(C308),2)&amp;IF(D308="","","–"&amp;RIGHT("0"&amp;HOUR(D308),2)&amp;":"&amp;RIGHT("0"&amp;MINUTE(D308),2))&amp;" ")&amp;F308)</f>
        <v/>
      </c>
      <c r="N308" s="54">
        <f>IF(OR(A308="",F308=""),"",A308&amp;"#"&amp;(COUNTIFS($A$5:$A$3004,A308,$F$5:$F$3004,"?*",$O$5:$O$3004,"&lt;"&amp;O308)+COUNTIFS($A$5:A308,A308,$F$5:F308,"?*",$O$5:O308,O308)))</f>
        <v/>
      </c>
      <c r="O308" s="54">
        <f>IF(A308="","",IF(C308="",0,C308))</f>
        <v/>
      </c>
    </row>
    <row r="309">
      <c r="A309" s="58" t="n"/>
      <c r="B309" s="49">
        <f>IF(A309="","",CHOOSE(WEEKDAY(A309,2),"Пн","Вт","Ср","Чт","Пт","Сб","Вс"))</f>
        <v/>
      </c>
      <c r="C309" s="59" t="n"/>
      <c r="D309" s="59" t="n"/>
      <c r="E309" s="60">
        <f>IF(OR(C309="",D309=""),"",MOD(D309-C309,1)*24)</f>
        <v/>
      </c>
      <c r="F309" s="50" t="n"/>
      <c r="G309" s="51" t="n"/>
      <c r="H309" s="51" t="n"/>
      <c r="I309" s="51" t="n"/>
      <c r="J309" s="51" t="n"/>
      <c r="K309" s="51" t="n"/>
      <c r="L309" s="54">
        <f>IF(OR(A309="",C309="",D309=""),"",IF(COUNTIFS($A$5:$A$3004,A309,$C$5:$C$3004,"&lt;"&amp;D309,$D$5:$D$3004,"&gt;"&amp;C309)&gt;1,"⚠️ пересечение",""))</f>
        <v/>
      </c>
      <c r="M309" s="54">
        <f>IF(F309="","",IF(J309="✅ Сделано","✔ ",IF(J309="❌ Пропущено","✖ ","⏰ "))&amp;IF(C309="","",RIGHT("0"&amp;HOUR(C309),2)&amp;":"&amp;RIGHT("0"&amp;MINUTE(C309),2)&amp;IF(D309="","","–"&amp;RIGHT("0"&amp;HOUR(D309),2)&amp;":"&amp;RIGHT("0"&amp;MINUTE(D309),2))&amp;" ")&amp;F309)</f>
        <v/>
      </c>
      <c r="N309" s="54">
        <f>IF(OR(A309="",F309=""),"",A309&amp;"#"&amp;(COUNTIFS($A$5:$A$3004,A309,$F$5:$F$3004,"?*",$O$5:$O$3004,"&lt;"&amp;O309)+COUNTIFS($A$5:A309,A309,$F$5:F309,"?*",$O$5:O309,O309)))</f>
        <v/>
      </c>
      <c r="O309" s="54">
        <f>IF(A309="","",IF(C309="",0,C309))</f>
        <v/>
      </c>
    </row>
    <row r="310">
      <c r="A310" s="58" t="n"/>
      <c r="B310" s="49">
        <f>IF(A310="","",CHOOSE(WEEKDAY(A310,2),"Пн","Вт","Ср","Чт","Пт","Сб","Вс"))</f>
        <v/>
      </c>
      <c r="C310" s="59" t="n"/>
      <c r="D310" s="59" t="n"/>
      <c r="E310" s="60">
        <f>IF(OR(C310="",D310=""),"",MOD(D310-C310,1)*24)</f>
        <v/>
      </c>
      <c r="F310" s="50" t="n"/>
      <c r="G310" s="51" t="n"/>
      <c r="H310" s="51" t="n"/>
      <c r="I310" s="51" t="n"/>
      <c r="J310" s="51" t="n"/>
      <c r="K310" s="51" t="n"/>
      <c r="L310" s="54">
        <f>IF(OR(A310="",C310="",D310=""),"",IF(COUNTIFS($A$5:$A$3004,A310,$C$5:$C$3004,"&lt;"&amp;D310,$D$5:$D$3004,"&gt;"&amp;C310)&gt;1,"⚠️ пересечение",""))</f>
        <v/>
      </c>
      <c r="M310" s="54">
        <f>IF(F310="","",IF(J310="✅ Сделано","✔ ",IF(J310="❌ Пропущено","✖ ","⏰ "))&amp;IF(C310="","",RIGHT("0"&amp;HOUR(C310),2)&amp;":"&amp;RIGHT("0"&amp;MINUTE(C310),2)&amp;IF(D310="","","–"&amp;RIGHT("0"&amp;HOUR(D310),2)&amp;":"&amp;RIGHT("0"&amp;MINUTE(D310),2))&amp;" ")&amp;F310)</f>
        <v/>
      </c>
      <c r="N310" s="54">
        <f>IF(OR(A310="",F310=""),"",A310&amp;"#"&amp;(COUNTIFS($A$5:$A$3004,A310,$F$5:$F$3004,"?*",$O$5:$O$3004,"&lt;"&amp;O310)+COUNTIFS($A$5:A310,A310,$F$5:F310,"?*",$O$5:O310,O310)))</f>
        <v/>
      </c>
      <c r="O310" s="54">
        <f>IF(A310="","",IF(C310="",0,C310))</f>
        <v/>
      </c>
    </row>
    <row r="311">
      <c r="A311" s="58" t="n"/>
      <c r="B311" s="49">
        <f>IF(A311="","",CHOOSE(WEEKDAY(A311,2),"Пн","Вт","Ср","Чт","Пт","Сб","Вс"))</f>
        <v/>
      </c>
      <c r="C311" s="59" t="n"/>
      <c r="D311" s="59" t="n"/>
      <c r="E311" s="60">
        <f>IF(OR(C311="",D311=""),"",MOD(D311-C311,1)*24)</f>
        <v/>
      </c>
      <c r="F311" s="50" t="n"/>
      <c r="G311" s="51" t="n"/>
      <c r="H311" s="51" t="n"/>
      <c r="I311" s="51" t="n"/>
      <c r="J311" s="51" t="n"/>
      <c r="K311" s="51" t="n"/>
      <c r="L311" s="54">
        <f>IF(OR(A311="",C311="",D311=""),"",IF(COUNTIFS($A$5:$A$3004,A311,$C$5:$C$3004,"&lt;"&amp;D311,$D$5:$D$3004,"&gt;"&amp;C311)&gt;1,"⚠️ пересечение",""))</f>
        <v/>
      </c>
      <c r="M311" s="54">
        <f>IF(F311="","",IF(J311="✅ Сделано","✔ ",IF(J311="❌ Пропущено","✖ ","⏰ "))&amp;IF(C311="","",RIGHT("0"&amp;HOUR(C311),2)&amp;":"&amp;RIGHT("0"&amp;MINUTE(C311),2)&amp;IF(D311="","","–"&amp;RIGHT("0"&amp;HOUR(D311),2)&amp;":"&amp;RIGHT("0"&amp;MINUTE(D311),2))&amp;" ")&amp;F311)</f>
        <v/>
      </c>
      <c r="N311" s="54">
        <f>IF(OR(A311="",F311=""),"",A311&amp;"#"&amp;(COUNTIFS($A$5:$A$3004,A311,$F$5:$F$3004,"?*",$O$5:$O$3004,"&lt;"&amp;O311)+COUNTIFS($A$5:A311,A311,$F$5:F311,"?*",$O$5:O311,O311)))</f>
        <v/>
      </c>
      <c r="O311" s="54">
        <f>IF(A311="","",IF(C311="",0,C311))</f>
        <v/>
      </c>
    </row>
    <row r="312">
      <c r="A312" s="58" t="n"/>
      <c r="B312" s="49">
        <f>IF(A312="","",CHOOSE(WEEKDAY(A312,2),"Пн","Вт","Ср","Чт","Пт","Сб","Вс"))</f>
        <v/>
      </c>
      <c r="C312" s="59" t="n"/>
      <c r="D312" s="59" t="n"/>
      <c r="E312" s="60">
        <f>IF(OR(C312="",D312=""),"",MOD(D312-C312,1)*24)</f>
        <v/>
      </c>
      <c r="F312" s="50" t="n"/>
      <c r="G312" s="51" t="n"/>
      <c r="H312" s="51" t="n"/>
      <c r="I312" s="51" t="n"/>
      <c r="J312" s="51" t="n"/>
      <c r="K312" s="51" t="n"/>
      <c r="L312" s="54">
        <f>IF(OR(A312="",C312="",D312=""),"",IF(COUNTIFS($A$5:$A$3004,A312,$C$5:$C$3004,"&lt;"&amp;D312,$D$5:$D$3004,"&gt;"&amp;C312)&gt;1,"⚠️ пересечение",""))</f>
        <v/>
      </c>
      <c r="M312" s="54">
        <f>IF(F312="","",IF(J312="✅ Сделано","✔ ",IF(J312="❌ Пропущено","✖ ","⏰ "))&amp;IF(C312="","",RIGHT("0"&amp;HOUR(C312),2)&amp;":"&amp;RIGHT("0"&amp;MINUTE(C312),2)&amp;IF(D312="","","–"&amp;RIGHT("0"&amp;HOUR(D312),2)&amp;":"&amp;RIGHT("0"&amp;MINUTE(D312),2))&amp;" ")&amp;F312)</f>
        <v/>
      </c>
      <c r="N312" s="54">
        <f>IF(OR(A312="",F312=""),"",A312&amp;"#"&amp;(COUNTIFS($A$5:$A$3004,A312,$F$5:$F$3004,"?*",$O$5:$O$3004,"&lt;"&amp;O312)+COUNTIFS($A$5:A312,A312,$F$5:F312,"?*",$O$5:O312,O312)))</f>
        <v/>
      </c>
      <c r="O312" s="54">
        <f>IF(A312="","",IF(C312="",0,C312))</f>
        <v/>
      </c>
    </row>
    <row r="313">
      <c r="A313" s="58" t="n"/>
      <c r="B313" s="49">
        <f>IF(A313="","",CHOOSE(WEEKDAY(A313,2),"Пн","Вт","Ср","Чт","Пт","Сб","Вс"))</f>
        <v/>
      </c>
      <c r="C313" s="59" t="n"/>
      <c r="D313" s="59" t="n"/>
      <c r="E313" s="60">
        <f>IF(OR(C313="",D313=""),"",MOD(D313-C313,1)*24)</f>
        <v/>
      </c>
      <c r="F313" s="50" t="n"/>
      <c r="G313" s="51" t="n"/>
      <c r="H313" s="51" t="n"/>
      <c r="I313" s="51" t="n"/>
      <c r="J313" s="51" t="n"/>
      <c r="K313" s="51" t="n"/>
      <c r="L313" s="54">
        <f>IF(OR(A313="",C313="",D313=""),"",IF(COUNTIFS($A$5:$A$3004,A313,$C$5:$C$3004,"&lt;"&amp;D313,$D$5:$D$3004,"&gt;"&amp;C313)&gt;1,"⚠️ пересечение",""))</f>
        <v/>
      </c>
      <c r="M313" s="54">
        <f>IF(F313="","",IF(J313="✅ Сделано","✔ ",IF(J313="❌ Пропущено","✖ ","⏰ "))&amp;IF(C313="","",RIGHT("0"&amp;HOUR(C313),2)&amp;":"&amp;RIGHT("0"&amp;MINUTE(C313),2)&amp;IF(D313="","","–"&amp;RIGHT("0"&amp;HOUR(D313),2)&amp;":"&amp;RIGHT("0"&amp;MINUTE(D313),2))&amp;" ")&amp;F313)</f>
        <v/>
      </c>
      <c r="N313" s="54">
        <f>IF(OR(A313="",F313=""),"",A313&amp;"#"&amp;(COUNTIFS($A$5:$A$3004,A313,$F$5:$F$3004,"?*",$O$5:$O$3004,"&lt;"&amp;O313)+COUNTIFS($A$5:A313,A313,$F$5:F313,"?*",$O$5:O313,O313)))</f>
        <v/>
      </c>
      <c r="O313" s="54">
        <f>IF(A313="","",IF(C313="",0,C313))</f>
        <v/>
      </c>
    </row>
    <row r="314">
      <c r="A314" s="58" t="n"/>
      <c r="B314" s="49">
        <f>IF(A314="","",CHOOSE(WEEKDAY(A314,2),"Пн","Вт","Ср","Чт","Пт","Сб","Вс"))</f>
        <v/>
      </c>
      <c r="C314" s="59" t="n"/>
      <c r="D314" s="59" t="n"/>
      <c r="E314" s="60">
        <f>IF(OR(C314="",D314=""),"",MOD(D314-C314,1)*24)</f>
        <v/>
      </c>
      <c r="F314" s="50" t="n"/>
      <c r="G314" s="51" t="n"/>
      <c r="H314" s="51" t="n"/>
      <c r="I314" s="51" t="n"/>
      <c r="J314" s="51" t="n"/>
      <c r="K314" s="51" t="n"/>
      <c r="L314" s="54">
        <f>IF(OR(A314="",C314="",D314=""),"",IF(COUNTIFS($A$5:$A$3004,A314,$C$5:$C$3004,"&lt;"&amp;D314,$D$5:$D$3004,"&gt;"&amp;C314)&gt;1,"⚠️ пересечение",""))</f>
        <v/>
      </c>
      <c r="M314" s="54">
        <f>IF(F314="","",IF(J314="✅ Сделано","✔ ",IF(J314="❌ Пропущено","✖ ","⏰ "))&amp;IF(C314="","",RIGHT("0"&amp;HOUR(C314),2)&amp;":"&amp;RIGHT("0"&amp;MINUTE(C314),2)&amp;IF(D314="","","–"&amp;RIGHT("0"&amp;HOUR(D314),2)&amp;":"&amp;RIGHT("0"&amp;MINUTE(D314),2))&amp;" ")&amp;F314)</f>
        <v/>
      </c>
      <c r="N314" s="54">
        <f>IF(OR(A314="",F314=""),"",A314&amp;"#"&amp;(COUNTIFS($A$5:$A$3004,A314,$F$5:$F$3004,"?*",$O$5:$O$3004,"&lt;"&amp;O314)+COUNTIFS($A$5:A314,A314,$F$5:F314,"?*",$O$5:O314,O314)))</f>
        <v/>
      </c>
      <c r="O314" s="54">
        <f>IF(A314="","",IF(C314="",0,C314))</f>
        <v/>
      </c>
    </row>
    <row r="315">
      <c r="A315" s="58" t="n"/>
      <c r="B315" s="49">
        <f>IF(A315="","",CHOOSE(WEEKDAY(A315,2),"Пн","Вт","Ср","Чт","Пт","Сб","Вс"))</f>
        <v/>
      </c>
      <c r="C315" s="59" t="n"/>
      <c r="D315" s="59" t="n"/>
      <c r="E315" s="60">
        <f>IF(OR(C315="",D315=""),"",MOD(D315-C315,1)*24)</f>
        <v/>
      </c>
      <c r="F315" s="50" t="n"/>
      <c r="G315" s="51" t="n"/>
      <c r="H315" s="51" t="n"/>
      <c r="I315" s="51" t="n"/>
      <c r="J315" s="51" t="n"/>
      <c r="K315" s="51" t="n"/>
      <c r="L315" s="54">
        <f>IF(OR(A315="",C315="",D315=""),"",IF(COUNTIFS($A$5:$A$3004,A315,$C$5:$C$3004,"&lt;"&amp;D315,$D$5:$D$3004,"&gt;"&amp;C315)&gt;1,"⚠️ пересечение",""))</f>
        <v/>
      </c>
      <c r="M315" s="54">
        <f>IF(F315="","",IF(J315="✅ Сделано","✔ ",IF(J315="❌ Пропущено","✖ ","⏰ "))&amp;IF(C315="","",RIGHT("0"&amp;HOUR(C315),2)&amp;":"&amp;RIGHT("0"&amp;MINUTE(C315),2)&amp;IF(D315="","","–"&amp;RIGHT("0"&amp;HOUR(D315),2)&amp;":"&amp;RIGHT("0"&amp;MINUTE(D315),2))&amp;" ")&amp;F315)</f>
        <v/>
      </c>
      <c r="N315" s="54">
        <f>IF(OR(A315="",F315=""),"",A315&amp;"#"&amp;(COUNTIFS($A$5:$A$3004,A315,$F$5:$F$3004,"?*",$O$5:$O$3004,"&lt;"&amp;O315)+COUNTIFS($A$5:A315,A315,$F$5:F315,"?*",$O$5:O315,O315)))</f>
        <v/>
      </c>
      <c r="O315" s="54">
        <f>IF(A315="","",IF(C315="",0,C315))</f>
        <v/>
      </c>
    </row>
    <row r="316">
      <c r="A316" s="58" t="n"/>
      <c r="B316" s="49">
        <f>IF(A316="","",CHOOSE(WEEKDAY(A316,2),"Пн","Вт","Ср","Чт","Пт","Сб","Вс"))</f>
        <v/>
      </c>
      <c r="C316" s="59" t="n"/>
      <c r="D316" s="59" t="n"/>
      <c r="E316" s="60">
        <f>IF(OR(C316="",D316=""),"",MOD(D316-C316,1)*24)</f>
        <v/>
      </c>
      <c r="F316" s="50" t="n"/>
      <c r="G316" s="51" t="n"/>
      <c r="H316" s="51" t="n"/>
      <c r="I316" s="51" t="n"/>
      <c r="J316" s="51" t="n"/>
      <c r="K316" s="51" t="n"/>
      <c r="L316" s="54">
        <f>IF(OR(A316="",C316="",D316=""),"",IF(COUNTIFS($A$5:$A$3004,A316,$C$5:$C$3004,"&lt;"&amp;D316,$D$5:$D$3004,"&gt;"&amp;C316)&gt;1,"⚠️ пересечение",""))</f>
        <v/>
      </c>
      <c r="M316" s="54">
        <f>IF(F316="","",IF(J316="✅ Сделано","✔ ",IF(J316="❌ Пропущено","✖ ","⏰ "))&amp;IF(C316="","",RIGHT("0"&amp;HOUR(C316),2)&amp;":"&amp;RIGHT("0"&amp;MINUTE(C316),2)&amp;IF(D316="","","–"&amp;RIGHT("0"&amp;HOUR(D316),2)&amp;":"&amp;RIGHT("0"&amp;MINUTE(D316),2))&amp;" ")&amp;F316)</f>
        <v/>
      </c>
      <c r="N316" s="54">
        <f>IF(OR(A316="",F316=""),"",A316&amp;"#"&amp;(COUNTIFS($A$5:$A$3004,A316,$F$5:$F$3004,"?*",$O$5:$O$3004,"&lt;"&amp;O316)+COUNTIFS($A$5:A316,A316,$F$5:F316,"?*",$O$5:O316,O316)))</f>
        <v/>
      </c>
      <c r="O316" s="54">
        <f>IF(A316="","",IF(C316="",0,C316))</f>
        <v/>
      </c>
    </row>
    <row r="317">
      <c r="A317" s="58" t="n"/>
      <c r="B317" s="49">
        <f>IF(A317="","",CHOOSE(WEEKDAY(A317,2),"Пн","Вт","Ср","Чт","Пт","Сб","Вс"))</f>
        <v/>
      </c>
      <c r="C317" s="59" t="n"/>
      <c r="D317" s="59" t="n"/>
      <c r="E317" s="60">
        <f>IF(OR(C317="",D317=""),"",MOD(D317-C317,1)*24)</f>
        <v/>
      </c>
      <c r="F317" s="50" t="n"/>
      <c r="G317" s="51" t="n"/>
      <c r="H317" s="51" t="n"/>
      <c r="I317" s="51" t="n"/>
      <c r="J317" s="51" t="n"/>
      <c r="K317" s="51" t="n"/>
      <c r="L317" s="54">
        <f>IF(OR(A317="",C317="",D317=""),"",IF(COUNTIFS($A$5:$A$3004,A317,$C$5:$C$3004,"&lt;"&amp;D317,$D$5:$D$3004,"&gt;"&amp;C317)&gt;1,"⚠️ пересечение",""))</f>
        <v/>
      </c>
      <c r="M317" s="54">
        <f>IF(F317="","",IF(J317="✅ Сделано","✔ ",IF(J317="❌ Пропущено","✖ ","⏰ "))&amp;IF(C317="","",RIGHT("0"&amp;HOUR(C317),2)&amp;":"&amp;RIGHT("0"&amp;MINUTE(C317),2)&amp;IF(D317="","","–"&amp;RIGHT("0"&amp;HOUR(D317),2)&amp;":"&amp;RIGHT("0"&amp;MINUTE(D317),2))&amp;" ")&amp;F317)</f>
        <v/>
      </c>
      <c r="N317" s="54">
        <f>IF(OR(A317="",F317=""),"",A317&amp;"#"&amp;(COUNTIFS($A$5:$A$3004,A317,$F$5:$F$3004,"?*",$O$5:$O$3004,"&lt;"&amp;O317)+COUNTIFS($A$5:A317,A317,$F$5:F317,"?*",$O$5:O317,O317)))</f>
        <v/>
      </c>
      <c r="O317" s="54">
        <f>IF(A317="","",IF(C317="",0,C317))</f>
        <v/>
      </c>
    </row>
    <row r="318">
      <c r="A318" s="58" t="n"/>
      <c r="B318" s="49">
        <f>IF(A318="","",CHOOSE(WEEKDAY(A318,2),"Пн","Вт","Ср","Чт","Пт","Сб","Вс"))</f>
        <v/>
      </c>
      <c r="C318" s="59" t="n"/>
      <c r="D318" s="59" t="n"/>
      <c r="E318" s="60">
        <f>IF(OR(C318="",D318=""),"",MOD(D318-C318,1)*24)</f>
        <v/>
      </c>
      <c r="F318" s="50" t="n"/>
      <c r="G318" s="51" t="n"/>
      <c r="H318" s="51" t="n"/>
      <c r="I318" s="51" t="n"/>
      <c r="J318" s="51" t="n"/>
      <c r="K318" s="51" t="n"/>
      <c r="L318" s="54">
        <f>IF(OR(A318="",C318="",D318=""),"",IF(COUNTIFS($A$5:$A$3004,A318,$C$5:$C$3004,"&lt;"&amp;D318,$D$5:$D$3004,"&gt;"&amp;C318)&gt;1,"⚠️ пересечение",""))</f>
        <v/>
      </c>
      <c r="M318" s="54">
        <f>IF(F318="","",IF(J318="✅ Сделано","✔ ",IF(J318="❌ Пропущено","✖ ","⏰ "))&amp;IF(C318="","",RIGHT("0"&amp;HOUR(C318),2)&amp;":"&amp;RIGHT("0"&amp;MINUTE(C318),2)&amp;IF(D318="","","–"&amp;RIGHT("0"&amp;HOUR(D318),2)&amp;":"&amp;RIGHT("0"&amp;MINUTE(D318),2))&amp;" ")&amp;F318)</f>
        <v/>
      </c>
      <c r="N318" s="54">
        <f>IF(OR(A318="",F318=""),"",A318&amp;"#"&amp;(COUNTIFS($A$5:$A$3004,A318,$F$5:$F$3004,"?*",$O$5:$O$3004,"&lt;"&amp;O318)+COUNTIFS($A$5:A318,A318,$F$5:F318,"?*",$O$5:O318,O318)))</f>
        <v/>
      </c>
      <c r="O318" s="54">
        <f>IF(A318="","",IF(C318="",0,C318))</f>
        <v/>
      </c>
    </row>
    <row r="319">
      <c r="A319" s="58" t="n"/>
      <c r="B319" s="49">
        <f>IF(A319="","",CHOOSE(WEEKDAY(A319,2),"Пн","Вт","Ср","Чт","Пт","Сб","Вс"))</f>
        <v/>
      </c>
      <c r="C319" s="59" t="n"/>
      <c r="D319" s="59" t="n"/>
      <c r="E319" s="60">
        <f>IF(OR(C319="",D319=""),"",MOD(D319-C319,1)*24)</f>
        <v/>
      </c>
      <c r="F319" s="50" t="n"/>
      <c r="G319" s="51" t="n"/>
      <c r="H319" s="51" t="n"/>
      <c r="I319" s="51" t="n"/>
      <c r="J319" s="51" t="n"/>
      <c r="K319" s="51" t="n"/>
      <c r="L319" s="54">
        <f>IF(OR(A319="",C319="",D319=""),"",IF(COUNTIFS($A$5:$A$3004,A319,$C$5:$C$3004,"&lt;"&amp;D319,$D$5:$D$3004,"&gt;"&amp;C319)&gt;1,"⚠️ пересечение",""))</f>
        <v/>
      </c>
      <c r="M319" s="54">
        <f>IF(F319="","",IF(J319="✅ Сделано","✔ ",IF(J319="❌ Пропущено","✖ ","⏰ "))&amp;IF(C319="","",RIGHT("0"&amp;HOUR(C319),2)&amp;":"&amp;RIGHT("0"&amp;MINUTE(C319),2)&amp;IF(D319="","","–"&amp;RIGHT("0"&amp;HOUR(D319),2)&amp;":"&amp;RIGHT("0"&amp;MINUTE(D319),2))&amp;" ")&amp;F319)</f>
        <v/>
      </c>
      <c r="N319" s="54">
        <f>IF(OR(A319="",F319=""),"",A319&amp;"#"&amp;(COUNTIFS($A$5:$A$3004,A319,$F$5:$F$3004,"?*",$O$5:$O$3004,"&lt;"&amp;O319)+COUNTIFS($A$5:A319,A319,$F$5:F319,"?*",$O$5:O319,O319)))</f>
        <v/>
      </c>
      <c r="O319" s="54">
        <f>IF(A319="","",IF(C319="",0,C319))</f>
        <v/>
      </c>
    </row>
    <row r="320">
      <c r="A320" s="58" t="n"/>
      <c r="B320" s="49">
        <f>IF(A320="","",CHOOSE(WEEKDAY(A320,2),"Пн","Вт","Ср","Чт","Пт","Сб","Вс"))</f>
        <v/>
      </c>
      <c r="C320" s="59" t="n"/>
      <c r="D320" s="59" t="n"/>
      <c r="E320" s="60">
        <f>IF(OR(C320="",D320=""),"",MOD(D320-C320,1)*24)</f>
        <v/>
      </c>
      <c r="F320" s="50" t="n"/>
      <c r="G320" s="51" t="n"/>
      <c r="H320" s="51" t="n"/>
      <c r="I320" s="51" t="n"/>
      <c r="J320" s="51" t="n"/>
      <c r="K320" s="51" t="n"/>
      <c r="L320" s="54">
        <f>IF(OR(A320="",C320="",D320=""),"",IF(COUNTIFS($A$5:$A$3004,A320,$C$5:$C$3004,"&lt;"&amp;D320,$D$5:$D$3004,"&gt;"&amp;C320)&gt;1,"⚠️ пересечение",""))</f>
        <v/>
      </c>
      <c r="M320" s="54">
        <f>IF(F320="","",IF(J320="✅ Сделано","✔ ",IF(J320="❌ Пропущено","✖ ","⏰ "))&amp;IF(C320="","",RIGHT("0"&amp;HOUR(C320),2)&amp;":"&amp;RIGHT("0"&amp;MINUTE(C320),2)&amp;IF(D320="","","–"&amp;RIGHT("0"&amp;HOUR(D320),2)&amp;":"&amp;RIGHT("0"&amp;MINUTE(D320),2))&amp;" ")&amp;F320)</f>
        <v/>
      </c>
      <c r="N320" s="54">
        <f>IF(OR(A320="",F320=""),"",A320&amp;"#"&amp;(COUNTIFS($A$5:$A$3004,A320,$F$5:$F$3004,"?*",$O$5:$O$3004,"&lt;"&amp;O320)+COUNTIFS($A$5:A320,A320,$F$5:F320,"?*",$O$5:O320,O320)))</f>
        <v/>
      </c>
      <c r="O320" s="54">
        <f>IF(A320="","",IF(C320="",0,C320))</f>
        <v/>
      </c>
    </row>
    <row r="321">
      <c r="A321" s="58" t="n"/>
      <c r="B321" s="49">
        <f>IF(A321="","",CHOOSE(WEEKDAY(A321,2),"Пн","Вт","Ср","Чт","Пт","Сб","Вс"))</f>
        <v/>
      </c>
      <c r="C321" s="59" t="n"/>
      <c r="D321" s="59" t="n"/>
      <c r="E321" s="60">
        <f>IF(OR(C321="",D321=""),"",MOD(D321-C321,1)*24)</f>
        <v/>
      </c>
      <c r="F321" s="50" t="n"/>
      <c r="G321" s="51" t="n"/>
      <c r="H321" s="51" t="n"/>
      <c r="I321" s="51" t="n"/>
      <c r="J321" s="51" t="n"/>
      <c r="K321" s="51" t="n"/>
      <c r="L321" s="54">
        <f>IF(OR(A321="",C321="",D321=""),"",IF(COUNTIFS($A$5:$A$3004,A321,$C$5:$C$3004,"&lt;"&amp;D321,$D$5:$D$3004,"&gt;"&amp;C321)&gt;1,"⚠️ пересечение",""))</f>
        <v/>
      </c>
      <c r="M321" s="54">
        <f>IF(F321="","",IF(J321="✅ Сделано","✔ ",IF(J321="❌ Пропущено","✖ ","⏰ "))&amp;IF(C321="","",RIGHT("0"&amp;HOUR(C321),2)&amp;":"&amp;RIGHT("0"&amp;MINUTE(C321),2)&amp;IF(D321="","","–"&amp;RIGHT("0"&amp;HOUR(D321),2)&amp;":"&amp;RIGHT("0"&amp;MINUTE(D321),2))&amp;" ")&amp;F321)</f>
        <v/>
      </c>
      <c r="N321" s="54">
        <f>IF(OR(A321="",F321=""),"",A321&amp;"#"&amp;(COUNTIFS($A$5:$A$3004,A321,$F$5:$F$3004,"?*",$O$5:$O$3004,"&lt;"&amp;O321)+COUNTIFS($A$5:A321,A321,$F$5:F321,"?*",$O$5:O321,O321)))</f>
        <v/>
      </c>
      <c r="O321" s="54">
        <f>IF(A321="","",IF(C321="",0,C321))</f>
        <v/>
      </c>
    </row>
    <row r="322">
      <c r="A322" s="58" t="n"/>
      <c r="B322" s="49">
        <f>IF(A322="","",CHOOSE(WEEKDAY(A322,2),"Пн","Вт","Ср","Чт","Пт","Сб","Вс"))</f>
        <v/>
      </c>
      <c r="C322" s="59" t="n"/>
      <c r="D322" s="59" t="n"/>
      <c r="E322" s="60">
        <f>IF(OR(C322="",D322=""),"",MOD(D322-C322,1)*24)</f>
        <v/>
      </c>
      <c r="F322" s="50" t="n"/>
      <c r="G322" s="51" t="n"/>
      <c r="H322" s="51" t="n"/>
      <c r="I322" s="51" t="n"/>
      <c r="J322" s="51" t="n"/>
      <c r="K322" s="51" t="n"/>
      <c r="L322" s="54">
        <f>IF(OR(A322="",C322="",D322=""),"",IF(COUNTIFS($A$5:$A$3004,A322,$C$5:$C$3004,"&lt;"&amp;D322,$D$5:$D$3004,"&gt;"&amp;C322)&gt;1,"⚠️ пересечение",""))</f>
        <v/>
      </c>
      <c r="M322" s="54">
        <f>IF(F322="","",IF(J322="✅ Сделано","✔ ",IF(J322="❌ Пропущено","✖ ","⏰ "))&amp;IF(C322="","",RIGHT("0"&amp;HOUR(C322),2)&amp;":"&amp;RIGHT("0"&amp;MINUTE(C322),2)&amp;IF(D322="","","–"&amp;RIGHT("0"&amp;HOUR(D322),2)&amp;":"&amp;RIGHT("0"&amp;MINUTE(D322),2))&amp;" ")&amp;F322)</f>
        <v/>
      </c>
      <c r="N322" s="54">
        <f>IF(OR(A322="",F322=""),"",A322&amp;"#"&amp;(COUNTIFS($A$5:$A$3004,A322,$F$5:$F$3004,"?*",$O$5:$O$3004,"&lt;"&amp;O322)+COUNTIFS($A$5:A322,A322,$F$5:F322,"?*",$O$5:O322,O322)))</f>
        <v/>
      </c>
      <c r="O322" s="54">
        <f>IF(A322="","",IF(C322="",0,C322))</f>
        <v/>
      </c>
    </row>
    <row r="323">
      <c r="A323" s="58" t="n"/>
      <c r="B323" s="49">
        <f>IF(A323="","",CHOOSE(WEEKDAY(A323,2),"Пн","Вт","Ср","Чт","Пт","Сб","Вс"))</f>
        <v/>
      </c>
      <c r="C323" s="59" t="n"/>
      <c r="D323" s="59" t="n"/>
      <c r="E323" s="60">
        <f>IF(OR(C323="",D323=""),"",MOD(D323-C323,1)*24)</f>
        <v/>
      </c>
      <c r="F323" s="50" t="n"/>
      <c r="G323" s="51" t="n"/>
      <c r="H323" s="51" t="n"/>
      <c r="I323" s="51" t="n"/>
      <c r="J323" s="51" t="n"/>
      <c r="K323" s="51" t="n"/>
      <c r="L323" s="54">
        <f>IF(OR(A323="",C323="",D323=""),"",IF(COUNTIFS($A$5:$A$3004,A323,$C$5:$C$3004,"&lt;"&amp;D323,$D$5:$D$3004,"&gt;"&amp;C323)&gt;1,"⚠️ пересечение",""))</f>
        <v/>
      </c>
      <c r="M323" s="54">
        <f>IF(F323="","",IF(J323="✅ Сделано","✔ ",IF(J323="❌ Пропущено","✖ ","⏰ "))&amp;IF(C323="","",RIGHT("0"&amp;HOUR(C323),2)&amp;":"&amp;RIGHT("0"&amp;MINUTE(C323),2)&amp;IF(D323="","","–"&amp;RIGHT("0"&amp;HOUR(D323),2)&amp;":"&amp;RIGHT("0"&amp;MINUTE(D323),2))&amp;" ")&amp;F323)</f>
        <v/>
      </c>
      <c r="N323" s="54">
        <f>IF(OR(A323="",F323=""),"",A323&amp;"#"&amp;(COUNTIFS($A$5:$A$3004,A323,$F$5:$F$3004,"?*",$O$5:$O$3004,"&lt;"&amp;O323)+COUNTIFS($A$5:A323,A323,$F$5:F323,"?*",$O$5:O323,O323)))</f>
        <v/>
      </c>
      <c r="O323" s="54">
        <f>IF(A323="","",IF(C323="",0,C323))</f>
        <v/>
      </c>
    </row>
    <row r="324">
      <c r="A324" s="58" t="n"/>
      <c r="B324" s="49">
        <f>IF(A324="","",CHOOSE(WEEKDAY(A324,2),"Пн","Вт","Ср","Чт","Пт","Сб","Вс"))</f>
        <v/>
      </c>
      <c r="C324" s="59" t="n"/>
      <c r="D324" s="59" t="n"/>
      <c r="E324" s="60">
        <f>IF(OR(C324="",D324=""),"",MOD(D324-C324,1)*24)</f>
        <v/>
      </c>
      <c r="F324" s="50" t="n"/>
      <c r="G324" s="51" t="n"/>
      <c r="H324" s="51" t="n"/>
      <c r="I324" s="51" t="n"/>
      <c r="J324" s="51" t="n"/>
      <c r="K324" s="51" t="n"/>
      <c r="L324" s="54">
        <f>IF(OR(A324="",C324="",D324=""),"",IF(COUNTIFS($A$5:$A$3004,A324,$C$5:$C$3004,"&lt;"&amp;D324,$D$5:$D$3004,"&gt;"&amp;C324)&gt;1,"⚠️ пересечение",""))</f>
        <v/>
      </c>
      <c r="M324" s="54">
        <f>IF(F324="","",IF(J324="✅ Сделано","✔ ",IF(J324="❌ Пропущено","✖ ","⏰ "))&amp;IF(C324="","",RIGHT("0"&amp;HOUR(C324),2)&amp;":"&amp;RIGHT("0"&amp;MINUTE(C324),2)&amp;IF(D324="","","–"&amp;RIGHT("0"&amp;HOUR(D324),2)&amp;":"&amp;RIGHT("0"&amp;MINUTE(D324),2))&amp;" ")&amp;F324)</f>
        <v/>
      </c>
      <c r="N324" s="54">
        <f>IF(OR(A324="",F324=""),"",A324&amp;"#"&amp;(COUNTIFS($A$5:$A$3004,A324,$F$5:$F$3004,"?*",$O$5:$O$3004,"&lt;"&amp;O324)+COUNTIFS($A$5:A324,A324,$F$5:F324,"?*",$O$5:O324,O324)))</f>
        <v/>
      </c>
      <c r="O324" s="54">
        <f>IF(A324="","",IF(C324="",0,C324))</f>
        <v/>
      </c>
    </row>
    <row r="325">
      <c r="A325" s="58" t="n"/>
      <c r="B325" s="49">
        <f>IF(A325="","",CHOOSE(WEEKDAY(A325,2),"Пн","Вт","Ср","Чт","Пт","Сб","Вс"))</f>
        <v/>
      </c>
      <c r="C325" s="59" t="n"/>
      <c r="D325" s="59" t="n"/>
      <c r="E325" s="60">
        <f>IF(OR(C325="",D325=""),"",MOD(D325-C325,1)*24)</f>
        <v/>
      </c>
      <c r="F325" s="50" t="n"/>
      <c r="G325" s="51" t="n"/>
      <c r="H325" s="51" t="n"/>
      <c r="I325" s="51" t="n"/>
      <c r="J325" s="51" t="n"/>
      <c r="K325" s="51" t="n"/>
      <c r="L325" s="54">
        <f>IF(OR(A325="",C325="",D325=""),"",IF(COUNTIFS($A$5:$A$3004,A325,$C$5:$C$3004,"&lt;"&amp;D325,$D$5:$D$3004,"&gt;"&amp;C325)&gt;1,"⚠️ пересечение",""))</f>
        <v/>
      </c>
      <c r="M325" s="54">
        <f>IF(F325="","",IF(J325="✅ Сделано","✔ ",IF(J325="❌ Пропущено","✖ ","⏰ "))&amp;IF(C325="","",RIGHT("0"&amp;HOUR(C325),2)&amp;":"&amp;RIGHT("0"&amp;MINUTE(C325),2)&amp;IF(D325="","","–"&amp;RIGHT("0"&amp;HOUR(D325),2)&amp;":"&amp;RIGHT("0"&amp;MINUTE(D325),2))&amp;" ")&amp;F325)</f>
        <v/>
      </c>
      <c r="N325" s="54">
        <f>IF(OR(A325="",F325=""),"",A325&amp;"#"&amp;(COUNTIFS($A$5:$A$3004,A325,$F$5:$F$3004,"?*",$O$5:$O$3004,"&lt;"&amp;O325)+COUNTIFS($A$5:A325,A325,$F$5:F325,"?*",$O$5:O325,O325)))</f>
        <v/>
      </c>
      <c r="O325" s="54">
        <f>IF(A325="","",IF(C325="",0,C325))</f>
        <v/>
      </c>
    </row>
    <row r="326">
      <c r="A326" s="58" t="n"/>
      <c r="B326" s="49">
        <f>IF(A326="","",CHOOSE(WEEKDAY(A326,2),"Пн","Вт","Ср","Чт","Пт","Сб","Вс"))</f>
        <v/>
      </c>
      <c r="C326" s="59" t="n"/>
      <c r="D326" s="59" t="n"/>
      <c r="E326" s="60">
        <f>IF(OR(C326="",D326=""),"",MOD(D326-C326,1)*24)</f>
        <v/>
      </c>
      <c r="F326" s="50" t="n"/>
      <c r="G326" s="51" t="n"/>
      <c r="H326" s="51" t="n"/>
      <c r="I326" s="51" t="n"/>
      <c r="J326" s="51" t="n"/>
      <c r="K326" s="51" t="n"/>
      <c r="L326" s="54">
        <f>IF(OR(A326="",C326="",D326=""),"",IF(COUNTIFS($A$5:$A$3004,A326,$C$5:$C$3004,"&lt;"&amp;D326,$D$5:$D$3004,"&gt;"&amp;C326)&gt;1,"⚠️ пересечение",""))</f>
        <v/>
      </c>
      <c r="M326" s="54">
        <f>IF(F326="","",IF(J326="✅ Сделано","✔ ",IF(J326="❌ Пропущено","✖ ","⏰ "))&amp;IF(C326="","",RIGHT("0"&amp;HOUR(C326),2)&amp;":"&amp;RIGHT("0"&amp;MINUTE(C326),2)&amp;IF(D326="","","–"&amp;RIGHT("0"&amp;HOUR(D326),2)&amp;":"&amp;RIGHT("0"&amp;MINUTE(D326),2))&amp;" ")&amp;F326)</f>
        <v/>
      </c>
      <c r="N326" s="54">
        <f>IF(OR(A326="",F326=""),"",A326&amp;"#"&amp;(COUNTIFS($A$5:$A$3004,A326,$F$5:$F$3004,"?*",$O$5:$O$3004,"&lt;"&amp;O326)+COUNTIFS($A$5:A326,A326,$F$5:F326,"?*",$O$5:O326,O326)))</f>
        <v/>
      </c>
      <c r="O326" s="54">
        <f>IF(A326="","",IF(C326="",0,C326))</f>
        <v/>
      </c>
    </row>
    <row r="327">
      <c r="A327" s="58" t="n"/>
      <c r="B327" s="49">
        <f>IF(A327="","",CHOOSE(WEEKDAY(A327,2),"Пн","Вт","Ср","Чт","Пт","Сб","Вс"))</f>
        <v/>
      </c>
      <c r="C327" s="59" t="n"/>
      <c r="D327" s="59" t="n"/>
      <c r="E327" s="60">
        <f>IF(OR(C327="",D327=""),"",MOD(D327-C327,1)*24)</f>
        <v/>
      </c>
      <c r="F327" s="50" t="n"/>
      <c r="G327" s="51" t="n"/>
      <c r="H327" s="51" t="n"/>
      <c r="I327" s="51" t="n"/>
      <c r="J327" s="51" t="n"/>
      <c r="K327" s="51" t="n"/>
      <c r="L327" s="54">
        <f>IF(OR(A327="",C327="",D327=""),"",IF(COUNTIFS($A$5:$A$3004,A327,$C$5:$C$3004,"&lt;"&amp;D327,$D$5:$D$3004,"&gt;"&amp;C327)&gt;1,"⚠️ пересечение",""))</f>
        <v/>
      </c>
      <c r="M327" s="54">
        <f>IF(F327="","",IF(J327="✅ Сделано","✔ ",IF(J327="❌ Пропущено","✖ ","⏰ "))&amp;IF(C327="","",RIGHT("0"&amp;HOUR(C327),2)&amp;":"&amp;RIGHT("0"&amp;MINUTE(C327),2)&amp;IF(D327="","","–"&amp;RIGHT("0"&amp;HOUR(D327),2)&amp;":"&amp;RIGHT("0"&amp;MINUTE(D327),2))&amp;" ")&amp;F327)</f>
        <v/>
      </c>
      <c r="N327" s="54">
        <f>IF(OR(A327="",F327=""),"",A327&amp;"#"&amp;(COUNTIFS($A$5:$A$3004,A327,$F$5:$F$3004,"?*",$O$5:$O$3004,"&lt;"&amp;O327)+COUNTIFS($A$5:A327,A327,$F$5:F327,"?*",$O$5:O327,O327)))</f>
        <v/>
      </c>
      <c r="O327" s="54">
        <f>IF(A327="","",IF(C327="",0,C327))</f>
        <v/>
      </c>
    </row>
    <row r="328">
      <c r="A328" s="58" t="n"/>
      <c r="B328" s="49">
        <f>IF(A328="","",CHOOSE(WEEKDAY(A328,2),"Пн","Вт","Ср","Чт","Пт","Сб","Вс"))</f>
        <v/>
      </c>
      <c r="C328" s="59" t="n"/>
      <c r="D328" s="59" t="n"/>
      <c r="E328" s="60">
        <f>IF(OR(C328="",D328=""),"",MOD(D328-C328,1)*24)</f>
        <v/>
      </c>
      <c r="F328" s="50" t="n"/>
      <c r="G328" s="51" t="n"/>
      <c r="H328" s="51" t="n"/>
      <c r="I328" s="51" t="n"/>
      <c r="J328" s="51" t="n"/>
      <c r="K328" s="51" t="n"/>
      <c r="L328" s="54">
        <f>IF(OR(A328="",C328="",D328=""),"",IF(COUNTIFS($A$5:$A$3004,A328,$C$5:$C$3004,"&lt;"&amp;D328,$D$5:$D$3004,"&gt;"&amp;C328)&gt;1,"⚠️ пересечение",""))</f>
        <v/>
      </c>
      <c r="M328" s="54">
        <f>IF(F328="","",IF(J328="✅ Сделано","✔ ",IF(J328="❌ Пропущено","✖ ","⏰ "))&amp;IF(C328="","",RIGHT("0"&amp;HOUR(C328),2)&amp;":"&amp;RIGHT("0"&amp;MINUTE(C328),2)&amp;IF(D328="","","–"&amp;RIGHT("0"&amp;HOUR(D328),2)&amp;":"&amp;RIGHT("0"&amp;MINUTE(D328),2))&amp;" ")&amp;F328)</f>
        <v/>
      </c>
      <c r="N328" s="54">
        <f>IF(OR(A328="",F328=""),"",A328&amp;"#"&amp;(COUNTIFS($A$5:$A$3004,A328,$F$5:$F$3004,"?*",$O$5:$O$3004,"&lt;"&amp;O328)+COUNTIFS($A$5:A328,A328,$F$5:F328,"?*",$O$5:O328,O328)))</f>
        <v/>
      </c>
      <c r="O328" s="54">
        <f>IF(A328="","",IF(C328="",0,C328))</f>
        <v/>
      </c>
    </row>
    <row r="329">
      <c r="A329" s="58" t="n"/>
      <c r="B329" s="49">
        <f>IF(A329="","",CHOOSE(WEEKDAY(A329,2),"Пн","Вт","Ср","Чт","Пт","Сб","Вс"))</f>
        <v/>
      </c>
      <c r="C329" s="59" t="n"/>
      <c r="D329" s="59" t="n"/>
      <c r="E329" s="60">
        <f>IF(OR(C329="",D329=""),"",MOD(D329-C329,1)*24)</f>
        <v/>
      </c>
      <c r="F329" s="50" t="n"/>
      <c r="G329" s="51" t="n"/>
      <c r="H329" s="51" t="n"/>
      <c r="I329" s="51" t="n"/>
      <c r="J329" s="51" t="n"/>
      <c r="K329" s="51" t="n"/>
      <c r="L329" s="54">
        <f>IF(OR(A329="",C329="",D329=""),"",IF(COUNTIFS($A$5:$A$3004,A329,$C$5:$C$3004,"&lt;"&amp;D329,$D$5:$D$3004,"&gt;"&amp;C329)&gt;1,"⚠️ пересечение",""))</f>
        <v/>
      </c>
      <c r="M329" s="54">
        <f>IF(F329="","",IF(J329="✅ Сделано","✔ ",IF(J329="❌ Пропущено","✖ ","⏰ "))&amp;IF(C329="","",RIGHT("0"&amp;HOUR(C329),2)&amp;":"&amp;RIGHT("0"&amp;MINUTE(C329),2)&amp;IF(D329="","","–"&amp;RIGHT("0"&amp;HOUR(D329),2)&amp;":"&amp;RIGHT("0"&amp;MINUTE(D329),2))&amp;" ")&amp;F329)</f>
        <v/>
      </c>
      <c r="N329" s="54">
        <f>IF(OR(A329="",F329=""),"",A329&amp;"#"&amp;(COUNTIFS($A$5:$A$3004,A329,$F$5:$F$3004,"?*",$O$5:$O$3004,"&lt;"&amp;O329)+COUNTIFS($A$5:A329,A329,$F$5:F329,"?*",$O$5:O329,O329)))</f>
        <v/>
      </c>
      <c r="O329" s="54">
        <f>IF(A329="","",IF(C329="",0,C329))</f>
        <v/>
      </c>
    </row>
    <row r="330">
      <c r="A330" s="58" t="n"/>
      <c r="B330" s="49">
        <f>IF(A330="","",CHOOSE(WEEKDAY(A330,2),"Пн","Вт","Ср","Чт","Пт","Сб","Вс"))</f>
        <v/>
      </c>
      <c r="C330" s="59" t="n"/>
      <c r="D330" s="59" t="n"/>
      <c r="E330" s="60">
        <f>IF(OR(C330="",D330=""),"",MOD(D330-C330,1)*24)</f>
        <v/>
      </c>
      <c r="F330" s="50" t="n"/>
      <c r="G330" s="51" t="n"/>
      <c r="H330" s="51" t="n"/>
      <c r="I330" s="51" t="n"/>
      <c r="J330" s="51" t="n"/>
      <c r="K330" s="51" t="n"/>
      <c r="L330" s="54">
        <f>IF(OR(A330="",C330="",D330=""),"",IF(COUNTIFS($A$5:$A$3004,A330,$C$5:$C$3004,"&lt;"&amp;D330,$D$5:$D$3004,"&gt;"&amp;C330)&gt;1,"⚠️ пересечение",""))</f>
        <v/>
      </c>
      <c r="M330" s="54">
        <f>IF(F330="","",IF(J330="✅ Сделано","✔ ",IF(J330="❌ Пропущено","✖ ","⏰ "))&amp;IF(C330="","",RIGHT("0"&amp;HOUR(C330),2)&amp;":"&amp;RIGHT("0"&amp;MINUTE(C330),2)&amp;IF(D330="","","–"&amp;RIGHT("0"&amp;HOUR(D330),2)&amp;":"&amp;RIGHT("0"&amp;MINUTE(D330),2))&amp;" ")&amp;F330)</f>
        <v/>
      </c>
      <c r="N330" s="54">
        <f>IF(OR(A330="",F330=""),"",A330&amp;"#"&amp;(COUNTIFS($A$5:$A$3004,A330,$F$5:$F$3004,"?*",$O$5:$O$3004,"&lt;"&amp;O330)+COUNTIFS($A$5:A330,A330,$F$5:F330,"?*",$O$5:O330,O330)))</f>
        <v/>
      </c>
      <c r="O330" s="54">
        <f>IF(A330="","",IF(C330="",0,C330))</f>
        <v/>
      </c>
    </row>
    <row r="331">
      <c r="A331" s="58" t="n"/>
      <c r="B331" s="49">
        <f>IF(A331="","",CHOOSE(WEEKDAY(A331,2),"Пн","Вт","Ср","Чт","Пт","Сб","Вс"))</f>
        <v/>
      </c>
      <c r="C331" s="59" t="n"/>
      <c r="D331" s="59" t="n"/>
      <c r="E331" s="60">
        <f>IF(OR(C331="",D331=""),"",MOD(D331-C331,1)*24)</f>
        <v/>
      </c>
      <c r="F331" s="50" t="n"/>
      <c r="G331" s="51" t="n"/>
      <c r="H331" s="51" t="n"/>
      <c r="I331" s="51" t="n"/>
      <c r="J331" s="51" t="n"/>
      <c r="K331" s="51" t="n"/>
      <c r="L331" s="54">
        <f>IF(OR(A331="",C331="",D331=""),"",IF(COUNTIFS($A$5:$A$3004,A331,$C$5:$C$3004,"&lt;"&amp;D331,$D$5:$D$3004,"&gt;"&amp;C331)&gt;1,"⚠️ пересечение",""))</f>
        <v/>
      </c>
      <c r="M331" s="54">
        <f>IF(F331="","",IF(J331="✅ Сделано","✔ ",IF(J331="❌ Пропущено","✖ ","⏰ "))&amp;IF(C331="","",RIGHT("0"&amp;HOUR(C331),2)&amp;":"&amp;RIGHT("0"&amp;MINUTE(C331),2)&amp;IF(D331="","","–"&amp;RIGHT("0"&amp;HOUR(D331),2)&amp;":"&amp;RIGHT("0"&amp;MINUTE(D331),2))&amp;" ")&amp;F331)</f>
        <v/>
      </c>
      <c r="N331" s="54">
        <f>IF(OR(A331="",F331=""),"",A331&amp;"#"&amp;(COUNTIFS($A$5:$A$3004,A331,$F$5:$F$3004,"?*",$O$5:$O$3004,"&lt;"&amp;O331)+COUNTIFS($A$5:A331,A331,$F$5:F331,"?*",$O$5:O331,O331)))</f>
        <v/>
      </c>
      <c r="O331" s="54">
        <f>IF(A331="","",IF(C331="",0,C331))</f>
        <v/>
      </c>
    </row>
    <row r="332">
      <c r="A332" s="58" t="n"/>
      <c r="B332" s="49">
        <f>IF(A332="","",CHOOSE(WEEKDAY(A332,2),"Пн","Вт","Ср","Чт","Пт","Сб","Вс"))</f>
        <v/>
      </c>
      <c r="C332" s="59" t="n"/>
      <c r="D332" s="59" t="n"/>
      <c r="E332" s="60">
        <f>IF(OR(C332="",D332=""),"",MOD(D332-C332,1)*24)</f>
        <v/>
      </c>
      <c r="F332" s="50" t="n"/>
      <c r="G332" s="51" t="n"/>
      <c r="H332" s="51" t="n"/>
      <c r="I332" s="51" t="n"/>
      <c r="J332" s="51" t="n"/>
      <c r="K332" s="51" t="n"/>
      <c r="L332" s="54">
        <f>IF(OR(A332="",C332="",D332=""),"",IF(COUNTIFS($A$5:$A$3004,A332,$C$5:$C$3004,"&lt;"&amp;D332,$D$5:$D$3004,"&gt;"&amp;C332)&gt;1,"⚠️ пересечение",""))</f>
        <v/>
      </c>
      <c r="M332" s="54">
        <f>IF(F332="","",IF(J332="✅ Сделано","✔ ",IF(J332="❌ Пропущено","✖ ","⏰ "))&amp;IF(C332="","",RIGHT("0"&amp;HOUR(C332),2)&amp;":"&amp;RIGHT("0"&amp;MINUTE(C332),2)&amp;IF(D332="","","–"&amp;RIGHT("0"&amp;HOUR(D332),2)&amp;":"&amp;RIGHT("0"&amp;MINUTE(D332),2))&amp;" ")&amp;F332)</f>
        <v/>
      </c>
      <c r="N332" s="54">
        <f>IF(OR(A332="",F332=""),"",A332&amp;"#"&amp;(COUNTIFS($A$5:$A$3004,A332,$F$5:$F$3004,"?*",$O$5:$O$3004,"&lt;"&amp;O332)+COUNTIFS($A$5:A332,A332,$F$5:F332,"?*",$O$5:O332,O332)))</f>
        <v/>
      </c>
      <c r="O332" s="54">
        <f>IF(A332="","",IF(C332="",0,C332))</f>
        <v/>
      </c>
    </row>
    <row r="333">
      <c r="A333" s="58" t="n"/>
      <c r="B333" s="49">
        <f>IF(A333="","",CHOOSE(WEEKDAY(A333,2),"Пн","Вт","Ср","Чт","Пт","Сб","Вс"))</f>
        <v/>
      </c>
      <c r="C333" s="59" t="n"/>
      <c r="D333" s="59" t="n"/>
      <c r="E333" s="60">
        <f>IF(OR(C333="",D333=""),"",MOD(D333-C333,1)*24)</f>
        <v/>
      </c>
      <c r="F333" s="50" t="n"/>
      <c r="G333" s="51" t="n"/>
      <c r="H333" s="51" t="n"/>
      <c r="I333" s="51" t="n"/>
      <c r="J333" s="51" t="n"/>
      <c r="K333" s="51" t="n"/>
      <c r="L333" s="54">
        <f>IF(OR(A333="",C333="",D333=""),"",IF(COUNTIFS($A$5:$A$3004,A333,$C$5:$C$3004,"&lt;"&amp;D333,$D$5:$D$3004,"&gt;"&amp;C333)&gt;1,"⚠️ пересечение",""))</f>
        <v/>
      </c>
      <c r="M333" s="54">
        <f>IF(F333="","",IF(J333="✅ Сделано","✔ ",IF(J333="❌ Пропущено","✖ ","⏰ "))&amp;IF(C333="","",RIGHT("0"&amp;HOUR(C333),2)&amp;":"&amp;RIGHT("0"&amp;MINUTE(C333),2)&amp;IF(D333="","","–"&amp;RIGHT("0"&amp;HOUR(D333),2)&amp;":"&amp;RIGHT("0"&amp;MINUTE(D333),2))&amp;" ")&amp;F333)</f>
        <v/>
      </c>
      <c r="N333" s="54">
        <f>IF(OR(A333="",F333=""),"",A333&amp;"#"&amp;(COUNTIFS($A$5:$A$3004,A333,$F$5:$F$3004,"?*",$O$5:$O$3004,"&lt;"&amp;O333)+COUNTIFS($A$5:A333,A333,$F$5:F333,"?*",$O$5:O333,O333)))</f>
        <v/>
      </c>
      <c r="O333" s="54">
        <f>IF(A333="","",IF(C333="",0,C333))</f>
        <v/>
      </c>
    </row>
    <row r="334">
      <c r="A334" s="58" t="n"/>
      <c r="B334" s="49">
        <f>IF(A334="","",CHOOSE(WEEKDAY(A334,2),"Пн","Вт","Ср","Чт","Пт","Сб","Вс"))</f>
        <v/>
      </c>
      <c r="C334" s="59" t="n"/>
      <c r="D334" s="59" t="n"/>
      <c r="E334" s="60">
        <f>IF(OR(C334="",D334=""),"",MOD(D334-C334,1)*24)</f>
        <v/>
      </c>
      <c r="F334" s="50" t="n"/>
      <c r="G334" s="51" t="n"/>
      <c r="H334" s="51" t="n"/>
      <c r="I334" s="51" t="n"/>
      <c r="J334" s="51" t="n"/>
      <c r="K334" s="51" t="n"/>
      <c r="L334" s="54">
        <f>IF(OR(A334="",C334="",D334=""),"",IF(COUNTIFS($A$5:$A$3004,A334,$C$5:$C$3004,"&lt;"&amp;D334,$D$5:$D$3004,"&gt;"&amp;C334)&gt;1,"⚠️ пересечение",""))</f>
        <v/>
      </c>
      <c r="M334" s="54">
        <f>IF(F334="","",IF(J334="✅ Сделано","✔ ",IF(J334="❌ Пропущено","✖ ","⏰ "))&amp;IF(C334="","",RIGHT("0"&amp;HOUR(C334),2)&amp;":"&amp;RIGHT("0"&amp;MINUTE(C334),2)&amp;IF(D334="","","–"&amp;RIGHT("0"&amp;HOUR(D334),2)&amp;":"&amp;RIGHT("0"&amp;MINUTE(D334),2))&amp;" ")&amp;F334)</f>
        <v/>
      </c>
      <c r="N334" s="54">
        <f>IF(OR(A334="",F334=""),"",A334&amp;"#"&amp;(COUNTIFS($A$5:$A$3004,A334,$F$5:$F$3004,"?*",$O$5:$O$3004,"&lt;"&amp;O334)+COUNTIFS($A$5:A334,A334,$F$5:F334,"?*",$O$5:O334,O334)))</f>
        <v/>
      </c>
      <c r="O334" s="54">
        <f>IF(A334="","",IF(C334="",0,C334))</f>
        <v/>
      </c>
    </row>
    <row r="335">
      <c r="A335" s="58" t="n"/>
      <c r="B335" s="49">
        <f>IF(A335="","",CHOOSE(WEEKDAY(A335,2),"Пн","Вт","Ср","Чт","Пт","Сб","Вс"))</f>
        <v/>
      </c>
      <c r="C335" s="59" t="n"/>
      <c r="D335" s="59" t="n"/>
      <c r="E335" s="60">
        <f>IF(OR(C335="",D335=""),"",MOD(D335-C335,1)*24)</f>
        <v/>
      </c>
      <c r="F335" s="50" t="n"/>
      <c r="G335" s="51" t="n"/>
      <c r="H335" s="51" t="n"/>
      <c r="I335" s="51" t="n"/>
      <c r="J335" s="51" t="n"/>
      <c r="K335" s="51" t="n"/>
      <c r="L335" s="54">
        <f>IF(OR(A335="",C335="",D335=""),"",IF(COUNTIFS($A$5:$A$3004,A335,$C$5:$C$3004,"&lt;"&amp;D335,$D$5:$D$3004,"&gt;"&amp;C335)&gt;1,"⚠️ пересечение",""))</f>
        <v/>
      </c>
      <c r="M335" s="54">
        <f>IF(F335="","",IF(J335="✅ Сделано","✔ ",IF(J335="❌ Пропущено","✖ ","⏰ "))&amp;IF(C335="","",RIGHT("0"&amp;HOUR(C335),2)&amp;":"&amp;RIGHT("0"&amp;MINUTE(C335),2)&amp;IF(D335="","","–"&amp;RIGHT("0"&amp;HOUR(D335),2)&amp;":"&amp;RIGHT("0"&amp;MINUTE(D335),2))&amp;" ")&amp;F335)</f>
        <v/>
      </c>
      <c r="N335" s="54">
        <f>IF(OR(A335="",F335=""),"",A335&amp;"#"&amp;(COUNTIFS($A$5:$A$3004,A335,$F$5:$F$3004,"?*",$O$5:$O$3004,"&lt;"&amp;O335)+COUNTIFS($A$5:A335,A335,$F$5:F335,"?*",$O$5:O335,O335)))</f>
        <v/>
      </c>
      <c r="O335" s="54">
        <f>IF(A335="","",IF(C335="",0,C335))</f>
        <v/>
      </c>
    </row>
    <row r="336">
      <c r="A336" s="58" t="n"/>
      <c r="B336" s="49">
        <f>IF(A336="","",CHOOSE(WEEKDAY(A336,2),"Пн","Вт","Ср","Чт","Пт","Сб","Вс"))</f>
        <v/>
      </c>
      <c r="C336" s="59" t="n"/>
      <c r="D336" s="59" t="n"/>
      <c r="E336" s="60">
        <f>IF(OR(C336="",D336=""),"",MOD(D336-C336,1)*24)</f>
        <v/>
      </c>
      <c r="F336" s="50" t="n"/>
      <c r="G336" s="51" t="n"/>
      <c r="H336" s="51" t="n"/>
      <c r="I336" s="51" t="n"/>
      <c r="J336" s="51" t="n"/>
      <c r="K336" s="51" t="n"/>
      <c r="L336" s="54">
        <f>IF(OR(A336="",C336="",D336=""),"",IF(COUNTIFS($A$5:$A$3004,A336,$C$5:$C$3004,"&lt;"&amp;D336,$D$5:$D$3004,"&gt;"&amp;C336)&gt;1,"⚠️ пересечение",""))</f>
        <v/>
      </c>
      <c r="M336" s="54">
        <f>IF(F336="","",IF(J336="✅ Сделано","✔ ",IF(J336="❌ Пропущено","✖ ","⏰ "))&amp;IF(C336="","",RIGHT("0"&amp;HOUR(C336),2)&amp;":"&amp;RIGHT("0"&amp;MINUTE(C336),2)&amp;IF(D336="","","–"&amp;RIGHT("0"&amp;HOUR(D336),2)&amp;":"&amp;RIGHT("0"&amp;MINUTE(D336),2))&amp;" ")&amp;F336)</f>
        <v/>
      </c>
      <c r="N336" s="54">
        <f>IF(OR(A336="",F336=""),"",A336&amp;"#"&amp;(COUNTIFS($A$5:$A$3004,A336,$F$5:$F$3004,"?*",$O$5:$O$3004,"&lt;"&amp;O336)+COUNTIFS($A$5:A336,A336,$F$5:F336,"?*",$O$5:O336,O336)))</f>
        <v/>
      </c>
      <c r="O336" s="54">
        <f>IF(A336="","",IF(C336="",0,C336))</f>
        <v/>
      </c>
    </row>
    <row r="337">
      <c r="A337" s="58" t="n"/>
      <c r="B337" s="49">
        <f>IF(A337="","",CHOOSE(WEEKDAY(A337,2),"Пн","Вт","Ср","Чт","Пт","Сб","Вс"))</f>
        <v/>
      </c>
      <c r="C337" s="59" t="n"/>
      <c r="D337" s="59" t="n"/>
      <c r="E337" s="60">
        <f>IF(OR(C337="",D337=""),"",MOD(D337-C337,1)*24)</f>
        <v/>
      </c>
      <c r="F337" s="50" t="n"/>
      <c r="G337" s="51" t="n"/>
      <c r="H337" s="51" t="n"/>
      <c r="I337" s="51" t="n"/>
      <c r="J337" s="51" t="n"/>
      <c r="K337" s="51" t="n"/>
      <c r="L337" s="54">
        <f>IF(OR(A337="",C337="",D337=""),"",IF(COUNTIFS($A$5:$A$3004,A337,$C$5:$C$3004,"&lt;"&amp;D337,$D$5:$D$3004,"&gt;"&amp;C337)&gt;1,"⚠️ пересечение",""))</f>
        <v/>
      </c>
      <c r="M337" s="54">
        <f>IF(F337="","",IF(J337="✅ Сделано","✔ ",IF(J337="❌ Пропущено","✖ ","⏰ "))&amp;IF(C337="","",RIGHT("0"&amp;HOUR(C337),2)&amp;":"&amp;RIGHT("0"&amp;MINUTE(C337),2)&amp;IF(D337="","","–"&amp;RIGHT("0"&amp;HOUR(D337),2)&amp;":"&amp;RIGHT("0"&amp;MINUTE(D337),2))&amp;" ")&amp;F337)</f>
        <v/>
      </c>
      <c r="N337" s="54">
        <f>IF(OR(A337="",F337=""),"",A337&amp;"#"&amp;(COUNTIFS($A$5:$A$3004,A337,$F$5:$F$3004,"?*",$O$5:$O$3004,"&lt;"&amp;O337)+COUNTIFS($A$5:A337,A337,$F$5:F337,"?*",$O$5:O337,O337)))</f>
        <v/>
      </c>
      <c r="O337" s="54">
        <f>IF(A337="","",IF(C337="",0,C337))</f>
        <v/>
      </c>
    </row>
    <row r="338">
      <c r="A338" s="58" t="n"/>
      <c r="B338" s="49">
        <f>IF(A338="","",CHOOSE(WEEKDAY(A338,2),"Пн","Вт","Ср","Чт","Пт","Сб","Вс"))</f>
        <v/>
      </c>
      <c r="C338" s="59" t="n"/>
      <c r="D338" s="59" t="n"/>
      <c r="E338" s="60">
        <f>IF(OR(C338="",D338=""),"",MOD(D338-C338,1)*24)</f>
        <v/>
      </c>
      <c r="F338" s="50" t="n"/>
      <c r="G338" s="51" t="n"/>
      <c r="H338" s="51" t="n"/>
      <c r="I338" s="51" t="n"/>
      <c r="J338" s="51" t="n"/>
      <c r="K338" s="51" t="n"/>
      <c r="L338" s="54">
        <f>IF(OR(A338="",C338="",D338=""),"",IF(COUNTIFS($A$5:$A$3004,A338,$C$5:$C$3004,"&lt;"&amp;D338,$D$5:$D$3004,"&gt;"&amp;C338)&gt;1,"⚠️ пересечение",""))</f>
        <v/>
      </c>
      <c r="M338" s="54">
        <f>IF(F338="","",IF(J338="✅ Сделано","✔ ",IF(J338="❌ Пропущено","✖ ","⏰ "))&amp;IF(C338="","",RIGHT("0"&amp;HOUR(C338),2)&amp;":"&amp;RIGHT("0"&amp;MINUTE(C338),2)&amp;IF(D338="","","–"&amp;RIGHT("0"&amp;HOUR(D338),2)&amp;":"&amp;RIGHT("0"&amp;MINUTE(D338),2))&amp;" ")&amp;F338)</f>
        <v/>
      </c>
      <c r="N338" s="54">
        <f>IF(OR(A338="",F338=""),"",A338&amp;"#"&amp;(COUNTIFS($A$5:$A$3004,A338,$F$5:$F$3004,"?*",$O$5:$O$3004,"&lt;"&amp;O338)+COUNTIFS($A$5:A338,A338,$F$5:F338,"?*",$O$5:O338,O338)))</f>
        <v/>
      </c>
      <c r="O338" s="54">
        <f>IF(A338="","",IF(C338="",0,C338))</f>
        <v/>
      </c>
    </row>
    <row r="339">
      <c r="A339" s="58" t="n"/>
      <c r="B339" s="49">
        <f>IF(A339="","",CHOOSE(WEEKDAY(A339,2),"Пн","Вт","Ср","Чт","Пт","Сб","Вс"))</f>
        <v/>
      </c>
      <c r="C339" s="59" t="n"/>
      <c r="D339" s="59" t="n"/>
      <c r="E339" s="60">
        <f>IF(OR(C339="",D339=""),"",MOD(D339-C339,1)*24)</f>
        <v/>
      </c>
      <c r="F339" s="50" t="n"/>
      <c r="G339" s="51" t="n"/>
      <c r="H339" s="51" t="n"/>
      <c r="I339" s="51" t="n"/>
      <c r="J339" s="51" t="n"/>
      <c r="K339" s="51" t="n"/>
      <c r="L339" s="54">
        <f>IF(OR(A339="",C339="",D339=""),"",IF(COUNTIFS($A$5:$A$3004,A339,$C$5:$C$3004,"&lt;"&amp;D339,$D$5:$D$3004,"&gt;"&amp;C339)&gt;1,"⚠️ пересечение",""))</f>
        <v/>
      </c>
      <c r="M339" s="54">
        <f>IF(F339="","",IF(J339="✅ Сделано","✔ ",IF(J339="❌ Пропущено","✖ ","⏰ "))&amp;IF(C339="","",RIGHT("0"&amp;HOUR(C339),2)&amp;":"&amp;RIGHT("0"&amp;MINUTE(C339),2)&amp;IF(D339="","","–"&amp;RIGHT("0"&amp;HOUR(D339),2)&amp;":"&amp;RIGHT("0"&amp;MINUTE(D339),2))&amp;" ")&amp;F339)</f>
        <v/>
      </c>
      <c r="N339" s="54">
        <f>IF(OR(A339="",F339=""),"",A339&amp;"#"&amp;(COUNTIFS($A$5:$A$3004,A339,$F$5:$F$3004,"?*",$O$5:$O$3004,"&lt;"&amp;O339)+COUNTIFS($A$5:A339,A339,$F$5:F339,"?*",$O$5:O339,O339)))</f>
        <v/>
      </c>
      <c r="O339" s="54">
        <f>IF(A339="","",IF(C339="",0,C339))</f>
        <v/>
      </c>
    </row>
    <row r="340">
      <c r="A340" s="58" t="n"/>
      <c r="B340" s="49">
        <f>IF(A340="","",CHOOSE(WEEKDAY(A340,2),"Пн","Вт","Ср","Чт","Пт","Сб","Вс"))</f>
        <v/>
      </c>
      <c r="C340" s="59" t="n"/>
      <c r="D340" s="59" t="n"/>
      <c r="E340" s="60">
        <f>IF(OR(C340="",D340=""),"",MOD(D340-C340,1)*24)</f>
        <v/>
      </c>
      <c r="F340" s="50" t="n"/>
      <c r="G340" s="51" t="n"/>
      <c r="H340" s="51" t="n"/>
      <c r="I340" s="51" t="n"/>
      <c r="J340" s="51" t="n"/>
      <c r="K340" s="51" t="n"/>
      <c r="L340" s="54">
        <f>IF(OR(A340="",C340="",D340=""),"",IF(COUNTIFS($A$5:$A$3004,A340,$C$5:$C$3004,"&lt;"&amp;D340,$D$5:$D$3004,"&gt;"&amp;C340)&gt;1,"⚠️ пересечение",""))</f>
        <v/>
      </c>
      <c r="M340" s="54">
        <f>IF(F340="","",IF(J340="✅ Сделано","✔ ",IF(J340="❌ Пропущено","✖ ","⏰ "))&amp;IF(C340="","",RIGHT("0"&amp;HOUR(C340),2)&amp;":"&amp;RIGHT("0"&amp;MINUTE(C340),2)&amp;IF(D340="","","–"&amp;RIGHT("0"&amp;HOUR(D340),2)&amp;":"&amp;RIGHT("0"&amp;MINUTE(D340),2))&amp;" ")&amp;F340)</f>
        <v/>
      </c>
      <c r="N340" s="54">
        <f>IF(OR(A340="",F340=""),"",A340&amp;"#"&amp;(COUNTIFS($A$5:$A$3004,A340,$F$5:$F$3004,"?*",$O$5:$O$3004,"&lt;"&amp;O340)+COUNTIFS($A$5:A340,A340,$F$5:F340,"?*",$O$5:O340,O340)))</f>
        <v/>
      </c>
      <c r="O340" s="54">
        <f>IF(A340="","",IF(C340="",0,C340))</f>
        <v/>
      </c>
    </row>
    <row r="341">
      <c r="A341" s="58" t="n"/>
      <c r="B341" s="49">
        <f>IF(A341="","",CHOOSE(WEEKDAY(A341,2),"Пн","Вт","Ср","Чт","Пт","Сб","Вс"))</f>
        <v/>
      </c>
      <c r="C341" s="59" t="n"/>
      <c r="D341" s="59" t="n"/>
      <c r="E341" s="60">
        <f>IF(OR(C341="",D341=""),"",MOD(D341-C341,1)*24)</f>
        <v/>
      </c>
      <c r="F341" s="50" t="n"/>
      <c r="G341" s="51" t="n"/>
      <c r="H341" s="51" t="n"/>
      <c r="I341" s="51" t="n"/>
      <c r="J341" s="51" t="n"/>
      <c r="K341" s="51" t="n"/>
      <c r="L341" s="54">
        <f>IF(OR(A341="",C341="",D341=""),"",IF(COUNTIFS($A$5:$A$3004,A341,$C$5:$C$3004,"&lt;"&amp;D341,$D$5:$D$3004,"&gt;"&amp;C341)&gt;1,"⚠️ пересечение",""))</f>
        <v/>
      </c>
      <c r="M341" s="54">
        <f>IF(F341="","",IF(J341="✅ Сделано","✔ ",IF(J341="❌ Пропущено","✖ ","⏰ "))&amp;IF(C341="","",RIGHT("0"&amp;HOUR(C341),2)&amp;":"&amp;RIGHT("0"&amp;MINUTE(C341),2)&amp;IF(D341="","","–"&amp;RIGHT("0"&amp;HOUR(D341),2)&amp;":"&amp;RIGHT("0"&amp;MINUTE(D341),2))&amp;" ")&amp;F341)</f>
        <v/>
      </c>
      <c r="N341" s="54">
        <f>IF(OR(A341="",F341=""),"",A341&amp;"#"&amp;(COUNTIFS($A$5:$A$3004,A341,$F$5:$F$3004,"?*",$O$5:$O$3004,"&lt;"&amp;O341)+COUNTIFS($A$5:A341,A341,$F$5:F341,"?*",$O$5:O341,O341)))</f>
        <v/>
      </c>
      <c r="O341" s="54">
        <f>IF(A341="","",IF(C341="",0,C341))</f>
        <v/>
      </c>
    </row>
    <row r="342">
      <c r="A342" s="58" t="n"/>
      <c r="B342" s="49">
        <f>IF(A342="","",CHOOSE(WEEKDAY(A342,2),"Пн","Вт","Ср","Чт","Пт","Сб","Вс"))</f>
        <v/>
      </c>
      <c r="C342" s="59" t="n"/>
      <c r="D342" s="59" t="n"/>
      <c r="E342" s="60">
        <f>IF(OR(C342="",D342=""),"",MOD(D342-C342,1)*24)</f>
        <v/>
      </c>
      <c r="F342" s="50" t="n"/>
      <c r="G342" s="51" t="n"/>
      <c r="H342" s="51" t="n"/>
      <c r="I342" s="51" t="n"/>
      <c r="J342" s="51" t="n"/>
      <c r="K342" s="51" t="n"/>
      <c r="L342" s="54">
        <f>IF(OR(A342="",C342="",D342=""),"",IF(COUNTIFS($A$5:$A$3004,A342,$C$5:$C$3004,"&lt;"&amp;D342,$D$5:$D$3004,"&gt;"&amp;C342)&gt;1,"⚠️ пересечение",""))</f>
        <v/>
      </c>
      <c r="M342" s="54">
        <f>IF(F342="","",IF(J342="✅ Сделано","✔ ",IF(J342="❌ Пропущено","✖ ","⏰ "))&amp;IF(C342="","",RIGHT("0"&amp;HOUR(C342),2)&amp;":"&amp;RIGHT("0"&amp;MINUTE(C342),2)&amp;IF(D342="","","–"&amp;RIGHT("0"&amp;HOUR(D342),2)&amp;":"&amp;RIGHT("0"&amp;MINUTE(D342),2))&amp;" ")&amp;F342)</f>
        <v/>
      </c>
      <c r="N342" s="54">
        <f>IF(OR(A342="",F342=""),"",A342&amp;"#"&amp;(COUNTIFS($A$5:$A$3004,A342,$F$5:$F$3004,"?*",$O$5:$O$3004,"&lt;"&amp;O342)+COUNTIFS($A$5:A342,A342,$F$5:F342,"?*",$O$5:O342,O342)))</f>
        <v/>
      </c>
      <c r="O342" s="54">
        <f>IF(A342="","",IF(C342="",0,C342))</f>
        <v/>
      </c>
    </row>
    <row r="343">
      <c r="A343" s="58" t="n"/>
      <c r="B343" s="49">
        <f>IF(A343="","",CHOOSE(WEEKDAY(A343,2),"Пн","Вт","Ср","Чт","Пт","Сб","Вс"))</f>
        <v/>
      </c>
      <c r="C343" s="59" t="n"/>
      <c r="D343" s="59" t="n"/>
      <c r="E343" s="60">
        <f>IF(OR(C343="",D343=""),"",MOD(D343-C343,1)*24)</f>
        <v/>
      </c>
      <c r="F343" s="50" t="n"/>
      <c r="G343" s="51" t="n"/>
      <c r="H343" s="51" t="n"/>
      <c r="I343" s="51" t="n"/>
      <c r="J343" s="51" t="n"/>
      <c r="K343" s="51" t="n"/>
      <c r="L343" s="54">
        <f>IF(OR(A343="",C343="",D343=""),"",IF(COUNTIFS($A$5:$A$3004,A343,$C$5:$C$3004,"&lt;"&amp;D343,$D$5:$D$3004,"&gt;"&amp;C343)&gt;1,"⚠️ пересечение",""))</f>
        <v/>
      </c>
      <c r="M343" s="54">
        <f>IF(F343="","",IF(J343="✅ Сделано","✔ ",IF(J343="❌ Пропущено","✖ ","⏰ "))&amp;IF(C343="","",RIGHT("0"&amp;HOUR(C343),2)&amp;":"&amp;RIGHT("0"&amp;MINUTE(C343),2)&amp;IF(D343="","","–"&amp;RIGHT("0"&amp;HOUR(D343),2)&amp;":"&amp;RIGHT("0"&amp;MINUTE(D343),2))&amp;" ")&amp;F343)</f>
        <v/>
      </c>
      <c r="N343" s="54">
        <f>IF(OR(A343="",F343=""),"",A343&amp;"#"&amp;(COUNTIFS($A$5:$A$3004,A343,$F$5:$F$3004,"?*",$O$5:$O$3004,"&lt;"&amp;O343)+COUNTIFS($A$5:A343,A343,$F$5:F343,"?*",$O$5:O343,O343)))</f>
        <v/>
      </c>
      <c r="O343" s="54">
        <f>IF(A343="","",IF(C343="",0,C343))</f>
        <v/>
      </c>
    </row>
    <row r="344">
      <c r="A344" s="58" t="n"/>
      <c r="B344" s="49">
        <f>IF(A344="","",CHOOSE(WEEKDAY(A344,2),"Пн","Вт","Ср","Чт","Пт","Сб","Вс"))</f>
        <v/>
      </c>
      <c r="C344" s="59" t="n"/>
      <c r="D344" s="59" t="n"/>
      <c r="E344" s="60">
        <f>IF(OR(C344="",D344=""),"",MOD(D344-C344,1)*24)</f>
        <v/>
      </c>
      <c r="F344" s="50" t="n"/>
      <c r="G344" s="51" t="n"/>
      <c r="H344" s="51" t="n"/>
      <c r="I344" s="51" t="n"/>
      <c r="J344" s="51" t="n"/>
      <c r="K344" s="51" t="n"/>
      <c r="L344" s="54">
        <f>IF(OR(A344="",C344="",D344=""),"",IF(COUNTIFS($A$5:$A$3004,A344,$C$5:$C$3004,"&lt;"&amp;D344,$D$5:$D$3004,"&gt;"&amp;C344)&gt;1,"⚠️ пересечение",""))</f>
        <v/>
      </c>
      <c r="M344" s="54">
        <f>IF(F344="","",IF(J344="✅ Сделано","✔ ",IF(J344="❌ Пропущено","✖ ","⏰ "))&amp;IF(C344="","",RIGHT("0"&amp;HOUR(C344),2)&amp;":"&amp;RIGHT("0"&amp;MINUTE(C344),2)&amp;IF(D344="","","–"&amp;RIGHT("0"&amp;HOUR(D344),2)&amp;":"&amp;RIGHT("0"&amp;MINUTE(D344),2))&amp;" ")&amp;F344)</f>
        <v/>
      </c>
      <c r="N344" s="54">
        <f>IF(OR(A344="",F344=""),"",A344&amp;"#"&amp;(COUNTIFS($A$5:$A$3004,A344,$F$5:$F$3004,"?*",$O$5:$O$3004,"&lt;"&amp;O344)+COUNTIFS($A$5:A344,A344,$F$5:F344,"?*",$O$5:O344,O344)))</f>
        <v/>
      </c>
      <c r="O344" s="54">
        <f>IF(A344="","",IF(C344="",0,C344))</f>
        <v/>
      </c>
    </row>
    <row r="345">
      <c r="A345" s="58" t="n"/>
      <c r="B345" s="49">
        <f>IF(A345="","",CHOOSE(WEEKDAY(A345,2),"Пн","Вт","Ср","Чт","Пт","Сб","Вс"))</f>
        <v/>
      </c>
      <c r="C345" s="59" t="n"/>
      <c r="D345" s="59" t="n"/>
      <c r="E345" s="60">
        <f>IF(OR(C345="",D345=""),"",MOD(D345-C345,1)*24)</f>
        <v/>
      </c>
      <c r="F345" s="50" t="n"/>
      <c r="G345" s="51" t="n"/>
      <c r="H345" s="51" t="n"/>
      <c r="I345" s="51" t="n"/>
      <c r="J345" s="51" t="n"/>
      <c r="K345" s="51" t="n"/>
      <c r="L345" s="54">
        <f>IF(OR(A345="",C345="",D345=""),"",IF(COUNTIFS($A$5:$A$3004,A345,$C$5:$C$3004,"&lt;"&amp;D345,$D$5:$D$3004,"&gt;"&amp;C345)&gt;1,"⚠️ пересечение",""))</f>
        <v/>
      </c>
      <c r="M345" s="54">
        <f>IF(F345="","",IF(J345="✅ Сделано","✔ ",IF(J345="❌ Пропущено","✖ ","⏰ "))&amp;IF(C345="","",RIGHT("0"&amp;HOUR(C345),2)&amp;":"&amp;RIGHT("0"&amp;MINUTE(C345),2)&amp;IF(D345="","","–"&amp;RIGHT("0"&amp;HOUR(D345),2)&amp;":"&amp;RIGHT("0"&amp;MINUTE(D345),2))&amp;" ")&amp;F345)</f>
        <v/>
      </c>
      <c r="N345" s="54">
        <f>IF(OR(A345="",F345=""),"",A345&amp;"#"&amp;(COUNTIFS($A$5:$A$3004,A345,$F$5:$F$3004,"?*",$O$5:$O$3004,"&lt;"&amp;O345)+COUNTIFS($A$5:A345,A345,$F$5:F345,"?*",$O$5:O345,O345)))</f>
        <v/>
      </c>
      <c r="O345" s="54">
        <f>IF(A345="","",IF(C345="",0,C345))</f>
        <v/>
      </c>
    </row>
    <row r="346">
      <c r="A346" s="58" t="n"/>
      <c r="B346" s="49">
        <f>IF(A346="","",CHOOSE(WEEKDAY(A346,2),"Пн","Вт","Ср","Чт","Пт","Сб","Вс"))</f>
        <v/>
      </c>
      <c r="C346" s="59" t="n"/>
      <c r="D346" s="59" t="n"/>
      <c r="E346" s="60">
        <f>IF(OR(C346="",D346=""),"",MOD(D346-C346,1)*24)</f>
        <v/>
      </c>
      <c r="F346" s="50" t="n"/>
      <c r="G346" s="51" t="n"/>
      <c r="H346" s="51" t="n"/>
      <c r="I346" s="51" t="n"/>
      <c r="J346" s="51" t="n"/>
      <c r="K346" s="51" t="n"/>
      <c r="L346" s="54">
        <f>IF(OR(A346="",C346="",D346=""),"",IF(COUNTIFS($A$5:$A$3004,A346,$C$5:$C$3004,"&lt;"&amp;D346,$D$5:$D$3004,"&gt;"&amp;C346)&gt;1,"⚠️ пересечение",""))</f>
        <v/>
      </c>
      <c r="M346" s="54">
        <f>IF(F346="","",IF(J346="✅ Сделано","✔ ",IF(J346="❌ Пропущено","✖ ","⏰ "))&amp;IF(C346="","",RIGHT("0"&amp;HOUR(C346),2)&amp;":"&amp;RIGHT("0"&amp;MINUTE(C346),2)&amp;IF(D346="","","–"&amp;RIGHT("0"&amp;HOUR(D346),2)&amp;":"&amp;RIGHT("0"&amp;MINUTE(D346),2))&amp;" ")&amp;F346)</f>
        <v/>
      </c>
      <c r="N346" s="54">
        <f>IF(OR(A346="",F346=""),"",A346&amp;"#"&amp;(COUNTIFS($A$5:$A$3004,A346,$F$5:$F$3004,"?*",$O$5:$O$3004,"&lt;"&amp;O346)+COUNTIFS($A$5:A346,A346,$F$5:F346,"?*",$O$5:O346,O346)))</f>
        <v/>
      </c>
      <c r="O346" s="54">
        <f>IF(A346="","",IF(C346="",0,C346))</f>
        <v/>
      </c>
    </row>
    <row r="347">
      <c r="A347" s="58" t="n"/>
      <c r="B347" s="49">
        <f>IF(A347="","",CHOOSE(WEEKDAY(A347,2),"Пн","Вт","Ср","Чт","Пт","Сб","Вс"))</f>
        <v/>
      </c>
      <c r="C347" s="59" t="n"/>
      <c r="D347" s="59" t="n"/>
      <c r="E347" s="60">
        <f>IF(OR(C347="",D347=""),"",MOD(D347-C347,1)*24)</f>
        <v/>
      </c>
      <c r="F347" s="50" t="n"/>
      <c r="G347" s="51" t="n"/>
      <c r="H347" s="51" t="n"/>
      <c r="I347" s="51" t="n"/>
      <c r="J347" s="51" t="n"/>
      <c r="K347" s="51" t="n"/>
      <c r="L347" s="54">
        <f>IF(OR(A347="",C347="",D347=""),"",IF(COUNTIFS($A$5:$A$3004,A347,$C$5:$C$3004,"&lt;"&amp;D347,$D$5:$D$3004,"&gt;"&amp;C347)&gt;1,"⚠️ пересечение",""))</f>
        <v/>
      </c>
      <c r="M347" s="54">
        <f>IF(F347="","",IF(J347="✅ Сделано","✔ ",IF(J347="❌ Пропущено","✖ ","⏰ "))&amp;IF(C347="","",RIGHT("0"&amp;HOUR(C347),2)&amp;":"&amp;RIGHT("0"&amp;MINUTE(C347),2)&amp;IF(D347="","","–"&amp;RIGHT("0"&amp;HOUR(D347),2)&amp;":"&amp;RIGHT("0"&amp;MINUTE(D347),2))&amp;" ")&amp;F347)</f>
        <v/>
      </c>
      <c r="N347" s="54">
        <f>IF(OR(A347="",F347=""),"",A347&amp;"#"&amp;(COUNTIFS($A$5:$A$3004,A347,$F$5:$F$3004,"?*",$O$5:$O$3004,"&lt;"&amp;O347)+COUNTIFS($A$5:A347,A347,$F$5:F347,"?*",$O$5:O347,O347)))</f>
        <v/>
      </c>
      <c r="O347" s="54">
        <f>IF(A347="","",IF(C347="",0,C347))</f>
        <v/>
      </c>
    </row>
    <row r="348">
      <c r="A348" s="58" t="n"/>
      <c r="B348" s="49">
        <f>IF(A348="","",CHOOSE(WEEKDAY(A348,2),"Пн","Вт","Ср","Чт","Пт","Сб","Вс"))</f>
        <v/>
      </c>
      <c r="C348" s="59" t="n"/>
      <c r="D348" s="59" t="n"/>
      <c r="E348" s="60">
        <f>IF(OR(C348="",D348=""),"",MOD(D348-C348,1)*24)</f>
        <v/>
      </c>
      <c r="F348" s="50" t="n"/>
      <c r="G348" s="51" t="n"/>
      <c r="H348" s="51" t="n"/>
      <c r="I348" s="51" t="n"/>
      <c r="J348" s="51" t="n"/>
      <c r="K348" s="51" t="n"/>
      <c r="L348" s="54">
        <f>IF(OR(A348="",C348="",D348=""),"",IF(COUNTIFS($A$5:$A$3004,A348,$C$5:$C$3004,"&lt;"&amp;D348,$D$5:$D$3004,"&gt;"&amp;C348)&gt;1,"⚠️ пересечение",""))</f>
        <v/>
      </c>
      <c r="M348" s="54">
        <f>IF(F348="","",IF(J348="✅ Сделано","✔ ",IF(J348="❌ Пропущено","✖ ","⏰ "))&amp;IF(C348="","",RIGHT("0"&amp;HOUR(C348),2)&amp;":"&amp;RIGHT("0"&amp;MINUTE(C348),2)&amp;IF(D348="","","–"&amp;RIGHT("0"&amp;HOUR(D348),2)&amp;":"&amp;RIGHT("0"&amp;MINUTE(D348),2))&amp;" ")&amp;F348)</f>
        <v/>
      </c>
      <c r="N348" s="54">
        <f>IF(OR(A348="",F348=""),"",A348&amp;"#"&amp;(COUNTIFS($A$5:$A$3004,A348,$F$5:$F$3004,"?*",$O$5:$O$3004,"&lt;"&amp;O348)+COUNTIFS($A$5:A348,A348,$F$5:F348,"?*",$O$5:O348,O348)))</f>
        <v/>
      </c>
      <c r="O348" s="54">
        <f>IF(A348="","",IF(C348="",0,C348))</f>
        <v/>
      </c>
    </row>
    <row r="349">
      <c r="A349" s="58" t="n"/>
      <c r="B349" s="49">
        <f>IF(A349="","",CHOOSE(WEEKDAY(A349,2),"Пн","Вт","Ср","Чт","Пт","Сб","Вс"))</f>
        <v/>
      </c>
      <c r="C349" s="59" t="n"/>
      <c r="D349" s="59" t="n"/>
      <c r="E349" s="60">
        <f>IF(OR(C349="",D349=""),"",MOD(D349-C349,1)*24)</f>
        <v/>
      </c>
      <c r="F349" s="50" t="n"/>
      <c r="G349" s="51" t="n"/>
      <c r="H349" s="51" t="n"/>
      <c r="I349" s="51" t="n"/>
      <c r="J349" s="51" t="n"/>
      <c r="K349" s="51" t="n"/>
      <c r="L349" s="54">
        <f>IF(OR(A349="",C349="",D349=""),"",IF(COUNTIFS($A$5:$A$3004,A349,$C$5:$C$3004,"&lt;"&amp;D349,$D$5:$D$3004,"&gt;"&amp;C349)&gt;1,"⚠️ пересечение",""))</f>
        <v/>
      </c>
      <c r="M349" s="54">
        <f>IF(F349="","",IF(J349="✅ Сделано","✔ ",IF(J349="❌ Пропущено","✖ ","⏰ "))&amp;IF(C349="","",RIGHT("0"&amp;HOUR(C349),2)&amp;":"&amp;RIGHT("0"&amp;MINUTE(C349),2)&amp;IF(D349="","","–"&amp;RIGHT("0"&amp;HOUR(D349),2)&amp;":"&amp;RIGHT("0"&amp;MINUTE(D349),2))&amp;" ")&amp;F349)</f>
        <v/>
      </c>
      <c r="N349" s="54">
        <f>IF(OR(A349="",F349=""),"",A349&amp;"#"&amp;(COUNTIFS($A$5:$A$3004,A349,$F$5:$F$3004,"?*",$O$5:$O$3004,"&lt;"&amp;O349)+COUNTIFS($A$5:A349,A349,$F$5:F349,"?*",$O$5:O349,O349)))</f>
        <v/>
      </c>
      <c r="O349" s="54">
        <f>IF(A349="","",IF(C349="",0,C349))</f>
        <v/>
      </c>
    </row>
    <row r="350">
      <c r="A350" s="58" t="n"/>
      <c r="B350" s="49">
        <f>IF(A350="","",CHOOSE(WEEKDAY(A350,2),"Пн","Вт","Ср","Чт","Пт","Сб","Вс"))</f>
        <v/>
      </c>
      <c r="C350" s="59" t="n"/>
      <c r="D350" s="59" t="n"/>
      <c r="E350" s="60">
        <f>IF(OR(C350="",D350=""),"",MOD(D350-C350,1)*24)</f>
        <v/>
      </c>
      <c r="F350" s="50" t="n"/>
      <c r="G350" s="51" t="n"/>
      <c r="H350" s="51" t="n"/>
      <c r="I350" s="51" t="n"/>
      <c r="J350" s="51" t="n"/>
      <c r="K350" s="51" t="n"/>
      <c r="L350" s="54">
        <f>IF(OR(A350="",C350="",D350=""),"",IF(COUNTIFS($A$5:$A$3004,A350,$C$5:$C$3004,"&lt;"&amp;D350,$D$5:$D$3004,"&gt;"&amp;C350)&gt;1,"⚠️ пересечение",""))</f>
        <v/>
      </c>
      <c r="M350" s="54">
        <f>IF(F350="","",IF(J350="✅ Сделано","✔ ",IF(J350="❌ Пропущено","✖ ","⏰ "))&amp;IF(C350="","",RIGHT("0"&amp;HOUR(C350),2)&amp;":"&amp;RIGHT("0"&amp;MINUTE(C350),2)&amp;IF(D350="","","–"&amp;RIGHT("0"&amp;HOUR(D350),2)&amp;":"&amp;RIGHT("0"&amp;MINUTE(D350),2))&amp;" ")&amp;F350)</f>
        <v/>
      </c>
      <c r="N350" s="54">
        <f>IF(OR(A350="",F350=""),"",A350&amp;"#"&amp;(COUNTIFS($A$5:$A$3004,A350,$F$5:$F$3004,"?*",$O$5:$O$3004,"&lt;"&amp;O350)+COUNTIFS($A$5:A350,A350,$F$5:F350,"?*",$O$5:O350,O350)))</f>
        <v/>
      </c>
      <c r="O350" s="54">
        <f>IF(A350="","",IF(C350="",0,C350))</f>
        <v/>
      </c>
    </row>
    <row r="351">
      <c r="A351" s="58" t="n"/>
      <c r="B351" s="49">
        <f>IF(A351="","",CHOOSE(WEEKDAY(A351,2),"Пн","Вт","Ср","Чт","Пт","Сб","Вс"))</f>
        <v/>
      </c>
      <c r="C351" s="59" t="n"/>
      <c r="D351" s="59" t="n"/>
      <c r="E351" s="60">
        <f>IF(OR(C351="",D351=""),"",MOD(D351-C351,1)*24)</f>
        <v/>
      </c>
      <c r="F351" s="50" t="n"/>
      <c r="G351" s="51" t="n"/>
      <c r="H351" s="51" t="n"/>
      <c r="I351" s="51" t="n"/>
      <c r="J351" s="51" t="n"/>
      <c r="K351" s="51" t="n"/>
      <c r="L351" s="54">
        <f>IF(OR(A351="",C351="",D351=""),"",IF(COUNTIFS($A$5:$A$3004,A351,$C$5:$C$3004,"&lt;"&amp;D351,$D$5:$D$3004,"&gt;"&amp;C351)&gt;1,"⚠️ пересечение",""))</f>
        <v/>
      </c>
      <c r="M351" s="54">
        <f>IF(F351="","",IF(J351="✅ Сделано","✔ ",IF(J351="❌ Пропущено","✖ ","⏰ "))&amp;IF(C351="","",RIGHT("0"&amp;HOUR(C351),2)&amp;":"&amp;RIGHT("0"&amp;MINUTE(C351),2)&amp;IF(D351="","","–"&amp;RIGHT("0"&amp;HOUR(D351),2)&amp;":"&amp;RIGHT("0"&amp;MINUTE(D351),2))&amp;" ")&amp;F351)</f>
        <v/>
      </c>
      <c r="N351" s="54">
        <f>IF(OR(A351="",F351=""),"",A351&amp;"#"&amp;(COUNTIFS($A$5:$A$3004,A351,$F$5:$F$3004,"?*",$O$5:$O$3004,"&lt;"&amp;O351)+COUNTIFS($A$5:A351,A351,$F$5:F351,"?*",$O$5:O351,O351)))</f>
        <v/>
      </c>
      <c r="O351" s="54">
        <f>IF(A351="","",IF(C351="",0,C351))</f>
        <v/>
      </c>
    </row>
    <row r="352">
      <c r="A352" s="58" t="n"/>
      <c r="B352" s="49">
        <f>IF(A352="","",CHOOSE(WEEKDAY(A352,2),"Пн","Вт","Ср","Чт","Пт","Сб","Вс"))</f>
        <v/>
      </c>
      <c r="C352" s="59" t="n"/>
      <c r="D352" s="59" t="n"/>
      <c r="E352" s="60">
        <f>IF(OR(C352="",D352=""),"",MOD(D352-C352,1)*24)</f>
        <v/>
      </c>
      <c r="F352" s="50" t="n"/>
      <c r="G352" s="51" t="n"/>
      <c r="H352" s="51" t="n"/>
      <c r="I352" s="51" t="n"/>
      <c r="J352" s="51" t="n"/>
      <c r="K352" s="51" t="n"/>
      <c r="L352" s="54">
        <f>IF(OR(A352="",C352="",D352=""),"",IF(COUNTIFS($A$5:$A$3004,A352,$C$5:$C$3004,"&lt;"&amp;D352,$D$5:$D$3004,"&gt;"&amp;C352)&gt;1,"⚠️ пересечение",""))</f>
        <v/>
      </c>
      <c r="M352" s="54">
        <f>IF(F352="","",IF(J352="✅ Сделано","✔ ",IF(J352="❌ Пропущено","✖ ","⏰ "))&amp;IF(C352="","",RIGHT("0"&amp;HOUR(C352),2)&amp;":"&amp;RIGHT("0"&amp;MINUTE(C352),2)&amp;IF(D352="","","–"&amp;RIGHT("0"&amp;HOUR(D352),2)&amp;":"&amp;RIGHT("0"&amp;MINUTE(D352),2))&amp;" ")&amp;F352)</f>
        <v/>
      </c>
      <c r="N352" s="54">
        <f>IF(OR(A352="",F352=""),"",A352&amp;"#"&amp;(COUNTIFS($A$5:$A$3004,A352,$F$5:$F$3004,"?*",$O$5:$O$3004,"&lt;"&amp;O352)+COUNTIFS($A$5:A352,A352,$F$5:F352,"?*",$O$5:O352,O352)))</f>
        <v/>
      </c>
      <c r="O352" s="54">
        <f>IF(A352="","",IF(C352="",0,C352))</f>
        <v/>
      </c>
    </row>
    <row r="353">
      <c r="A353" s="58" t="n"/>
      <c r="B353" s="49">
        <f>IF(A353="","",CHOOSE(WEEKDAY(A353,2),"Пн","Вт","Ср","Чт","Пт","Сб","Вс"))</f>
        <v/>
      </c>
      <c r="C353" s="59" t="n"/>
      <c r="D353" s="59" t="n"/>
      <c r="E353" s="60">
        <f>IF(OR(C353="",D353=""),"",MOD(D353-C353,1)*24)</f>
        <v/>
      </c>
      <c r="F353" s="50" t="n"/>
      <c r="G353" s="51" t="n"/>
      <c r="H353" s="51" t="n"/>
      <c r="I353" s="51" t="n"/>
      <c r="J353" s="51" t="n"/>
      <c r="K353" s="51" t="n"/>
      <c r="L353" s="54">
        <f>IF(OR(A353="",C353="",D353=""),"",IF(COUNTIFS($A$5:$A$3004,A353,$C$5:$C$3004,"&lt;"&amp;D353,$D$5:$D$3004,"&gt;"&amp;C353)&gt;1,"⚠️ пересечение",""))</f>
        <v/>
      </c>
      <c r="M353" s="54">
        <f>IF(F353="","",IF(J353="✅ Сделано","✔ ",IF(J353="❌ Пропущено","✖ ","⏰ "))&amp;IF(C353="","",RIGHT("0"&amp;HOUR(C353),2)&amp;":"&amp;RIGHT("0"&amp;MINUTE(C353),2)&amp;IF(D353="","","–"&amp;RIGHT("0"&amp;HOUR(D353),2)&amp;":"&amp;RIGHT("0"&amp;MINUTE(D353),2))&amp;" ")&amp;F353)</f>
        <v/>
      </c>
      <c r="N353" s="54">
        <f>IF(OR(A353="",F353=""),"",A353&amp;"#"&amp;(COUNTIFS($A$5:$A$3004,A353,$F$5:$F$3004,"?*",$O$5:$O$3004,"&lt;"&amp;O353)+COUNTIFS($A$5:A353,A353,$F$5:F353,"?*",$O$5:O353,O353)))</f>
        <v/>
      </c>
      <c r="O353" s="54">
        <f>IF(A353="","",IF(C353="",0,C353))</f>
        <v/>
      </c>
    </row>
    <row r="354">
      <c r="A354" s="58" t="n"/>
      <c r="B354" s="49">
        <f>IF(A354="","",CHOOSE(WEEKDAY(A354,2),"Пн","Вт","Ср","Чт","Пт","Сб","Вс"))</f>
        <v/>
      </c>
      <c r="C354" s="59" t="n"/>
      <c r="D354" s="59" t="n"/>
      <c r="E354" s="60">
        <f>IF(OR(C354="",D354=""),"",MOD(D354-C354,1)*24)</f>
        <v/>
      </c>
      <c r="F354" s="50" t="n"/>
      <c r="G354" s="51" t="n"/>
      <c r="H354" s="51" t="n"/>
      <c r="I354" s="51" t="n"/>
      <c r="J354" s="51" t="n"/>
      <c r="K354" s="51" t="n"/>
      <c r="L354" s="54">
        <f>IF(OR(A354="",C354="",D354=""),"",IF(COUNTIFS($A$5:$A$3004,A354,$C$5:$C$3004,"&lt;"&amp;D354,$D$5:$D$3004,"&gt;"&amp;C354)&gt;1,"⚠️ пересечение",""))</f>
        <v/>
      </c>
      <c r="M354" s="54">
        <f>IF(F354="","",IF(J354="✅ Сделано","✔ ",IF(J354="❌ Пропущено","✖ ","⏰ "))&amp;IF(C354="","",RIGHT("0"&amp;HOUR(C354),2)&amp;":"&amp;RIGHT("0"&amp;MINUTE(C354),2)&amp;IF(D354="","","–"&amp;RIGHT("0"&amp;HOUR(D354),2)&amp;":"&amp;RIGHT("0"&amp;MINUTE(D354),2))&amp;" ")&amp;F354)</f>
        <v/>
      </c>
      <c r="N354" s="54">
        <f>IF(OR(A354="",F354=""),"",A354&amp;"#"&amp;(COUNTIFS($A$5:$A$3004,A354,$F$5:$F$3004,"?*",$O$5:$O$3004,"&lt;"&amp;O354)+COUNTIFS($A$5:A354,A354,$F$5:F354,"?*",$O$5:O354,O354)))</f>
        <v/>
      </c>
      <c r="O354" s="54">
        <f>IF(A354="","",IF(C354="",0,C354))</f>
        <v/>
      </c>
    </row>
    <row r="355">
      <c r="A355" s="58" t="n"/>
      <c r="B355" s="49">
        <f>IF(A355="","",CHOOSE(WEEKDAY(A355,2),"Пн","Вт","Ср","Чт","Пт","Сб","Вс"))</f>
        <v/>
      </c>
      <c r="C355" s="59" t="n"/>
      <c r="D355" s="59" t="n"/>
      <c r="E355" s="60">
        <f>IF(OR(C355="",D355=""),"",MOD(D355-C355,1)*24)</f>
        <v/>
      </c>
      <c r="F355" s="50" t="n"/>
      <c r="G355" s="51" t="n"/>
      <c r="H355" s="51" t="n"/>
      <c r="I355" s="51" t="n"/>
      <c r="J355" s="51" t="n"/>
      <c r="K355" s="51" t="n"/>
      <c r="L355" s="54">
        <f>IF(OR(A355="",C355="",D355=""),"",IF(COUNTIFS($A$5:$A$3004,A355,$C$5:$C$3004,"&lt;"&amp;D355,$D$5:$D$3004,"&gt;"&amp;C355)&gt;1,"⚠️ пересечение",""))</f>
        <v/>
      </c>
      <c r="M355" s="54">
        <f>IF(F355="","",IF(J355="✅ Сделано","✔ ",IF(J355="❌ Пропущено","✖ ","⏰ "))&amp;IF(C355="","",RIGHT("0"&amp;HOUR(C355),2)&amp;":"&amp;RIGHT("0"&amp;MINUTE(C355),2)&amp;IF(D355="","","–"&amp;RIGHT("0"&amp;HOUR(D355),2)&amp;":"&amp;RIGHT("0"&amp;MINUTE(D355),2))&amp;" ")&amp;F355)</f>
        <v/>
      </c>
      <c r="N355" s="54">
        <f>IF(OR(A355="",F355=""),"",A355&amp;"#"&amp;(COUNTIFS($A$5:$A$3004,A355,$F$5:$F$3004,"?*",$O$5:$O$3004,"&lt;"&amp;O355)+COUNTIFS($A$5:A355,A355,$F$5:F355,"?*",$O$5:O355,O355)))</f>
        <v/>
      </c>
      <c r="O355" s="54">
        <f>IF(A355="","",IF(C355="",0,C355))</f>
        <v/>
      </c>
    </row>
    <row r="356">
      <c r="A356" s="58" t="n"/>
      <c r="B356" s="49">
        <f>IF(A356="","",CHOOSE(WEEKDAY(A356,2),"Пн","Вт","Ср","Чт","Пт","Сб","Вс"))</f>
        <v/>
      </c>
      <c r="C356" s="59" t="n"/>
      <c r="D356" s="59" t="n"/>
      <c r="E356" s="60">
        <f>IF(OR(C356="",D356=""),"",MOD(D356-C356,1)*24)</f>
        <v/>
      </c>
      <c r="F356" s="50" t="n"/>
      <c r="G356" s="51" t="n"/>
      <c r="H356" s="51" t="n"/>
      <c r="I356" s="51" t="n"/>
      <c r="J356" s="51" t="n"/>
      <c r="K356" s="51" t="n"/>
      <c r="L356" s="54">
        <f>IF(OR(A356="",C356="",D356=""),"",IF(COUNTIFS($A$5:$A$3004,A356,$C$5:$C$3004,"&lt;"&amp;D356,$D$5:$D$3004,"&gt;"&amp;C356)&gt;1,"⚠️ пересечение",""))</f>
        <v/>
      </c>
      <c r="M356" s="54">
        <f>IF(F356="","",IF(J356="✅ Сделано","✔ ",IF(J356="❌ Пропущено","✖ ","⏰ "))&amp;IF(C356="","",RIGHT("0"&amp;HOUR(C356),2)&amp;":"&amp;RIGHT("0"&amp;MINUTE(C356),2)&amp;IF(D356="","","–"&amp;RIGHT("0"&amp;HOUR(D356),2)&amp;":"&amp;RIGHT("0"&amp;MINUTE(D356),2))&amp;" ")&amp;F356)</f>
        <v/>
      </c>
      <c r="N356" s="54">
        <f>IF(OR(A356="",F356=""),"",A356&amp;"#"&amp;(COUNTIFS($A$5:$A$3004,A356,$F$5:$F$3004,"?*",$O$5:$O$3004,"&lt;"&amp;O356)+COUNTIFS($A$5:A356,A356,$F$5:F356,"?*",$O$5:O356,O356)))</f>
        <v/>
      </c>
      <c r="O356" s="54">
        <f>IF(A356="","",IF(C356="",0,C356))</f>
        <v/>
      </c>
    </row>
    <row r="357">
      <c r="A357" s="58" t="n"/>
      <c r="B357" s="49">
        <f>IF(A357="","",CHOOSE(WEEKDAY(A357,2),"Пн","Вт","Ср","Чт","Пт","Сб","Вс"))</f>
        <v/>
      </c>
      <c r="C357" s="59" t="n"/>
      <c r="D357" s="59" t="n"/>
      <c r="E357" s="60">
        <f>IF(OR(C357="",D357=""),"",MOD(D357-C357,1)*24)</f>
        <v/>
      </c>
      <c r="F357" s="50" t="n"/>
      <c r="G357" s="51" t="n"/>
      <c r="H357" s="51" t="n"/>
      <c r="I357" s="51" t="n"/>
      <c r="J357" s="51" t="n"/>
      <c r="K357" s="51" t="n"/>
      <c r="L357" s="54">
        <f>IF(OR(A357="",C357="",D357=""),"",IF(COUNTIFS($A$5:$A$3004,A357,$C$5:$C$3004,"&lt;"&amp;D357,$D$5:$D$3004,"&gt;"&amp;C357)&gt;1,"⚠️ пересечение",""))</f>
        <v/>
      </c>
      <c r="M357" s="54">
        <f>IF(F357="","",IF(J357="✅ Сделано","✔ ",IF(J357="❌ Пропущено","✖ ","⏰ "))&amp;IF(C357="","",RIGHT("0"&amp;HOUR(C357),2)&amp;":"&amp;RIGHT("0"&amp;MINUTE(C357),2)&amp;IF(D357="","","–"&amp;RIGHT("0"&amp;HOUR(D357),2)&amp;":"&amp;RIGHT("0"&amp;MINUTE(D357),2))&amp;" ")&amp;F357)</f>
        <v/>
      </c>
      <c r="N357" s="54">
        <f>IF(OR(A357="",F357=""),"",A357&amp;"#"&amp;(COUNTIFS($A$5:$A$3004,A357,$F$5:$F$3004,"?*",$O$5:$O$3004,"&lt;"&amp;O357)+COUNTIFS($A$5:A357,A357,$F$5:F357,"?*",$O$5:O357,O357)))</f>
        <v/>
      </c>
      <c r="O357" s="54">
        <f>IF(A357="","",IF(C357="",0,C357))</f>
        <v/>
      </c>
    </row>
    <row r="358">
      <c r="A358" s="58" t="n"/>
      <c r="B358" s="49">
        <f>IF(A358="","",CHOOSE(WEEKDAY(A358,2),"Пн","Вт","Ср","Чт","Пт","Сб","Вс"))</f>
        <v/>
      </c>
      <c r="C358" s="59" t="n"/>
      <c r="D358" s="59" t="n"/>
      <c r="E358" s="60">
        <f>IF(OR(C358="",D358=""),"",MOD(D358-C358,1)*24)</f>
        <v/>
      </c>
      <c r="F358" s="50" t="n"/>
      <c r="G358" s="51" t="n"/>
      <c r="H358" s="51" t="n"/>
      <c r="I358" s="51" t="n"/>
      <c r="J358" s="51" t="n"/>
      <c r="K358" s="51" t="n"/>
      <c r="L358" s="54">
        <f>IF(OR(A358="",C358="",D358=""),"",IF(COUNTIFS($A$5:$A$3004,A358,$C$5:$C$3004,"&lt;"&amp;D358,$D$5:$D$3004,"&gt;"&amp;C358)&gt;1,"⚠️ пересечение",""))</f>
        <v/>
      </c>
      <c r="M358" s="54">
        <f>IF(F358="","",IF(J358="✅ Сделано","✔ ",IF(J358="❌ Пропущено","✖ ","⏰ "))&amp;IF(C358="","",RIGHT("0"&amp;HOUR(C358),2)&amp;":"&amp;RIGHT("0"&amp;MINUTE(C358),2)&amp;IF(D358="","","–"&amp;RIGHT("0"&amp;HOUR(D358),2)&amp;":"&amp;RIGHT("0"&amp;MINUTE(D358),2))&amp;" ")&amp;F358)</f>
        <v/>
      </c>
      <c r="N358" s="54">
        <f>IF(OR(A358="",F358=""),"",A358&amp;"#"&amp;(COUNTIFS($A$5:$A$3004,A358,$F$5:$F$3004,"?*",$O$5:$O$3004,"&lt;"&amp;O358)+COUNTIFS($A$5:A358,A358,$F$5:F358,"?*",$O$5:O358,O358)))</f>
        <v/>
      </c>
      <c r="O358" s="54">
        <f>IF(A358="","",IF(C358="",0,C358))</f>
        <v/>
      </c>
    </row>
    <row r="359">
      <c r="A359" s="58" t="n"/>
      <c r="B359" s="49">
        <f>IF(A359="","",CHOOSE(WEEKDAY(A359,2),"Пн","Вт","Ср","Чт","Пт","Сб","Вс"))</f>
        <v/>
      </c>
      <c r="C359" s="59" t="n"/>
      <c r="D359" s="59" t="n"/>
      <c r="E359" s="60">
        <f>IF(OR(C359="",D359=""),"",MOD(D359-C359,1)*24)</f>
        <v/>
      </c>
      <c r="F359" s="50" t="n"/>
      <c r="G359" s="51" t="n"/>
      <c r="H359" s="51" t="n"/>
      <c r="I359" s="51" t="n"/>
      <c r="J359" s="51" t="n"/>
      <c r="K359" s="51" t="n"/>
      <c r="L359" s="54">
        <f>IF(OR(A359="",C359="",D359=""),"",IF(COUNTIFS($A$5:$A$3004,A359,$C$5:$C$3004,"&lt;"&amp;D359,$D$5:$D$3004,"&gt;"&amp;C359)&gt;1,"⚠️ пересечение",""))</f>
        <v/>
      </c>
      <c r="M359" s="54">
        <f>IF(F359="","",IF(J359="✅ Сделано","✔ ",IF(J359="❌ Пропущено","✖ ","⏰ "))&amp;IF(C359="","",RIGHT("0"&amp;HOUR(C359),2)&amp;":"&amp;RIGHT("0"&amp;MINUTE(C359),2)&amp;IF(D359="","","–"&amp;RIGHT("0"&amp;HOUR(D359),2)&amp;":"&amp;RIGHT("0"&amp;MINUTE(D359),2))&amp;" ")&amp;F359)</f>
        <v/>
      </c>
      <c r="N359" s="54">
        <f>IF(OR(A359="",F359=""),"",A359&amp;"#"&amp;(COUNTIFS($A$5:$A$3004,A359,$F$5:$F$3004,"?*",$O$5:$O$3004,"&lt;"&amp;O359)+COUNTIFS($A$5:A359,A359,$F$5:F359,"?*",$O$5:O359,O359)))</f>
        <v/>
      </c>
      <c r="O359" s="54">
        <f>IF(A359="","",IF(C359="",0,C359))</f>
        <v/>
      </c>
    </row>
    <row r="360">
      <c r="A360" s="58" t="n"/>
      <c r="B360" s="49">
        <f>IF(A360="","",CHOOSE(WEEKDAY(A360,2),"Пн","Вт","Ср","Чт","Пт","Сб","Вс"))</f>
        <v/>
      </c>
      <c r="C360" s="59" t="n"/>
      <c r="D360" s="59" t="n"/>
      <c r="E360" s="60">
        <f>IF(OR(C360="",D360=""),"",MOD(D360-C360,1)*24)</f>
        <v/>
      </c>
      <c r="F360" s="50" t="n"/>
      <c r="G360" s="51" t="n"/>
      <c r="H360" s="51" t="n"/>
      <c r="I360" s="51" t="n"/>
      <c r="J360" s="51" t="n"/>
      <c r="K360" s="51" t="n"/>
      <c r="L360" s="54">
        <f>IF(OR(A360="",C360="",D360=""),"",IF(COUNTIFS($A$5:$A$3004,A360,$C$5:$C$3004,"&lt;"&amp;D360,$D$5:$D$3004,"&gt;"&amp;C360)&gt;1,"⚠️ пересечение",""))</f>
        <v/>
      </c>
      <c r="M360" s="54">
        <f>IF(F360="","",IF(J360="✅ Сделано","✔ ",IF(J360="❌ Пропущено","✖ ","⏰ "))&amp;IF(C360="","",RIGHT("0"&amp;HOUR(C360),2)&amp;":"&amp;RIGHT("0"&amp;MINUTE(C360),2)&amp;IF(D360="","","–"&amp;RIGHT("0"&amp;HOUR(D360),2)&amp;":"&amp;RIGHT("0"&amp;MINUTE(D360),2))&amp;" ")&amp;F360)</f>
        <v/>
      </c>
      <c r="N360" s="54">
        <f>IF(OR(A360="",F360=""),"",A360&amp;"#"&amp;(COUNTIFS($A$5:$A$3004,A360,$F$5:$F$3004,"?*",$O$5:$O$3004,"&lt;"&amp;O360)+COUNTIFS($A$5:A360,A360,$F$5:F360,"?*",$O$5:O360,O360)))</f>
        <v/>
      </c>
      <c r="O360" s="54">
        <f>IF(A360="","",IF(C360="",0,C360))</f>
        <v/>
      </c>
    </row>
    <row r="361">
      <c r="A361" s="58" t="n"/>
      <c r="B361" s="49">
        <f>IF(A361="","",CHOOSE(WEEKDAY(A361,2),"Пн","Вт","Ср","Чт","Пт","Сб","Вс"))</f>
        <v/>
      </c>
      <c r="C361" s="59" t="n"/>
      <c r="D361" s="59" t="n"/>
      <c r="E361" s="60">
        <f>IF(OR(C361="",D361=""),"",MOD(D361-C361,1)*24)</f>
        <v/>
      </c>
      <c r="F361" s="50" t="n"/>
      <c r="G361" s="51" t="n"/>
      <c r="H361" s="51" t="n"/>
      <c r="I361" s="51" t="n"/>
      <c r="J361" s="51" t="n"/>
      <c r="K361" s="51" t="n"/>
      <c r="L361" s="54">
        <f>IF(OR(A361="",C361="",D361=""),"",IF(COUNTIFS($A$5:$A$3004,A361,$C$5:$C$3004,"&lt;"&amp;D361,$D$5:$D$3004,"&gt;"&amp;C361)&gt;1,"⚠️ пересечение",""))</f>
        <v/>
      </c>
      <c r="M361" s="54">
        <f>IF(F361="","",IF(J361="✅ Сделано","✔ ",IF(J361="❌ Пропущено","✖ ","⏰ "))&amp;IF(C361="","",RIGHT("0"&amp;HOUR(C361),2)&amp;":"&amp;RIGHT("0"&amp;MINUTE(C361),2)&amp;IF(D361="","","–"&amp;RIGHT("0"&amp;HOUR(D361),2)&amp;":"&amp;RIGHT("0"&amp;MINUTE(D361),2))&amp;" ")&amp;F361)</f>
        <v/>
      </c>
      <c r="N361" s="54">
        <f>IF(OR(A361="",F361=""),"",A361&amp;"#"&amp;(COUNTIFS($A$5:$A$3004,A361,$F$5:$F$3004,"?*",$O$5:$O$3004,"&lt;"&amp;O361)+COUNTIFS($A$5:A361,A361,$F$5:F361,"?*",$O$5:O361,O361)))</f>
        <v/>
      </c>
      <c r="O361" s="54">
        <f>IF(A361="","",IF(C361="",0,C361))</f>
        <v/>
      </c>
    </row>
    <row r="362">
      <c r="A362" s="58" t="n"/>
      <c r="B362" s="49">
        <f>IF(A362="","",CHOOSE(WEEKDAY(A362,2),"Пн","Вт","Ср","Чт","Пт","Сб","Вс"))</f>
        <v/>
      </c>
      <c r="C362" s="59" t="n"/>
      <c r="D362" s="59" t="n"/>
      <c r="E362" s="60">
        <f>IF(OR(C362="",D362=""),"",MOD(D362-C362,1)*24)</f>
        <v/>
      </c>
      <c r="F362" s="50" t="n"/>
      <c r="G362" s="51" t="n"/>
      <c r="H362" s="51" t="n"/>
      <c r="I362" s="51" t="n"/>
      <c r="J362" s="51" t="n"/>
      <c r="K362" s="51" t="n"/>
      <c r="L362" s="54">
        <f>IF(OR(A362="",C362="",D362=""),"",IF(COUNTIFS($A$5:$A$3004,A362,$C$5:$C$3004,"&lt;"&amp;D362,$D$5:$D$3004,"&gt;"&amp;C362)&gt;1,"⚠️ пересечение",""))</f>
        <v/>
      </c>
      <c r="M362" s="54">
        <f>IF(F362="","",IF(J362="✅ Сделано","✔ ",IF(J362="❌ Пропущено","✖ ","⏰ "))&amp;IF(C362="","",RIGHT("0"&amp;HOUR(C362),2)&amp;":"&amp;RIGHT("0"&amp;MINUTE(C362),2)&amp;IF(D362="","","–"&amp;RIGHT("0"&amp;HOUR(D362),2)&amp;":"&amp;RIGHT("0"&amp;MINUTE(D362),2))&amp;" ")&amp;F362)</f>
        <v/>
      </c>
      <c r="N362" s="54">
        <f>IF(OR(A362="",F362=""),"",A362&amp;"#"&amp;(COUNTIFS($A$5:$A$3004,A362,$F$5:$F$3004,"?*",$O$5:$O$3004,"&lt;"&amp;O362)+COUNTIFS($A$5:A362,A362,$F$5:F362,"?*",$O$5:O362,O362)))</f>
        <v/>
      </c>
      <c r="O362" s="54">
        <f>IF(A362="","",IF(C362="",0,C362))</f>
        <v/>
      </c>
    </row>
    <row r="363">
      <c r="A363" s="58" t="n"/>
      <c r="B363" s="49">
        <f>IF(A363="","",CHOOSE(WEEKDAY(A363,2),"Пн","Вт","Ср","Чт","Пт","Сб","Вс"))</f>
        <v/>
      </c>
      <c r="C363" s="59" t="n"/>
      <c r="D363" s="59" t="n"/>
      <c r="E363" s="60">
        <f>IF(OR(C363="",D363=""),"",MOD(D363-C363,1)*24)</f>
        <v/>
      </c>
      <c r="F363" s="50" t="n"/>
      <c r="G363" s="51" t="n"/>
      <c r="H363" s="51" t="n"/>
      <c r="I363" s="51" t="n"/>
      <c r="J363" s="51" t="n"/>
      <c r="K363" s="51" t="n"/>
      <c r="L363" s="54">
        <f>IF(OR(A363="",C363="",D363=""),"",IF(COUNTIFS($A$5:$A$3004,A363,$C$5:$C$3004,"&lt;"&amp;D363,$D$5:$D$3004,"&gt;"&amp;C363)&gt;1,"⚠️ пересечение",""))</f>
        <v/>
      </c>
      <c r="M363" s="54">
        <f>IF(F363="","",IF(J363="✅ Сделано","✔ ",IF(J363="❌ Пропущено","✖ ","⏰ "))&amp;IF(C363="","",RIGHT("0"&amp;HOUR(C363),2)&amp;":"&amp;RIGHT("0"&amp;MINUTE(C363),2)&amp;IF(D363="","","–"&amp;RIGHT("0"&amp;HOUR(D363),2)&amp;":"&amp;RIGHT("0"&amp;MINUTE(D363),2))&amp;" ")&amp;F363)</f>
        <v/>
      </c>
      <c r="N363" s="54">
        <f>IF(OR(A363="",F363=""),"",A363&amp;"#"&amp;(COUNTIFS($A$5:$A$3004,A363,$F$5:$F$3004,"?*",$O$5:$O$3004,"&lt;"&amp;O363)+COUNTIFS($A$5:A363,A363,$F$5:F363,"?*",$O$5:O363,O363)))</f>
        <v/>
      </c>
      <c r="O363" s="54">
        <f>IF(A363="","",IF(C363="",0,C363))</f>
        <v/>
      </c>
    </row>
    <row r="364">
      <c r="A364" s="58" t="n"/>
      <c r="B364" s="49">
        <f>IF(A364="","",CHOOSE(WEEKDAY(A364,2),"Пн","Вт","Ср","Чт","Пт","Сб","Вс"))</f>
        <v/>
      </c>
      <c r="C364" s="59" t="n"/>
      <c r="D364" s="59" t="n"/>
      <c r="E364" s="60">
        <f>IF(OR(C364="",D364=""),"",MOD(D364-C364,1)*24)</f>
        <v/>
      </c>
      <c r="F364" s="50" t="n"/>
      <c r="G364" s="51" t="n"/>
      <c r="H364" s="51" t="n"/>
      <c r="I364" s="51" t="n"/>
      <c r="J364" s="51" t="n"/>
      <c r="K364" s="51" t="n"/>
      <c r="L364" s="54">
        <f>IF(OR(A364="",C364="",D364=""),"",IF(COUNTIFS($A$5:$A$3004,A364,$C$5:$C$3004,"&lt;"&amp;D364,$D$5:$D$3004,"&gt;"&amp;C364)&gt;1,"⚠️ пересечение",""))</f>
        <v/>
      </c>
      <c r="M364" s="54">
        <f>IF(F364="","",IF(J364="✅ Сделано","✔ ",IF(J364="❌ Пропущено","✖ ","⏰ "))&amp;IF(C364="","",RIGHT("0"&amp;HOUR(C364),2)&amp;":"&amp;RIGHT("0"&amp;MINUTE(C364),2)&amp;IF(D364="","","–"&amp;RIGHT("0"&amp;HOUR(D364),2)&amp;":"&amp;RIGHT("0"&amp;MINUTE(D364),2))&amp;" ")&amp;F364)</f>
        <v/>
      </c>
      <c r="N364" s="54">
        <f>IF(OR(A364="",F364=""),"",A364&amp;"#"&amp;(COUNTIFS($A$5:$A$3004,A364,$F$5:$F$3004,"?*",$O$5:$O$3004,"&lt;"&amp;O364)+COUNTIFS($A$5:A364,A364,$F$5:F364,"?*",$O$5:O364,O364)))</f>
        <v/>
      </c>
      <c r="O364" s="54">
        <f>IF(A364="","",IF(C364="",0,C364))</f>
        <v/>
      </c>
    </row>
    <row r="365">
      <c r="A365" s="58" t="n"/>
      <c r="B365" s="49">
        <f>IF(A365="","",CHOOSE(WEEKDAY(A365,2),"Пн","Вт","Ср","Чт","Пт","Сб","Вс"))</f>
        <v/>
      </c>
      <c r="C365" s="59" t="n"/>
      <c r="D365" s="59" t="n"/>
      <c r="E365" s="60">
        <f>IF(OR(C365="",D365=""),"",MOD(D365-C365,1)*24)</f>
        <v/>
      </c>
      <c r="F365" s="50" t="n"/>
      <c r="G365" s="51" t="n"/>
      <c r="H365" s="51" t="n"/>
      <c r="I365" s="51" t="n"/>
      <c r="J365" s="51" t="n"/>
      <c r="K365" s="51" t="n"/>
      <c r="L365" s="54">
        <f>IF(OR(A365="",C365="",D365=""),"",IF(COUNTIFS($A$5:$A$3004,A365,$C$5:$C$3004,"&lt;"&amp;D365,$D$5:$D$3004,"&gt;"&amp;C365)&gt;1,"⚠️ пересечение",""))</f>
        <v/>
      </c>
      <c r="M365" s="54">
        <f>IF(F365="","",IF(J365="✅ Сделано","✔ ",IF(J365="❌ Пропущено","✖ ","⏰ "))&amp;IF(C365="","",RIGHT("0"&amp;HOUR(C365),2)&amp;":"&amp;RIGHT("0"&amp;MINUTE(C365),2)&amp;IF(D365="","","–"&amp;RIGHT("0"&amp;HOUR(D365),2)&amp;":"&amp;RIGHT("0"&amp;MINUTE(D365),2))&amp;" ")&amp;F365)</f>
        <v/>
      </c>
      <c r="N365" s="54">
        <f>IF(OR(A365="",F365=""),"",A365&amp;"#"&amp;(COUNTIFS($A$5:$A$3004,A365,$F$5:$F$3004,"?*",$O$5:$O$3004,"&lt;"&amp;O365)+COUNTIFS($A$5:A365,A365,$F$5:F365,"?*",$O$5:O365,O365)))</f>
        <v/>
      </c>
      <c r="O365" s="54">
        <f>IF(A365="","",IF(C365="",0,C365))</f>
        <v/>
      </c>
    </row>
    <row r="366">
      <c r="A366" s="58" t="n"/>
      <c r="B366" s="49">
        <f>IF(A366="","",CHOOSE(WEEKDAY(A366,2),"Пн","Вт","Ср","Чт","Пт","Сб","Вс"))</f>
        <v/>
      </c>
      <c r="C366" s="59" t="n"/>
      <c r="D366" s="59" t="n"/>
      <c r="E366" s="60">
        <f>IF(OR(C366="",D366=""),"",MOD(D366-C366,1)*24)</f>
        <v/>
      </c>
      <c r="F366" s="50" t="n"/>
      <c r="G366" s="51" t="n"/>
      <c r="H366" s="51" t="n"/>
      <c r="I366" s="51" t="n"/>
      <c r="J366" s="51" t="n"/>
      <c r="K366" s="51" t="n"/>
      <c r="L366" s="54">
        <f>IF(OR(A366="",C366="",D366=""),"",IF(COUNTIFS($A$5:$A$3004,A366,$C$5:$C$3004,"&lt;"&amp;D366,$D$5:$D$3004,"&gt;"&amp;C366)&gt;1,"⚠️ пересечение",""))</f>
        <v/>
      </c>
      <c r="M366" s="54">
        <f>IF(F366="","",IF(J366="✅ Сделано","✔ ",IF(J366="❌ Пропущено","✖ ","⏰ "))&amp;IF(C366="","",RIGHT("0"&amp;HOUR(C366),2)&amp;":"&amp;RIGHT("0"&amp;MINUTE(C366),2)&amp;IF(D366="","","–"&amp;RIGHT("0"&amp;HOUR(D366),2)&amp;":"&amp;RIGHT("0"&amp;MINUTE(D366),2))&amp;" ")&amp;F366)</f>
        <v/>
      </c>
      <c r="N366" s="54">
        <f>IF(OR(A366="",F366=""),"",A366&amp;"#"&amp;(COUNTIFS($A$5:$A$3004,A366,$F$5:$F$3004,"?*",$O$5:$O$3004,"&lt;"&amp;O366)+COUNTIFS($A$5:A366,A366,$F$5:F366,"?*",$O$5:O366,O366)))</f>
        <v/>
      </c>
      <c r="O366" s="54">
        <f>IF(A366="","",IF(C366="",0,C366))</f>
        <v/>
      </c>
    </row>
    <row r="367">
      <c r="A367" s="58" t="n"/>
      <c r="B367" s="49">
        <f>IF(A367="","",CHOOSE(WEEKDAY(A367,2),"Пн","Вт","Ср","Чт","Пт","Сб","Вс"))</f>
        <v/>
      </c>
      <c r="C367" s="59" t="n"/>
      <c r="D367" s="59" t="n"/>
      <c r="E367" s="60">
        <f>IF(OR(C367="",D367=""),"",MOD(D367-C367,1)*24)</f>
        <v/>
      </c>
      <c r="F367" s="50" t="n"/>
      <c r="G367" s="51" t="n"/>
      <c r="H367" s="51" t="n"/>
      <c r="I367" s="51" t="n"/>
      <c r="J367" s="51" t="n"/>
      <c r="K367" s="51" t="n"/>
      <c r="L367" s="54">
        <f>IF(OR(A367="",C367="",D367=""),"",IF(COUNTIFS($A$5:$A$3004,A367,$C$5:$C$3004,"&lt;"&amp;D367,$D$5:$D$3004,"&gt;"&amp;C367)&gt;1,"⚠️ пересечение",""))</f>
        <v/>
      </c>
      <c r="M367" s="54">
        <f>IF(F367="","",IF(J367="✅ Сделано","✔ ",IF(J367="❌ Пропущено","✖ ","⏰ "))&amp;IF(C367="","",RIGHT("0"&amp;HOUR(C367),2)&amp;":"&amp;RIGHT("0"&amp;MINUTE(C367),2)&amp;IF(D367="","","–"&amp;RIGHT("0"&amp;HOUR(D367),2)&amp;":"&amp;RIGHT("0"&amp;MINUTE(D367),2))&amp;" ")&amp;F367)</f>
        <v/>
      </c>
      <c r="N367" s="54">
        <f>IF(OR(A367="",F367=""),"",A367&amp;"#"&amp;(COUNTIFS($A$5:$A$3004,A367,$F$5:$F$3004,"?*",$O$5:$O$3004,"&lt;"&amp;O367)+COUNTIFS($A$5:A367,A367,$F$5:F367,"?*",$O$5:O367,O367)))</f>
        <v/>
      </c>
      <c r="O367" s="54">
        <f>IF(A367="","",IF(C367="",0,C367))</f>
        <v/>
      </c>
    </row>
    <row r="368">
      <c r="A368" s="58" t="n"/>
      <c r="B368" s="49">
        <f>IF(A368="","",CHOOSE(WEEKDAY(A368,2),"Пн","Вт","Ср","Чт","Пт","Сб","Вс"))</f>
        <v/>
      </c>
      <c r="C368" s="59" t="n"/>
      <c r="D368" s="59" t="n"/>
      <c r="E368" s="60">
        <f>IF(OR(C368="",D368=""),"",MOD(D368-C368,1)*24)</f>
        <v/>
      </c>
      <c r="F368" s="50" t="n"/>
      <c r="G368" s="51" t="n"/>
      <c r="H368" s="51" t="n"/>
      <c r="I368" s="51" t="n"/>
      <c r="J368" s="51" t="n"/>
      <c r="K368" s="51" t="n"/>
      <c r="L368" s="54">
        <f>IF(OR(A368="",C368="",D368=""),"",IF(COUNTIFS($A$5:$A$3004,A368,$C$5:$C$3004,"&lt;"&amp;D368,$D$5:$D$3004,"&gt;"&amp;C368)&gt;1,"⚠️ пересечение",""))</f>
        <v/>
      </c>
      <c r="M368" s="54">
        <f>IF(F368="","",IF(J368="✅ Сделано","✔ ",IF(J368="❌ Пропущено","✖ ","⏰ "))&amp;IF(C368="","",RIGHT("0"&amp;HOUR(C368),2)&amp;":"&amp;RIGHT("0"&amp;MINUTE(C368),2)&amp;IF(D368="","","–"&amp;RIGHT("0"&amp;HOUR(D368),2)&amp;":"&amp;RIGHT("0"&amp;MINUTE(D368),2))&amp;" ")&amp;F368)</f>
        <v/>
      </c>
      <c r="N368" s="54">
        <f>IF(OR(A368="",F368=""),"",A368&amp;"#"&amp;(COUNTIFS($A$5:$A$3004,A368,$F$5:$F$3004,"?*",$O$5:$O$3004,"&lt;"&amp;O368)+COUNTIFS($A$5:A368,A368,$F$5:F368,"?*",$O$5:O368,O368)))</f>
        <v/>
      </c>
      <c r="O368" s="54">
        <f>IF(A368="","",IF(C368="",0,C368))</f>
        <v/>
      </c>
    </row>
    <row r="369">
      <c r="A369" s="58" t="n"/>
      <c r="B369" s="49">
        <f>IF(A369="","",CHOOSE(WEEKDAY(A369,2),"Пн","Вт","Ср","Чт","Пт","Сб","Вс"))</f>
        <v/>
      </c>
      <c r="C369" s="59" t="n"/>
      <c r="D369" s="59" t="n"/>
      <c r="E369" s="60">
        <f>IF(OR(C369="",D369=""),"",MOD(D369-C369,1)*24)</f>
        <v/>
      </c>
      <c r="F369" s="50" t="n"/>
      <c r="G369" s="51" t="n"/>
      <c r="H369" s="51" t="n"/>
      <c r="I369" s="51" t="n"/>
      <c r="J369" s="51" t="n"/>
      <c r="K369" s="51" t="n"/>
      <c r="L369" s="54">
        <f>IF(OR(A369="",C369="",D369=""),"",IF(COUNTIFS($A$5:$A$3004,A369,$C$5:$C$3004,"&lt;"&amp;D369,$D$5:$D$3004,"&gt;"&amp;C369)&gt;1,"⚠️ пересечение",""))</f>
        <v/>
      </c>
      <c r="M369" s="54">
        <f>IF(F369="","",IF(J369="✅ Сделано","✔ ",IF(J369="❌ Пропущено","✖ ","⏰ "))&amp;IF(C369="","",RIGHT("0"&amp;HOUR(C369),2)&amp;":"&amp;RIGHT("0"&amp;MINUTE(C369),2)&amp;IF(D369="","","–"&amp;RIGHT("0"&amp;HOUR(D369),2)&amp;":"&amp;RIGHT("0"&amp;MINUTE(D369),2))&amp;" ")&amp;F369)</f>
        <v/>
      </c>
      <c r="N369" s="54">
        <f>IF(OR(A369="",F369=""),"",A369&amp;"#"&amp;(COUNTIFS($A$5:$A$3004,A369,$F$5:$F$3004,"?*",$O$5:$O$3004,"&lt;"&amp;O369)+COUNTIFS($A$5:A369,A369,$F$5:F369,"?*",$O$5:O369,O369)))</f>
        <v/>
      </c>
      <c r="O369" s="54">
        <f>IF(A369="","",IF(C369="",0,C369))</f>
        <v/>
      </c>
    </row>
    <row r="370">
      <c r="A370" s="58" t="n"/>
      <c r="B370" s="49">
        <f>IF(A370="","",CHOOSE(WEEKDAY(A370,2),"Пн","Вт","Ср","Чт","Пт","Сб","Вс"))</f>
        <v/>
      </c>
      <c r="C370" s="59" t="n"/>
      <c r="D370" s="59" t="n"/>
      <c r="E370" s="60">
        <f>IF(OR(C370="",D370=""),"",MOD(D370-C370,1)*24)</f>
        <v/>
      </c>
      <c r="F370" s="50" t="n"/>
      <c r="G370" s="51" t="n"/>
      <c r="H370" s="51" t="n"/>
      <c r="I370" s="51" t="n"/>
      <c r="J370" s="51" t="n"/>
      <c r="K370" s="51" t="n"/>
      <c r="L370" s="54">
        <f>IF(OR(A370="",C370="",D370=""),"",IF(COUNTIFS($A$5:$A$3004,A370,$C$5:$C$3004,"&lt;"&amp;D370,$D$5:$D$3004,"&gt;"&amp;C370)&gt;1,"⚠️ пересечение",""))</f>
        <v/>
      </c>
      <c r="M370" s="54">
        <f>IF(F370="","",IF(J370="✅ Сделано","✔ ",IF(J370="❌ Пропущено","✖ ","⏰ "))&amp;IF(C370="","",RIGHT("0"&amp;HOUR(C370),2)&amp;":"&amp;RIGHT("0"&amp;MINUTE(C370),2)&amp;IF(D370="","","–"&amp;RIGHT("0"&amp;HOUR(D370),2)&amp;":"&amp;RIGHT("0"&amp;MINUTE(D370),2))&amp;" ")&amp;F370)</f>
        <v/>
      </c>
      <c r="N370" s="54">
        <f>IF(OR(A370="",F370=""),"",A370&amp;"#"&amp;(COUNTIFS($A$5:$A$3004,A370,$F$5:$F$3004,"?*",$O$5:$O$3004,"&lt;"&amp;O370)+COUNTIFS($A$5:A370,A370,$F$5:F370,"?*",$O$5:O370,O370)))</f>
        <v/>
      </c>
      <c r="O370" s="54">
        <f>IF(A370="","",IF(C370="",0,C370))</f>
        <v/>
      </c>
    </row>
    <row r="371">
      <c r="A371" s="58" t="n"/>
      <c r="B371" s="49">
        <f>IF(A371="","",CHOOSE(WEEKDAY(A371,2),"Пн","Вт","Ср","Чт","Пт","Сб","Вс"))</f>
        <v/>
      </c>
      <c r="C371" s="59" t="n"/>
      <c r="D371" s="59" t="n"/>
      <c r="E371" s="60">
        <f>IF(OR(C371="",D371=""),"",MOD(D371-C371,1)*24)</f>
        <v/>
      </c>
      <c r="F371" s="50" t="n"/>
      <c r="G371" s="51" t="n"/>
      <c r="H371" s="51" t="n"/>
      <c r="I371" s="51" t="n"/>
      <c r="J371" s="51" t="n"/>
      <c r="K371" s="51" t="n"/>
      <c r="L371" s="54">
        <f>IF(OR(A371="",C371="",D371=""),"",IF(COUNTIFS($A$5:$A$3004,A371,$C$5:$C$3004,"&lt;"&amp;D371,$D$5:$D$3004,"&gt;"&amp;C371)&gt;1,"⚠️ пересечение",""))</f>
        <v/>
      </c>
      <c r="M371" s="54">
        <f>IF(F371="","",IF(J371="✅ Сделано","✔ ",IF(J371="❌ Пропущено","✖ ","⏰ "))&amp;IF(C371="","",RIGHT("0"&amp;HOUR(C371),2)&amp;":"&amp;RIGHT("0"&amp;MINUTE(C371),2)&amp;IF(D371="","","–"&amp;RIGHT("0"&amp;HOUR(D371),2)&amp;":"&amp;RIGHT("0"&amp;MINUTE(D371),2))&amp;" ")&amp;F371)</f>
        <v/>
      </c>
      <c r="N371" s="54">
        <f>IF(OR(A371="",F371=""),"",A371&amp;"#"&amp;(COUNTIFS($A$5:$A$3004,A371,$F$5:$F$3004,"?*",$O$5:$O$3004,"&lt;"&amp;O371)+COUNTIFS($A$5:A371,A371,$F$5:F371,"?*",$O$5:O371,O371)))</f>
        <v/>
      </c>
      <c r="O371" s="54">
        <f>IF(A371="","",IF(C371="",0,C371))</f>
        <v/>
      </c>
    </row>
    <row r="372">
      <c r="A372" s="58" t="n"/>
      <c r="B372" s="49">
        <f>IF(A372="","",CHOOSE(WEEKDAY(A372,2),"Пн","Вт","Ср","Чт","Пт","Сб","Вс"))</f>
        <v/>
      </c>
      <c r="C372" s="59" t="n"/>
      <c r="D372" s="59" t="n"/>
      <c r="E372" s="60">
        <f>IF(OR(C372="",D372=""),"",MOD(D372-C372,1)*24)</f>
        <v/>
      </c>
      <c r="F372" s="50" t="n"/>
      <c r="G372" s="51" t="n"/>
      <c r="H372" s="51" t="n"/>
      <c r="I372" s="51" t="n"/>
      <c r="J372" s="51" t="n"/>
      <c r="K372" s="51" t="n"/>
      <c r="L372" s="54">
        <f>IF(OR(A372="",C372="",D372=""),"",IF(COUNTIFS($A$5:$A$3004,A372,$C$5:$C$3004,"&lt;"&amp;D372,$D$5:$D$3004,"&gt;"&amp;C372)&gt;1,"⚠️ пересечение",""))</f>
        <v/>
      </c>
      <c r="M372" s="54">
        <f>IF(F372="","",IF(J372="✅ Сделано","✔ ",IF(J372="❌ Пропущено","✖ ","⏰ "))&amp;IF(C372="","",RIGHT("0"&amp;HOUR(C372),2)&amp;":"&amp;RIGHT("0"&amp;MINUTE(C372),2)&amp;IF(D372="","","–"&amp;RIGHT("0"&amp;HOUR(D372),2)&amp;":"&amp;RIGHT("0"&amp;MINUTE(D372),2))&amp;" ")&amp;F372)</f>
        <v/>
      </c>
      <c r="N372" s="54">
        <f>IF(OR(A372="",F372=""),"",A372&amp;"#"&amp;(COUNTIFS($A$5:$A$3004,A372,$F$5:$F$3004,"?*",$O$5:$O$3004,"&lt;"&amp;O372)+COUNTIFS($A$5:A372,A372,$F$5:F372,"?*",$O$5:O372,O372)))</f>
        <v/>
      </c>
      <c r="O372" s="54">
        <f>IF(A372="","",IF(C372="",0,C372))</f>
        <v/>
      </c>
    </row>
    <row r="373">
      <c r="A373" s="58" t="n"/>
      <c r="B373" s="49">
        <f>IF(A373="","",CHOOSE(WEEKDAY(A373,2),"Пн","Вт","Ср","Чт","Пт","Сб","Вс"))</f>
        <v/>
      </c>
      <c r="C373" s="59" t="n"/>
      <c r="D373" s="59" t="n"/>
      <c r="E373" s="60">
        <f>IF(OR(C373="",D373=""),"",MOD(D373-C373,1)*24)</f>
        <v/>
      </c>
      <c r="F373" s="50" t="n"/>
      <c r="G373" s="51" t="n"/>
      <c r="H373" s="51" t="n"/>
      <c r="I373" s="51" t="n"/>
      <c r="J373" s="51" t="n"/>
      <c r="K373" s="51" t="n"/>
      <c r="L373" s="54">
        <f>IF(OR(A373="",C373="",D373=""),"",IF(COUNTIFS($A$5:$A$3004,A373,$C$5:$C$3004,"&lt;"&amp;D373,$D$5:$D$3004,"&gt;"&amp;C373)&gt;1,"⚠️ пересечение",""))</f>
        <v/>
      </c>
      <c r="M373" s="54">
        <f>IF(F373="","",IF(J373="✅ Сделано","✔ ",IF(J373="❌ Пропущено","✖ ","⏰ "))&amp;IF(C373="","",RIGHT("0"&amp;HOUR(C373),2)&amp;":"&amp;RIGHT("0"&amp;MINUTE(C373),2)&amp;IF(D373="","","–"&amp;RIGHT("0"&amp;HOUR(D373),2)&amp;":"&amp;RIGHT("0"&amp;MINUTE(D373),2))&amp;" ")&amp;F373)</f>
        <v/>
      </c>
      <c r="N373" s="54">
        <f>IF(OR(A373="",F373=""),"",A373&amp;"#"&amp;(COUNTIFS($A$5:$A$3004,A373,$F$5:$F$3004,"?*",$O$5:$O$3004,"&lt;"&amp;O373)+COUNTIFS($A$5:A373,A373,$F$5:F373,"?*",$O$5:O373,O373)))</f>
        <v/>
      </c>
      <c r="O373" s="54">
        <f>IF(A373="","",IF(C373="",0,C373))</f>
        <v/>
      </c>
    </row>
    <row r="374">
      <c r="A374" s="58" t="n"/>
      <c r="B374" s="49">
        <f>IF(A374="","",CHOOSE(WEEKDAY(A374,2),"Пн","Вт","Ср","Чт","Пт","Сб","Вс"))</f>
        <v/>
      </c>
      <c r="C374" s="59" t="n"/>
      <c r="D374" s="59" t="n"/>
      <c r="E374" s="60">
        <f>IF(OR(C374="",D374=""),"",MOD(D374-C374,1)*24)</f>
        <v/>
      </c>
      <c r="F374" s="50" t="n"/>
      <c r="G374" s="51" t="n"/>
      <c r="H374" s="51" t="n"/>
      <c r="I374" s="51" t="n"/>
      <c r="J374" s="51" t="n"/>
      <c r="K374" s="51" t="n"/>
      <c r="L374" s="54">
        <f>IF(OR(A374="",C374="",D374=""),"",IF(COUNTIFS($A$5:$A$3004,A374,$C$5:$C$3004,"&lt;"&amp;D374,$D$5:$D$3004,"&gt;"&amp;C374)&gt;1,"⚠️ пересечение",""))</f>
        <v/>
      </c>
      <c r="M374" s="54">
        <f>IF(F374="","",IF(J374="✅ Сделано","✔ ",IF(J374="❌ Пропущено","✖ ","⏰ "))&amp;IF(C374="","",RIGHT("0"&amp;HOUR(C374),2)&amp;":"&amp;RIGHT("0"&amp;MINUTE(C374),2)&amp;IF(D374="","","–"&amp;RIGHT("0"&amp;HOUR(D374),2)&amp;":"&amp;RIGHT("0"&amp;MINUTE(D374),2))&amp;" ")&amp;F374)</f>
        <v/>
      </c>
      <c r="N374" s="54">
        <f>IF(OR(A374="",F374=""),"",A374&amp;"#"&amp;(COUNTIFS($A$5:$A$3004,A374,$F$5:$F$3004,"?*",$O$5:$O$3004,"&lt;"&amp;O374)+COUNTIFS($A$5:A374,A374,$F$5:F374,"?*",$O$5:O374,O374)))</f>
        <v/>
      </c>
      <c r="O374" s="54">
        <f>IF(A374="","",IF(C374="",0,C374))</f>
        <v/>
      </c>
    </row>
    <row r="375">
      <c r="A375" s="58" t="n"/>
      <c r="B375" s="49">
        <f>IF(A375="","",CHOOSE(WEEKDAY(A375,2),"Пн","Вт","Ср","Чт","Пт","Сб","Вс"))</f>
        <v/>
      </c>
      <c r="C375" s="59" t="n"/>
      <c r="D375" s="59" t="n"/>
      <c r="E375" s="60">
        <f>IF(OR(C375="",D375=""),"",MOD(D375-C375,1)*24)</f>
        <v/>
      </c>
      <c r="F375" s="50" t="n"/>
      <c r="G375" s="51" t="n"/>
      <c r="H375" s="51" t="n"/>
      <c r="I375" s="51" t="n"/>
      <c r="J375" s="51" t="n"/>
      <c r="K375" s="51" t="n"/>
      <c r="L375" s="54">
        <f>IF(OR(A375="",C375="",D375=""),"",IF(COUNTIFS($A$5:$A$3004,A375,$C$5:$C$3004,"&lt;"&amp;D375,$D$5:$D$3004,"&gt;"&amp;C375)&gt;1,"⚠️ пересечение",""))</f>
        <v/>
      </c>
      <c r="M375" s="54">
        <f>IF(F375="","",IF(J375="✅ Сделано","✔ ",IF(J375="❌ Пропущено","✖ ","⏰ "))&amp;IF(C375="","",RIGHT("0"&amp;HOUR(C375),2)&amp;":"&amp;RIGHT("0"&amp;MINUTE(C375),2)&amp;IF(D375="","","–"&amp;RIGHT("0"&amp;HOUR(D375),2)&amp;":"&amp;RIGHT("0"&amp;MINUTE(D375),2))&amp;" ")&amp;F375)</f>
        <v/>
      </c>
      <c r="N375" s="54">
        <f>IF(OR(A375="",F375=""),"",A375&amp;"#"&amp;(COUNTIFS($A$5:$A$3004,A375,$F$5:$F$3004,"?*",$O$5:$O$3004,"&lt;"&amp;O375)+COUNTIFS($A$5:A375,A375,$F$5:F375,"?*",$O$5:O375,O375)))</f>
        <v/>
      </c>
      <c r="O375" s="54">
        <f>IF(A375="","",IF(C375="",0,C375))</f>
        <v/>
      </c>
    </row>
    <row r="376">
      <c r="A376" s="58" t="n"/>
      <c r="B376" s="49">
        <f>IF(A376="","",CHOOSE(WEEKDAY(A376,2),"Пн","Вт","Ср","Чт","Пт","Сб","Вс"))</f>
        <v/>
      </c>
      <c r="C376" s="59" t="n"/>
      <c r="D376" s="59" t="n"/>
      <c r="E376" s="60">
        <f>IF(OR(C376="",D376=""),"",MOD(D376-C376,1)*24)</f>
        <v/>
      </c>
      <c r="F376" s="50" t="n"/>
      <c r="G376" s="51" t="n"/>
      <c r="H376" s="51" t="n"/>
      <c r="I376" s="51" t="n"/>
      <c r="J376" s="51" t="n"/>
      <c r="K376" s="51" t="n"/>
      <c r="L376" s="54">
        <f>IF(OR(A376="",C376="",D376=""),"",IF(COUNTIFS($A$5:$A$3004,A376,$C$5:$C$3004,"&lt;"&amp;D376,$D$5:$D$3004,"&gt;"&amp;C376)&gt;1,"⚠️ пересечение",""))</f>
        <v/>
      </c>
      <c r="M376" s="54">
        <f>IF(F376="","",IF(J376="✅ Сделано","✔ ",IF(J376="❌ Пропущено","✖ ","⏰ "))&amp;IF(C376="","",RIGHT("0"&amp;HOUR(C376),2)&amp;":"&amp;RIGHT("0"&amp;MINUTE(C376),2)&amp;IF(D376="","","–"&amp;RIGHT("0"&amp;HOUR(D376),2)&amp;":"&amp;RIGHT("0"&amp;MINUTE(D376),2))&amp;" ")&amp;F376)</f>
        <v/>
      </c>
      <c r="N376" s="54">
        <f>IF(OR(A376="",F376=""),"",A376&amp;"#"&amp;(COUNTIFS($A$5:$A$3004,A376,$F$5:$F$3004,"?*",$O$5:$O$3004,"&lt;"&amp;O376)+COUNTIFS($A$5:A376,A376,$F$5:F376,"?*",$O$5:O376,O376)))</f>
        <v/>
      </c>
      <c r="O376" s="54">
        <f>IF(A376="","",IF(C376="",0,C376))</f>
        <v/>
      </c>
    </row>
    <row r="377">
      <c r="A377" s="58" t="n"/>
      <c r="B377" s="49">
        <f>IF(A377="","",CHOOSE(WEEKDAY(A377,2),"Пн","Вт","Ср","Чт","Пт","Сб","Вс"))</f>
        <v/>
      </c>
      <c r="C377" s="59" t="n"/>
      <c r="D377" s="59" t="n"/>
      <c r="E377" s="60">
        <f>IF(OR(C377="",D377=""),"",MOD(D377-C377,1)*24)</f>
        <v/>
      </c>
      <c r="F377" s="50" t="n"/>
      <c r="G377" s="51" t="n"/>
      <c r="H377" s="51" t="n"/>
      <c r="I377" s="51" t="n"/>
      <c r="J377" s="51" t="n"/>
      <c r="K377" s="51" t="n"/>
      <c r="L377" s="54">
        <f>IF(OR(A377="",C377="",D377=""),"",IF(COUNTIFS($A$5:$A$3004,A377,$C$5:$C$3004,"&lt;"&amp;D377,$D$5:$D$3004,"&gt;"&amp;C377)&gt;1,"⚠️ пересечение",""))</f>
        <v/>
      </c>
      <c r="M377" s="54">
        <f>IF(F377="","",IF(J377="✅ Сделано","✔ ",IF(J377="❌ Пропущено","✖ ","⏰ "))&amp;IF(C377="","",RIGHT("0"&amp;HOUR(C377),2)&amp;":"&amp;RIGHT("0"&amp;MINUTE(C377),2)&amp;IF(D377="","","–"&amp;RIGHT("0"&amp;HOUR(D377),2)&amp;":"&amp;RIGHT("0"&amp;MINUTE(D377),2))&amp;" ")&amp;F377)</f>
        <v/>
      </c>
      <c r="N377" s="54">
        <f>IF(OR(A377="",F377=""),"",A377&amp;"#"&amp;(COUNTIFS($A$5:$A$3004,A377,$F$5:$F$3004,"?*",$O$5:$O$3004,"&lt;"&amp;O377)+COUNTIFS($A$5:A377,A377,$F$5:F377,"?*",$O$5:O377,O377)))</f>
        <v/>
      </c>
      <c r="O377" s="54">
        <f>IF(A377="","",IF(C377="",0,C377))</f>
        <v/>
      </c>
    </row>
    <row r="378">
      <c r="A378" s="58" t="n"/>
      <c r="B378" s="49">
        <f>IF(A378="","",CHOOSE(WEEKDAY(A378,2),"Пн","Вт","Ср","Чт","Пт","Сб","Вс"))</f>
        <v/>
      </c>
      <c r="C378" s="59" t="n"/>
      <c r="D378" s="59" t="n"/>
      <c r="E378" s="60">
        <f>IF(OR(C378="",D378=""),"",MOD(D378-C378,1)*24)</f>
        <v/>
      </c>
      <c r="F378" s="50" t="n"/>
      <c r="G378" s="51" t="n"/>
      <c r="H378" s="51" t="n"/>
      <c r="I378" s="51" t="n"/>
      <c r="J378" s="51" t="n"/>
      <c r="K378" s="51" t="n"/>
      <c r="L378" s="54">
        <f>IF(OR(A378="",C378="",D378=""),"",IF(COUNTIFS($A$5:$A$3004,A378,$C$5:$C$3004,"&lt;"&amp;D378,$D$5:$D$3004,"&gt;"&amp;C378)&gt;1,"⚠️ пересечение",""))</f>
        <v/>
      </c>
      <c r="M378" s="54">
        <f>IF(F378="","",IF(J378="✅ Сделано","✔ ",IF(J378="❌ Пропущено","✖ ","⏰ "))&amp;IF(C378="","",RIGHT("0"&amp;HOUR(C378),2)&amp;":"&amp;RIGHT("0"&amp;MINUTE(C378),2)&amp;IF(D378="","","–"&amp;RIGHT("0"&amp;HOUR(D378),2)&amp;":"&amp;RIGHT("0"&amp;MINUTE(D378),2))&amp;" ")&amp;F378)</f>
        <v/>
      </c>
      <c r="N378" s="54">
        <f>IF(OR(A378="",F378=""),"",A378&amp;"#"&amp;(COUNTIFS($A$5:$A$3004,A378,$F$5:$F$3004,"?*",$O$5:$O$3004,"&lt;"&amp;O378)+COUNTIFS($A$5:A378,A378,$F$5:F378,"?*",$O$5:O378,O378)))</f>
        <v/>
      </c>
      <c r="O378" s="54">
        <f>IF(A378="","",IF(C378="",0,C378))</f>
        <v/>
      </c>
    </row>
    <row r="379">
      <c r="A379" s="58" t="n"/>
      <c r="B379" s="49">
        <f>IF(A379="","",CHOOSE(WEEKDAY(A379,2),"Пн","Вт","Ср","Чт","Пт","Сб","Вс"))</f>
        <v/>
      </c>
      <c r="C379" s="59" t="n"/>
      <c r="D379" s="59" t="n"/>
      <c r="E379" s="60">
        <f>IF(OR(C379="",D379=""),"",MOD(D379-C379,1)*24)</f>
        <v/>
      </c>
      <c r="F379" s="50" t="n"/>
      <c r="G379" s="51" t="n"/>
      <c r="H379" s="51" t="n"/>
      <c r="I379" s="51" t="n"/>
      <c r="J379" s="51" t="n"/>
      <c r="K379" s="51" t="n"/>
      <c r="L379" s="54">
        <f>IF(OR(A379="",C379="",D379=""),"",IF(COUNTIFS($A$5:$A$3004,A379,$C$5:$C$3004,"&lt;"&amp;D379,$D$5:$D$3004,"&gt;"&amp;C379)&gt;1,"⚠️ пересечение",""))</f>
        <v/>
      </c>
      <c r="M379" s="54">
        <f>IF(F379="","",IF(J379="✅ Сделано","✔ ",IF(J379="❌ Пропущено","✖ ","⏰ "))&amp;IF(C379="","",RIGHT("0"&amp;HOUR(C379),2)&amp;":"&amp;RIGHT("0"&amp;MINUTE(C379),2)&amp;IF(D379="","","–"&amp;RIGHT("0"&amp;HOUR(D379),2)&amp;":"&amp;RIGHT("0"&amp;MINUTE(D379),2))&amp;" ")&amp;F379)</f>
        <v/>
      </c>
      <c r="N379" s="54">
        <f>IF(OR(A379="",F379=""),"",A379&amp;"#"&amp;(COUNTIFS($A$5:$A$3004,A379,$F$5:$F$3004,"?*",$O$5:$O$3004,"&lt;"&amp;O379)+COUNTIFS($A$5:A379,A379,$F$5:F379,"?*",$O$5:O379,O379)))</f>
        <v/>
      </c>
      <c r="O379" s="54">
        <f>IF(A379="","",IF(C379="",0,C379))</f>
        <v/>
      </c>
    </row>
    <row r="380">
      <c r="A380" s="58" t="n"/>
      <c r="B380" s="49">
        <f>IF(A380="","",CHOOSE(WEEKDAY(A380,2),"Пн","Вт","Ср","Чт","Пт","Сб","Вс"))</f>
        <v/>
      </c>
      <c r="C380" s="59" t="n"/>
      <c r="D380" s="59" t="n"/>
      <c r="E380" s="60">
        <f>IF(OR(C380="",D380=""),"",MOD(D380-C380,1)*24)</f>
        <v/>
      </c>
      <c r="F380" s="50" t="n"/>
      <c r="G380" s="51" t="n"/>
      <c r="H380" s="51" t="n"/>
      <c r="I380" s="51" t="n"/>
      <c r="J380" s="51" t="n"/>
      <c r="K380" s="51" t="n"/>
      <c r="L380" s="54">
        <f>IF(OR(A380="",C380="",D380=""),"",IF(COUNTIFS($A$5:$A$3004,A380,$C$5:$C$3004,"&lt;"&amp;D380,$D$5:$D$3004,"&gt;"&amp;C380)&gt;1,"⚠️ пересечение",""))</f>
        <v/>
      </c>
      <c r="M380" s="54">
        <f>IF(F380="","",IF(J380="✅ Сделано","✔ ",IF(J380="❌ Пропущено","✖ ","⏰ "))&amp;IF(C380="","",RIGHT("0"&amp;HOUR(C380),2)&amp;":"&amp;RIGHT("0"&amp;MINUTE(C380),2)&amp;IF(D380="","","–"&amp;RIGHT("0"&amp;HOUR(D380),2)&amp;":"&amp;RIGHT("0"&amp;MINUTE(D380),2))&amp;" ")&amp;F380)</f>
        <v/>
      </c>
      <c r="N380" s="54">
        <f>IF(OR(A380="",F380=""),"",A380&amp;"#"&amp;(COUNTIFS($A$5:$A$3004,A380,$F$5:$F$3004,"?*",$O$5:$O$3004,"&lt;"&amp;O380)+COUNTIFS($A$5:A380,A380,$F$5:F380,"?*",$O$5:O380,O380)))</f>
        <v/>
      </c>
      <c r="O380" s="54">
        <f>IF(A380="","",IF(C380="",0,C380))</f>
        <v/>
      </c>
    </row>
    <row r="381">
      <c r="A381" s="58" t="n"/>
      <c r="B381" s="49">
        <f>IF(A381="","",CHOOSE(WEEKDAY(A381,2),"Пн","Вт","Ср","Чт","Пт","Сб","Вс"))</f>
        <v/>
      </c>
      <c r="C381" s="59" t="n"/>
      <c r="D381" s="59" t="n"/>
      <c r="E381" s="60">
        <f>IF(OR(C381="",D381=""),"",MOD(D381-C381,1)*24)</f>
        <v/>
      </c>
      <c r="F381" s="50" t="n"/>
      <c r="G381" s="51" t="n"/>
      <c r="H381" s="51" t="n"/>
      <c r="I381" s="51" t="n"/>
      <c r="J381" s="51" t="n"/>
      <c r="K381" s="51" t="n"/>
      <c r="L381" s="54">
        <f>IF(OR(A381="",C381="",D381=""),"",IF(COUNTIFS($A$5:$A$3004,A381,$C$5:$C$3004,"&lt;"&amp;D381,$D$5:$D$3004,"&gt;"&amp;C381)&gt;1,"⚠️ пересечение",""))</f>
        <v/>
      </c>
      <c r="M381" s="54">
        <f>IF(F381="","",IF(J381="✅ Сделано","✔ ",IF(J381="❌ Пропущено","✖ ","⏰ "))&amp;IF(C381="","",RIGHT("0"&amp;HOUR(C381),2)&amp;":"&amp;RIGHT("0"&amp;MINUTE(C381),2)&amp;IF(D381="","","–"&amp;RIGHT("0"&amp;HOUR(D381),2)&amp;":"&amp;RIGHT("0"&amp;MINUTE(D381),2))&amp;" ")&amp;F381)</f>
        <v/>
      </c>
      <c r="N381" s="54">
        <f>IF(OR(A381="",F381=""),"",A381&amp;"#"&amp;(COUNTIFS($A$5:$A$3004,A381,$F$5:$F$3004,"?*",$O$5:$O$3004,"&lt;"&amp;O381)+COUNTIFS($A$5:A381,A381,$F$5:F381,"?*",$O$5:O381,O381)))</f>
        <v/>
      </c>
      <c r="O381" s="54">
        <f>IF(A381="","",IF(C381="",0,C381))</f>
        <v/>
      </c>
    </row>
    <row r="382">
      <c r="A382" s="58" t="n"/>
      <c r="B382" s="49">
        <f>IF(A382="","",CHOOSE(WEEKDAY(A382,2),"Пн","Вт","Ср","Чт","Пт","Сб","Вс"))</f>
        <v/>
      </c>
      <c r="C382" s="59" t="n"/>
      <c r="D382" s="59" t="n"/>
      <c r="E382" s="60">
        <f>IF(OR(C382="",D382=""),"",MOD(D382-C382,1)*24)</f>
        <v/>
      </c>
      <c r="F382" s="50" t="n"/>
      <c r="G382" s="51" t="n"/>
      <c r="H382" s="51" t="n"/>
      <c r="I382" s="51" t="n"/>
      <c r="J382" s="51" t="n"/>
      <c r="K382" s="51" t="n"/>
      <c r="L382" s="54">
        <f>IF(OR(A382="",C382="",D382=""),"",IF(COUNTIFS($A$5:$A$3004,A382,$C$5:$C$3004,"&lt;"&amp;D382,$D$5:$D$3004,"&gt;"&amp;C382)&gt;1,"⚠️ пересечение",""))</f>
        <v/>
      </c>
      <c r="M382" s="54">
        <f>IF(F382="","",IF(J382="✅ Сделано","✔ ",IF(J382="❌ Пропущено","✖ ","⏰ "))&amp;IF(C382="","",RIGHT("0"&amp;HOUR(C382),2)&amp;":"&amp;RIGHT("0"&amp;MINUTE(C382),2)&amp;IF(D382="","","–"&amp;RIGHT("0"&amp;HOUR(D382),2)&amp;":"&amp;RIGHT("0"&amp;MINUTE(D382),2))&amp;" ")&amp;F382)</f>
        <v/>
      </c>
      <c r="N382" s="54">
        <f>IF(OR(A382="",F382=""),"",A382&amp;"#"&amp;(COUNTIFS($A$5:$A$3004,A382,$F$5:$F$3004,"?*",$O$5:$O$3004,"&lt;"&amp;O382)+COUNTIFS($A$5:A382,A382,$F$5:F382,"?*",$O$5:O382,O382)))</f>
        <v/>
      </c>
      <c r="O382" s="54">
        <f>IF(A382="","",IF(C382="",0,C382))</f>
        <v/>
      </c>
    </row>
    <row r="383">
      <c r="A383" s="58" t="n"/>
      <c r="B383" s="49">
        <f>IF(A383="","",CHOOSE(WEEKDAY(A383,2),"Пн","Вт","Ср","Чт","Пт","Сб","Вс"))</f>
        <v/>
      </c>
      <c r="C383" s="59" t="n"/>
      <c r="D383" s="59" t="n"/>
      <c r="E383" s="60">
        <f>IF(OR(C383="",D383=""),"",MOD(D383-C383,1)*24)</f>
        <v/>
      </c>
      <c r="F383" s="50" t="n"/>
      <c r="G383" s="51" t="n"/>
      <c r="H383" s="51" t="n"/>
      <c r="I383" s="51" t="n"/>
      <c r="J383" s="51" t="n"/>
      <c r="K383" s="51" t="n"/>
      <c r="L383" s="54">
        <f>IF(OR(A383="",C383="",D383=""),"",IF(COUNTIFS($A$5:$A$3004,A383,$C$5:$C$3004,"&lt;"&amp;D383,$D$5:$D$3004,"&gt;"&amp;C383)&gt;1,"⚠️ пересечение",""))</f>
        <v/>
      </c>
      <c r="M383" s="54">
        <f>IF(F383="","",IF(J383="✅ Сделано","✔ ",IF(J383="❌ Пропущено","✖ ","⏰ "))&amp;IF(C383="","",RIGHT("0"&amp;HOUR(C383),2)&amp;":"&amp;RIGHT("0"&amp;MINUTE(C383),2)&amp;IF(D383="","","–"&amp;RIGHT("0"&amp;HOUR(D383),2)&amp;":"&amp;RIGHT("0"&amp;MINUTE(D383),2))&amp;" ")&amp;F383)</f>
        <v/>
      </c>
      <c r="N383" s="54">
        <f>IF(OR(A383="",F383=""),"",A383&amp;"#"&amp;(COUNTIFS($A$5:$A$3004,A383,$F$5:$F$3004,"?*",$O$5:$O$3004,"&lt;"&amp;O383)+COUNTIFS($A$5:A383,A383,$F$5:F383,"?*",$O$5:O383,O383)))</f>
        <v/>
      </c>
      <c r="O383" s="54">
        <f>IF(A383="","",IF(C383="",0,C383))</f>
        <v/>
      </c>
    </row>
    <row r="384">
      <c r="A384" s="58" t="n"/>
      <c r="B384" s="49">
        <f>IF(A384="","",CHOOSE(WEEKDAY(A384,2),"Пн","Вт","Ср","Чт","Пт","Сб","Вс"))</f>
        <v/>
      </c>
      <c r="C384" s="59" t="n"/>
      <c r="D384" s="59" t="n"/>
      <c r="E384" s="60">
        <f>IF(OR(C384="",D384=""),"",MOD(D384-C384,1)*24)</f>
        <v/>
      </c>
      <c r="F384" s="50" t="n"/>
      <c r="G384" s="51" t="n"/>
      <c r="H384" s="51" t="n"/>
      <c r="I384" s="51" t="n"/>
      <c r="J384" s="51" t="n"/>
      <c r="K384" s="51" t="n"/>
      <c r="L384" s="54">
        <f>IF(OR(A384="",C384="",D384=""),"",IF(COUNTIFS($A$5:$A$3004,A384,$C$5:$C$3004,"&lt;"&amp;D384,$D$5:$D$3004,"&gt;"&amp;C384)&gt;1,"⚠️ пересечение",""))</f>
        <v/>
      </c>
      <c r="M384" s="54">
        <f>IF(F384="","",IF(J384="✅ Сделано","✔ ",IF(J384="❌ Пропущено","✖ ","⏰ "))&amp;IF(C384="","",RIGHT("0"&amp;HOUR(C384),2)&amp;":"&amp;RIGHT("0"&amp;MINUTE(C384),2)&amp;IF(D384="","","–"&amp;RIGHT("0"&amp;HOUR(D384),2)&amp;":"&amp;RIGHT("0"&amp;MINUTE(D384),2))&amp;" ")&amp;F384)</f>
        <v/>
      </c>
      <c r="N384" s="54">
        <f>IF(OR(A384="",F384=""),"",A384&amp;"#"&amp;(COUNTIFS($A$5:$A$3004,A384,$F$5:$F$3004,"?*",$O$5:$O$3004,"&lt;"&amp;O384)+COUNTIFS($A$5:A384,A384,$F$5:F384,"?*",$O$5:O384,O384)))</f>
        <v/>
      </c>
      <c r="O384" s="54">
        <f>IF(A384="","",IF(C384="",0,C384))</f>
        <v/>
      </c>
    </row>
    <row r="385">
      <c r="A385" s="58" t="n"/>
      <c r="B385" s="49">
        <f>IF(A385="","",CHOOSE(WEEKDAY(A385,2),"Пн","Вт","Ср","Чт","Пт","Сб","Вс"))</f>
        <v/>
      </c>
      <c r="C385" s="59" t="n"/>
      <c r="D385" s="59" t="n"/>
      <c r="E385" s="60">
        <f>IF(OR(C385="",D385=""),"",MOD(D385-C385,1)*24)</f>
        <v/>
      </c>
      <c r="F385" s="50" t="n"/>
      <c r="G385" s="51" t="n"/>
      <c r="H385" s="51" t="n"/>
      <c r="I385" s="51" t="n"/>
      <c r="J385" s="51" t="n"/>
      <c r="K385" s="51" t="n"/>
      <c r="L385" s="54">
        <f>IF(OR(A385="",C385="",D385=""),"",IF(COUNTIFS($A$5:$A$3004,A385,$C$5:$C$3004,"&lt;"&amp;D385,$D$5:$D$3004,"&gt;"&amp;C385)&gt;1,"⚠️ пересечение",""))</f>
        <v/>
      </c>
      <c r="M385" s="54">
        <f>IF(F385="","",IF(J385="✅ Сделано","✔ ",IF(J385="❌ Пропущено","✖ ","⏰ "))&amp;IF(C385="","",RIGHT("0"&amp;HOUR(C385),2)&amp;":"&amp;RIGHT("0"&amp;MINUTE(C385),2)&amp;IF(D385="","","–"&amp;RIGHT("0"&amp;HOUR(D385),2)&amp;":"&amp;RIGHT("0"&amp;MINUTE(D385),2))&amp;" ")&amp;F385)</f>
        <v/>
      </c>
      <c r="N385" s="54">
        <f>IF(OR(A385="",F385=""),"",A385&amp;"#"&amp;(COUNTIFS($A$5:$A$3004,A385,$F$5:$F$3004,"?*",$O$5:$O$3004,"&lt;"&amp;O385)+COUNTIFS($A$5:A385,A385,$F$5:F385,"?*",$O$5:O385,O385)))</f>
        <v/>
      </c>
      <c r="O385" s="54">
        <f>IF(A385="","",IF(C385="",0,C385))</f>
        <v/>
      </c>
    </row>
    <row r="386">
      <c r="A386" s="58" t="n"/>
      <c r="B386" s="49">
        <f>IF(A386="","",CHOOSE(WEEKDAY(A386,2),"Пн","Вт","Ср","Чт","Пт","Сб","Вс"))</f>
        <v/>
      </c>
      <c r="C386" s="59" t="n"/>
      <c r="D386" s="59" t="n"/>
      <c r="E386" s="60">
        <f>IF(OR(C386="",D386=""),"",MOD(D386-C386,1)*24)</f>
        <v/>
      </c>
      <c r="F386" s="50" t="n"/>
      <c r="G386" s="51" t="n"/>
      <c r="H386" s="51" t="n"/>
      <c r="I386" s="51" t="n"/>
      <c r="J386" s="51" t="n"/>
      <c r="K386" s="51" t="n"/>
      <c r="L386" s="54">
        <f>IF(OR(A386="",C386="",D386=""),"",IF(COUNTIFS($A$5:$A$3004,A386,$C$5:$C$3004,"&lt;"&amp;D386,$D$5:$D$3004,"&gt;"&amp;C386)&gt;1,"⚠️ пересечение",""))</f>
        <v/>
      </c>
      <c r="M386" s="54">
        <f>IF(F386="","",IF(J386="✅ Сделано","✔ ",IF(J386="❌ Пропущено","✖ ","⏰ "))&amp;IF(C386="","",RIGHT("0"&amp;HOUR(C386),2)&amp;":"&amp;RIGHT("0"&amp;MINUTE(C386),2)&amp;IF(D386="","","–"&amp;RIGHT("0"&amp;HOUR(D386),2)&amp;":"&amp;RIGHT("0"&amp;MINUTE(D386),2))&amp;" ")&amp;F386)</f>
        <v/>
      </c>
      <c r="N386" s="54">
        <f>IF(OR(A386="",F386=""),"",A386&amp;"#"&amp;(COUNTIFS($A$5:$A$3004,A386,$F$5:$F$3004,"?*",$O$5:$O$3004,"&lt;"&amp;O386)+COUNTIFS($A$5:A386,A386,$F$5:F386,"?*",$O$5:O386,O386)))</f>
        <v/>
      </c>
      <c r="O386" s="54">
        <f>IF(A386="","",IF(C386="",0,C386))</f>
        <v/>
      </c>
    </row>
    <row r="387">
      <c r="A387" s="58" t="n"/>
      <c r="B387" s="49">
        <f>IF(A387="","",CHOOSE(WEEKDAY(A387,2),"Пн","Вт","Ср","Чт","Пт","Сб","Вс"))</f>
        <v/>
      </c>
      <c r="C387" s="59" t="n"/>
      <c r="D387" s="59" t="n"/>
      <c r="E387" s="60">
        <f>IF(OR(C387="",D387=""),"",MOD(D387-C387,1)*24)</f>
        <v/>
      </c>
      <c r="F387" s="50" t="n"/>
      <c r="G387" s="51" t="n"/>
      <c r="H387" s="51" t="n"/>
      <c r="I387" s="51" t="n"/>
      <c r="J387" s="51" t="n"/>
      <c r="K387" s="51" t="n"/>
      <c r="L387" s="54">
        <f>IF(OR(A387="",C387="",D387=""),"",IF(COUNTIFS($A$5:$A$3004,A387,$C$5:$C$3004,"&lt;"&amp;D387,$D$5:$D$3004,"&gt;"&amp;C387)&gt;1,"⚠️ пересечение",""))</f>
        <v/>
      </c>
      <c r="M387" s="54">
        <f>IF(F387="","",IF(J387="✅ Сделано","✔ ",IF(J387="❌ Пропущено","✖ ","⏰ "))&amp;IF(C387="","",RIGHT("0"&amp;HOUR(C387),2)&amp;":"&amp;RIGHT("0"&amp;MINUTE(C387),2)&amp;IF(D387="","","–"&amp;RIGHT("0"&amp;HOUR(D387),2)&amp;":"&amp;RIGHT("0"&amp;MINUTE(D387),2))&amp;" ")&amp;F387)</f>
        <v/>
      </c>
      <c r="N387" s="54">
        <f>IF(OR(A387="",F387=""),"",A387&amp;"#"&amp;(COUNTIFS($A$5:$A$3004,A387,$F$5:$F$3004,"?*",$O$5:$O$3004,"&lt;"&amp;O387)+COUNTIFS($A$5:A387,A387,$F$5:F387,"?*",$O$5:O387,O387)))</f>
        <v/>
      </c>
      <c r="O387" s="54">
        <f>IF(A387="","",IF(C387="",0,C387))</f>
        <v/>
      </c>
    </row>
    <row r="388">
      <c r="A388" s="58" t="n"/>
      <c r="B388" s="49">
        <f>IF(A388="","",CHOOSE(WEEKDAY(A388,2),"Пн","Вт","Ср","Чт","Пт","Сб","Вс"))</f>
        <v/>
      </c>
      <c r="C388" s="59" t="n"/>
      <c r="D388" s="59" t="n"/>
      <c r="E388" s="60">
        <f>IF(OR(C388="",D388=""),"",MOD(D388-C388,1)*24)</f>
        <v/>
      </c>
      <c r="F388" s="50" t="n"/>
      <c r="G388" s="51" t="n"/>
      <c r="H388" s="51" t="n"/>
      <c r="I388" s="51" t="n"/>
      <c r="J388" s="51" t="n"/>
      <c r="K388" s="51" t="n"/>
      <c r="L388" s="54">
        <f>IF(OR(A388="",C388="",D388=""),"",IF(COUNTIFS($A$5:$A$3004,A388,$C$5:$C$3004,"&lt;"&amp;D388,$D$5:$D$3004,"&gt;"&amp;C388)&gt;1,"⚠️ пересечение",""))</f>
        <v/>
      </c>
      <c r="M388" s="54">
        <f>IF(F388="","",IF(J388="✅ Сделано","✔ ",IF(J388="❌ Пропущено","✖ ","⏰ "))&amp;IF(C388="","",RIGHT("0"&amp;HOUR(C388),2)&amp;":"&amp;RIGHT("0"&amp;MINUTE(C388),2)&amp;IF(D388="","","–"&amp;RIGHT("0"&amp;HOUR(D388),2)&amp;":"&amp;RIGHT("0"&amp;MINUTE(D388),2))&amp;" ")&amp;F388)</f>
        <v/>
      </c>
      <c r="N388" s="54">
        <f>IF(OR(A388="",F388=""),"",A388&amp;"#"&amp;(COUNTIFS($A$5:$A$3004,A388,$F$5:$F$3004,"?*",$O$5:$O$3004,"&lt;"&amp;O388)+COUNTIFS($A$5:A388,A388,$F$5:F388,"?*",$O$5:O388,O388)))</f>
        <v/>
      </c>
      <c r="O388" s="54">
        <f>IF(A388="","",IF(C388="",0,C388))</f>
        <v/>
      </c>
    </row>
    <row r="389">
      <c r="A389" s="58" t="n"/>
      <c r="B389" s="49">
        <f>IF(A389="","",CHOOSE(WEEKDAY(A389,2),"Пн","Вт","Ср","Чт","Пт","Сб","Вс"))</f>
        <v/>
      </c>
      <c r="C389" s="59" t="n"/>
      <c r="D389" s="59" t="n"/>
      <c r="E389" s="60">
        <f>IF(OR(C389="",D389=""),"",MOD(D389-C389,1)*24)</f>
        <v/>
      </c>
      <c r="F389" s="50" t="n"/>
      <c r="G389" s="51" t="n"/>
      <c r="H389" s="51" t="n"/>
      <c r="I389" s="51" t="n"/>
      <c r="J389" s="51" t="n"/>
      <c r="K389" s="51" t="n"/>
      <c r="L389" s="54">
        <f>IF(OR(A389="",C389="",D389=""),"",IF(COUNTIFS($A$5:$A$3004,A389,$C$5:$C$3004,"&lt;"&amp;D389,$D$5:$D$3004,"&gt;"&amp;C389)&gt;1,"⚠️ пересечение",""))</f>
        <v/>
      </c>
      <c r="M389" s="54">
        <f>IF(F389="","",IF(J389="✅ Сделано","✔ ",IF(J389="❌ Пропущено","✖ ","⏰ "))&amp;IF(C389="","",RIGHT("0"&amp;HOUR(C389),2)&amp;":"&amp;RIGHT("0"&amp;MINUTE(C389),2)&amp;IF(D389="","","–"&amp;RIGHT("0"&amp;HOUR(D389),2)&amp;":"&amp;RIGHT("0"&amp;MINUTE(D389),2))&amp;" ")&amp;F389)</f>
        <v/>
      </c>
      <c r="N389" s="54">
        <f>IF(OR(A389="",F389=""),"",A389&amp;"#"&amp;(COUNTIFS($A$5:$A$3004,A389,$F$5:$F$3004,"?*",$O$5:$O$3004,"&lt;"&amp;O389)+COUNTIFS($A$5:A389,A389,$F$5:F389,"?*",$O$5:O389,O389)))</f>
        <v/>
      </c>
      <c r="O389" s="54">
        <f>IF(A389="","",IF(C389="",0,C389))</f>
        <v/>
      </c>
    </row>
    <row r="390">
      <c r="A390" s="58" t="n"/>
      <c r="B390" s="49">
        <f>IF(A390="","",CHOOSE(WEEKDAY(A390,2),"Пн","Вт","Ср","Чт","Пт","Сб","Вс"))</f>
        <v/>
      </c>
      <c r="C390" s="59" t="n"/>
      <c r="D390" s="59" t="n"/>
      <c r="E390" s="60">
        <f>IF(OR(C390="",D390=""),"",MOD(D390-C390,1)*24)</f>
        <v/>
      </c>
      <c r="F390" s="50" t="n"/>
      <c r="G390" s="51" t="n"/>
      <c r="H390" s="51" t="n"/>
      <c r="I390" s="51" t="n"/>
      <c r="J390" s="51" t="n"/>
      <c r="K390" s="51" t="n"/>
      <c r="L390" s="54">
        <f>IF(OR(A390="",C390="",D390=""),"",IF(COUNTIFS($A$5:$A$3004,A390,$C$5:$C$3004,"&lt;"&amp;D390,$D$5:$D$3004,"&gt;"&amp;C390)&gt;1,"⚠️ пересечение",""))</f>
        <v/>
      </c>
      <c r="M390" s="54">
        <f>IF(F390="","",IF(J390="✅ Сделано","✔ ",IF(J390="❌ Пропущено","✖ ","⏰ "))&amp;IF(C390="","",RIGHT("0"&amp;HOUR(C390),2)&amp;":"&amp;RIGHT("0"&amp;MINUTE(C390),2)&amp;IF(D390="","","–"&amp;RIGHT("0"&amp;HOUR(D390),2)&amp;":"&amp;RIGHT("0"&amp;MINUTE(D390),2))&amp;" ")&amp;F390)</f>
        <v/>
      </c>
      <c r="N390" s="54">
        <f>IF(OR(A390="",F390=""),"",A390&amp;"#"&amp;(COUNTIFS($A$5:$A$3004,A390,$F$5:$F$3004,"?*",$O$5:$O$3004,"&lt;"&amp;O390)+COUNTIFS($A$5:A390,A390,$F$5:F390,"?*",$O$5:O390,O390)))</f>
        <v/>
      </c>
      <c r="O390" s="54">
        <f>IF(A390="","",IF(C390="",0,C390))</f>
        <v/>
      </c>
    </row>
    <row r="391">
      <c r="A391" s="58" t="n"/>
      <c r="B391" s="49">
        <f>IF(A391="","",CHOOSE(WEEKDAY(A391,2),"Пн","Вт","Ср","Чт","Пт","Сб","Вс"))</f>
        <v/>
      </c>
      <c r="C391" s="59" t="n"/>
      <c r="D391" s="59" t="n"/>
      <c r="E391" s="60">
        <f>IF(OR(C391="",D391=""),"",MOD(D391-C391,1)*24)</f>
        <v/>
      </c>
      <c r="F391" s="50" t="n"/>
      <c r="G391" s="51" t="n"/>
      <c r="H391" s="51" t="n"/>
      <c r="I391" s="51" t="n"/>
      <c r="J391" s="51" t="n"/>
      <c r="K391" s="51" t="n"/>
      <c r="L391" s="54">
        <f>IF(OR(A391="",C391="",D391=""),"",IF(COUNTIFS($A$5:$A$3004,A391,$C$5:$C$3004,"&lt;"&amp;D391,$D$5:$D$3004,"&gt;"&amp;C391)&gt;1,"⚠️ пересечение",""))</f>
        <v/>
      </c>
      <c r="M391" s="54">
        <f>IF(F391="","",IF(J391="✅ Сделано","✔ ",IF(J391="❌ Пропущено","✖ ","⏰ "))&amp;IF(C391="","",RIGHT("0"&amp;HOUR(C391),2)&amp;":"&amp;RIGHT("0"&amp;MINUTE(C391),2)&amp;IF(D391="","","–"&amp;RIGHT("0"&amp;HOUR(D391),2)&amp;":"&amp;RIGHT("0"&amp;MINUTE(D391),2))&amp;" ")&amp;F391)</f>
        <v/>
      </c>
      <c r="N391" s="54">
        <f>IF(OR(A391="",F391=""),"",A391&amp;"#"&amp;(COUNTIFS($A$5:$A$3004,A391,$F$5:$F$3004,"?*",$O$5:$O$3004,"&lt;"&amp;O391)+COUNTIFS($A$5:A391,A391,$F$5:F391,"?*",$O$5:O391,O391)))</f>
        <v/>
      </c>
      <c r="O391" s="54">
        <f>IF(A391="","",IF(C391="",0,C391))</f>
        <v/>
      </c>
    </row>
    <row r="392">
      <c r="A392" s="58" t="n"/>
      <c r="B392" s="49">
        <f>IF(A392="","",CHOOSE(WEEKDAY(A392,2),"Пн","Вт","Ср","Чт","Пт","Сб","Вс"))</f>
        <v/>
      </c>
      <c r="C392" s="59" t="n"/>
      <c r="D392" s="59" t="n"/>
      <c r="E392" s="60">
        <f>IF(OR(C392="",D392=""),"",MOD(D392-C392,1)*24)</f>
        <v/>
      </c>
      <c r="F392" s="50" t="n"/>
      <c r="G392" s="51" t="n"/>
      <c r="H392" s="51" t="n"/>
      <c r="I392" s="51" t="n"/>
      <c r="J392" s="51" t="n"/>
      <c r="K392" s="51" t="n"/>
      <c r="L392" s="54">
        <f>IF(OR(A392="",C392="",D392=""),"",IF(COUNTIFS($A$5:$A$3004,A392,$C$5:$C$3004,"&lt;"&amp;D392,$D$5:$D$3004,"&gt;"&amp;C392)&gt;1,"⚠️ пересечение",""))</f>
        <v/>
      </c>
      <c r="M392" s="54">
        <f>IF(F392="","",IF(J392="✅ Сделано","✔ ",IF(J392="❌ Пропущено","✖ ","⏰ "))&amp;IF(C392="","",RIGHT("0"&amp;HOUR(C392),2)&amp;":"&amp;RIGHT("0"&amp;MINUTE(C392),2)&amp;IF(D392="","","–"&amp;RIGHT("0"&amp;HOUR(D392),2)&amp;":"&amp;RIGHT("0"&amp;MINUTE(D392),2))&amp;" ")&amp;F392)</f>
        <v/>
      </c>
      <c r="N392" s="54">
        <f>IF(OR(A392="",F392=""),"",A392&amp;"#"&amp;(COUNTIFS($A$5:$A$3004,A392,$F$5:$F$3004,"?*",$O$5:$O$3004,"&lt;"&amp;O392)+COUNTIFS($A$5:A392,A392,$F$5:F392,"?*",$O$5:O392,O392)))</f>
        <v/>
      </c>
      <c r="O392" s="54">
        <f>IF(A392="","",IF(C392="",0,C392))</f>
        <v/>
      </c>
    </row>
    <row r="393">
      <c r="A393" s="58" t="n"/>
      <c r="B393" s="49">
        <f>IF(A393="","",CHOOSE(WEEKDAY(A393,2),"Пн","Вт","Ср","Чт","Пт","Сб","Вс"))</f>
        <v/>
      </c>
      <c r="C393" s="59" t="n"/>
      <c r="D393" s="59" t="n"/>
      <c r="E393" s="60">
        <f>IF(OR(C393="",D393=""),"",MOD(D393-C393,1)*24)</f>
        <v/>
      </c>
      <c r="F393" s="50" t="n"/>
      <c r="G393" s="51" t="n"/>
      <c r="H393" s="51" t="n"/>
      <c r="I393" s="51" t="n"/>
      <c r="J393" s="51" t="n"/>
      <c r="K393" s="51" t="n"/>
      <c r="L393" s="54">
        <f>IF(OR(A393="",C393="",D393=""),"",IF(COUNTIFS($A$5:$A$3004,A393,$C$5:$C$3004,"&lt;"&amp;D393,$D$5:$D$3004,"&gt;"&amp;C393)&gt;1,"⚠️ пересечение",""))</f>
        <v/>
      </c>
      <c r="M393" s="54">
        <f>IF(F393="","",IF(J393="✅ Сделано","✔ ",IF(J393="❌ Пропущено","✖ ","⏰ "))&amp;IF(C393="","",RIGHT("0"&amp;HOUR(C393),2)&amp;":"&amp;RIGHT("0"&amp;MINUTE(C393),2)&amp;IF(D393="","","–"&amp;RIGHT("0"&amp;HOUR(D393),2)&amp;":"&amp;RIGHT("0"&amp;MINUTE(D393),2))&amp;" ")&amp;F393)</f>
        <v/>
      </c>
      <c r="N393" s="54">
        <f>IF(OR(A393="",F393=""),"",A393&amp;"#"&amp;(COUNTIFS($A$5:$A$3004,A393,$F$5:$F$3004,"?*",$O$5:$O$3004,"&lt;"&amp;O393)+COUNTIFS($A$5:A393,A393,$F$5:F393,"?*",$O$5:O393,O393)))</f>
        <v/>
      </c>
      <c r="O393" s="54">
        <f>IF(A393="","",IF(C393="",0,C393))</f>
        <v/>
      </c>
    </row>
    <row r="394">
      <c r="A394" s="58" t="n"/>
      <c r="B394" s="49">
        <f>IF(A394="","",CHOOSE(WEEKDAY(A394,2),"Пн","Вт","Ср","Чт","Пт","Сб","Вс"))</f>
        <v/>
      </c>
      <c r="C394" s="59" t="n"/>
      <c r="D394" s="59" t="n"/>
      <c r="E394" s="60">
        <f>IF(OR(C394="",D394=""),"",MOD(D394-C394,1)*24)</f>
        <v/>
      </c>
      <c r="F394" s="50" t="n"/>
      <c r="G394" s="51" t="n"/>
      <c r="H394" s="51" t="n"/>
      <c r="I394" s="51" t="n"/>
      <c r="J394" s="51" t="n"/>
      <c r="K394" s="51" t="n"/>
      <c r="L394" s="54">
        <f>IF(OR(A394="",C394="",D394=""),"",IF(COUNTIFS($A$5:$A$3004,A394,$C$5:$C$3004,"&lt;"&amp;D394,$D$5:$D$3004,"&gt;"&amp;C394)&gt;1,"⚠️ пересечение",""))</f>
        <v/>
      </c>
      <c r="M394" s="54">
        <f>IF(F394="","",IF(J394="✅ Сделано","✔ ",IF(J394="❌ Пропущено","✖ ","⏰ "))&amp;IF(C394="","",RIGHT("0"&amp;HOUR(C394),2)&amp;":"&amp;RIGHT("0"&amp;MINUTE(C394),2)&amp;IF(D394="","","–"&amp;RIGHT("0"&amp;HOUR(D394),2)&amp;":"&amp;RIGHT("0"&amp;MINUTE(D394),2))&amp;" ")&amp;F394)</f>
        <v/>
      </c>
      <c r="N394" s="54">
        <f>IF(OR(A394="",F394=""),"",A394&amp;"#"&amp;(COUNTIFS($A$5:$A$3004,A394,$F$5:$F$3004,"?*",$O$5:$O$3004,"&lt;"&amp;O394)+COUNTIFS($A$5:A394,A394,$F$5:F394,"?*",$O$5:O394,O394)))</f>
        <v/>
      </c>
      <c r="O394" s="54">
        <f>IF(A394="","",IF(C394="",0,C394))</f>
        <v/>
      </c>
    </row>
    <row r="395">
      <c r="A395" s="58" t="n"/>
      <c r="B395" s="49">
        <f>IF(A395="","",CHOOSE(WEEKDAY(A395,2),"Пн","Вт","Ср","Чт","Пт","Сб","Вс"))</f>
        <v/>
      </c>
      <c r="C395" s="59" t="n"/>
      <c r="D395" s="59" t="n"/>
      <c r="E395" s="60">
        <f>IF(OR(C395="",D395=""),"",MOD(D395-C395,1)*24)</f>
        <v/>
      </c>
      <c r="F395" s="50" t="n"/>
      <c r="G395" s="51" t="n"/>
      <c r="H395" s="51" t="n"/>
      <c r="I395" s="51" t="n"/>
      <c r="J395" s="51" t="n"/>
      <c r="K395" s="51" t="n"/>
      <c r="L395" s="54">
        <f>IF(OR(A395="",C395="",D395=""),"",IF(COUNTIFS($A$5:$A$3004,A395,$C$5:$C$3004,"&lt;"&amp;D395,$D$5:$D$3004,"&gt;"&amp;C395)&gt;1,"⚠️ пересечение",""))</f>
        <v/>
      </c>
      <c r="M395" s="54">
        <f>IF(F395="","",IF(J395="✅ Сделано","✔ ",IF(J395="❌ Пропущено","✖ ","⏰ "))&amp;IF(C395="","",RIGHT("0"&amp;HOUR(C395),2)&amp;":"&amp;RIGHT("0"&amp;MINUTE(C395),2)&amp;IF(D395="","","–"&amp;RIGHT("0"&amp;HOUR(D395),2)&amp;":"&amp;RIGHT("0"&amp;MINUTE(D395),2))&amp;" ")&amp;F395)</f>
        <v/>
      </c>
      <c r="N395" s="54">
        <f>IF(OR(A395="",F395=""),"",A395&amp;"#"&amp;(COUNTIFS($A$5:$A$3004,A395,$F$5:$F$3004,"?*",$O$5:$O$3004,"&lt;"&amp;O395)+COUNTIFS($A$5:A395,A395,$F$5:F395,"?*",$O$5:O395,O395)))</f>
        <v/>
      </c>
      <c r="O395" s="54">
        <f>IF(A395="","",IF(C395="",0,C395))</f>
        <v/>
      </c>
    </row>
    <row r="396">
      <c r="A396" s="58" t="n"/>
      <c r="B396" s="49">
        <f>IF(A396="","",CHOOSE(WEEKDAY(A396,2),"Пн","Вт","Ср","Чт","Пт","Сб","Вс"))</f>
        <v/>
      </c>
      <c r="C396" s="59" t="n"/>
      <c r="D396" s="59" t="n"/>
      <c r="E396" s="60">
        <f>IF(OR(C396="",D396=""),"",MOD(D396-C396,1)*24)</f>
        <v/>
      </c>
      <c r="F396" s="50" t="n"/>
      <c r="G396" s="51" t="n"/>
      <c r="H396" s="51" t="n"/>
      <c r="I396" s="51" t="n"/>
      <c r="J396" s="51" t="n"/>
      <c r="K396" s="51" t="n"/>
      <c r="L396" s="54">
        <f>IF(OR(A396="",C396="",D396=""),"",IF(COUNTIFS($A$5:$A$3004,A396,$C$5:$C$3004,"&lt;"&amp;D396,$D$5:$D$3004,"&gt;"&amp;C396)&gt;1,"⚠️ пересечение",""))</f>
        <v/>
      </c>
      <c r="M396" s="54">
        <f>IF(F396="","",IF(J396="✅ Сделано","✔ ",IF(J396="❌ Пропущено","✖ ","⏰ "))&amp;IF(C396="","",RIGHT("0"&amp;HOUR(C396),2)&amp;":"&amp;RIGHT("0"&amp;MINUTE(C396),2)&amp;IF(D396="","","–"&amp;RIGHT("0"&amp;HOUR(D396),2)&amp;":"&amp;RIGHT("0"&amp;MINUTE(D396),2))&amp;" ")&amp;F396)</f>
        <v/>
      </c>
      <c r="N396" s="54">
        <f>IF(OR(A396="",F396=""),"",A396&amp;"#"&amp;(COUNTIFS($A$5:$A$3004,A396,$F$5:$F$3004,"?*",$O$5:$O$3004,"&lt;"&amp;O396)+COUNTIFS($A$5:A396,A396,$F$5:F396,"?*",$O$5:O396,O396)))</f>
        <v/>
      </c>
      <c r="O396" s="54">
        <f>IF(A396="","",IF(C396="",0,C396))</f>
        <v/>
      </c>
    </row>
    <row r="397">
      <c r="A397" s="58" t="n"/>
      <c r="B397" s="49">
        <f>IF(A397="","",CHOOSE(WEEKDAY(A397,2),"Пн","Вт","Ср","Чт","Пт","Сб","Вс"))</f>
        <v/>
      </c>
      <c r="C397" s="59" t="n"/>
      <c r="D397" s="59" t="n"/>
      <c r="E397" s="60">
        <f>IF(OR(C397="",D397=""),"",MOD(D397-C397,1)*24)</f>
        <v/>
      </c>
      <c r="F397" s="50" t="n"/>
      <c r="G397" s="51" t="n"/>
      <c r="H397" s="51" t="n"/>
      <c r="I397" s="51" t="n"/>
      <c r="J397" s="51" t="n"/>
      <c r="K397" s="51" t="n"/>
      <c r="L397" s="54">
        <f>IF(OR(A397="",C397="",D397=""),"",IF(COUNTIFS($A$5:$A$3004,A397,$C$5:$C$3004,"&lt;"&amp;D397,$D$5:$D$3004,"&gt;"&amp;C397)&gt;1,"⚠️ пересечение",""))</f>
        <v/>
      </c>
      <c r="M397" s="54">
        <f>IF(F397="","",IF(J397="✅ Сделано","✔ ",IF(J397="❌ Пропущено","✖ ","⏰ "))&amp;IF(C397="","",RIGHT("0"&amp;HOUR(C397),2)&amp;":"&amp;RIGHT("0"&amp;MINUTE(C397),2)&amp;IF(D397="","","–"&amp;RIGHT("0"&amp;HOUR(D397),2)&amp;":"&amp;RIGHT("0"&amp;MINUTE(D397),2))&amp;" ")&amp;F397)</f>
        <v/>
      </c>
      <c r="N397" s="54">
        <f>IF(OR(A397="",F397=""),"",A397&amp;"#"&amp;(COUNTIFS($A$5:$A$3004,A397,$F$5:$F$3004,"?*",$O$5:$O$3004,"&lt;"&amp;O397)+COUNTIFS($A$5:A397,A397,$F$5:F397,"?*",$O$5:O397,O397)))</f>
        <v/>
      </c>
      <c r="O397" s="54">
        <f>IF(A397="","",IF(C397="",0,C397))</f>
        <v/>
      </c>
    </row>
    <row r="398">
      <c r="A398" s="58" t="n"/>
      <c r="B398" s="49">
        <f>IF(A398="","",CHOOSE(WEEKDAY(A398,2),"Пн","Вт","Ср","Чт","Пт","Сб","Вс"))</f>
        <v/>
      </c>
      <c r="C398" s="59" t="n"/>
      <c r="D398" s="59" t="n"/>
      <c r="E398" s="60">
        <f>IF(OR(C398="",D398=""),"",MOD(D398-C398,1)*24)</f>
        <v/>
      </c>
      <c r="F398" s="50" t="n"/>
      <c r="G398" s="51" t="n"/>
      <c r="H398" s="51" t="n"/>
      <c r="I398" s="51" t="n"/>
      <c r="J398" s="51" t="n"/>
      <c r="K398" s="51" t="n"/>
      <c r="L398" s="54">
        <f>IF(OR(A398="",C398="",D398=""),"",IF(COUNTIFS($A$5:$A$3004,A398,$C$5:$C$3004,"&lt;"&amp;D398,$D$5:$D$3004,"&gt;"&amp;C398)&gt;1,"⚠️ пересечение",""))</f>
        <v/>
      </c>
      <c r="M398" s="54">
        <f>IF(F398="","",IF(J398="✅ Сделано","✔ ",IF(J398="❌ Пропущено","✖ ","⏰ "))&amp;IF(C398="","",RIGHT("0"&amp;HOUR(C398),2)&amp;":"&amp;RIGHT("0"&amp;MINUTE(C398),2)&amp;IF(D398="","","–"&amp;RIGHT("0"&amp;HOUR(D398),2)&amp;":"&amp;RIGHT("0"&amp;MINUTE(D398),2))&amp;" ")&amp;F398)</f>
        <v/>
      </c>
      <c r="N398" s="54">
        <f>IF(OR(A398="",F398=""),"",A398&amp;"#"&amp;(COUNTIFS($A$5:$A$3004,A398,$F$5:$F$3004,"?*",$O$5:$O$3004,"&lt;"&amp;O398)+COUNTIFS($A$5:A398,A398,$F$5:F398,"?*",$O$5:O398,O398)))</f>
        <v/>
      </c>
      <c r="O398" s="54">
        <f>IF(A398="","",IF(C398="",0,C398))</f>
        <v/>
      </c>
    </row>
    <row r="399">
      <c r="A399" s="58" t="n"/>
      <c r="B399" s="49">
        <f>IF(A399="","",CHOOSE(WEEKDAY(A399,2),"Пн","Вт","Ср","Чт","Пт","Сб","Вс"))</f>
        <v/>
      </c>
      <c r="C399" s="59" t="n"/>
      <c r="D399" s="59" t="n"/>
      <c r="E399" s="60">
        <f>IF(OR(C399="",D399=""),"",MOD(D399-C399,1)*24)</f>
        <v/>
      </c>
      <c r="F399" s="50" t="n"/>
      <c r="G399" s="51" t="n"/>
      <c r="H399" s="51" t="n"/>
      <c r="I399" s="51" t="n"/>
      <c r="J399" s="51" t="n"/>
      <c r="K399" s="51" t="n"/>
      <c r="L399" s="54">
        <f>IF(OR(A399="",C399="",D399=""),"",IF(COUNTIFS($A$5:$A$3004,A399,$C$5:$C$3004,"&lt;"&amp;D399,$D$5:$D$3004,"&gt;"&amp;C399)&gt;1,"⚠️ пересечение",""))</f>
        <v/>
      </c>
      <c r="M399" s="54">
        <f>IF(F399="","",IF(J399="✅ Сделано","✔ ",IF(J399="❌ Пропущено","✖ ","⏰ "))&amp;IF(C399="","",RIGHT("0"&amp;HOUR(C399),2)&amp;":"&amp;RIGHT("0"&amp;MINUTE(C399),2)&amp;IF(D399="","","–"&amp;RIGHT("0"&amp;HOUR(D399),2)&amp;":"&amp;RIGHT("0"&amp;MINUTE(D399),2))&amp;" ")&amp;F399)</f>
        <v/>
      </c>
      <c r="N399" s="54">
        <f>IF(OR(A399="",F399=""),"",A399&amp;"#"&amp;(COUNTIFS($A$5:$A$3004,A399,$F$5:$F$3004,"?*",$O$5:$O$3004,"&lt;"&amp;O399)+COUNTIFS($A$5:A399,A399,$F$5:F399,"?*",$O$5:O399,O399)))</f>
        <v/>
      </c>
      <c r="O399" s="54">
        <f>IF(A399="","",IF(C399="",0,C399))</f>
        <v/>
      </c>
    </row>
    <row r="400">
      <c r="A400" s="58" t="n"/>
      <c r="B400" s="49">
        <f>IF(A400="","",CHOOSE(WEEKDAY(A400,2),"Пн","Вт","Ср","Чт","Пт","Сб","Вс"))</f>
        <v/>
      </c>
      <c r="C400" s="59" t="n"/>
      <c r="D400" s="59" t="n"/>
      <c r="E400" s="60">
        <f>IF(OR(C400="",D400=""),"",MOD(D400-C400,1)*24)</f>
        <v/>
      </c>
      <c r="F400" s="50" t="n"/>
      <c r="G400" s="51" t="n"/>
      <c r="H400" s="51" t="n"/>
      <c r="I400" s="51" t="n"/>
      <c r="J400" s="51" t="n"/>
      <c r="K400" s="51" t="n"/>
      <c r="L400" s="54">
        <f>IF(OR(A400="",C400="",D400=""),"",IF(COUNTIFS($A$5:$A$3004,A400,$C$5:$C$3004,"&lt;"&amp;D400,$D$5:$D$3004,"&gt;"&amp;C400)&gt;1,"⚠️ пересечение",""))</f>
        <v/>
      </c>
      <c r="M400" s="54">
        <f>IF(F400="","",IF(J400="✅ Сделано","✔ ",IF(J400="❌ Пропущено","✖ ","⏰ "))&amp;IF(C400="","",RIGHT("0"&amp;HOUR(C400),2)&amp;":"&amp;RIGHT("0"&amp;MINUTE(C400),2)&amp;IF(D400="","","–"&amp;RIGHT("0"&amp;HOUR(D400),2)&amp;":"&amp;RIGHT("0"&amp;MINUTE(D400),2))&amp;" ")&amp;F400)</f>
        <v/>
      </c>
      <c r="N400" s="54">
        <f>IF(OR(A400="",F400=""),"",A400&amp;"#"&amp;(COUNTIFS($A$5:$A$3004,A400,$F$5:$F$3004,"?*",$O$5:$O$3004,"&lt;"&amp;O400)+COUNTIFS($A$5:A400,A400,$F$5:F400,"?*",$O$5:O400,O400)))</f>
        <v/>
      </c>
      <c r="O400" s="54">
        <f>IF(A400="","",IF(C400="",0,C400))</f>
        <v/>
      </c>
    </row>
    <row r="401">
      <c r="A401" s="58" t="n"/>
      <c r="B401" s="49">
        <f>IF(A401="","",CHOOSE(WEEKDAY(A401,2),"Пн","Вт","Ср","Чт","Пт","Сб","Вс"))</f>
        <v/>
      </c>
      <c r="C401" s="59" t="n"/>
      <c r="D401" s="59" t="n"/>
      <c r="E401" s="60">
        <f>IF(OR(C401="",D401=""),"",MOD(D401-C401,1)*24)</f>
        <v/>
      </c>
      <c r="F401" s="50" t="n"/>
      <c r="G401" s="51" t="n"/>
      <c r="H401" s="51" t="n"/>
      <c r="I401" s="51" t="n"/>
      <c r="J401" s="51" t="n"/>
      <c r="K401" s="51" t="n"/>
      <c r="L401" s="54">
        <f>IF(OR(A401="",C401="",D401=""),"",IF(COUNTIFS($A$5:$A$3004,A401,$C$5:$C$3004,"&lt;"&amp;D401,$D$5:$D$3004,"&gt;"&amp;C401)&gt;1,"⚠️ пересечение",""))</f>
        <v/>
      </c>
      <c r="M401" s="54">
        <f>IF(F401="","",IF(J401="✅ Сделано","✔ ",IF(J401="❌ Пропущено","✖ ","⏰ "))&amp;IF(C401="","",RIGHT("0"&amp;HOUR(C401),2)&amp;":"&amp;RIGHT("0"&amp;MINUTE(C401),2)&amp;IF(D401="","","–"&amp;RIGHT("0"&amp;HOUR(D401),2)&amp;":"&amp;RIGHT("0"&amp;MINUTE(D401),2))&amp;" ")&amp;F401)</f>
        <v/>
      </c>
      <c r="N401" s="54">
        <f>IF(OR(A401="",F401=""),"",A401&amp;"#"&amp;(COUNTIFS($A$5:$A$3004,A401,$F$5:$F$3004,"?*",$O$5:$O$3004,"&lt;"&amp;O401)+COUNTIFS($A$5:A401,A401,$F$5:F401,"?*",$O$5:O401,O401)))</f>
        <v/>
      </c>
      <c r="O401" s="54">
        <f>IF(A401="","",IF(C401="",0,C401))</f>
        <v/>
      </c>
    </row>
    <row r="402">
      <c r="A402" s="58" t="n"/>
      <c r="B402" s="49">
        <f>IF(A402="","",CHOOSE(WEEKDAY(A402,2),"Пн","Вт","Ср","Чт","Пт","Сб","Вс"))</f>
        <v/>
      </c>
      <c r="C402" s="59" t="n"/>
      <c r="D402" s="59" t="n"/>
      <c r="E402" s="60">
        <f>IF(OR(C402="",D402=""),"",MOD(D402-C402,1)*24)</f>
        <v/>
      </c>
      <c r="F402" s="50" t="n"/>
      <c r="G402" s="51" t="n"/>
      <c r="H402" s="51" t="n"/>
      <c r="I402" s="51" t="n"/>
      <c r="J402" s="51" t="n"/>
      <c r="K402" s="51" t="n"/>
      <c r="L402" s="54">
        <f>IF(OR(A402="",C402="",D402=""),"",IF(COUNTIFS($A$5:$A$3004,A402,$C$5:$C$3004,"&lt;"&amp;D402,$D$5:$D$3004,"&gt;"&amp;C402)&gt;1,"⚠️ пересечение",""))</f>
        <v/>
      </c>
      <c r="M402" s="54">
        <f>IF(F402="","",IF(J402="✅ Сделано","✔ ",IF(J402="❌ Пропущено","✖ ","⏰ "))&amp;IF(C402="","",RIGHT("0"&amp;HOUR(C402),2)&amp;":"&amp;RIGHT("0"&amp;MINUTE(C402),2)&amp;IF(D402="","","–"&amp;RIGHT("0"&amp;HOUR(D402),2)&amp;":"&amp;RIGHT("0"&amp;MINUTE(D402),2))&amp;" ")&amp;F402)</f>
        <v/>
      </c>
      <c r="N402" s="54">
        <f>IF(OR(A402="",F402=""),"",A402&amp;"#"&amp;(COUNTIFS($A$5:$A$3004,A402,$F$5:$F$3004,"?*",$O$5:$O$3004,"&lt;"&amp;O402)+COUNTIFS($A$5:A402,A402,$F$5:F402,"?*",$O$5:O402,O402)))</f>
        <v/>
      </c>
      <c r="O402" s="54">
        <f>IF(A402="","",IF(C402="",0,C402))</f>
        <v/>
      </c>
    </row>
    <row r="403">
      <c r="A403" s="58" t="n"/>
      <c r="B403" s="49">
        <f>IF(A403="","",CHOOSE(WEEKDAY(A403,2),"Пн","Вт","Ср","Чт","Пт","Сб","Вс"))</f>
        <v/>
      </c>
      <c r="C403" s="59" t="n"/>
      <c r="D403" s="59" t="n"/>
      <c r="E403" s="60">
        <f>IF(OR(C403="",D403=""),"",MOD(D403-C403,1)*24)</f>
        <v/>
      </c>
      <c r="F403" s="50" t="n"/>
      <c r="G403" s="51" t="n"/>
      <c r="H403" s="51" t="n"/>
      <c r="I403" s="51" t="n"/>
      <c r="J403" s="51" t="n"/>
      <c r="K403" s="51" t="n"/>
      <c r="L403" s="54">
        <f>IF(OR(A403="",C403="",D403=""),"",IF(COUNTIFS($A$5:$A$3004,A403,$C$5:$C$3004,"&lt;"&amp;D403,$D$5:$D$3004,"&gt;"&amp;C403)&gt;1,"⚠️ пересечение",""))</f>
        <v/>
      </c>
      <c r="M403" s="54">
        <f>IF(F403="","",IF(J403="✅ Сделано","✔ ",IF(J403="❌ Пропущено","✖ ","⏰ "))&amp;IF(C403="","",RIGHT("0"&amp;HOUR(C403),2)&amp;":"&amp;RIGHT("0"&amp;MINUTE(C403),2)&amp;IF(D403="","","–"&amp;RIGHT("0"&amp;HOUR(D403),2)&amp;":"&amp;RIGHT("0"&amp;MINUTE(D403),2))&amp;" ")&amp;F403)</f>
        <v/>
      </c>
      <c r="N403" s="54">
        <f>IF(OR(A403="",F403=""),"",A403&amp;"#"&amp;(COUNTIFS($A$5:$A$3004,A403,$F$5:$F$3004,"?*",$O$5:$O$3004,"&lt;"&amp;O403)+COUNTIFS($A$5:A403,A403,$F$5:F403,"?*",$O$5:O403,O403)))</f>
        <v/>
      </c>
      <c r="O403" s="54">
        <f>IF(A403="","",IF(C403="",0,C403))</f>
        <v/>
      </c>
    </row>
    <row r="404">
      <c r="A404" s="58" t="n"/>
      <c r="B404" s="49">
        <f>IF(A404="","",CHOOSE(WEEKDAY(A404,2),"Пн","Вт","Ср","Чт","Пт","Сб","Вс"))</f>
        <v/>
      </c>
      <c r="C404" s="59" t="n"/>
      <c r="D404" s="59" t="n"/>
      <c r="E404" s="60">
        <f>IF(OR(C404="",D404=""),"",MOD(D404-C404,1)*24)</f>
        <v/>
      </c>
      <c r="F404" s="50" t="n"/>
      <c r="G404" s="51" t="n"/>
      <c r="H404" s="51" t="n"/>
      <c r="I404" s="51" t="n"/>
      <c r="J404" s="51" t="n"/>
      <c r="K404" s="51" t="n"/>
      <c r="L404" s="54">
        <f>IF(OR(A404="",C404="",D404=""),"",IF(COUNTIFS($A$5:$A$3004,A404,$C$5:$C$3004,"&lt;"&amp;D404,$D$5:$D$3004,"&gt;"&amp;C404)&gt;1,"⚠️ пересечение",""))</f>
        <v/>
      </c>
      <c r="M404" s="54">
        <f>IF(F404="","",IF(J404="✅ Сделано","✔ ",IF(J404="❌ Пропущено","✖ ","⏰ "))&amp;IF(C404="","",RIGHT("0"&amp;HOUR(C404),2)&amp;":"&amp;RIGHT("0"&amp;MINUTE(C404),2)&amp;IF(D404="","","–"&amp;RIGHT("0"&amp;HOUR(D404),2)&amp;":"&amp;RIGHT("0"&amp;MINUTE(D404),2))&amp;" ")&amp;F404)</f>
        <v/>
      </c>
      <c r="N404" s="54">
        <f>IF(OR(A404="",F404=""),"",A404&amp;"#"&amp;(COUNTIFS($A$5:$A$3004,A404,$F$5:$F$3004,"?*",$O$5:$O$3004,"&lt;"&amp;O404)+COUNTIFS($A$5:A404,A404,$F$5:F404,"?*",$O$5:O404,O404)))</f>
        <v/>
      </c>
      <c r="O404" s="54">
        <f>IF(A404="","",IF(C404="",0,C404))</f>
        <v/>
      </c>
    </row>
    <row r="405">
      <c r="A405" s="58" t="n"/>
      <c r="B405" s="49">
        <f>IF(A405="","",CHOOSE(WEEKDAY(A405,2),"Пн","Вт","Ср","Чт","Пт","Сб","Вс"))</f>
        <v/>
      </c>
      <c r="C405" s="59" t="n"/>
      <c r="D405" s="59" t="n"/>
      <c r="E405" s="60">
        <f>IF(OR(C405="",D405=""),"",MOD(D405-C405,1)*24)</f>
        <v/>
      </c>
      <c r="F405" s="50" t="n"/>
      <c r="G405" s="51" t="n"/>
      <c r="H405" s="51" t="n"/>
      <c r="I405" s="51" t="n"/>
      <c r="J405" s="51" t="n"/>
      <c r="K405" s="51" t="n"/>
      <c r="L405" s="54">
        <f>IF(OR(A405="",C405="",D405=""),"",IF(COUNTIFS($A$5:$A$3004,A405,$C$5:$C$3004,"&lt;"&amp;D405,$D$5:$D$3004,"&gt;"&amp;C405)&gt;1,"⚠️ пересечение",""))</f>
        <v/>
      </c>
      <c r="M405" s="54">
        <f>IF(F405="","",IF(J405="✅ Сделано","✔ ",IF(J405="❌ Пропущено","✖ ","⏰ "))&amp;IF(C405="","",RIGHT("0"&amp;HOUR(C405),2)&amp;":"&amp;RIGHT("0"&amp;MINUTE(C405),2)&amp;IF(D405="","","–"&amp;RIGHT("0"&amp;HOUR(D405),2)&amp;":"&amp;RIGHT("0"&amp;MINUTE(D405),2))&amp;" ")&amp;F405)</f>
        <v/>
      </c>
      <c r="N405" s="54">
        <f>IF(OR(A405="",F405=""),"",A405&amp;"#"&amp;(COUNTIFS($A$5:$A$3004,A405,$F$5:$F$3004,"?*",$O$5:$O$3004,"&lt;"&amp;O405)+COUNTIFS($A$5:A405,A405,$F$5:F405,"?*",$O$5:O405,O405)))</f>
        <v/>
      </c>
      <c r="O405" s="54">
        <f>IF(A405="","",IF(C405="",0,C405))</f>
        <v/>
      </c>
    </row>
    <row r="406">
      <c r="A406" s="58" t="n"/>
      <c r="B406" s="49">
        <f>IF(A406="","",CHOOSE(WEEKDAY(A406,2),"Пн","Вт","Ср","Чт","Пт","Сб","Вс"))</f>
        <v/>
      </c>
      <c r="C406" s="59" t="n"/>
      <c r="D406" s="59" t="n"/>
      <c r="E406" s="60">
        <f>IF(OR(C406="",D406=""),"",MOD(D406-C406,1)*24)</f>
        <v/>
      </c>
      <c r="F406" s="50" t="n"/>
      <c r="G406" s="51" t="n"/>
      <c r="H406" s="51" t="n"/>
      <c r="I406" s="51" t="n"/>
      <c r="J406" s="51" t="n"/>
      <c r="K406" s="51" t="n"/>
      <c r="L406" s="54">
        <f>IF(OR(A406="",C406="",D406=""),"",IF(COUNTIFS($A$5:$A$3004,A406,$C$5:$C$3004,"&lt;"&amp;D406,$D$5:$D$3004,"&gt;"&amp;C406)&gt;1,"⚠️ пересечение",""))</f>
        <v/>
      </c>
      <c r="M406" s="54">
        <f>IF(F406="","",IF(J406="✅ Сделано","✔ ",IF(J406="❌ Пропущено","✖ ","⏰ "))&amp;IF(C406="","",RIGHT("0"&amp;HOUR(C406),2)&amp;":"&amp;RIGHT("0"&amp;MINUTE(C406),2)&amp;IF(D406="","","–"&amp;RIGHT("0"&amp;HOUR(D406),2)&amp;":"&amp;RIGHT("0"&amp;MINUTE(D406),2))&amp;" ")&amp;F406)</f>
        <v/>
      </c>
      <c r="N406" s="54">
        <f>IF(OR(A406="",F406=""),"",A406&amp;"#"&amp;(COUNTIFS($A$5:$A$3004,A406,$F$5:$F$3004,"?*",$O$5:$O$3004,"&lt;"&amp;O406)+COUNTIFS($A$5:A406,A406,$F$5:F406,"?*",$O$5:O406,O406)))</f>
        <v/>
      </c>
      <c r="O406" s="54">
        <f>IF(A406="","",IF(C406="",0,C406))</f>
        <v/>
      </c>
    </row>
    <row r="407">
      <c r="A407" s="58" t="n"/>
      <c r="B407" s="49">
        <f>IF(A407="","",CHOOSE(WEEKDAY(A407,2),"Пн","Вт","Ср","Чт","Пт","Сб","Вс"))</f>
        <v/>
      </c>
      <c r="C407" s="59" t="n"/>
      <c r="D407" s="59" t="n"/>
      <c r="E407" s="60">
        <f>IF(OR(C407="",D407=""),"",MOD(D407-C407,1)*24)</f>
        <v/>
      </c>
      <c r="F407" s="50" t="n"/>
      <c r="G407" s="51" t="n"/>
      <c r="H407" s="51" t="n"/>
      <c r="I407" s="51" t="n"/>
      <c r="J407" s="51" t="n"/>
      <c r="K407" s="51" t="n"/>
      <c r="L407" s="54">
        <f>IF(OR(A407="",C407="",D407=""),"",IF(COUNTIFS($A$5:$A$3004,A407,$C$5:$C$3004,"&lt;"&amp;D407,$D$5:$D$3004,"&gt;"&amp;C407)&gt;1,"⚠️ пересечение",""))</f>
        <v/>
      </c>
      <c r="M407" s="54">
        <f>IF(F407="","",IF(J407="✅ Сделано","✔ ",IF(J407="❌ Пропущено","✖ ","⏰ "))&amp;IF(C407="","",RIGHT("0"&amp;HOUR(C407),2)&amp;":"&amp;RIGHT("0"&amp;MINUTE(C407),2)&amp;IF(D407="","","–"&amp;RIGHT("0"&amp;HOUR(D407),2)&amp;":"&amp;RIGHT("0"&amp;MINUTE(D407),2))&amp;" ")&amp;F407)</f>
        <v/>
      </c>
      <c r="N407" s="54">
        <f>IF(OR(A407="",F407=""),"",A407&amp;"#"&amp;(COUNTIFS($A$5:$A$3004,A407,$F$5:$F$3004,"?*",$O$5:$O$3004,"&lt;"&amp;O407)+COUNTIFS($A$5:A407,A407,$F$5:F407,"?*",$O$5:O407,O407)))</f>
        <v/>
      </c>
      <c r="O407" s="54">
        <f>IF(A407="","",IF(C407="",0,C407))</f>
        <v/>
      </c>
    </row>
    <row r="408">
      <c r="A408" s="58" t="n"/>
      <c r="B408" s="49">
        <f>IF(A408="","",CHOOSE(WEEKDAY(A408,2),"Пн","Вт","Ср","Чт","Пт","Сб","Вс"))</f>
        <v/>
      </c>
      <c r="C408" s="59" t="n"/>
      <c r="D408" s="59" t="n"/>
      <c r="E408" s="60">
        <f>IF(OR(C408="",D408=""),"",MOD(D408-C408,1)*24)</f>
        <v/>
      </c>
      <c r="F408" s="50" t="n"/>
      <c r="G408" s="51" t="n"/>
      <c r="H408" s="51" t="n"/>
      <c r="I408" s="51" t="n"/>
      <c r="J408" s="51" t="n"/>
      <c r="K408" s="51" t="n"/>
      <c r="L408" s="54">
        <f>IF(OR(A408="",C408="",D408=""),"",IF(COUNTIFS($A$5:$A$3004,A408,$C$5:$C$3004,"&lt;"&amp;D408,$D$5:$D$3004,"&gt;"&amp;C408)&gt;1,"⚠️ пересечение",""))</f>
        <v/>
      </c>
      <c r="M408" s="54">
        <f>IF(F408="","",IF(J408="✅ Сделано","✔ ",IF(J408="❌ Пропущено","✖ ","⏰ "))&amp;IF(C408="","",RIGHT("0"&amp;HOUR(C408),2)&amp;":"&amp;RIGHT("0"&amp;MINUTE(C408),2)&amp;IF(D408="","","–"&amp;RIGHT("0"&amp;HOUR(D408),2)&amp;":"&amp;RIGHT("0"&amp;MINUTE(D408),2))&amp;" ")&amp;F408)</f>
        <v/>
      </c>
      <c r="N408" s="54">
        <f>IF(OR(A408="",F408=""),"",A408&amp;"#"&amp;(COUNTIFS($A$5:$A$3004,A408,$F$5:$F$3004,"?*",$O$5:$O$3004,"&lt;"&amp;O408)+COUNTIFS($A$5:A408,A408,$F$5:F408,"?*",$O$5:O408,O408)))</f>
        <v/>
      </c>
      <c r="O408" s="54">
        <f>IF(A408="","",IF(C408="",0,C408))</f>
        <v/>
      </c>
    </row>
    <row r="409">
      <c r="A409" s="58" t="n"/>
      <c r="B409" s="49">
        <f>IF(A409="","",CHOOSE(WEEKDAY(A409,2),"Пн","Вт","Ср","Чт","Пт","Сб","Вс"))</f>
        <v/>
      </c>
      <c r="C409" s="59" t="n"/>
      <c r="D409" s="59" t="n"/>
      <c r="E409" s="60">
        <f>IF(OR(C409="",D409=""),"",MOD(D409-C409,1)*24)</f>
        <v/>
      </c>
      <c r="F409" s="50" t="n"/>
      <c r="G409" s="51" t="n"/>
      <c r="H409" s="51" t="n"/>
      <c r="I409" s="51" t="n"/>
      <c r="J409" s="51" t="n"/>
      <c r="K409" s="51" t="n"/>
      <c r="L409" s="54">
        <f>IF(OR(A409="",C409="",D409=""),"",IF(COUNTIFS($A$5:$A$3004,A409,$C$5:$C$3004,"&lt;"&amp;D409,$D$5:$D$3004,"&gt;"&amp;C409)&gt;1,"⚠️ пересечение",""))</f>
        <v/>
      </c>
      <c r="M409" s="54">
        <f>IF(F409="","",IF(J409="✅ Сделано","✔ ",IF(J409="❌ Пропущено","✖ ","⏰ "))&amp;IF(C409="","",RIGHT("0"&amp;HOUR(C409),2)&amp;":"&amp;RIGHT("0"&amp;MINUTE(C409),2)&amp;IF(D409="","","–"&amp;RIGHT("0"&amp;HOUR(D409),2)&amp;":"&amp;RIGHT("0"&amp;MINUTE(D409),2))&amp;" ")&amp;F409)</f>
        <v/>
      </c>
      <c r="N409" s="54">
        <f>IF(OR(A409="",F409=""),"",A409&amp;"#"&amp;(COUNTIFS($A$5:$A$3004,A409,$F$5:$F$3004,"?*",$O$5:$O$3004,"&lt;"&amp;O409)+COUNTIFS($A$5:A409,A409,$F$5:F409,"?*",$O$5:O409,O409)))</f>
        <v/>
      </c>
      <c r="O409" s="54">
        <f>IF(A409="","",IF(C409="",0,C409))</f>
        <v/>
      </c>
    </row>
    <row r="410">
      <c r="A410" s="58" t="n"/>
      <c r="B410" s="49">
        <f>IF(A410="","",CHOOSE(WEEKDAY(A410,2),"Пн","Вт","Ср","Чт","Пт","Сб","Вс"))</f>
        <v/>
      </c>
      <c r="C410" s="59" t="n"/>
      <c r="D410" s="59" t="n"/>
      <c r="E410" s="60">
        <f>IF(OR(C410="",D410=""),"",MOD(D410-C410,1)*24)</f>
        <v/>
      </c>
      <c r="F410" s="50" t="n"/>
      <c r="G410" s="51" t="n"/>
      <c r="H410" s="51" t="n"/>
      <c r="I410" s="51" t="n"/>
      <c r="J410" s="51" t="n"/>
      <c r="K410" s="51" t="n"/>
      <c r="L410" s="54">
        <f>IF(OR(A410="",C410="",D410=""),"",IF(COUNTIFS($A$5:$A$3004,A410,$C$5:$C$3004,"&lt;"&amp;D410,$D$5:$D$3004,"&gt;"&amp;C410)&gt;1,"⚠️ пересечение",""))</f>
        <v/>
      </c>
      <c r="M410" s="54">
        <f>IF(F410="","",IF(J410="✅ Сделано","✔ ",IF(J410="❌ Пропущено","✖ ","⏰ "))&amp;IF(C410="","",RIGHT("0"&amp;HOUR(C410),2)&amp;":"&amp;RIGHT("0"&amp;MINUTE(C410),2)&amp;IF(D410="","","–"&amp;RIGHT("0"&amp;HOUR(D410),2)&amp;":"&amp;RIGHT("0"&amp;MINUTE(D410),2))&amp;" ")&amp;F410)</f>
        <v/>
      </c>
      <c r="N410" s="54">
        <f>IF(OR(A410="",F410=""),"",A410&amp;"#"&amp;(COUNTIFS($A$5:$A$3004,A410,$F$5:$F$3004,"?*",$O$5:$O$3004,"&lt;"&amp;O410)+COUNTIFS($A$5:A410,A410,$F$5:F410,"?*",$O$5:O410,O410)))</f>
        <v/>
      </c>
      <c r="O410" s="54">
        <f>IF(A410="","",IF(C410="",0,C410))</f>
        <v/>
      </c>
    </row>
    <row r="411">
      <c r="A411" s="58" t="n"/>
      <c r="B411" s="49">
        <f>IF(A411="","",CHOOSE(WEEKDAY(A411,2),"Пн","Вт","Ср","Чт","Пт","Сб","Вс"))</f>
        <v/>
      </c>
      <c r="C411" s="59" t="n"/>
      <c r="D411" s="59" t="n"/>
      <c r="E411" s="60">
        <f>IF(OR(C411="",D411=""),"",MOD(D411-C411,1)*24)</f>
        <v/>
      </c>
      <c r="F411" s="50" t="n"/>
      <c r="G411" s="51" t="n"/>
      <c r="H411" s="51" t="n"/>
      <c r="I411" s="51" t="n"/>
      <c r="J411" s="51" t="n"/>
      <c r="K411" s="51" t="n"/>
      <c r="L411" s="54">
        <f>IF(OR(A411="",C411="",D411=""),"",IF(COUNTIFS($A$5:$A$3004,A411,$C$5:$C$3004,"&lt;"&amp;D411,$D$5:$D$3004,"&gt;"&amp;C411)&gt;1,"⚠️ пересечение",""))</f>
        <v/>
      </c>
      <c r="M411" s="54">
        <f>IF(F411="","",IF(J411="✅ Сделано","✔ ",IF(J411="❌ Пропущено","✖ ","⏰ "))&amp;IF(C411="","",RIGHT("0"&amp;HOUR(C411),2)&amp;":"&amp;RIGHT("0"&amp;MINUTE(C411),2)&amp;IF(D411="","","–"&amp;RIGHT("0"&amp;HOUR(D411),2)&amp;":"&amp;RIGHT("0"&amp;MINUTE(D411),2))&amp;" ")&amp;F411)</f>
        <v/>
      </c>
      <c r="N411" s="54">
        <f>IF(OR(A411="",F411=""),"",A411&amp;"#"&amp;(COUNTIFS($A$5:$A$3004,A411,$F$5:$F$3004,"?*",$O$5:$O$3004,"&lt;"&amp;O411)+COUNTIFS($A$5:A411,A411,$F$5:F411,"?*",$O$5:O411,O411)))</f>
        <v/>
      </c>
      <c r="O411" s="54">
        <f>IF(A411="","",IF(C411="",0,C411))</f>
        <v/>
      </c>
    </row>
    <row r="412">
      <c r="A412" s="58" t="n"/>
      <c r="B412" s="49">
        <f>IF(A412="","",CHOOSE(WEEKDAY(A412,2),"Пн","Вт","Ср","Чт","Пт","Сб","Вс"))</f>
        <v/>
      </c>
      <c r="C412" s="59" t="n"/>
      <c r="D412" s="59" t="n"/>
      <c r="E412" s="60">
        <f>IF(OR(C412="",D412=""),"",MOD(D412-C412,1)*24)</f>
        <v/>
      </c>
      <c r="F412" s="50" t="n"/>
      <c r="G412" s="51" t="n"/>
      <c r="H412" s="51" t="n"/>
      <c r="I412" s="51" t="n"/>
      <c r="J412" s="51" t="n"/>
      <c r="K412" s="51" t="n"/>
      <c r="L412" s="54">
        <f>IF(OR(A412="",C412="",D412=""),"",IF(COUNTIFS($A$5:$A$3004,A412,$C$5:$C$3004,"&lt;"&amp;D412,$D$5:$D$3004,"&gt;"&amp;C412)&gt;1,"⚠️ пересечение",""))</f>
        <v/>
      </c>
      <c r="M412" s="54">
        <f>IF(F412="","",IF(J412="✅ Сделано","✔ ",IF(J412="❌ Пропущено","✖ ","⏰ "))&amp;IF(C412="","",RIGHT("0"&amp;HOUR(C412),2)&amp;":"&amp;RIGHT("0"&amp;MINUTE(C412),2)&amp;IF(D412="","","–"&amp;RIGHT("0"&amp;HOUR(D412),2)&amp;":"&amp;RIGHT("0"&amp;MINUTE(D412),2))&amp;" ")&amp;F412)</f>
        <v/>
      </c>
      <c r="N412" s="54">
        <f>IF(OR(A412="",F412=""),"",A412&amp;"#"&amp;(COUNTIFS($A$5:$A$3004,A412,$F$5:$F$3004,"?*",$O$5:$O$3004,"&lt;"&amp;O412)+COUNTIFS($A$5:A412,A412,$F$5:F412,"?*",$O$5:O412,O412)))</f>
        <v/>
      </c>
      <c r="O412" s="54">
        <f>IF(A412="","",IF(C412="",0,C412))</f>
        <v/>
      </c>
    </row>
    <row r="413">
      <c r="A413" s="58" t="n"/>
      <c r="B413" s="49">
        <f>IF(A413="","",CHOOSE(WEEKDAY(A413,2),"Пн","Вт","Ср","Чт","Пт","Сб","Вс"))</f>
        <v/>
      </c>
      <c r="C413" s="59" t="n"/>
      <c r="D413" s="59" t="n"/>
      <c r="E413" s="60">
        <f>IF(OR(C413="",D413=""),"",MOD(D413-C413,1)*24)</f>
        <v/>
      </c>
      <c r="F413" s="50" t="n"/>
      <c r="G413" s="51" t="n"/>
      <c r="H413" s="51" t="n"/>
      <c r="I413" s="51" t="n"/>
      <c r="J413" s="51" t="n"/>
      <c r="K413" s="51" t="n"/>
      <c r="L413" s="54">
        <f>IF(OR(A413="",C413="",D413=""),"",IF(COUNTIFS($A$5:$A$3004,A413,$C$5:$C$3004,"&lt;"&amp;D413,$D$5:$D$3004,"&gt;"&amp;C413)&gt;1,"⚠️ пересечение",""))</f>
        <v/>
      </c>
      <c r="M413" s="54">
        <f>IF(F413="","",IF(J413="✅ Сделано","✔ ",IF(J413="❌ Пропущено","✖ ","⏰ "))&amp;IF(C413="","",RIGHT("0"&amp;HOUR(C413),2)&amp;":"&amp;RIGHT("0"&amp;MINUTE(C413),2)&amp;IF(D413="","","–"&amp;RIGHT("0"&amp;HOUR(D413),2)&amp;":"&amp;RIGHT("0"&amp;MINUTE(D413),2))&amp;" ")&amp;F413)</f>
        <v/>
      </c>
      <c r="N413" s="54">
        <f>IF(OR(A413="",F413=""),"",A413&amp;"#"&amp;(COUNTIFS($A$5:$A$3004,A413,$F$5:$F$3004,"?*",$O$5:$O$3004,"&lt;"&amp;O413)+COUNTIFS($A$5:A413,A413,$F$5:F413,"?*",$O$5:O413,O413)))</f>
        <v/>
      </c>
      <c r="O413" s="54">
        <f>IF(A413="","",IF(C413="",0,C413))</f>
        <v/>
      </c>
    </row>
    <row r="414">
      <c r="A414" s="58" t="n"/>
      <c r="B414" s="49">
        <f>IF(A414="","",CHOOSE(WEEKDAY(A414,2),"Пн","Вт","Ср","Чт","Пт","Сб","Вс"))</f>
        <v/>
      </c>
      <c r="C414" s="59" t="n"/>
      <c r="D414" s="59" t="n"/>
      <c r="E414" s="60">
        <f>IF(OR(C414="",D414=""),"",MOD(D414-C414,1)*24)</f>
        <v/>
      </c>
      <c r="F414" s="50" t="n"/>
      <c r="G414" s="51" t="n"/>
      <c r="H414" s="51" t="n"/>
      <c r="I414" s="51" t="n"/>
      <c r="J414" s="51" t="n"/>
      <c r="K414" s="51" t="n"/>
      <c r="L414" s="54">
        <f>IF(OR(A414="",C414="",D414=""),"",IF(COUNTIFS($A$5:$A$3004,A414,$C$5:$C$3004,"&lt;"&amp;D414,$D$5:$D$3004,"&gt;"&amp;C414)&gt;1,"⚠️ пересечение",""))</f>
        <v/>
      </c>
      <c r="M414" s="54">
        <f>IF(F414="","",IF(J414="✅ Сделано","✔ ",IF(J414="❌ Пропущено","✖ ","⏰ "))&amp;IF(C414="","",RIGHT("0"&amp;HOUR(C414),2)&amp;":"&amp;RIGHT("0"&amp;MINUTE(C414),2)&amp;IF(D414="","","–"&amp;RIGHT("0"&amp;HOUR(D414),2)&amp;":"&amp;RIGHT("0"&amp;MINUTE(D414),2))&amp;" ")&amp;F414)</f>
        <v/>
      </c>
      <c r="N414" s="54">
        <f>IF(OR(A414="",F414=""),"",A414&amp;"#"&amp;(COUNTIFS($A$5:$A$3004,A414,$F$5:$F$3004,"?*",$O$5:$O$3004,"&lt;"&amp;O414)+COUNTIFS($A$5:A414,A414,$F$5:F414,"?*",$O$5:O414,O414)))</f>
        <v/>
      </c>
      <c r="O414" s="54">
        <f>IF(A414="","",IF(C414="",0,C414))</f>
        <v/>
      </c>
    </row>
    <row r="415">
      <c r="A415" s="58" t="n"/>
      <c r="B415" s="49">
        <f>IF(A415="","",CHOOSE(WEEKDAY(A415,2),"Пн","Вт","Ср","Чт","Пт","Сб","Вс"))</f>
        <v/>
      </c>
      <c r="C415" s="59" t="n"/>
      <c r="D415" s="59" t="n"/>
      <c r="E415" s="60">
        <f>IF(OR(C415="",D415=""),"",MOD(D415-C415,1)*24)</f>
        <v/>
      </c>
      <c r="F415" s="50" t="n"/>
      <c r="G415" s="51" t="n"/>
      <c r="H415" s="51" t="n"/>
      <c r="I415" s="51" t="n"/>
      <c r="J415" s="51" t="n"/>
      <c r="K415" s="51" t="n"/>
      <c r="L415" s="54">
        <f>IF(OR(A415="",C415="",D415=""),"",IF(COUNTIFS($A$5:$A$3004,A415,$C$5:$C$3004,"&lt;"&amp;D415,$D$5:$D$3004,"&gt;"&amp;C415)&gt;1,"⚠️ пересечение",""))</f>
        <v/>
      </c>
      <c r="M415" s="54">
        <f>IF(F415="","",IF(J415="✅ Сделано","✔ ",IF(J415="❌ Пропущено","✖ ","⏰ "))&amp;IF(C415="","",RIGHT("0"&amp;HOUR(C415),2)&amp;":"&amp;RIGHT("0"&amp;MINUTE(C415),2)&amp;IF(D415="","","–"&amp;RIGHT("0"&amp;HOUR(D415),2)&amp;":"&amp;RIGHT("0"&amp;MINUTE(D415),2))&amp;" ")&amp;F415)</f>
        <v/>
      </c>
      <c r="N415" s="54">
        <f>IF(OR(A415="",F415=""),"",A415&amp;"#"&amp;(COUNTIFS($A$5:$A$3004,A415,$F$5:$F$3004,"?*",$O$5:$O$3004,"&lt;"&amp;O415)+COUNTIFS($A$5:A415,A415,$F$5:F415,"?*",$O$5:O415,O415)))</f>
        <v/>
      </c>
      <c r="O415" s="54">
        <f>IF(A415="","",IF(C415="",0,C415))</f>
        <v/>
      </c>
    </row>
    <row r="416">
      <c r="A416" s="58" t="n"/>
      <c r="B416" s="49">
        <f>IF(A416="","",CHOOSE(WEEKDAY(A416,2),"Пн","Вт","Ср","Чт","Пт","Сб","Вс"))</f>
        <v/>
      </c>
      <c r="C416" s="59" t="n"/>
      <c r="D416" s="59" t="n"/>
      <c r="E416" s="60">
        <f>IF(OR(C416="",D416=""),"",MOD(D416-C416,1)*24)</f>
        <v/>
      </c>
      <c r="F416" s="50" t="n"/>
      <c r="G416" s="51" t="n"/>
      <c r="H416" s="51" t="n"/>
      <c r="I416" s="51" t="n"/>
      <c r="J416" s="51" t="n"/>
      <c r="K416" s="51" t="n"/>
      <c r="L416" s="54">
        <f>IF(OR(A416="",C416="",D416=""),"",IF(COUNTIFS($A$5:$A$3004,A416,$C$5:$C$3004,"&lt;"&amp;D416,$D$5:$D$3004,"&gt;"&amp;C416)&gt;1,"⚠️ пересечение",""))</f>
        <v/>
      </c>
      <c r="M416" s="54">
        <f>IF(F416="","",IF(J416="✅ Сделано","✔ ",IF(J416="❌ Пропущено","✖ ","⏰ "))&amp;IF(C416="","",RIGHT("0"&amp;HOUR(C416),2)&amp;":"&amp;RIGHT("0"&amp;MINUTE(C416),2)&amp;IF(D416="","","–"&amp;RIGHT("0"&amp;HOUR(D416),2)&amp;":"&amp;RIGHT("0"&amp;MINUTE(D416),2))&amp;" ")&amp;F416)</f>
        <v/>
      </c>
      <c r="N416" s="54">
        <f>IF(OR(A416="",F416=""),"",A416&amp;"#"&amp;(COUNTIFS($A$5:$A$3004,A416,$F$5:$F$3004,"?*",$O$5:$O$3004,"&lt;"&amp;O416)+COUNTIFS($A$5:A416,A416,$F$5:F416,"?*",$O$5:O416,O416)))</f>
        <v/>
      </c>
      <c r="O416" s="54">
        <f>IF(A416="","",IF(C416="",0,C416))</f>
        <v/>
      </c>
    </row>
    <row r="417">
      <c r="A417" s="58" t="n"/>
      <c r="B417" s="49">
        <f>IF(A417="","",CHOOSE(WEEKDAY(A417,2),"Пн","Вт","Ср","Чт","Пт","Сб","Вс"))</f>
        <v/>
      </c>
      <c r="C417" s="59" t="n"/>
      <c r="D417" s="59" t="n"/>
      <c r="E417" s="60">
        <f>IF(OR(C417="",D417=""),"",MOD(D417-C417,1)*24)</f>
        <v/>
      </c>
      <c r="F417" s="50" t="n"/>
      <c r="G417" s="51" t="n"/>
      <c r="H417" s="51" t="n"/>
      <c r="I417" s="51" t="n"/>
      <c r="J417" s="51" t="n"/>
      <c r="K417" s="51" t="n"/>
      <c r="L417" s="54">
        <f>IF(OR(A417="",C417="",D417=""),"",IF(COUNTIFS($A$5:$A$3004,A417,$C$5:$C$3004,"&lt;"&amp;D417,$D$5:$D$3004,"&gt;"&amp;C417)&gt;1,"⚠️ пересечение",""))</f>
        <v/>
      </c>
      <c r="M417" s="54">
        <f>IF(F417="","",IF(J417="✅ Сделано","✔ ",IF(J417="❌ Пропущено","✖ ","⏰ "))&amp;IF(C417="","",RIGHT("0"&amp;HOUR(C417),2)&amp;":"&amp;RIGHT("0"&amp;MINUTE(C417),2)&amp;IF(D417="","","–"&amp;RIGHT("0"&amp;HOUR(D417),2)&amp;":"&amp;RIGHT("0"&amp;MINUTE(D417),2))&amp;" ")&amp;F417)</f>
        <v/>
      </c>
      <c r="N417" s="54">
        <f>IF(OR(A417="",F417=""),"",A417&amp;"#"&amp;(COUNTIFS($A$5:$A$3004,A417,$F$5:$F$3004,"?*",$O$5:$O$3004,"&lt;"&amp;O417)+COUNTIFS($A$5:A417,A417,$F$5:F417,"?*",$O$5:O417,O417)))</f>
        <v/>
      </c>
      <c r="O417" s="54">
        <f>IF(A417="","",IF(C417="",0,C417))</f>
        <v/>
      </c>
    </row>
    <row r="418">
      <c r="A418" s="58" t="n"/>
      <c r="B418" s="49">
        <f>IF(A418="","",CHOOSE(WEEKDAY(A418,2),"Пн","Вт","Ср","Чт","Пт","Сб","Вс"))</f>
        <v/>
      </c>
      <c r="C418" s="59" t="n"/>
      <c r="D418" s="59" t="n"/>
      <c r="E418" s="60">
        <f>IF(OR(C418="",D418=""),"",MOD(D418-C418,1)*24)</f>
        <v/>
      </c>
      <c r="F418" s="50" t="n"/>
      <c r="G418" s="51" t="n"/>
      <c r="H418" s="51" t="n"/>
      <c r="I418" s="51" t="n"/>
      <c r="J418" s="51" t="n"/>
      <c r="K418" s="51" t="n"/>
      <c r="L418" s="54">
        <f>IF(OR(A418="",C418="",D418=""),"",IF(COUNTIFS($A$5:$A$3004,A418,$C$5:$C$3004,"&lt;"&amp;D418,$D$5:$D$3004,"&gt;"&amp;C418)&gt;1,"⚠️ пересечение",""))</f>
        <v/>
      </c>
      <c r="M418" s="54">
        <f>IF(F418="","",IF(J418="✅ Сделано","✔ ",IF(J418="❌ Пропущено","✖ ","⏰ "))&amp;IF(C418="","",RIGHT("0"&amp;HOUR(C418),2)&amp;":"&amp;RIGHT("0"&amp;MINUTE(C418),2)&amp;IF(D418="","","–"&amp;RIGHT("0"&amp;HOUR(D418),2)&amp;":"&amp;RIGHT("0"&amp;MINUTE(D418),2))&amp;" ")&amp;F418)</f>
        <v/>
      </c>
      <c r="N418" s="54">
        <f>IF(OR(A418="",F418=""),"",A418&amp;"#"&amp;(COUNTIFS($A$5:$A$3004,A418,$F$5:$F$3004,"?*",$O$5:$O$3004,"&lt;"&amp;O418)+COUNTIFS($A$5:A418,A418,$F$5:F418,"?*",$O$5:O418,O418)))</f>
        <v/>
      </c>
      <c r="O418" s="54">
        <f>IF(A418="","",IF(C418="",0,C418))</f>
        <v/>
      </c>
    </row>
    <row r="419">
      <c r="A419" s="58" t="n"/>
      <c r="B419" s="49">
        <f>IF(A419="","",CHOOSE(WEEKDAY(A419,2),"Пн","Вт","Ср","Чт","Пт","Сб","Вс"))</f>
        <v/>
      </c>
      <c r="C419" s="59" t="n"/>
      <c r="D419" s="59" t="n"/>
      <c r="E419" s="60">
        <f>IF(OR(C419="",D419=""),"",MOD(D419-C419,1)*24)</f>
        <v/>
      </c>
      <c r="F419" s="50" t="n"/>
      <c r="G419" s="51" t="n"/>
      <c r="H419" s="51" t="n"/>
      <c r="I419" s="51" t="n"/>
      <c r="J419" s="51" t="n"/>
      <c r="K419" s="51" t="n"/>
      <c r="L419" s="54">
        <f>IF(OR(A419="",C419="",D419=""),"",IF(COUNTIFS($A$5:$A$3004,A419,$C$5:$C$3004,"&lt;"&amp;D419,$D$5:$D$3004,"&gt;"&amp;C419)&gt;1,"⚠️ пересечение",""))</f>
        <v/>
      </c>
      <c r="M419" s="54">
        <f>IF(F419="","",IF(J419="✅ Сделано","✔ ",IF(J419="❌ Пропущено","✖ ","⏰ "))&amp;IF(C419="","",RIGHT("0"&amp;HOUR(C419),2)&amp;":"&amp;RIGHT("0"&amp;MINUTE(C419),2)&amp;IF(D419="","","–"&amp;RIGHT("0"&amp;HOUR(D419),2)&amp;":"&amp;RIGHT("0"&amp;MINUTE(D419),2))&amp;" ")&amp;F419)</f>
        <v/>
      </c>
      <c r="N419" s="54">
        <f>IF(OR(A419="",F419=""),"",A419&amp;"#"&amp;(COUNTIFS($A$5:$A$3004,A419,$F$5:$F$3004,"?*",$O$5:$O$3004,"&lt;"&amp;O419)+COUNTIFS($A$5:A419,A419,$F$5:F419,"?*",$O$5:O419,O419)))</f>
        <v/>
      </c>
      <c r="O419" s="54">
        <f>IF(A419="","",IF(C419="",0,C419))</f>
        <v/>
      </c>
    </row>
    <row r="420">
      <c r="A420" s="58" t="n"/>
      <c r="B420" s="49">
        <f>IF(A420="","",CHOOSE(WEEKDAY(A420,2),"Пн","Вт","Ср","Чт","Пт","Сб","Вс"))</f>
        <v/>
      </c>
      <c r="C420" s="59" t="n"/>
      <c r="D420" s="59" t="n"/>
      <c r="E420" s="60">
        <f>IF(OR(C420="",D420=""),"",MOD(D420-C420,1)*24)</f>
        <v/>
      </c>
      <c r="F420" s="50" t="n"/>
      <c r="G420" s="51" t="n"/>
      <c r="H420" s="51" t="n"/>
      <c r="I420" s="51" t="n"/>
      <c r="J420" s="51" t="n"/>
      <c r="K420" s="51" t="n"/>
      <c r="L420" s="54">
        <f>IF(OR(A420="",C420="",D420=""),"",IF(COUNTIFS($A$5:$A$3004,A420,$C$5:$C$3004,"&lt;"&amp;D420,$D$5:$D$3004,"&gt;"&amp;C420)&gt;1,"⚠️ пересечение",""))</f>
        <v/>
      </c>
      <c r="M420" s="54">
        <f>IF(F420="","",IF(J420="✅ Сделано","✔ ",IF(J420="❌ Пропущено","✖ ","⏰ "))&amp;IF(C420="","",RIGHT("0"&amp;HOUR(C420),2)&amp;":"&amp;RIGHT("0"&amp;MINUTE(C420),2)&amp;IF(D420="","","–"&amp;RIGHT("0"&amp;HOUR(D420),2)&amp;":"&amp;RIGHT("0"&amp;MINUTE(D420),2))&amp;" ")&amp;F420)</f>
        <v/>
      </c>
      <c r="N420" s="54">
        <f>IF(OR(A420="",F420=""),"",A420&amp;"#"&amp;(COUNTIFS($A$5:$A$3004,A420,$F$5:$F$3004,"?*",$O$5:$O$3004,"&lt;"&amp;O420)+COUNTIFS($A$5:A420,A420,$F$5:F420,"?*",$O$5:O420,O420)))</f>
        <v/>
      </c>
      <c r="O420" s="54">
        <f>IF(A420="","",IF(C420="",0,C420))</f>
        <v/>
      </c>
    </row>
    <row r="421">
      <c r="A421" s="58" t="n"/>
      <c r="B421" s="49">
        <f>IF(A421="","",CHOOSE(WEEKDAY(A421,2),"Пн","Вт","Ср","Чт","Пт","Сб","Вс"))</f>
        <v/>
      </c>
      <c r="C421" s="59" t="n"/>
      <c r="D421" s="59" t="n"/>
      <c r="E421" s="60">
        <f>IF(OR(C421="",D421=""),"",MOD(D421-C421,1)*24)</f>
        <v/>
      </c>
      <c r="F421" s="50" t="n"/>
      <c r="G421" s="51" t="n"/>
      <c r="H421" s="51" t="n"/>
      <c r="I421" s="51" t="n"/>
      <c r="J421" s="51" t="n"/>
      <c r="K421" s="51" t="n"/>
      <c r="L421" s="54">
        <f>IF(OR(A421="",C421="",D421=""),"",IF(COUNTIFS($A$5:$A$3004,A421,$C$5:$C$3004,"&lt;"&amp;D421,$D$5:$D$3004,"&gt;"&amp;C421)&gt;1,"⚠️ пересечение",""))</f>
        <v/>
      </c>
      <c r="M421" s="54">
        <f>IF(F421="","",IF(J421="✅ Сделано","✔ ",IF(J421="❌ Пропущено","✖ ","⏰ "))&amp;IF(C421="","",RIGHT("0"&amp;HOUR(C421),2)&amp;":"&amp;RIGHT("0"&amp;MINUTE(C421),2)&amp;IF(D421="","","–"&amp;RIGHT("0"&amp;HOUR(D421),2)&amp;":"&amp;RIGHT("0"&amp;MINUTE(D421),2))&amp;" ")&amp;F421)</f>
        <v/>
      </c>
      <c r="N421" s="54">
        <f>IF(OR(A421="",F421=""),"",A421&amp;"#"&amp;(COUNTIFS($A$5:$A$3004,A421,$F$5:$F$3004,"?*",$O$5:$O$3004,"&lt;"&amp;O421)+COUNTIFS($A$5:A421,A421,$F$5:F421,"?*",$O$5:O421,O421)))</f>
        <v/>
      </c>
      <c r="O421" s="54">
        <f>IF(A421="","",IF(C421="",0,C421))</f>
        <v/>
      </c>
    </row>
    <row r="422">
      <c r="A422" s="58" t="n"/>
      <c r="B422" s="49">
        <f>IF(A422="","",CHOOSE(WEEKDAY(A422,2),"Пн","Вт","Ср","Чт","Пт","Сб","Вс"))</f>
        <v/>
      </c>
      <c r="C422" s="59" t="n"/>
      <c r="D422" s="59" t="n"/>
      <c r="E422" s="60">
        <f>IF(OR(C422="",D422=""),"",MOD(D422-C422,1)*24)</f>
        <v/>
      </c>
      <c r="F422" s="50" t="n"/>
      <c r="G422" s="51" t="n"/>
      <c r="H422" s="51" t="n"/>
      <c r="I422" s="51" t="n"/>
      <c r="J422" s="51" t="n"/>
      <c r="K422" s="51" t="n"/>
      <c r="L422" s="54">
        <f>IF(OR(A422="",C422="",D422=""),"",IF(COUNTIFS($A$5:$A$3004,A422,$C$5:$C$3004,"&lt;"&amp;D422,$D$5:$D$3004,"&gt;"&amp;C422)&gt;1,"⚠️ пересечение",""))</f>
        <v/>
      </c>
      <c r="M422" s="54">
        <f>IF(F422="","",IF(J422="✅ Сделано","✔ ",IF(J422="❌ Пропущено","✖ ","⏰ "))&amp;IF(C422="","",RIGHT("0"&amp;HOUR(C422),2)&amp;":"&amp;RIGHT("0"&amp;MINUTE(C422),2)&amp;IF(D422="","","–"&amp;RIGHT("0"&amp;HOUR(D422),2)&amp;":"&amp;RIGHT("0"&amp;MINUTE(D422),2))&amp;" ")&amp;F422)</f>
        <v/>
      </c>
      <c r="N422" s="54">
        <f>IF(OR(A422="",F422=""),"",A422&amp;"#"&amp;(COUNTIFS($A$5:$A$3004,A422,$F$5:$F$3004,"?*",$O$5:$O$3004,"&lt;"&amp;O422)+COUNTIFS($A$5:A422,A422,$F$5:F422,"?*",$O$5:O422,O422)))</f>
        <v/>
      </c>
      <c r="O422" s="54">
        <f>IF(A422="","",IF(C422="",0,C422))</f>
        <v/>
      </c>
    </row>
    <row r="423">
      <c r="A423" s="58" t="n"/>
      <c r="B423" s="49">
        <f>IF(A423="","",CHOOSE(WEEKDAY(A423,2),"Пн","Вт","Ср","Чт","Пт","Сб","Вс"))</f>
        <v/>
      </c>
      <c r="C423" s="59" t="n"/>
      <c r="D423" s="59" t="n"/>
      <c r="E423" s="60">
        <f>IF(OR(C423="",D423=""),"",MOD(D423-C423,1)*24)</f>
        <v/>
      </c>
      <c r="F423" s="50" t="n"/>
      <c r="G423" s="51" t="n"/>
      <c r="H423" s="51" t="n"/>
      <c r="I423" s="51" t="n"/>
      <c r="J423" s="51" t="n"/>
      <c r="K423" s="51" t="n"/>
      <c r="L423" s="54">
        <f>IF(OR(A423="",C423="",D423=""),"",IF(COUNTIFS($A$5:$A$3004,A423,$C$5:$C$3004,"&lt;"&amp;D423,$D$5:$D$3004,"&gt;"&amp;C423)&gt;1,"⚠️ пересечение",""))</f>
        <v/>
      </c>
      <c r="M423" s="54">
        <f>IF(F423="","",IF(J423="✅ Сделано","✔ ",IF(J423="❌ Пропущено","✖ ","⏰ "))&amp;IF(C423="","",RIGHT("0"&amp;HOUR(C423),2)&amp;":"&amp;RIGHT("0"&amp;MINUTE(C423),2)&amp;IF(D423="","","–"&amp;RIGHT("0"&amp;HOUR(D423),2)&amp;":"&amp;RIGHT("0"&amp;MINUTE(D423),2))&amp;" ")&amp;F423)</f>
        <v/>
      </c>
      <c r="N423" s="54">
        <f>IF(OR(A423="",F423=""),"",A423&amp;"#"&amp;(COUNTIFS($A$5:$A$3004,A423,$F$5:$F$3004,"?*",$O$5:$O$3004,"&lt;"&amp;O423)+COUNTIFS($A$5:A423,A423,$F$5:F423,"?*",$O$5:O423,O423)))</f>
        <v/>
      </c>
      <c r="O423" s="54">
        <f>IF(A423="","",IF(C423="",0,C423))</f>
        <v/>
      </c>
    </row>
    <row r="424">
      <c r="A424" s="58" t="n"/>
      <c r="B424" s="49">
        <f>IF(A424="","",CHOOSE(WEEKDAY(A424,2),"Пн","Вт","Ср","Чт","Пт","Сб","Вс"))</f>
        <v/>
      </c>
      <c r="C424" s="59" t="n"/>
      <c r="D424" s="59" t="n"/>
      <c r="E424" s="60">
        <f>IF(OR(C424="",D424=""),"",MOD(D424-C424,1)*24)</f>
        <v/>
      </c>
      <c r="F424" s="50" t="n"/>
      <c r="G424" s="51" t="n"/>
      <c r="H424" s="51" t="n"/>
      <c r="I424" s="51" t="n"/>
      <c r="J424" s="51" t="n"/>
      <c r="K424" s="51" t="n"/>
      <c r="L424" s="54">
        <f>IF(OR(A424="",C424="",D424=""),"",IF(COUNTIFS($A$5:$A$3004,A424,$C$5:$C$3004,"&lt;"&amp;D424,$D$5:$D$3004,"&gt;"&amp;C424)&gt;1,"⚠️ пересечение",""))</f>
        <v/>
      </c>
      <c r="M424" s="54">
        <f>IF(F424="","",IF(J424="✅ Сделано","✔ ",IF(J424="❌ Пропущено","✖ ","⏰ "))&amp;IF(C424="","",RIGHT("0"&amp;HOUR(C424),2)&amp;":"&amp;RIGHT("0"&amp;MINUTE(C424),2)&amp;IF(D424="","","–"&amp;RIGHT("0"&amp;HOUR(D424),2)&amp;":"&amp;RIGHT("0"&amp;MINUTE(D424),2))&amp;" ")&amp;F424)</f>
        <v/>
      </c>
      <c r="N424" s="54">
        <f>IF(OR(A424="",F424=""),"",A424&amp;"#"&amp;(COUNTIFS($A$5:$A$3004,A424,$F$5:$F$3004,"?*",$O$5:$O$3004,"&lt;"&amp;O424)+COUNTIFS($A$5:A424,A424,$F$5:F424,"?*",$O$5:O424,O424)))</f>
        <v/>
      </c>
      <c r="O424" s="54">
        <f>IF(A424="","",IF(C424="",0,C424))</f>
        <v/>
      </c>
    </row>
    <row r="425">
      <c r="A425" s="58" t="n"/>
      <c r="B425" s="49">
        <f>IF(A425="","",CHOOSE(WEEKDAY(A425,2),"Пн","Вт","Ср","Чт","Пт","Сб","Вс"))</f>
        <v/>
      </c>
      <c r="C425" s="59" t="n"/>
      <c r="D425" s="59" t="n"/>
      <c r="E425" s="60">
        <f>IF(OR(C425="",D425=""),"",MOD(D425-C425,1)*24)</f>
        <v/>
      </c>
      <c r="F425" s="50" t="n"/>
      <c r="G425" s="51" t="n"/>
      <c r="H425" s="51" t="n"/>
      <c r="I425" s="51" t="n"/>
      <c r="J425" s="51" t="n"/>
      <c r="K425" s="51" t="n"/>
      <c r="L425" s="54">
        <f>IF(OR(A425="",C425="",D425=""),"",IF(COUNTIFS($A$5:$A$3004,A425,$C$5:$C$3004,"&lt;"&amp;D425,$D$5:$D$3004,"&gt;"&amp;C425)&gt;1,"⚠️ пересечение",""))</f>
        <v/>
      </c>
      <c r="M425" s="54">
        <f>IF(F425="","",IF(J425="✅ Сделано","✔ ",IF(J425="❌ Пропущено","✖ ","⏰ "))&amp;IF(C425="","",RIGHT("0"&amp;HOUR(C425),2)&amp;":"&amp;RIGHT("0"&amp;MINUTE(C425),2)&amp;IF(D425="","","–"&amp;RIGHT("0"&amp;HOUR(D425),2)&amp;":"&amp;RIGHT("0"&amp;MINUTE(D425),2))&amp;" ")&amp;F425)</f>
        <v/>
      </c>
      <c r="N425" s="54">
        <f>IF(OR(A425="",F425=""),"",A425&amp;"#"&amp;(COUNTIFS($A$5:$A$3004,A425,$F$5:$F$3004,"?*",$O$5:$O$3004,"&lt;"&amp;O425)+COUNTIFS($A$5:A425,A425,$F$5:F425,"?*",$O$5:O425,O425)))</f>
        <v/>
      </c>
      <c r="O425" s="54">
        <f>IF(A425="","",IF(C425="",0,C425))</f>
        <v/>
      </c>
    </row>
    <row r="426">
      <c r="A426" s="58" t="n"/>
      <c r="B426" s="49">
        <f>IF(A426="","",CHOOSE(WEEKDAY(A426,2),"Пн","Вт","Ср","Чт","Пт","Сб","Вс"))</f>
        <v/>
      </c>
      <c r="C426" s="59" t="n"/>
      <c r="D426" s="59" t="n"/>
      <c r="E426" s="60">
        <f>IF(OR(C426="",D426=""),"",MOD(D426-C426,1)*24)</f>
        <v/>
      </c>
      <c r="F426" s="50" t="n"/>
      <c r="G426" s="51" t="n"/>
      <c r="H426" s="51" t="n"/>
      <c r="I426" s="51" t="n"/>
      <c r="J426" s="51" t="n"/>
      <c r="K426" s="51" t="n"/>
      <c r="L426" s="54">
        <f>IF(OR(A426="",C426="",D426=""),"",IF(COUNTIFS($A$5:$A$3004,A426,$C$5:$C$3004,"&lt;"&amp;D426,$D$5:$D$3004,"&gt;"&amp;C426)&gt;1,"⚠️ пересечение",""))</f>
        <v/>
      </c>
      <c r="M426" s="54">
        <f>IF(F426="","",IF(J426="✅ Сделано","✔ ",IF(J426="❌ Пропущено","✖ ","⏰ "))&amp;IF(C426="","",RIGHT("0"&amp;HOUR(C426),2)&amp;":"&amp;RIGHT("0"&amp;MINUTE(C426),2)&amp;IF(D426="","","–"&amp;RIGHT("0"&amp;HOUR(D426),2)&amp;":"&amp;RIGHT("0"&amp;MINUTE(D426),2))&amp;" ")&amp;F426)</f>
        <v/>
      </c>
      <c r="N426" s="54">
        <f>IF(OR(A426="",F426=""),"",A426&amp;"#"&amp;(COUNTIFS($A$5:$A$3004,A426,$F$5:$F$3004,"?*",$O$5:$O$3004,"&lt;"&amp;O426)+COUNTIFS($A$5:A426,A426,$F$5:F426,"?*",$O$5:O426,O426)))</f>
        <v/>
      </c>
      <c r="O426" s="54">
        <f>IF(A426="","",IF(C426="",0,C426))</f>
        <v/>
      </c>
    </row>
    <row r="427">
      <c r="A427" s="58" t="n"/>
      <c r="B427" s="49">
        <f>IF(A427="","",CHOOSE(WEEKDAY(A427,2),"Пн","Вт","Ср","Чт","Пт","Сб","Вс"))</f>
        <v/>
      </c>
      <c r="C427" s="59" t="n"/>
      <c r="D427" s="59" t="n"/>
      <c r="E427" s="60">
        <f>IF(OR(C427="",D427=""),"",MOD(D427-C427,1)*24)</f>
        <v/>
      </c>
      <c r="F427" s="50" t="n"/>
      <c r="G427" s="51" t="n"/>
      <c r="H427" s="51" t="n"/>
      <c r="I427" s="51" t="n"/>
      <c r="J427" s="51" t="n"/>
      <c r="K427" s="51" t="n"/>
      <c r="L427" s="54">
        <f>IF(OR(A427="",C427="",D427=""),"",IF(COUNTIFS($A$5:$A$3004,A427,$C$5:$C$3004,"&lt;"&amp;D427,$D$5:$D$3004,"&gt;"&amp;C427)&gt;1,"⚠️ пересечение",""))</f>
        <v/>
      </c>
      <c r="M427" s="54">
        <f>IF(F427="","",IF(J427="✅ Сделано","✔ ",IF(J427="❌ Пропущено","✖ ","⏰ "))&amp;IF(C427="","",RIGHT("0"&amp;HOUR(C427),2)&amp;":"&amp;RIGHT("0"&amp;MINUTE(C427),2)&amp;IF(D427="","","–"&amp;RIGHT("0"&amp;HOUR(D427),2)&amp;":"&amp;RIGHT("0"&amp;MINUTE(D427),2))&amp;" ")&amp;F427)</f>
        <v/>
      </c>
      <c r="N427" s="54">
        <f>IF(OR(A427="",F427=""),"",A427&amp;"#"&amp;(COUNTIFS($A$5:$A$3004,A427,$F$5:$F$3004,"?*",$O$5:$O$3004,"&lt;"&amp;O427)+COUNTIFS($A$5:A427,A427,$F$5:F427,"?*",$O$5:O427,O427)))</f>
        <v/>
      </c>
      <c r="O427" s="54">
        <f>IF(A427="","",IF(C427="",0,C427))</f>
        <v/>
      </c>
    </row>
    <row r="428">
      <c r="A428" s="58" t="n"/>
      <c r="B428" s="49">
        <f>IF(A428="","",CHOOSE(WEEKDAY(A428,2),"Пн","Вт","Ср","Чт","Пт","Сб","Вс"))</f>
        <v/>
      </c>
      <c r="C428" s="59" t="n"/>
      <c r="D428" s="59" t="n"/>
      <c r="E428" s="60">
        <f>IF(OR(C428="",D428=""),"",MOD(D428-C428,1)*24)</f>
        <v/>
      </c>
      <c r="F428" s="50" t="n"/>
      <c r="G428" s="51" t="n"/>
      <c r="H428" s="51" t="n"/>
      <c r="I428" s="51" t="n"/>
      <c r="J428" s="51" t="n"/>
      <c r="K428" s="51" t="n"/>
      <c r="L428" s="54">
        <f>IF(OR(A428="",C428="",D428=""),"",IF(COUNTIFS($A$5:$A$3004,A428,$C$5:$C$3004,"&lt;"&amp;D428,$D$5:$D$3004,"&gt;"&amp;C428)&gt;1,"⚠️ пересечение",""))</f>
        <v/>
      </c>
      <c r="M428" s="54">
        <f>IF(F428="","",IF(J428="✅ Сделано","✔ ",IF(J428="❌ Пропущено","✖ ","⏰ "))&amp;IF(C428="","",RIGHT("0"&amp;HOUR(C428),2)&amp;":"&amp;RIGHT("0"&amp;MINUTE(C428),2)&amp;IF(D428="","","–"&amp;RIGHT("0"&amp;HOUR(D428),2)&amp;":"&amp;RIGHT("0"&amp;MINUTE(D428),2))&amp;" ")&amp;F428)</f>
        <v/>
      </c>
      <c r="N428" s="54">
        <f>IF(OR(A428="",F428=""),"",A428&amp;"#"&amp;(COUNTIFS($A$5:$A$3004,A428,$F$5:$F$3004,"?*",$O$5:$O$3004,"&lt;"&amp;O428)+COUNTIFS($A$5:A428,A428,$F$5:F428,"?*",$O$5:O428,O428)))</f>
        <v/>
      </c>
      <c r="O428" s="54">
        <f>IF(A428="","",IF(C428="",0,C428))</f>
        <v/>
      </c>
    </row>
    <row r="429">
      <c r="A429" s="58" t="n"/>
      <c r="B429" s="49">
        <f>IF(A429="","",CHOOSE(WEEKDAY(A429,2),"Пн","Вт","Ср","Чт","Пт","Сб","Вс"))</f>
        <v/>
      </c>
      <c r="C429" s="59" t="n"/>
      <c r="D429" s="59" t="n"/>
      <c r="E429" s="60">
        <f>IF(OR(C429="",D429=""),"",MOD(D429-C429,1)*24)</f>
        <v/>
      </c>
      <c r="F429" s="50" t="n"/>
      <c r="G429" s="51" t="n"/>
      <c r="H429" s="51" t="n"/>
      <c r="I429" s="51" t="n"/>
      <c r="J429" s="51" t="n"/>
      <c r="K429" s="51" t="n"/>
      <c r="L429" s="54">
        <f>IF(OR(A429="",C429="",D429=""),"",IF(COUNTIFS($A$5:$A$3004,A429,$C$5:$C$3004,"&lt;"&amp;D429,$D$5:$D$3004,"&gt;"&amp;C429)&gt;1,"⚠️ пересечение",""))</f>
        <v/>
      </c>
      <c r="M429" s="54">
        <f>IF(F429="","",IF(J429="✅ Сделано","✔ ",IF(J429="❌ Пропущено","✖ ","⏰ "))&amp;IF(C429="","",RIGHT("0"&amp;HOUR(C429),2)&amp;":"&amp;RIGHT("0"&amp;MINUTE(C429),2)&amp;IF(D429="","","–"&amp;RIGHT("0"&amp;HOUR(D429),2)&amp;":"&amp;RIGHT("0"&amp;MINUTE(D429),2))&amp;" ")&amp;F429)</f>
        <v/>
      </c>
      <c r="N429" s="54">
        <f>IF(OR(A429="",F429=""),"",A429&amp;"#"&amp;(COUNTIFS($A$5:$A$3004,A429,$F$5:$F$3004,"?*",$O$5:$O$3004,"&lt;"&amp;O429)+COUNTIFS($A$5:A429,A429,$F$5:F429,"?*",$O$5:O429,O429)))</f>
        <v/>
      </c>
      <c r="O429" s="54">
        <f>IF(A429="","",IF(C429="",0,C429))</f>
        <v/>
      </c>
    </row>
    <row r="430">
      <c r="A430" s="58" t="n"/>
      <c r="B430" s="49">
        <f>IF(A430="","",CHOOSE(WEEKDAY(A430,2),"Пн","Вт","Ср","Чт","Пт","Сб","Вс"))</f>
        <v/>
      </c>
      <c r="C430" s="59" t="n"/>
      <c r="D430" s="59" t="n"/>
      <c r="E430" s="60">
        <f>IF(OR(C430="",D430=""),"",MOD(D430-C430,1)*24)</f>
        <v/>
      </c>
      <c r="F430" s="50" t="n"/>
      <c r="G430" s="51" t="n"/>
      <c r="H430" s="51" t="n"/>
      <c r="I430" s="51" t="n"/>
      <c r="J430" s="51" t="n"/>
      <c r="K430" s="51" t="n"/>
      <c r="L430" s="54">
        <f>IF(OR(A430="",C430="",D430=""),"",IF(COUNTIFS($A$5:$A$3004,A430,$C$5:$C$3004,"&lt;"&amp;D430,$D$5:$D$3004,"&gt;"&amp;C430)&gt;1,"⚠️ пересечение",""))</f>
        <v/>
      </c>
      <c r="M430" s="54">
        <f>IF(F430="","",IF(J430="✅ Сделано","✔ ",IF(J430="❌ Пропущено","✖ ","⏰ "))&amp;IF(C430="","",RIGHT("0"&amp;HOUR(C430),2)&amp;":"&amp;RIGHT("0"&amp;MINUTE(C430),2)&amp;IF(D430="","","–"&amp;RIGHT("0"&amp;HOUR(D430),2)&amp;":"&amp;RIGHT("0"&amp;MINUTE(D430),2))&amp;" ")&amp;F430)</f>
        <v/>
      </c>
      <c r="N430" s="54">
        <f>IF(OR(A430="",F430=""),"",A430&amp;"#"&amp;(COUNTIFS($A$5:$A$3004,A430,$F$5:$F$3004,"?*",$O$5:$O$3004,"&lt;"&amp;O430)+COUNTIFS($A$5:A430,A430,$F$5:F430,"?*",$O$5:O430,O430)))</f>
        <v/>
      </c>
      <c r="O430" s="54">
        <f>IF(A430="","",IF(C430="",0,C430))</f>
        <v/>
      </c>
    </row>
    <row r="431">
      <c r="A431" s="58" t="n"/>
      <c r="B431" s="49">
        <f>IF(A431="","",CHOOSE(WEEKDAY(A431,2),"Пн","Вт","Ср","Чт","Пт","Сб","Вс"))</f>
        <v/>
      </c>
      <c r="C431" s="59" t="n"/>
      <c r="D431" s="59" t="n"/>
      <c r="E431" s="60">
        <f>IF(OR(C431="",D431=""),"",MOD(D431-C431,1)*24)</f>
        <v/>
      </c>
      <c r="F431" s="50" t="n"/>
      <c r="G431" s="51" t="n"/>
      <c r="H431" s="51" t="n"/>
      <c r="I431" s="51" t="n"/>
      <c r="J431" s="51" t="n"/>
      <c r="K431" s="51" t="n"/>
      <c r="L431" s="54">
        <f>IF(OR(A431="",C431="",D431=""),"",IF(COUNTIFS($A$5:$A$3004,A431,$C$5:$C$3004,"&lt;"&amp;D431,$D$5:$D$3004,"&gt;"&amp;C431)&gt;1,"⚠️ пересечение",""))</f>
        <v/>
      </c>
      <c r="M431" s="54">
        <f>IF(F431="","",IF(J431="✅ Сделано","✔ ",IF(J431="❌ Пропущено","✖ ","⏰ "))&amp;IF(C431="","",RIGHT("0"&amp;HOUR(C431),2)&amp;":"&amp;RIGHT("0"&amp;MINUTE(C431),2)&amp;IF(D431="","","–"&amp;RIGHT("0"&amp;HOUR(D431),2)&amp;":"&amp;RIGHT("0"&amp;MINUTE(D431),2))&amp;" ")&amp;F431)</f>
        <v/>
      </c>
      <c r="N431" s="54">
        <f>IF(OR(A431="",F431=""),"",A431&amp;"#"&amp;(COUNTIFS($A$5:$A$3004,A431,$F$5:$F$3004,"?*",$O$5:$O$3004,"&lt;"&amp;O431)+COUNTIFS($A$5:A431,A431,$F$5:F431,"?*",$O$5:O431,O431)))</f>
        <v/>
      </c>
      <c r="O431" s="54">
        <f>IF(A431="","",IF(C431="",0,C431))</f>
        <v/>
      </c>
    </row>
    <row r="432">
      <c r="A432" s="58" t="n"/>
      <c r="B432" s="49">
        <f>IF(A432="","",CHOOSE(WEEKDAY(A432,2),"Пн","Вт","Ср","Чт","Пт","Сб","Вс"))</f>
        <v/>
      </c>
      <c r="C432" s="59" t="n"/>
      <c r="D432" s="59" t="n"/>
      <c r="E432" s="60">
        <f>IF(OR(C432="",D432=""),"",MOD(D432-C432,1)*24)</f>
        <v/>
      </c>
      <c r="F432" s="50" t="n"/>
      <c r="G432" s="51" t="n"/>
      <c r="H432" s="51" t="n"/>
      <c r="I432" s="51" t="n"/>
      <c r="J432" s="51" t="n"/>
      <c r="K432" s="51" t="n"/>
      <c r="L432" s="54">
        <f>IF(OR(A432="",C432="",D432=""),"",IF(COUNTIFS($A$5:$A$3004,A432,$C$5:$C$3004,"&lt;"&amp;D432,$D$5:$D$3004,"&gt;"&amp;C432)&gt;1,"⚠️ пересечение",""))</f>
        <v/>
      </c>
      <c r="M432" s="54">
        <f>IF(F432="","",IF(J432="✅ Сделано","✔ ",IF(J432="❌ Пропущено","✖ ","⏰ "))&amp;IF(C432="","",RIGHT("0"&amp;HOUR(C432),2)&amp;":"&amp;RIGHT("0"&amp;MINUTE(C432),2)&amp;IF(D432="","","–"&amp;RIGHT("0"&amp;HOUR(D432),2)&amp;":"&amp;RIGHT("0"&amp;MINUTE(D432),2))&amp;" ")&amp;F432)</f>
        <v/>
      </c>
      <c r="N432" s="54">
        <f>IF(OR(A432="",F432=""),"",A432&amp;"#"&amp;(COUNTIFS($A$5:$A$3004,A432,$F$5:$F$3004,"?*",$O$5:$O$3004,"&lt;"&amp;O432)+COUNTIFS($A$5:A432,A432,$F$5:F432,"?*",$O$5:O432,O432)))</f>
        <v/>
      </c>
      <c r="O432" s="54">
        <f>IF(A432="","",IF(C432="",0,C432))</f>
        <v/>
      </c>
    </row>
    <row r="433">
      <c r="A433" s="58" t="n"/>
      <c r="B433" s="49">
        <f>IF(A433="","",CHOOSE(WEEKDAY(A433,2),"Пн","Вт","Ср","Чт","Пт","Сб","Вс"))</f>
        <v/>
      </c>
      <c r="C433" s="59" t="n"/>
      <c r="D433" s="59" t="n"/>
      <c r="E433" s="60">
        <f>IF(OR(C433="",D433=""),"",MOD(D433-C433,1)*24)</f>
        <v/>
      </c>
      <c r="F433" s="50" t="n"/>
      <c r="G433" s="51" t="n"/>
      <c r="H433" s="51" t="n"/>
      <c r="I433" s="51" t="n"/>
      <c r="J433" s="51" t="n"/>
      <c r="K433" s="51" t="n"/>
      <c r="L433" s="54">
        <f>IF(OR(A433="",C433="",D433=""),"",IF(COUNTIFS($A$5:$A$3004,A433,$C$5:$C$3004,"&lt;"&amp;D433,$D$5:$D$3004,"&gt;"&amp;C433)&gt;1,"⚠️ пересечение",""))</f>
        <v/>
      </c>
      <c r="M433" s="54">
        <f>IF(F433="","",IF(J433="✅ Сделано","✔ ",IF(J433="❌ Пропущено","✖ ","⏰ "))&amp;IF(C433="","",RIGHT("0"&amp;HOUR(C433),2)&amp;":"&amp;RIGHT("0"&amp;MINUTE(C433),2)&amp;IF(D433="","","–"&amp;RIGHT("0"&amp;HOUR(D433),2)&amp;":"&amp;RIGHT("0"&amp;MINUTE(D433),2))&amp;" ")&amp;F433)</f>
        <v/>
      </c>
      <c r="N433" s="54">
        <f>IF(OR(A433="",F433=""),"",A433&amp;"#"&amp;(COUNTIFS($A$5:$A$3004,A433,$F$5:$F$3004,"?*",$O$5:$O$3004,"&lt;"&amp;O433)+COUNTIFS($A$5:A433,A433,$F$5:F433,"?*",$O$5:O433,O433)))</f>
        <v/>
      </c>
      <c r="O433" s="54">
        <f>IF(A433="","",IF(C433="",0,C433))</f>
        <v/>
      </c>
    </row>
    <row r="434">
      <c r="A434" s="58" t="n"/>
      <c r="B434" s="49">
        <f>IF(A434="","",CHOOSE(WEEKDAY(A434,2),"Пн","Вт","Ср","Чт","Пт","Сб","Вс"))</f>
        <v/>
      </c>
      <c r="C434" s="59" t="n"/>
      <c r="D434" s="59" t="n"/>
      <c r="E434" s="60">
        <f>IF(OR(C434="",D434=""),"",MOD(D434-C434,1)*24)</f>
        <v/>
      </c>
      <c r="F434" s="50" t="n"/>
      <c r="G434" s="51" t="n"/>
      <c r="H434" s="51" t="n"/>
      <c r="I434" s="51" t="n"/>
      <c r="J434" s="51" t="n"/>
      <c r="K434" s="51" t="n"/>
      <c r="L434" s="54">
        <f>IF(OR(A434="",C434="",D434=""),"",IF(COUNTIFS($A$5:$A$3004,A434,$C$5:$C$3004,"&lt;"&amp;D434,$D$5:$D$3004,"&gt;"&amp;C434)&gt;1,"⚠️ пересечение",""))</f>
        <v/>
      </c>
      <c r="M434" s="54">
        <f>IF(F434="","",IF(J434="✅ Сделано","✔ ",IF(J434="❌ Пропущено","✖ ","⏰ "))&amp;IF(C434="","",RIGHT("0"&amp;HOUR(C434),2)&amp;":"&amp;RIGHT("0"&amp;MINUTE(C434),2)&amp;IF(D434="","","–"&amp;RIGHT("0"&amp;HOUR(D434),2)&amp;":"&amp;RIGHT("0"&amp;MINUTE(D434),2))&amp;" ")&amp;F434)</f>
        <v/>
      </c>
      <c r="N434" s="54">
        <f>IF(OR(A434="",F434=""),"",A434&amp;"#"&amp;(COUNTIFS($A$5:$A$3004,A434,$F$5:$F$3004,"?*",$O$5:$O$3004,"&lt;"&amp;O434)+COUNTIFS($A$5:A434,A434,$F$5:F434,"?*",$O$5:O434,O434)))</f>
        <v/>
      </c>
      <c r="O434" s="54">
        <f>IF(A434="","",IF(C434="",0,C434))</f>
        <v/>
      </c>
    </row>
    <row r="435">
      <c r="A435" s="58" t="n"/>
      <c r="B435" s="49">
        <f>IF(A435="","",CHOOSE(WEEKDAY(A435,2),"Пн","Вт","Ср","Чт","Пт","Сб","Вс"))</f>
        <v/>
      </c>
      <c r="C435" s="59" t="n"/>
      <c r="D435" s="59" t="n"/>
      <c r="E435" s="60">
        <f>IF(OR(C435="",D435=""),"",MOD(D435-C435,1)*24)</f>
        <v/>
      </c>
      <c r="F435" s="50" t="n"/>
      <c r="G435" s="51" t="n"/>
      <c r="H435" s="51" t="n"/>
      <c r="I435" s="51" t="n"/>
      <c r="J435" s="51" t="n"/>
      <c r="K435" s="51" t="n"/>
      <c r="L435" s="54">
        <f>IF(OR(A435="",C435="",D435=""),"",IF(COUNTIFS($A$5:$A$3004,A435,$C$5:$C$3004,"&lt;"&amp;D435,$D$5:$D$3004,"&gt;"&amp;C435)&gt;1,"⚠️ пересечение",""))</f>
        <v/>
      </c>
      <c r="M435" s="54">
        <f>IF(F435="","",IF(J435="✅ Сделано","✔ ",IF(J435="❌ Пропущено","✖ ","⏰ "))&amp;IF(C435="","",RIGHT("0"&amp;HOUR(C435),2)&amp;":"&amp;RIGHT("0"&amp;MINUTE(C435),2)&amp;IF(D435="","","–"&amp;RIGHT("0"&amp;HOUR(D435),2)&amp;":"&amp;RIGHT("0"&amp;MINUTE(D435),2))&amp;" ")&amp;F435)</f>
        <v/>
      </c>
      <c r="N435" s="54">
        <f>IF(OR(A435="",F435=""),"",A435&amp;"#"&amp;(COUNTIFS($A$5:$A$3004,A435,$F$5:$F$3004,"?*",$O$5:$O$3004,"&lt;"&amp;O435)+COUNTIFS($A$5:A435,A435,$F$5:F435,"?*",$O$5:O435,O435)))</f>
        <v/>
      </c>
      <c r="O435" s="54">
        <f>IF(A435="","",IF(C435="",0,C435))</f>
        <v/>
      </c>
    </row>
    <row r="436">
      <c r="A436" s="58" t="n"/>
      <c r="B436" s="49">
        <f>IF(A436="","",CHOOSE(WEEKDAY(A436,2),"Пн","Вт","Ср","Чт","Пт","Сб","Вс"))</f>
        <v/>
      </c>
      <c r="C436" s="59" t="n"/>
      <c r="D436" s="59" t="n"/>
      <c r="E436" s="60">
        <f>IF(OR(C436="",D436=""),"",MOD(D436-C436,1)*24)</f>
        <v/>
      </c>
      <c r="F436" s="50" t="n"/>
      <c r="G436" s="51" t="n"/>
      <c r="H436" s="51" t="n"/>
      <c r="I436" s="51" t="n"/>
      <c r="J436" s="51" t="n"/>
      <c r="K436" s="51" t="n"/>
      <c r="L436" s="54">
        <f>IF(OR(A436="",C436="",D436=""),"",IF(COUNTIFS($A$5:$A$3004,A436,$C$5:$C$3004,"&lt;"&amp;D436,$D$5:$D$3004,"&gt;"&amp;C436)&gt;1,"⚠️ пересечение",""))</f>
        <v/>
      </c>
      <c r="M436" s="54">
        <f>IF(F436="","",IF(J436="✅ Сделано","✔ ",IF(J436="❌ Пропущено","✖ ","⏰ "))&amp;IF(C436="","",RIGHT("0"&amp;HOUR(C436),2)&amp;":"&amp;RIGHT("0"&amp;MINUTE(C436),2)&amp;IF(D436="","","–"&amp;RIGHT("0"&amp;HOUR(D436),2)&amp;":"&amp;RIGHT("0"&amp;MINUTE(D436),2))&amp;" ")&amp;F436)</f>
        <v/>
      </c>
      <c r="N436" s="54">
        <f>IF(OR(A436="",F436=""),"",A436&amp;"#"&amp;(COUNTIFS($A$5:$A$3004,A436,$F$5:$F$3004,"?*",$O$5:$O$3004,"&lt;"&amp;O436)+COUNTIFS($A$5:A436,A436,$F$5:F436,"?*",$O$5:O436,O436)))</f>
        <v/>
      </c>
      <c r="O436" s="54">
        <f>IF(A436="","",IF(C436="",0,C436))</f>
        <v/>
      </c>
    </row>
    <row r="437">
      <c r="A437" s="58" t="n"/>
      <c r="B437" s="49">
        <f>IF(A437="","",CHOOSE(WEEKDAY(A437,2),"Пн","Вт","Ср","Чт","Пт","Сб","Вс"))</f>
        <v/>
      </c>
      <c r="C437" s="59" t="n"/>
      <c r="D437" s="59" t="n"/>
      <c r="E437" s="60">
        <f>IF(OR(C437="",D437=""),"",MOD(D437-C437,1)*24)</f>
        <v/>
      </c>
      <c r="F437" s="50" t="n"/>
      <c r="G437" s="51" t="n"/>
      <c r="H437" s="51" t="n"/>
      <c r="I437" s="51" t="n"/>
      <c r="J437" s="51" t="n"/>
      <c r="K437" s="51" t="n"/>
      <c r="L437" s="54">
        <f>IF(OR(A437="",C437="",D437=""),"",IF(COUNTIFS($A$5:$A$3004,A437,$C$5:$C$3004,"&lt;"&amp;D437,$D$5:$D$3004,"&gt;"&amp;C437)&gt;1,"⚠️ пересечение",""))</f>
        <v/>
      </c>
      <c r="M437" s="54">
        <f>IF(F437="","",IF(J437="✅ Сделано","✔ ",IF(J437="❌ Пропущено","✖ ","⏰ "))&amp;IF(C437="","",RIGHT("0"&amp;HOUR(C437),2)&amp;":"&amp;RIGHT("0"&amp;MINUTE(C437),2)&amp;IF(D437="","","–"&amp;RIGHT("0"&amp;HOUR(D437),2)&amp;":"&amp;RIGHT("0"&amp;MINUTE(D437),2))&amp;" ")&amp;F437)</f>
        <v/>
      </c>
      <c r="N437" s="54">
        <f>IF(OR(A437="",F437=""),"",A437&amp;"#"&amp;(COUNTIFS($A$5:$A$3004,A437,$F$5:$F$3004,"?*",$O$5:$O$3004,"&lt;"&amp;O437)+COUNTIFS($A$5:A437,A437,$F$5:F437,"?*",$O$5:O437,O437)))</f>
        <v/>
      </c>
      <c r="O437" s="54">
        <f>IF(A437="","",IF(C437="",0,C437))</f>
        <v/>
      </c>
    </row>
    <row r="438">
      <c r="A438" s="58" t="n"/>
      <c r="B438" s="49">
        <f>IF(A438="","",CHOOSE(WEEKDAY(A438,2),"Пн","Вт","Ср","Чт","Пт","Сб","Вс"))</f>
        <v/>
      </c>
      <c r="C438" s="59" t="n"/>
      <c r="D438" s="59" t="n"/>
      <c r="E438" s="60">
        <f>IF(OR(C438="",D438=""),"",MOD(D438-C438,1)*24)</f>
        <v/>
      </c>
      <c r="F438" s="50" t="n"/>
      <c r="G438" s="51" t="n"/>
      <c r="H438" s="51" t="n"/>
      <c r="I438" s="51" t="n"/>
      <c r="J438" s="51" t="n"/>
      <c r="K438" s="51" t="n"/>
      <c r="L438" s="54">
        <f>IF(OR(A438="",C438="",D438=""),"",IF(COUNTIFS($A$5:$A$3004,A438,$C$5:$C$3004,"&lt;"&amp;D438,$D$5:$D$3004,"&gt;"&amp;C438)&gt;1,"⚠️ пересечение",""))</f>
        <v/>
      </c>
      <c r="M438" s="54">
        <f>IF(F438="","",IF(J438="✅ Сделано","✔ ",IF(J438="❌ Пропущено","✖ ","⏰ "))&amp;IF(C438="","",RIGHT("0"&amp;HOUR(C438),2)&amp;":"&amp;RIGHT("0"&amp;MINUTE(C438),2)&amp;IF(D438="","","–"&amp;RIGHT("0"&amp;HOUR(D438),2)&amp;":"&amp;RIGHT("0"&amp;MINUTE(D438),2))&amp;" ")&amp;F438)</f>
        <v/>
      </c>
      <c r="N438" s="54">
        <f>IF(OR(A438="",F438=""),"",A438&amp;"#"&amp;(COUNTIFS($A$5:$A$3004,A438,$F$5:$F$3004,"?*",$O$5:$O$3004,"&lt;"&amp;O438)+COUNTIFS($A$5:A438,A438,$F$5:F438,"?*",$O$5:O438,O438)))</f>
        <v/>
      </c>
      <c r="O438" s="54">
        <f>IF(A438="","",IF(C438="",0,C438))</f>
        <v/>
      </c>
    </row>
    <row r="439">
      <c r="A439" s="58" t="n"/>
      <c r="B439" s="49">
        <f>IF(A439="","",CHOOSE(WEEKDAY(A439,2),"Пн","Вт","Ср","Чт","Пт","Сб","Вс"))</f>
        <v/>
      </c>
      <c r="C439" s="59" t="n"/>
      <c r="D439" s="59" t="n"/>
      <c r="E439" s="60">
        <f>IF(OR(C439="",D439=""),"",MOD(D439-C439,1)*24)</f>
        <v/>
      </c>
      <c r="F439" s="50" t="n"/>
      <c r="G439" s="51" t="n"/>
      <c r="H439" s="51" t="n"/>
      <c r="I439" s="51" t="n"/>
      <c r="J439" s="51" t="n"/>
      <c r="K439" s="51" t="n"/>
      <c r="L439" s="54">
        <f>IF(OR(A439="",C439="",D439=""),"",IF(COUNTIFS($A$5:$A$3004,A439,$C$5:$C$3004,"&lt;"&amp;D439,$D$5:$D$3004,"&gt;"&amp;C439)&gt;1,"⚠️ пересечение",""))</f>
        <v/>
      </c>
      <c r="M439" s="54">
        <f>IF(F439="","",IF(J439="✅ Сделано","✔ ",IF(J439="❌ Пропущено","✖ ","⏰ "))&amp;IF(C439="","",RIGHT("0"&amp;HOUR(C439),2)&amp;":"&amp;RIGHT("0"&amp;MINUTE(C439),2)&amp;IF(D439="","","–"&amp;RIGHT("0"&amp;HOUR(D439),2)&amp;":"&amp;RIGHT("0"&amp;MINUTE(D439),2))&amp;" ")&amp;F439)</f>
        <v/>
      </c>
      <c r="N439" s="54">
        <f>IF(OR(A439="",F439=""),"",A439&amp;"#"&amp;(COUNTIFS($A$5:$A$3004,A439,$F$5:$F$3004,"?*",$O$5:$O$3004,"&lt;"&amp;O439)+COUNTIFS($A$5:A439,A439,$F$5:F439,"?*",$O$5:O439,O439)))</f>
        <v/>
      </c>
      <c r="O439" s="54">
        <f>IF(A439="","",IF(C439="",0,C439))</f>
        <v/>
      </c>
    </row>
    <row r="440">
      <c r="A440" s="58" t="n"/>
      <c r="B440" s="49">
        <f>IF(A440="","",CHOOSE(WEEKDAY(A440,2),"Пн","Вт","Ср","Чт","Пт","Сб","Вс"))</f>
        <v/>
      </c>
      <c r="C440" s="59" t="n"/>
      <c r="D440" s="59" t="n"/>
      <c r="E440" s="60">
        <f>IF(OR(C440="",D440=""),"",MOD(D440-C440,1)*24)</f>
        <v/>
      </c>
      <c r="F440" s="50" t="n"/>
      <c r="G440" s="51" t="n"/>
      <c r="H440" s="51" t="n"/>
      <c r="I440" s="51" t="n"/>
      <c r="J440" s="51" t="n"/>
      <c r="K440" s="51" t="n"/>
      <c r="L440" s="54">
        <f>IF(OR(A440="",C440="",D440=""),"",IF(COUNTIFS($A$5:$A$3004,A440,$C$5:$C$3004,"&lt;"&amp;D440,$D$5:$D$3004,"&gt;"&amp;C440)&gt;1,"⚠️ пересечение",""))</f>
        <v/>
      </c>
      <c r="M440" s="54">
        <f>IF(F440="","",IF(J440="✅ Сделано","✔ ",IF(J440="❌ Пропущено","✖ ","⏰ "))&amp;IF(C440="","",RIGHT("0"&amp;HOUR(C440),2)&amp;":"&amp;RIGHT("0"&amp;MINUTE(C440),2)&amp;IF(D440="","","–"&amp;RIGHT("0"&amp;HOUR(D440),2)&amp;":"&amp;RIGHT("0"&amp;MINUTE(D440),2))&amp;" ")&amp;F440)</f>
        <v/>
      </c>
      <c r="N440" s="54">
        <f>IF(OR(A440="",F440=""),"",A440&amp;"#"&amp;(COUNTIFS($A$5:$A$3004,A440,$F$5:$F$3004,"?*",$O$5:$O$3004,"&lt;"&amp;O440)+COUNTIFS($A$5:A440,A440,$F$5:F440,"?*",$O$5:O440,O440)))</f>
        <v/>
      </c>
      <c r="O440" s="54">
        <f>IF(A440="","",IF(C440="",0,C440))</f>
        <v/>
      </c>
    </row>
    <row r="441">
      <c r="A441" s="58" t="n"/>
      <c r="B441" s="49">
        <f>IF(A441="","",CHOOSE(WEEKDAY(A441,2),"Пн","Вт","Ср","Чт","Пт","Сб","Вс"))</f>
        <v/>
      </c>
      <c r="C441" s="59" t="n"/>
      <c r="D441" s="59" t="n"/>
      <c r="E441" s="60">
        <f>IF(OR(C441="",D441=""),"",MOD(D441-C441,1)*24)</f>
        <v/>
      </c>
      <c r="F441" s="50" t="n"/>
      <c r="G441" s="51" t="n"/>
      <c r="H441" s="51" t="n"/>
      <c r="I441" s="51" t="n"/>
      <c r="J441" s="51" t="n"/>
      <c r="K441" s="51" t="n"/>
      <c r="L441" s="54">
        <f>IF(OR(A441="",C441="",D441=""),"",IF(COUNTIFS($A$5:$A$3004,A441,$C$5:$C$3004,"&lt;"&amp;D441,$D$5:$D$3004,"&gt;"&amp;C441)&gt;1,"⚠️ пересечение",""))</f>
        <v/>
      </c>
      <c r="M441" s="54">
        <f>IF(F441="","",IF(J441="✅ Сделано","✔ ",IF(J441="❌ Пропущено","✖ ","⏰ "))&amp;IF(C441="","",RIGHT("0"&amp;HOUR(C441),2)&amp;":"&amp;RIGHT("0"&amp;MINUTE(C441),2)&amp;IF(D441="","","–"&amp;RIGHT("0"&amp;HOUR(D441),2)&amp;":"&amp;RIGHT("0"&amp;MINUTE(D441),2))&amp;" ")&amp;F441)</f>
        <v/>
      </c>
      <c r="N441" s="54">
        <f>IF(OR(A441="",F441=""),"",A441&amp;"#"&amp;(COUNTIFS($A$5:$A$3004,A441,$F$5:$F$3004,"?*",$O$5:$O$3004,"&lt;"&amp;O441)+COUNTIFS($A$5:A441,A441,$F$5:F441,"?*",$O$5:O441,O441)))</f>
        <v/>
      </c>
      <c r="O441" s="54">
        <f>IF(A441="","",IF(C441="",0,C441))</f>
        <v/>
      </c>
    </row>
    <row r="442">
      <c r="A442" s="58" t="n"/>
      <c r="B442" s="49">
        <f>IF(A442="","",CHOOSE(WEEKDAY(A442,2),"Пн","Вт","Ср","Чт","Пт","Сб","Вс"))</f>
        <v/>
      </c>
      <c r="C442" s="59" t="n"/>
      <c r="D442" s="59" t="n"/>
      <c r="E442" s="60">
        <f>IF(OR(C442="",D442=""),"",MOD(D442-C442,1)*24)</f>
        <v/>
      </c>
      <c r="F442" s="50" t="n"/>
      <c r="G442" s="51" t="n"/>
      <c r="H442" s="51" t="n"/>
      <c r="I442" s="51" t="n"/>
      <c r="J442" s="51" t="n"/>
      <c r="K442" s="51" t="n"/>
      <c r="L442" s="54">
        <f>IF(OR(A442="",C442="",D442=""),"",IF(COUNTIFS($A$5:$A$3004,A442,$C$5:$C$3004,"&lt;"&amp;D442,$D$5:$D$3004,"&gt;"&amp;C442)&gt;1,"⚠️ пересечение",""))</f>
        <v/>
      </c>
      <c r="M442" s="54">
        <f>IF(F442="","",IF(J442="✅ Сделано","✔ ",IF(J442="❌ Пропущено","✖ ","⏰ "))&amp;IF(C442="","",RIGHT("0"&amp;HOUR(C442),2)&amp;":"&amp;RIGHT("0"&amp;MINUTE(C442),2)&amp;IF(D442="","","–"&amp;RIGHT("0"&amp;HOUR(D442),2)&amp;":"&amp;RIGHT("0"&amp;MINUTE(D442),2))&amp;" ")&amp;F442)</f>
        <v/>
      </c>
      <c r="N442" s="54">
        <f>IF(OR(A442="",F442=""),"",A442&amp;"#"&amp;(COUNTIFS($A$5:$A$3004,A442,$F$5:$F$3004,"?*",$O$5:$O$3004,"&lt;"&amp;O442)+COUNTIFS($A$5:A442,A442,$F$5:F442,"?*",$O$5:O442,O442)))</f>
        <v/>
      </c>
      <c r="O442" s="54">
        <f>IF(A442="","",IF(C442="",0,C442))</f>
        <v/>
      </c>
    </row>
    <row r="443">
      <c r="A443" s="58" t="n"/>
      <c r="B443" s="49">
        <f>IF(A443="","",CHOOSE(WEEKDAY(A443,2),"Пн","Вт","Ср","Чт","Пт","Сб","Вс"))</f>
        <v/>
      </c>
      <c r="C443" s="59" t="n"/>
      <c r="D443" s="59" t="n"/>
      <c r="E443" s="60">
        <f>IF(OR(C443="",D443=""),"",MOD(D443-C443,1)*24)</f>
        <v/>
      </c>
      <c r="F443" s="50" t="n"/>
      <c r="G443" s="51" t="n"/>
      <c r="H443" s="51" t="n"/>
      <c r="I443" s="51" t="n"/>
      <c r="J443" s="51" t="n"/>
      <c r="K443" s="51" t="n"/>
      <c r="L443" s="54">
        <f>IF(OR(A443="",C443="",D443=""),"",IF(COUNTIFS($A$5:$A$3004,A443,$C$5:$C$3004,"&lt;"&amp;D443,$D$5:$D$3004,"&gt;"&amp;C443)&gt;1,"⚠️ пересечение",""))</f>
        <v/>
      </c>
      <c r="M443" s="54">
        <f>IF(F443="","",IF(J443="✅ Сделано","✔ ",IF(J443="❌ Пропущено","✖ ","⏰ "))&amp;IF(C443="","",RIGHT("0"&amp;HOUR(C443),2)&amp;":"&amp;RIGHT("0"&amp;MINUTE(C443),2)&amp;IF(D443="","","–"&amp;RIGHT("0"&amp;HOUR(D443),2)&amp;":"&amp;RIGHT("0"&amp;MINUTE(D443),2))&amp;" ")&amp;F443)</f>
        <v/>
      </c>
      <c r="N443" s="54">
        <f>IF(OR(A443="",F443=""),"",A443&amp;"#"&amp;(COUNTIFS($A$5:$A$3004,A443,$F$5:$F$3004,"?*",$O$5:$O$3004,"&lt;"&amp;O443)+COUNTIFS($A$5:A443,A443,$F$5:F443,"?*",$O$5:O443,O443)))</f>
        <v/>
      </c>
      <c r="O443" s="54">
        <f>IF(A443="","",IF(C443="",0,C443))</f>
        <v/>
      </c>
    </row>
    <row r="444">
      <c r="A444" s="58" t="n"/>
      <c r="B444" s="49">
        <f>IF(A444="","",CHOOSE(WEEKDAY(A444,2),"Пн","Вт","Ср","Чт","Пт","Сб","Вс"))</f>
        <v/>
      </c>
      <c r="C444" s="59" t="n"/>
      <c r="D444" s="59" t="n"/>
      <c r="E444" s="60">
        <f>IF(OR(C444="",D444=""),"",MOD(D444-C444,1)*24)</f>
        <v/>
      </c>
      <c r="F444" s="50" t="n"/>
      <c r="G444" s="51" t="n"/>
      <c r="H444" s="51" t="n"/>
      <c r="I444" s="51" t="n"/>
      <c r="J444" s="51" t="n"/>
      <c r="K444" s="51" t="n"/>
      <c r="L444" s="54">
        <f>IF(OR(A444="",C444="",D444=""),"",IF(COUNTIFS($A$5:$A$3004,A444,$C$5:$C$3004,"&lt;"&amp;D444,$D$5:$D$3004,"&gt;"&amp;C444)&gt;1,"⚠️ пересечение",""))</f>
        <v/>
      </c>
      <c r="M444" s="54">
        <f>IF(F444="","",IF(J444="✅ Сделано","✔ ",IF(J444="❌ Пропущено","✖ ","⏰ "))&amp;IF(C444="","",RIGHT("0"&amp;HOUR(C444),2)&amp;":"&amp;RIGHT("0"&amp;MINUTE(C444),2)&amp;IF(D444="","","–"&amp;RIGHT("0"&amp;HOUR(D444),2)&amp;":"&amp;RIGHT("0"&amp;MINUTE(D444),2))&amp;" ")&amp;F444)</f>
        <v/>
      </c>
      <c r="N444" s="54">
        <f>IF(OR(A444="",F444=""),"",A444&amp;"#"&amp;(COUNTIFS($A$5:$A$3004,A444,$F$5:$F$3004,"?*",$O$5:$O$3004,"&lt;"&amp;O444)+COUNTIFS($A$5:A444,A444,$F$5:F444,"?*",$O$5:O444,O444)))</f>
        <v/>
      </c>
      <c r="O444" s="54">
        <f>IF(A444="","",IF(C444="",0,C444))</f>
        <v/>
      </c>
    </row>
    <row r="445">
      <c r="A445" s="58" t="n"/>
      <c r="B445" s="49">
        <f>IF(A445="","",CHOOSE(WEEKDAY(A445,2),"Пн","Вт","Ср","Чт","Пт","Сб","Вс"))</f>
        <v/>
      </c>
      <c r="C445" s="59" t="n"/>
      <c r="D445" s="59" t="n"/>
      <c r="E445" s="60">
        <f>IF(OR(C445="",D445=""),"",MOD(D445-C445,1)*24)</f>
        <v/>
      </c>
      <c r="F445" s="50" t="n"/>
      <c r="G445" s="51" t="n"/>
      <c r="H445" s="51" t="n"/>
      <c r="I445" s="51" t="n"/>
      <c r="J445" s="51" t="n"/>
      <c r="K445" s="51" t="n"/>
      <c r="L445" s="54">
        <f>IF(OR(A445="",C445="",D445=""),"",IF(COUNTIFS($A$5:$A$3004,A445,$C$5:$C$3004,"&lt;"&amp;D445,$D$5:$D$3004,"&gt;"&amp;C445)&gt;1,"⚠️ пересечение",""))</f>
        <v/>
      </c>
      <c r="M445" s="54">
        <f>IF(F445="","",IF(J445="✅ Сделано","✔ ",IF(J445="❌ Пропущено","✖ ","⏰ "))&amp;IF(C445="","",RIGHT("0"&amp;HOUR(C445),2)&amp;":"&amp;RIGHT("0"&amp;MINUTE(C445),2)&amp;IF(D445="","","–"&amp;RIGHT("0"&amp;HOUR(D445),2)&amp;":"&amp;RIGHT("0"&amp;MINUTE(D445),2))&amp;" ")&amp;F445)</f>
        <v/>
      </c>
      <c r="N445" s="54">
        <f>IF(OR(A445="",F445=""),"",A445&amp;"#"&amp;(COUNTIFS($A$5:$A$3004,A445,$F$5:$F$3004,"?*",$O$5:$O$3004,"&lt;"&amp;O445)+COUNTIFS($A$5:A445,A445,$F$5:F445,"?*",$O$5:O445,O445)))</f>
        <v/>
      </c>
      <c r="O445" s="54">
        <f>IF(A445="","",IF(C445="",0,C445))</f>
        <v/>
      </c>
    </row>
    <row r="446">
      <c r="A446" s="58" t="n"/>
      <c r="B446" s="49">
        <f>IF(A446="","",CHOOSE(WEEKDAY(A446,2),"Пн","Вт","Ср","Чт","Пт","Сб","Вс"))</f>
        <v/>
      </c>
      <c r="C446" s="59" t="n"/>
      <c r="D446" s="59" t="n"/>
      <c r="E446" s="60">
        <f>IF(OR(C446="",D446=""),"",MOD(D446-C446,1)*24)</f>
        <v/>
      </c>
      <c r="F446" s="50" t="n"/>
      <c r="G446" s="51" t="n"/>
      <c r="H446" s="51" t="n"/>
      <c r="I446" s="51" t="n"/>
      <c r="J446" s="51" t="n"/>
      <c r="K446" s="51" t="n"/>
      <c r="L446" s="54">
        <f>IF(OR(A446="",C446="",D446=""),"",IF(COUNTIFS($A$5:$A$3004,A446,$C$5:$C$3004,"&lt;"&amp;D446,$D$5:$D$3004,"&gt;"&amp;C446)&gt;1,"⚠️ пересечение",""))</f>
        <v/>
      </c>
      <c r="M446" s="54">
        <f>IF(F446="","",IF(J446="✅ Сделано","✔ ",IF(J446="❌ Пропущено","✖ ","⏰ "))&amp;IF(C446="","",RIGHT("0"&amp;HOUR(C446),2)&amp;":"&amp;RIGHT("0"&amp;MINUTE(C446),2)&amp;IF(D446="","","–"&amp;RIGHT("0"&amp;HOUR(D446),2)&amp;":"&amp;RIGHT("0"&amp;MINUTE(D446),2))&amp;" ")&amp;F446)</f>
        <v/>
      </c>
      <c r="N446" s="54">
        <f>IF(OR(A446="",F446=""),"",A446&amp;"#"&amp;(COUNTIFS($A$5:$A$3004,A446,$F$5:$F$3004,"?*",$O$5:$O$3004,"&lt;"&amp;O446)+COUNTIFS($A$5:A446,A446,$F$5:F446,"?*",$O$5:O446,O446)))</f>
        <v/>
      </c>
      <c r="O446" s="54">
        <f>IF(A446="","",IF(C446="",0,C446))</f>
        <v/>
      </c>
    </row>
    <row r="447">
      <c r="A447" s="58" t="n"/>
      <c r="B447" s="49">
        <f>IF(A447="","",CHOOSE(WEEKDAY(A447,2),"Пн","Вт","Ср","Чт","Пт","Сб","Вс"))</f>
        <v/>
      </c>
      <c r="C447" s="59" t="n"/>
      <c r="D447" s="59" t="n"/>
      <c r="E447" s="60">
        <f>IF(OR(C447="",D447=""),"",MOD(D447-C447,1)*24)</f>
        <v/>
      </c>
      <c r="F447" s="50" t="n"/>
      <c r="G447" s="51" t="n"/>
      <c r="H447" s="51" t="n"/>
      <c r="I447" s="51" t="n"/>
      <c r="J447" s="51" t="n"/>
      <c r="K447" s="51" t="n"/>
      <c r="L447" s="54">
        <f>IF(OR(A447="",C447="",D447=""),"",IF(COUNTIFS($A$5:$A$3004,A447,$C$5:$C$3004,"&lt;"&amp;D447,$D$5:$D$3004,"&gt;"&amp;C447)&gt;1,"⚠️ пересечение",""))</f>
        <v/>
      </c>
      <c r="M447" s="54">
        <f>IF(F447="","",IF(J447="✅ Сделано","✔ ",IF(J447="❌ Пропущено","✖ ","⏰ "))&amp;IF(C447="","",RIGHT("0"&amp;HOUR(C447),2)&amp;":"&amp;RIGHT("0"&amp;MINUTE(C447),2)&amp;IF(D447="","","–"&amp;RIGHT("0"&amp;HOUR(D447),2)&amp;":"&amp;RIGHT("0"&amp;MINUTE(D447),2))&amp;" ")&amp;F447)</f>
        <v/>
      </c>
      <c r="N447" s="54">
        <f>IF(OR(A447="",F447=""),"",A447&amp;"#"&amp;(COUNTIFS($A$5:$A$3004,A447,$F$5:$F$3004,"?*",$O$5:$O$3004,"&lt;"&amp;O447)+COUNTIFS($A$5:A447,A447,$F$5:F447,"?*",$O$5:O447,O447)))</f>
        <v/>
      </c>
      <c r="O447" s="54">
        <f>IF(A447="","",IF(C447="",0,C447))</f>
        <v/>
      </c>
    </row>
    <row r="448">
      <c r="A448" s="58" t="n"/>
      <c r="B448" s="49">
        <f>IF(A448="","",CHOOSE(WEEKDAY(A448,2),"Пн","Вт","Ср","Чт","Пт","Сб","Вс"))</f>
        <v/>
      </c>
      <c r="C448" s="59" t="n"/>
      <c r="D448" s="59" t="n"/>
      <c r="E448" s="60">
        <f>IF(OR(C448="",D448=""),"",MOD(D448-C448,1)*24)</f>
        <v/>
      </c>
      <c r="F448" s="50" t="n"/>
      <c r="G448" s="51" t="n"/>
      <c r="H448" s="51" t="n"/>
      <c r="I448" s="51" t="n"/>
      <c r="J448" s="51" t="n"/>
      <c r="K448" s="51" t="n"/>
      <c r="L448" s="54">
        <f>IF(OR(A448="",C448="",D448=""),"",IF(COUNTIFS($A$5:$A$3004,A448,$C$5:$C$3004,"&lt;"&amp;D448,$D$5:$D$3004,"&gt;"&amp;C448)&gt;1,"⚠️ пересечение",""))</f>
        <v/>
      </c>
      <c r="M448" s="54">
        <f>IF(F448="","",IF(J448="✅ Сделано","✔ ",IF(J448="❌ Пропущено","✖ ","⏰ "))&amp;IF(C448="","",RIGHT("0"&amp;HOUR(C448),2)&amp;":"&amp;RIGHT("0"&amp;MINUTE(C448),2)&amp;IF(D448="","","–"&amp;RIGHT("0"&amp;HOUR(D448),2)&amp;":"&amp;RIGHT("0"&amp;MINUTE(D448),2))&amp;" ")&amp;F448)</f>
        <v/>
      </c>
      <c r="N448" s="54">
        <f>IF(OR(A448="",F448=""),"",A448&amp;"#"&amp;(COUNTIFS($A$5:$A$3004,A448,$F$5:$F$3004,"?*",$O$5:$O$3004,"&lt;"&amp;O448)+COUNTIFS($A$5:A448,A448,$F$5:F448,"?*",$O$5:O448,O448)))</f>
        <v/>
      </c>
      <c r="O448" s="54">
        <f>IF(A448="","",IF(C448="",0,C448))</f>
        <v/>
      </c>
    </row>
    <row r="449">
      <c r="A449" s="58" t="n"/>
      <c r="B449" s="49">
        <f>IF(A449="","",CHOOSE(WEEKDAY(A449,2),"Пн","Вт","Ср","Чт","Пт","Сб","Вс"))</f>
        <v/>
      </c>
      <c r="C449" s="59" t="n"/>
      <c r="D449" s="59" t="n"/>
      <c r="E449" s="60">
        <f>IF(OR(C449="",D449=""),"",MOD(D449-C449,1)*24)</f>
        <v/>
      </c>
      <c r="F449" s="50" t="n"/>
      <c r="G449" s="51" t="n"/>
      <c r="H449" s="51" t="n"/>
      <c r="I449" s="51" t="n"/>
      <c r="J449" s="51" t="n"/>
      <c r="K449" s="51" t="n"/>
      <c r="L449" s="54">
        <f>IF(OR(A449="",C449="",D449=""),"",IF(COUNTIFS($A$5:$A$3004,A449,$C$5:$C$3004,"&lt;"&amp;D449,$D$5:$D$3004,"&gt;"&amp;C449)&gt;1,"⚠️ пересечение",""))</f>
        <v/>
      </c>
      <c r="M449" s="54">
        <f>IF(F449="","",IF(J449="✅ Сделано","✔ ",IF(J449="❌ Пропущено","✖ ","⏰ "))&amp;IF(C449="","",RIGHT("0"&amp;HOUR(C449),2)&amp;":"&amp;RIGHT("0"&amp;MINUTE(C449),2)&amp;IF(D449="","","–"&amp;RIGHT("0"&amp;HOUR(D449),2)&amp;":"&amp;RIGHT("0"&amp;MINUTE(D449),2))&amp;" ")&amp;F449)</f>
        <v/>
      </c>
      <c r="N449" s="54">
        <f>IF(OR(A449="",F449=""),"",A449&amp;"#"&amp;(COUNTIFS($A$5:$A$3004,A449,$F$5:$F$3004,"?*",$O$5:$O$3004,"&lt;"&amp;O449)+COUNTIFS($A$5:A449,A449,$F$5:F449,"?*",$O$5:O449,O449)))</f>
        <v/>
      </c>
      <c r="O449" s="54">
        <f>IF(A449="","",IF(C449="",0,C449))</f>
        <v/>
      </c>
    </row>
    <row r="450">
      <c r="A450" s="58" t="n"/>
      <c r="B450" s="49">
        <f>IF(A450="","",CHOOSE(WEEKDAY(A450,2),"Пн","Вт","Ср","Чт","Пт","Сб","Вс"))</f>
        <v/>
      </c>
      <c r="C450" s="59" t="n"/>
      <c r="D450" s="59" t="n"/>
      <c r="E450" s="60">
        <f>IF(OR(C450="",D450=""),"",MOD(D450-C450,1)*24)</f>
        <v/>
      </c>
      <c r="F450" s="50" t="n"/>
      <c r="G450" s="51" t="n"/>
      <c r="H450" s="51" t="n"/>
      <c r="I450" s="51" t="n"/>
      <c r="J450" s="51" t="n"/>
      <c r="K450" s="51" t="n"/>
      <c r="L450" s="54">
        <f>IF(OR(A450="",C450="",D450=""),"",IF(COUNTIFS($A$5:$A$3004,A450,$C$5:$C$3004,"&lt;"&amp;D450,$D$5:$D$3004,"&gt;"&amp;C450)&gt;1,"⚠️ пересечение",""))</f>
        <v/>
      </c>
      <c r="M450" s="54">
        <f>IF(F450="","",IF(J450="✅ Сделано","✔ ",IF(J450="❌ Пропущено","✖ ","⏰ "))&amp;IF(C450="","",RIGHT("0"&amp;HOUR(C450),2)&amp;":"&amp;RIGHT("0"&amp;MINUTE(C450),2)&amp;IF(D450="","","–"&amp;RIGHT("0"&amp;HOUR(D450),2)&amp;":"&amp;RIGHT("0"&amp;MINUTE(D450),2))&amp;" ")&amp;F450)</f>
        <v/>
      </c>
      <c r="N450" s="54">
        <f>IF(OR(A450="",F450=""),"",A450&amp;"#"&amp;(COUNTIFS($A$5:$A$3004,A450,$F$5:$F$3004,"?*",$O$5:$O$3004,"&lt;"&amp;O450)+COUNTIFS($A$5:A450,A450,$F$5:F450,"?*",$O$5:O450,O450)))</f>
        <v/>
      </c>
      <c r="O450" s="54">
        <f>IF(A450="","",IF(C450="",0,C450))</f>
        <v/>
      </c>
    </row>
    <row r="451">
      <c r="A451" s="58" t="n"/>
      <c r="B451" s="49">
        <f>IF(A451="","",CHOOSE(WEEKDAY(A451,2),"Пн","Вт","Ср","Чт","Пт","Сб","Вс"))</f>
        <v/>
      </c>
      <c r="C451" s="59" t="n"/>
      <c r="D451" s="59" t="n"/>
      <c r="E451" s="60">
        <f>IF(OR(C451="",D451=""),"",MOD(D451-C451,1)*24)</f>
        <v/>
      </c>
      <c r="F451" s="50" t="n"/>
      <c r="G451" s="51" t="n"/>
      <c r="H451" s="51" t="n"/>
      <c r="I451" s="51" t="n"/>
      <c r="J451" s="51" t="n"/>
      <c r="K451" s="51" t="n"/>
      <c r="L451" s="54">
        <f>IF(OR(A451="",C451="",D451=""),"",IF(COUNTIFS($A$5:$A$3004,A451,$C$5:$C$3004,"&lt;"&amp;D451,$D$5:$D$3004,"&gt;"&amp;C451)&gt;1,"⚠️ пересечение",""))</f>
        <v/>
      </c>
      <c r="M451" s="54">
        <f>IF(F451="","",IF(J451="✅ Сделано","✔ ",IF(J451="❌ Пропущено","✖ ","⏰ "))&amp;IF(C451="","",RIGHT("0"&amp;HOUR(C451),2)&amp;":"&amp;RIGHT("0"&amp;MINUTE(C451),2)&amp;IF(D451="","","–"&amp;RIGHT("0"&amp;HOUR(D451),2)&amp;":"&amp;RIGHT("0"&amp;MINUTE(D451),2))&amp;" ")&amp;F451)</f>
        <v/>
      </c>
      <c r="N451" s="54">
        <f>IF(OR(A451="",F451=""),"",A451&amp;"#"&amp;(COUNTIFS($A$5:$A$3004,A451,$F$5:$F$3004,"?*",$O$5:$O$3004,"&lt;"&amp;O451)+COUNTIFS($A$5:A451,A451,$F$5:F451,"?*",$O$5:O451,O451)))</f>
        <v/>
      </c>
      <c r="O451" s="54">
        <f>IF(A451="","",IF(C451="",0,C451))</f>
        <v/>
      </c>
    </row>
    <row r="452">
      <c r="A452" s="58" t="n"/>
      <c r="B452" s="49">
        <f>IF(A452="","",CHOOSE(WEEKDAY(A452,2),"Пн","Вт","Ср","Чт","Пт","Сб","Вс"))</f>
        <v/>
      </c>
      <c r="C452" s="59" t="n"/>
      <c r="D452" s="59" t="n"/>
      <c r="E452" s="60">
        <f>IF(OR(C452="",D452=""),"",MOD(D452-C452,1)*24)</f>
        <v/>
      </c>
      <c r="F452" s="50" t="n"/>
      <c r="G452" s="51" t="n"/>
      <c r="H452" s="51" t="n"/>
      <c r="I452" s="51" t="n"/>
      <c r="J452" s="51" t="n"/>
      <c r="K452" s="51" t="n"/>
      <c r="L452" s="54">
        <f>IF(OR(A452="",C452="",D452=""),"",IF(COUNTIFS($A$5:$A$3004,A452,$C$5:$C$3004,"&lt;"&amp;D452,$D$5:$D$3004,"&gt;"&amp;C452)&gt;1,"⚠️ пересечение",""))</f>
        <v/>
      </c>
      <c r="M452" s="54">
        <f>IF(F452="","",IF(J452="✅ Сделано","✔ ",IF(J452="❌ Пропущено","✖ ","⏰ "))&amp;IF(C452="","",RIGHT("0"&amp;HOUR(C452),2)&amp;":"&amp;RIGHT("0"&amp;MINUTE(C452),2)&amp;IF(D452="","","–"&amp;RIGHT("0"&amp;HOUR(D452),2)&amp;":"&amp;RIGHT("0"&amp;MINUTE(D452),2))&amp;" ")&amp;F452)</f>
        <v/>
      </c>
      <c r="N452" s="54">
        <f>IF(OR(A452="",F452=""),"",A452&amp;"#"&amp;(COUNTIFS($A$5:$A$3004,A452,$F$5:$F$3004,"?*",$O$5:$O$3004,"&lt;"&amp;O452)+COUNTIFS($A$5:A452,A452,$F$5:F452,"?*",$O$5:O452,O452)))</f>
        <v/>
      </c>
      <c r="O452" s="54">
        <f>IF(A452="","",IF(C452="",0,C452))</f>
        <v/>
      </c>
    </row>
    <row r="453">
      <c r="A453" s="58" t="n"/>
      <c r="B453" s="49">
        <f>IF(A453="","",CHOOSE(WEEKDAY(A453,2),"Пн","Вт","Ср","Чт","Пт","Сб","Вс"))</f>
        <v/>
      </c>
      <c r="C453" s="59" t="n"/>
      <c r="D453" s="59" t="n"/>
      <c r="E453" s="60">
        <f>IF(OR(C453="",D453=""),"",MOD(D453-C453,1)*24)</f>
        <v/>
      </c>
      <c r="F453" s="50" t="n"/>
      <c r="G453" s="51" t="n"/>
      <c r="H453" s="51" t="n"/>
      <c r="I453" s="51" t="n"/>
      <c r="J453" s="51" t="n"/>
      <c r="K453" s="51" t="n"/>
      <c r="L453" s="54">
        <f>IF(OR(A453="",C453="",D453=""),"",IF(COUNTIFS($A$5:$A$3004,A453,$C$5:$C$3004,"&lt;"&amp;D453,$D$5:$D$3004,"&gt;"&amp;C453)&gt;1,"⚠️ пересечение",""))</f>
        <v/>
      </c>
      <c r="M453" s="54">
        <f>IF(F453="","",IF(J453="✅ Сделано","✔ ",IF(J453="❌ Пропущено","✖ ","⏰ "))&amp;IF(C453="","",RIGHT("0"&amp;HOUR(C453),2)&amp;":"&amp;RIGHT("0"&amp;MINUTE(C453),2)&amp;IF(D453="","","–"&amp;RIGHT("0"&amp;HOUR(D453),2)&amp;":"&amp;RIGHT("0"&amp;MINUTE(D453),2))&amp;" ")&amp;F453)</f>
        <v/>
      </c>
      <c r="N453" s="54">
        <f>IF(OR(A453="",F453=""),"",A453&amp;"#"&amp;(COUNTIFS($A$5:$A$3004,A453,$F$5:$F$3004,"?*",$O$5:$O$3004,"&lt;"&amp;O453)+COUNTIFS($A$5:A453,A453,$F$5:F453,"?*",$O$5:O453,O453)))</f>
        <v/>
      </c>
      <c r="O453" s="54">
        <f>IF(A453="","",IF(C453="",0,C453))</f>
        <v/>
      </c>
    </row>
    <row r="454">
      <c r="A454" s="58" t="n"/>
      <c r="B454" s="49">
        <f>IF(A454="","",CHOOSE(WEEKDAY(A454,2),"Пн","Вт","Ср","Чт","Пт","Сб","Вс"))</f>
        <v/>
      </c>
      <c r="C454" s="59" t="n"/>
      <c r="D454" s="59" t="n"/>
      <c r="E454" s="60">
        <f>IF(OR(C454="",D454=""),"",MOD(D454-C454,1)*24)</f>
        <v/>
      </c>
      <c r="F454" s="50" t="n"/>
      <c r="G454" s="51" t="n"/>
      <c r="H454" s="51" t="n"/>
      <c r="I454" s="51" t="n"/>
      <c r="J454" s="51" t="n"/>
      <c r="K454" s="51" t="n"/>
      <c r="L454" s="54">
        <f>IF(OR(A454="",C454="",D454=""),"",IF(COUNTIFS($A$5:$A$3004,A454,$C$5:$C$3004,"&lt;"&amp;D454,$D$5:$D$3004,"&gt;"&amp;C454)&gt;1,"⚠️ пересечение",""))</f>
        <v/>
      </c>
      <c r="M454" s="54">
        <f>IF(F454="","",IF(J454="✅ Сделано","✔ ",IF(J454="❌ Пропущено","✖ ","⏰ "))&amp;IF(C454="","",RIGHT("0"&amp;HOUR(C454),2)&amp;":"&amp;RIGHT("0"&amp;MINUTE(C454),2)&amp;IF(D454="","","–"&amp;RIGHT("0"&amp;HOUR(D454),2)&amp;":"&amp;RIGHT("0"&amp;MINUTE(D454),2))&amp;" ")&amp;F454)</f>
        <v/>
      </c>
      <c r="N454" s="54">
        <f>IF(OR(A454="",F454=""),"",A454&amp;"#"&amp;(COUNTIFS($A$5:$A$3004,A454,$F$5:$F$3004,"?*",$O$5:$O$3004,"&lt;"&amp;O454)+COUNTIFS($A$5:A454,A454,$F$5:F454,"?*",$O$5:O454,O454)))</f>
        <v/>
      </c>
      <c r="O454" s="54">
        <f>IF(A454="","",IF(C454="",0,C454))</f>
        <v/>
      </c>
    </row>
    <row r="455">
      <c r="A455" s="58" t="n"/>
      <c r="B455" s="49">
        <f>IF(A455="","",CHOOSE(WEEKDAY(A455,2),"Пн","Вт","Ср","Чт","Пт","Сб","Вс"))</f>
        <v/>
      </c>
      <c r="C455" s="59" t="n"/>
      <c r="D455" s="59" t="n"/>
      <c r="E455" s="60">
        <f>IF(OR(C455="",D455=""),"",MOD(D455-C455,1)*24)</f>
        <v/>
      </c>
      <c r="F455" s="50" t="n"/>
      <c r="G455" s="51" t="n"/>
      <c r="H455" s="51" t="n"/>
      <c r="I455" s="51" t="n"/>
      <c r="J455" s="51" t="n"/>
      <c r="K455" s="51" t="n"/>
      <c r="L455" s="54">
        <f>IF(OR(A455="",C455="",D455=""),"",IF(COUNTIFS($A$5:$A$3004,A455,$C$5:$C$3004,"&lt;"&amp;D455,$D$5:$D$3004,"&gt;"&amp;C455)&gt;1,"⚠️ пересечение",""))</f>
        <v/>
      </c>
      <c r="M455" s="54">
        <f>IF(F455="","",IF(J455="✅ Сделано","✔ ",IF(J455="❌ Пропущено","✖ ","⏰ "))&amp;IF(C455="","",RIGHT("0"&amp;HOUR(C455),2)&amp;":"&amp;RIGHT("0"&amp;MINUTE(C455),2)&amp;IF(D455="","","–"&amp;RIGHT("0"&amp;HOUR(D455),2)&amp;":"&amp;RIGHT("0"&amp;MINUTE(D455),2))&amp;" ")&amp;F455)</f>
        <v/>
      </c>
      <c r="N455" s="54">
        <f>IF(OR(A455="",F455=""),"",A455&amp;"#"&amp;(COUNTIFS($A$5:$A$3004,A455,$F$5:$F$3004,"?*",$O$5:$O$3004,"&lt;"&amp;O455)+COUNTIFS($A$5:A455,A455,$F$5:F455,"?*",$O$5:O455,O455)))</f>
        <v/>
      </c>
      <c r="O455" s="54">
        <f>IF(A455="","",IF(C455="",0,C455))</f>
        <v/>
      </c>
    </row>
    <row r="456">
      <c r="A456" s="58" t="n"/>
      <c r="B456" s="49">
        <f>IF(A456="","",CHOOSE(WEEKDAY(A456,2),"Пн","Вт","Ср","Чт","Пт","Сб","Вс"))</f>
        <v/>
      </c>
      <c r="C456" s="59" t="n"/>
      <c r="D456" s="59" t="n"/>
      <c r="E456" s="60">
        <f>IF(OR(C456="",D456=""),"",MOD(D456-C456,1)*24)</f>
        <v/>
      </c>
      <c r="F456" s="50" t="n"/>
      <c r="G456" s="51" t="n"/>
      <c r="H456" s="51" t="n"/>
      <c r="I456" s="51" t="n"/>
      <c r="J456" s="51" t="n"/>
      <c r="K456" s="51" t="n"/>
      <c r="L456" s="54">
        <f>IF(OR(A456="",C456="",D456=""),"",IF(COUNTIFS($A$5:$A$3004,A456,$C$5:$C$3004,"&lt;"&amp;D456,$D$5:$D$3004,"&gt;"&amp;C456)&gt;1,"⚠️ пересечение",""))</f>
        <v/>
      </c>
      <c r="M456" s="54">
        <f>IF(F456="","",IF(J456="✅ Сделано","✔ ",IF(J456="❌ Пропущено","✖ ","⏰ "))&amp;IF(C456="","",RIGHT("0"&amp;HOUR(C456),2)&amp;":"&amp;RIGHT("0"&amp;MINUTE(C456),2)&amp;IF(D456="","","–"&amp;RIGHT("0"&amp;HOUR(D456),2)&amp;":"&amp;RIGHT("0"&amp;MINUTE(D456),2))&amp;" ")&amp;F456)</f>
        <v/>
      </c>
      <c r="N456" s="54">
        <f>IF(OR(A456="",F456=""),"",A456&amp;"#"&amp;(COUNTIFS($A$5:$A$3004,A456,$F$5:$F$3004,"?*",$O$5:$O$3004,"&lt;"&amp;O456)+COUNTIFS($A$5:A456,A456,$F$5:F456,"?*",$O$5:O456,O456)))</f>
        <v/>
      </c>
      <c r="O456" s="54">
        <f>IF(A456="","",IF(C456="",0,C456))</f>
        <v/>
      </c>
    </row>
    <row r="457">
      <c r="A457" s="58" t="n"/>
      <c r="B457" s="49">
        <f>IF(A457="","",CHOOSE(WEEKDAY(A457,2),"Пн","Вт","Ср","Чт","Пт","Сб","Вс"))</f>
        <v/>
      </c>
      <c r="C457" s="59" t="n"/>
      <c r="D457" s="59" t="n"/>
      <c r="E457" s="60">
        <f>IF(OR(C457="",D457=""),"",MOD(D457-C457,1)*24)</f>
        <v/>
      </c>
      <c r="F457" s="50" t="n"/>
      <c r="G457" s="51" t="n"/>
      <c r="H457" s="51" t="n"/>
      <c r="I457" s="51" t="n"/>
      <c r="J457" s="51" t="n"/>
      <c r="K457" s="51" t="n"/>
      <c r="L457" s="54">
        <f>IF(OR(A457="",C457="",D457=""),"",IF(COUNTIFS($A$5:$A$3004,A457,$C$5:$C$3004,"&lt;"&amp;D457,$D$5:$D$3004,"&gt;"&amp;C457)&gt;1,"⚠️ пересечение",""))</f>
        <v/>
      </c>
      <c r="M457" s="54">
        <f>IF(F457="","",IF(J457="✅ Сделано","✔ ",IF(J457="❌ Пропущено","✖ ","⏰ "))&amp;IF(C457="","",RIGHT("0"&amp;HOUR(C457),2)&amp;":"&amp;RIGHT("0"&amp;MINUTE(C457),2)&amp;IF(D457="","","–"&amp;RIGHT("0"&amp;HOUR(D457),2)&amp;":"&amp;RIGHT("0"&amp;MINUTE(D457),2))&amp;" ")&amp;F457)</f>
        <v/>
      </c>
      <c r="N457" s="54">
        <f>IF(OR(A457="",F457=""),"",A457&amp;"#"&amp;(COUNTIFS($A$5:$A$3004,A457,$F$5:$F$3004,"?*",$O$5:$O$3004,"&lt;"&amp;O457)+COUNTIFS($A$5:A457,A457,$F$5:F457,"?*",$O$5:O457,O457)))</f>
        <v/>
      </c>
      <c r="O457" s="54">
        <f>IF(A457="","",IF(C457="",0,C457))</f>
        <v/>
      </c>
    </row>
    <row r="458">
      <c r="A458" s="58" t="n"/>
      <c r="B458" s="49">
        <f>IF(A458="","",CHOOSE(WEEKDAY(A458,2),"Пн","Вт","Ср","Чт","Пт","Сб","Вс"))</f>
        <v/>
      </c>
      <c r="C458" s="59" t="n"/>
      <c r="D458" s="59" t="n"/>
      <c r="E458" s="60">
        <f>IF(OR(C458="",D458=""),"",MOD(D458-C458,1)*24)</f>
        <v/>
      </c>
      <c r="F458" s="50" t="n"/>
      <c r="G458" s="51" t="n"/>
      <c r="H458" s="51" t="n"/>
      <c r="I458" s="51" t="n"/>
      <c r="J458" s="51" t="n"/>
      <c r="K458" s="51" t="n"/>
      <c r="L458" s="54">
        <f>IF(OR(A458="",C458="",D458=""),"",IF(COUNTIFS($A$5:$A$3004,A458,$C$5:$C$3004,"&lt;"&amp;D458,$D$5:$D$3004,"&gt;"&amp;C458)&gt;1,"⚠️ пересечение",""))</f>
        <v/>
      </c>
      <c r="M458" s="54">
        <f>IF(F458="","",IF(J458="✅ Сделано","✔ ",IF(J458="❌ Пропущено","✖ ","⏰ "))&amp;IF(C458="","",RIGHT("0"&amp;HOUR(C458),2)&amp;":"&amp;RIGHT("0"&amp;MINUTE(C458),2)&amp;IF(D458="","","–"&amp;RIGHT("0"&amp;HOUR(D458),2)&amp;":"&amp;RIGHT("0"&amp;MINUTE(D458),2))&amp;" ")&amp;F458)</f>
        <v/>
      </c>
      <c r="N458" s="54">
        <f>IF(OR(A458="",F458=""),"",A458&amp;"#"&amp;(COUNTIFS($A$5:$A$3004,A458,$F$5:$F$3004,"?*",$O$5:$O$3004,"&lt;"&amp;O458)+COUNTIFS($A$5:A458,A458,$F$5:F458,"?*",$O$5:O458,O458)))</f>
        <v/>
      </c>
      <c r="O458" s="54">
        <f>IF(A458="","",IF(C458="",0,C458))</f>
        <v/>
      </c>
    </row>
    <row r="459">
      <c r="A459" s="58" t="n"/>
      <c r="B459" s="49">
        <f>IF(A459="","",CHOOSE(WEEKDAY(A459,2),"Пн","Вт","Ср","Чт","Пт","Сб","Вс"))</f>
        <v/>
      </c>
      <c r="C459" s="59" t="n"/>
      <c r="D459" s="59" t="n"/>
      <c r="E459" s="60">
        <f>IF(OR(C459="",D459=""),"",MOD(D459-C459,1)*24)</f>
        <v/>
      </c>
      <c r="F459" s="50" t="n"/>
      <c r="G459" s="51" t="n"/>
      <c r="H459" s="51" t="n"/>
      <c r="I459" s="51" t="n"/>
      <c r="J459" s="51" t="n"/>
      <c r="K459" s="51" t="n"/>
      <c r="L459" s="54">
        <f>IF(OR(A459="",C459="",D459=""),"",IF(COUNTIFS($A$5:$A$3004,A459,$C$5:$C$3004,"&lt;"&amp;D459,$D$5:$D$3004,"&gt;"&amp;C459)&gt;1,"⚠️ пересечение",""))</f>
        <v/>
      </c>
      <c r="M459" s="54">
        <f>IF(F459="","",IF(J459="✅ Сделано","✔ ",IF(J459="❌ Пропущено","✖ ","⏰ "))&amp;IF(C459="","",RIGHT("0"&amp;HOUR(C459),2)&amp;":"&amp;RIGHT("0"&amp;MINUTE(C459),2)&amp;IF(D459="","","–"&amp;RIGHT("0"&amp;HOUR(D459),2)&amp;":"&amp;RIGHT("0"&amp;MINUTE(D459),2))&amp;" ")&amp;F459)</f>
        <v/>
      </c>
      <c r="N459" s="54">
        <f>IF(OR(A459="",F459=""),"",A459&amp;"#"&amp;(COUNTIFS($A$5:$A$3004,A459,$F$5:$F$3004,"?*",$O$5:$O$3004,"&lt;"&amp;O459)+COUNTIFS($A$5:A459,A459,$F$5:F459,"?*",$O$5:O459,O459)))</f>
        <v/>
      </c>
      <c r="O459" s="54">
        <f>IF(A459="","",IF(C459="",0,C459))</f>
        <v/>
      </c>
    </row>
    <row r="460">
      <c r="A460" s="58" t="n"/>
      <c r="B460" s="49">
        <f>IF(A460="","",CHOOSE(WEEKDAY(A460,2),"Пн","Вт","Ср","Чт","Пт","Сб","Вс"))</f>
        <v/>
      </c>
      <c r="C460" s="59" t="n"/>
      <c r="D460" s="59" t="n"/>
      <c r="E460" s="60">
        <f>IF(OR(C460="",D460=""),"",MOD(D460-C460,1)*24)</f>
        <v/>
      </c>
      <c r="F460" s="50" t="n"/>
      <c r="G460" s="51" t="n"/>
      <c r="H460" s="51" t="n"/>
      <c r="I460" s="51" t="n"/>
      <c r="J460" s="51" t="n"/>
      <c r="K460" s="51" t="n"/>
      <c r="L460" s="54">
        <f>IF(OR(A460="",C460="",D460=""),"",IF(COUNTIFS($A$5:$A$3004,A460,$C$5:$C$3004,"&lt;"&amp;D460,$D$5:$D$3004,"&gt;"&amp;C460)&gt;1,"⚠️ пересечение",""))</f>
        <v/>
      </c>
      <c r="M460" s="54">
        <f>IF(F460="","",IF(J460="✅ Сделано","✔ ",IF(J460="❌ Пропущено","✖ ","⏰ "))&amp;IF(C460="","",RIGHT("0"&amp;HOUR(C460),2)&amp;":"&amp;RIGHT("0"&amp;MINUTE(C460),2)&amp;IF(D460="","","–"&amp;RIGHT("0"&amp;HOUR(D460),2)&amp;":"&amp;RIGHT("0"&amp;MINUTE(D460),2))&amp;" ")&amp;F460)</f>
        <v/>
      </c>
      <c r="N460" s="54">
        <f>IF(OR(A460="",F460=""),"",A460&amp;"#"&amp;(COUNTIFS($A$5:$A$3004,A460,$F$5:$F$3004,"?*",$O$5:$O$3004,"&lt;"&amp;O460)+COUNTIFS($A$5:A460,A460,$F$5:F460,"?*",$O$5:O460,O460)))</f>
        <v/>
      </c>
      <c r="O460" s="54">
        <f>IF(A460="","",IF(C460="",0,C460))</f>
        <v/>
      </c>
    </row>
    <row r="461">
      <c r="A461" s="58" t="n"/>
      <c r="B461" s="49">
        <f>IF(A461="","",CHOOSE(WEEKDAY(A461,2),"Пн","Вт","Ср","Чт","Пт","Сб","Вс"))</f>
        <v/>
      </c>
      <c r="C461" s="59" t="n"/>
      <c r="D461" s="59" t="n"/>
      <c r="E461" s="60">
        <f>IF(OR(C461="",D461=""),"",MOD(D461-C461,1)*24)</f>
        <v/>
      </c>
      <c r="F461" s="50" t="n"/>
      <c r="G461" s="51" t="n"/>
      <c r="H461" s="51" t="n"/>
      <c r="I461" s="51" t="n"/>
      <c r="J461" s="51" t="n"/>
      <c r="K461" s="51" t="n"/>
      <c r="L461" s="54">
        <f>IF(OR(A461="",C461="",D461=""),"",IF(COUNTIFS($A$5:$A$3004,A461,$C$5:$C$3004,"&lt;"&amp;D461,$D$5:$D$3004,"&gt;"&amp;C461)&gt;1,"⚠️ пересечение",""))</f>
        <v/>
      </c>
      <c r="M461" s="54">
        <f>IF(F461="","",IF(J461="✅ Сделано","✔ ",IF(J461="❌ Пропущено","✖ ","⏰ "))&amp;IF(C461="","",RIGHT("0"&amp;HOUR(C461),2)&amp;":"&amp;RIGHT("0"&amp;MINUTE(C461),2)&amp;IF(D461="","","–"&amp;RIGHT("0"&amp;HOUR(D461),2)&amp;":"&amp;RIGHT("0"&amp;MINUTE(D461),2))&amp;" ")&amp;F461)</f>
        <v/>
      </c>
      <c r="N461" s="54">
        <f>IF(OR(A461="",F461=""),"",A461&amp;"#"&amp;(COUNTIFS($A$5:$A$3004,A461,$F$5:$F$3004,"?*",$O$5:$O$3004,"&lt;"&amp;O461)+COUNTIFS($A$5:A461,A461,$F$5:F461,"?*",$O$5:O461,O461)))</f>
        <v/>
      </c>
      <c r="O461" s="54">
        <f>IF(A461="","",IF(C461="",0,C461))</f>
        <v/>
      </c>
    </row>
    <row r="462">
      <c r="A462" s="58" t="n"/>
      <c r="B462" s="49">
        <f>IF(A462="","",CHOOSE(WEEKDAY(A462,2),"Пн","Вт","Ср","Чт","Пт","Сб","Вс"))</f>
        <v/>
      </c>
      <c r="C462" s="59" t="n"/>
      <c r="D462" s="59" t="n"/>
      <c r="E462" s="60">
        <f>IF(OR(C462="",D462=""),"",MOD(D462-C462,1)*24)</f>
        <v/>
      </c>
      <c r="F462" s="50" t="n"/>
      <c r="G462" s="51" t="n"/>
      <c r="H462" s="51" t="n"/>
      <c r="I462" s="51" t="n"/>
      <c r="J462" s="51" t="n"/>
      <c r="K462" s="51" t="n"/>
      <c r="L462" s="54">
        <f>IF(OR(A462="",C462="",D462=""),"",IF(COUNTIFS($A$5:$A$3004,A462,$C$5:$C$3004,"&lt;"&amp;D462,$D$5:$D$3004,"&gt;"&amp;C462)&gt;1,"⚠️ пересечение",""))</f>
        <v/>
      </c>
      <c r="M462" s="54">
        <f>IF(F462="","",IF(J462="✅ Сделано","✔ ",IF(J462="❌ Пропущено","✖ ","⏰ "))&amp;IF(C462="","",RIGHT("0"&amp;HOUR(C462),2)&amp;":"&amp;RIGHT("0"&amp;MINUTE(C462),2)&amp;IF(D462="","","–"&amp;RIGHT("0"&amp;HOUR(D462),2)&amp;":"&amp;RIGHT("0"&amp;MINUTE(D462),2))&amp;" ")&amp;F462)</f>
        <v/>
      </c>
      <c r="N462" s="54">
        <f>IF(OR(A462="",F462=""),"",A462&amp;"#"&amp;(COUNTIFS($A$5:$A$3004,A462,$F$5:$F$3004,"?*",$O$5:$O$3004,"&lt;"&amp;O462)+COUNTIFS($A$5:A462,A462,$F$5:F462,"?*",$O$5:O462,O462)))</f>
        <v/>
      </c>
      <c r="O462" s="54">
        <f>IF(A462="","",IF(C462="",0,C462))</f>
        <v/>
      </c>
    </row>
    <row r="463">
      <c r="A463" s="58" t="n"/>
      <c r="B463" s="49">
        <f>IF(A463="","",CHOOSE(WEEKDAY(A463,2),"Пн","Вт","Ср","Чт","Пт","Сб","Вс"))</f>
        <v/>
      </c>
      <c r="C463" s="59" t="n"/>
      <c r="D463" s="59" t="n"/>
      <c r="E463" s="60">
        <f>IF(OR(C463="",D463=""),"",MOD(D463-C463,1)*24)</f>
        <v/>
      </c>
      <c r="F463" s="50" t="n"/>
      <c r="G463" s="51" t="n"/>
      <c r="H463" s="51" t="n"/>
      <c r="I463" s="51" t="n"/>
      <c r="J463" s="51" t="n"/>
      <c r="K463" s="51" t="n"/>
      <c r="L463" s="54">
        <f>IF(OR(A463="",C463="",D463=""),"",IF(COUNTIFS($A$5:$A$3004,A463,$C$5:$C$3004,"&lt;"&amp;D463,$D$5:$D$3004,"&gt;"&amp;C463)&gt;1,"⚠️ пересечение",""))</f>
        <v/>
      </c>
      <c r="M463" s="54">
        <f>IF(F463="","",IF(J463="✅ Сделано","✔ ",IF(J463="❌ Пропущено","✖ ","⏰ "))&amp;IF(C463="","",RIGHT("0"&amp;HOUR(C463),2)&amp;":"&amp;RIGHT("0"&amp;MINUTE(C463),2)&amp;IF(D463="","","–"&amp;RIGHT("0"&amp;HOUR(D463),2)&amp;":"&amp;RIGHT("0"&amp;MINUTE(D463),2))&amp;" ")&amp;F463)</f>
        <v/>
      </c>
      <c r="N463" s="54">
        <f>IF(OR(A463="",F463=""),"",A463&amp;"#"&amp;(COUNTIFS($A$5:$A$3004,A463,$F$5:$F$3004,"?*",$O$5:$O$3004,"&lt;"&amp;O463)+COUNTIFS($A$5:A463,A463,$F$5:F463,"?*",$O$5:O463,O463)))</f>
        <v/>
      </c>
      <c r="O463" s="54">
        <f>IF(A463="","",IF(C463="",0,C463))</f>
        <v/>
      </c>
    </row>
    <row r="464">
      <c r="A464" s="58" t="n"/>
      <c r="B464" s="49">
        <f>IF(A464="","",CHOOSE(WEEKDAY(A464,2),"Пн","Вт","Ср","Чт","Пт","Сб","Вс"))</f>
        <v/>
      </c>
      <c r="C464" s="59" t="n"/>
      <c r="D464" s="59" t="n"/>
      <c r="E464" s="60">
        <f>IF(OR(C464="",D464=""),"",MOD(D464-C464,1)*24)</f>
        <v/>
      </c>
      <c r="F464" s="50" t="n"/>
      <c r="G464" s="51" t="n"/>
      <c r="H464" s="51" t="n"/>
      <c r="I464" s="51" t="n"/>
      <c r="J464" s="51" t="n"/>
      <c r="K464" s="51" t="n"/>
      <c r="L464" s="54">
        <f>IF(OR(A464="",C464="",D464=""),"",IF(COUNTIFS($A$5:$A$3004,A464,$C$5:$C$3004,"&lt;"&amp;D464,$D$5:$D$3004,"&gt;"&amp;C464)&gt;1,"⚠️ пересечение",""))</f>
        <v/>
      </c>
      <c r="M464" s="54">
        <f>IF(F464="","",IF(J464="✅ Сделано","✔ ",IF(J464="❌ Пропущено","✖ ","⏰ "))&amp;IF(C464="","",RIGHT("0"&amp;HOUR(C464),2)&amp;":"&amp;RIGHT("0"&amp;MINUTE(C464),2)&amp;IF(D464="","","–"&amp;RIGHT("0"&amp;HOUR(D464),2)&amp;":"&amp;RIGHT("0"&amp;MINUTE(D464),2))&amp;" ")&amp;F464)</f>
        <v/>
      </c>
      <c r="N464" s="54">
        <f>IF(OR(A464="",F464=""),"",A464&amp;"#"&amp;(COUNTIFS($A$5:$A$3004,A464,$F$5:$F$3004,"?*",$O$5:$O$3004,"&lt;"&amp;O464)+COUNTIFS($A$5:A464,A464,$F$5:F464,"?*",$O$5:O464,O464)))</f>
        <v/>
      </c>
      <c r="O464" s="54">
        <f>IF(A464="","",IF(C464="",0,C464))</f>
        <v/>
      </c>
    </row>
    <row r="465">
      <c r="A465" s="58" t="n"/>
      <c r="B465" s="49">
        <f>IF(A465="","",CHOOSE(WEEKDAY(A465,2),"Пн","Вт","Ср","Чт","Пт","Сб","Вс"))</f>
        <v/>
      </c>
      <c r="C465" s="59" t="n"/>
      <c r="D465" s="59" t="n"/>
      <c r="E465" s="60">
        <f>IF(OR(C465="",D465=""),"",MOD(D465-C465,1)*24)</f>
        <v/>
      </c>
      <c r="F465" s="50" t="n"/>
      <c r="G465" s="51" t="n"/>
      <c r="H465" s="51" t="n"/>
      <c r="I465" s="51" t="n"/>
      <c r="J465" s="51" t="n"/>
      <c r="K465" s="51" t="n"/>
      <c r="L465" s="54">
        <f>IF(OR(A465="",C465="",D465=""),"",IF(COUNTIFS($A$5:$A$3004,A465,$C$5:$C$3004,"&lt;"&amp;D465,$D$5:$D$3004,"&gt;"&amp;C465)&gt;1,"⚠️ пересечение",""))</f>
        <v/>
      </c>
      <c r="M465" s="54">
        <f>IF(F465="","",IF(J465="✅ Сделано","✔ ",IF(J465="❌ Пропущено","✖ ","⏰ "))&amp;IF(C465="","",RIGHT("0"&amp;HOUR(C465),2)&amp;":"&amp;RIGHT("0"&amp;MINUTE(C465),2)&amp;IF(D465="","","–"&amp;RIGHT("0"&amp;HOUR(D465),2)&amp;":"&amp;RIGHT("0"&amp;MINUTE(D465),2))&amp;" ")&amp;F465)</f>
        <v/>
      </c>
      <c r="N465" s="54">
        <f>IF(OR(A465="",F465=""),"",A465&amp;"#"&amp;(COUNTIFS($A$5:$A$3004,A465,$F$5:$F$3004,"?*",$O$5:$O$3004,"&lt;"&amp;O465)+COUNTIFS($A$5:A465,A465,$F$5:F465,"?*",$O$5:O465,O465)))</f>
        <v/>
      </c>
      <c r="O465" s="54">
        <f>IF(A465="","",IF(C465="",0,C465))</f>
        <v/>
      </c>
    </row>
    <row r="466">
      <c r="A466" s="58" t="n"/>
      <c r="B466" s="49">
        <f>IF(A466="","",CHOOSE(WEEKDAY(A466,2),"Пн","Вт","Ср","Чт","Пт","Сб","Вс"))</f>
        <v/>
      </c>
      <c r="C466" s="59" t="n"/>
      <c r="D466" s="59" t="n"/>
      <c r="E466" s="60">
        <f>IF(OR(C466="",D466=""),"",MOD(D466-C466,1)*24)</f>
        <v/>
      </c>
      <c r="F466" s="50" t="n"/>
      <c r="G466" s="51" t="n"/>
      <c r="H466" s="51" t="n"/>
      <c r="I466" s="51" t="n"/>
      <c r="J466" s="51" t="n"/>
      <c r="K466" s="51" t="n"/>
      <c r="L466" s="54">
        <f>IF(OR(A466="",C466="",D466=""),"",IF(COUNTIFS($A$5:$A$3004,A466,$C$5:$C$3004,"&lt;"&amp;D466,$D$5:$D$3004,"&gt;"&amp;C466)&gt;1,"⚠️ пересечение",""))</f>
        <v/>
      </c>
      <c r="M466" s="54">
        <f>IF(F466="","",IF(J466="✅ Сделано","✔ ",IF(J466="❌ Пропущено","✖ ","⏰ "))&amp;IF(C466="","",RIGHT("0"&amp;HOUR(C466),2)&amp;":"&amp;RIGHT("0"&amp;MINUTE(C466),2)&amp;IF(D466="","","–"&amp;RIGHT("0"&amp;HOUR(D466),2)&amp;":"&amp;RIGHT("0"&amp;MINUTE(D466),2))&amp;" ")&amp;F466)</f>
        <v/>
      </c>
      <c r="N466" s="54">
        <f>IF(OR(A466="",F466=""),"",A466&amp;"#"&amp;(COUNTIFS($A$5:$A$3004,A466,$F$5:$F$3004,"?*",$O$5:$O$3004,"&lt;"&amp;O466)+COUNTIFS($A$5:A466,A466,$F$5:F466,"?*",$O$5:O466,O466)))</f>
        <v/>
      </c>
      <c r="O466" s="54">
        <f>IF(A466="","",IF(C466="",0,C466))</f>
        <v/>
      </c>
    </row>
    <row r="467">
      <c r="A467" s="58" t="n"/>
      <c r="B467" s="49">
        <f>IF(A467="","",CHOOSE(WEEKDAY(A467,2),"Пн","Вт","Ср","Чт","Пт","Сб","Вс"))</f>
        <v/>
      </c>
      <c r="C467" s="59" t="n"/>
      <c r="D467" s="59" t="n"/>
      <c r="E467" s="60">
        <f>IF(OR(C467="",D467=""),"",MOD(D467-C467,1)*24)</f>
        <v/>
      </c>
      <c r="F467" s="50" t="n"/>
      <c r="G467" s="51" t="n"/>
      <c r="H467" s="51" t="n"/>
      <c r="I467" s="51" t="n"/>
      <c r="J467" s="51" t="n"/>
      <c r="K467" s="51" t="n"/>
      <c r="L467" s="54">
        <f>IF(OR(A467="",C467="",D467=""),"",IF(COUNTIFS($A$5:$A$3004,A467,$C$5:$C$3004,"&lt;"&amp;D467,$D$5:$D$3004,"&gt;"&amp;C467)&gt;1,"⚠️ пересечение",""))</f>
        <v/>
      </c>
      <c r="M467" s="54">
        <f>IF(F467="","",IF(J467="✅ Сделано","✔ ",IF(J467="❌ Пропущено","✖ ","⏰ "))&amp;IF(C467="","",RIGHT("0"&amp;HOUR(C467),2)&amp;":"&amp;RIGHT("0"&amp;MINUTE(C467),2)&amp;IF(D467="","","–"&amp;RIGHT("0"&amp;HOUR(D467),2)&amp;":"&amp;RIGHT("0"&amp;MINUTE(D467),2))&amp;" ")&amp;F467)</f>
        <v/>
      </c>
      <c r="N467" s="54">
        <f>IF(OR(A467="",F467=""),"",A467&amp;"#"&amp;(COUNTIFS($A$5:$A$3004,A467,$F$5:$F$3004,"?*",$O$5:$O$3004,"&lt;"&amp;O467)+COUNTIFS($A$5:A467,A467,$F$5:F467,"?*",$O$5:O467,O467)))</f>
        <v/>
      </c>
      <c r="O467" s="54">
        <f>IF(A467="","",IF(C467="",0,C467))</f>
        <v/>
      </c>
    </row>
    <row r="468">
      <c r="A468" s="58" t="n"/>
      <c r="B468" s="49">
        <f>IF(A468="","",CHOOSE(WEEKDAY(A468,2),"Пн","Вт","Ср","Чт","Пт","Сб","Вс"))</f>
        <v/>
      </c>
      <c r="C468" s="59" t="n"/>
      <c r="D468" s="59" t="n"/>
      <c r="E468" s="60">
        <f>IF(OR(C468="",D468=""),"",MOD(D468-C468,1)*24)</f>
        <v/>
      </c>
      <c r="F468" s="50" t="n"/>
      <c r="G468" s="51" t="n"/>
      <c r="H468" s="51" t="n"/>
      <c r="I468" s="51" t="n"/>
      <c r="J468" s="51" t="n"/>
      <c r="K468" s="51" t="n"/>
      <c r="L468" s="54">
        <f>IF(OR(A468="",C468="",D468=""),"",IF(COUNTIFS($A$5:$A$3004,A468,$C$5:$C$3004,"&lt;"&amp;D468,$D$5:$D$3004,"&gt;"&amp;C468)&gt;1,"⚠️ пересечение",""))</f>
        <v/>
      </c>
      <c r="M468" s="54">
        <f>IF(F468="","",IF(J468="✅ Сделано","✔ ",IF(J468="❌ Пропущено","✖ ","⏰ "))&amp;IF(C468="","",RIGHT("0"&amp;HOUR(C468),2)&amp;":"&amp;RIGHT("0"&amp;MINUTE(C468),2)&amp;IF(D468="","","–"&amp;RIGHT("0"&amp;HOUR(D468),2)&amp;":"&amp;RIGHT("0"&amp;MINUTE(D468),2))&amp;" ")&amp;F468)</f>
        <v/>
      </c>
      <c r="N468" s="54">
        <f>IF(OR(A468="",F468=""),"",A468&amp;"#"&amp;(COUNTIFS($A$5:$A$3004,A468,$F$5:$F$3004,"?*",$O$5:$O$3004,"&lt;"&amp;O468)+COUNTIFS($A$5:A468,A468,$F$5:F468,"?*",$O$5:O468,O468)))</f>
        <v/>
      </c>
      <c r="O468" s="54">
        <f>IF(A468="","",IF(C468="",0,C468))</f>
        <v/>
      </c>
    </row>
    <row r="469">
      <c r="A469" s="58" t="n"/>
      <c r="B469" s="49">
        <f>IF(A469="","",CHOOSE(WEEKDAY(A469,2),"Пн","Вт","Ср","Чт","Пт","Сб","Вс"))</f>
        <v/>
      </c>
      <c r="C469" s="59" t="n"/>
      <c r="D469" s="59" t="n"/>
      <c r="E469" s="60">
        <f>IF(OR(C469="",D469=""),"",MOD(D469-C469,1)*24)</f>
        <v/>
      </c>
      <c r="F469" s="50" t="n"/>
      <c r="G469" s="51" t="n"/>
      <c r="H469" s="51" t="n"/>
      <c r="I469" s="51" t="n"/>
      <c r="J469" s="51" t="n"/>
      <c r="K469" s="51" t="n"/>
      <c r="L469" s="54">
        <f>IF(OR(A469="",C469="",D469=""),"",IF(COUNTIFS($A$5:$A$3004,A469,$C$5:$C$3004,"&lt;"&amp;D469,$D$5:$D$3004,"&gt;"&amp;C469)&gt;1,"⚠️ пересечение",""))</f>
        <v/>
      </c>
      <c r="M469" s="54">
        <f>IF(F469="","",IF(J469="✅ Сделано","✔ ",IF(J469="❌ Пропущено","✖ ","⏰ "))&amp;IF(C469="","",RIGHT("0"&amp;HOUR(C469),2)&amp;":"&amp;RIGHT("0"&amp;MINUTE(C469),2)&amp;IF(D469="","","–"&amp;RIGHT("0"&amp;HOUR(D469),2)&amp;":"&amp;RIGHT("0"&amp;MINUTE(D469),2))&amp;" ")&amp;F469)</f>
        <v/>
      </c>
      <c r="N469" s="54">
        <f>IF(OR(A469="",F469=""),"",A469&amp;"#"&amp;(COUNTIFS($A$5:$A$3004,A469,$F$5:$F$3004,"?*",$O$5:$O$3004,"&lt;"&amp;O469)+COUNTIFS($A$5:A469,A469,$F$5:F469,"?*",$O$5:O469,O469)))</f>
        <v/>
      </c>
      <c r="O469" s="54">
        <f>IF(A469="","",IF(C469="",0,C469))</f>
        <v/>
      </c>
    </row>
    <row r="470">
      <c r="A470" s="58" t="n"/>
      <c r="B470" s="49">
        <f>IF(A470="","",CHOOSE(WEEKDAY(A470,2),"Пн","Вт","Ср","Чт","Пт","Сб","Вс"))</f>
        <v/>
      </c>
      <c r="C470" s="59" t="n"/>
      <c r="D470" s="59" t="n"/>
      <c r="E470" s="60">
        <f>IF(OR(C470="",D470=""),"",MOD(D470-C470,1)*24)</f>
        <v/>
      </c>
      <c r="F470" s="50" t="n"/>
      <c r="G470" s="51" t="n"/>
      <c r="H470" s="51" t="n"/>
      <c r="I470" s="51" t="n"/>
      <c r="J470" s="51" t="n"/>
      <c r="K470" s="51" t="n"/>
      <c r="L470" s="54">
        <f>IF(OR(A470="",C470="",D470=""),"",IF(COUNTIFS($A$5:$A$3004,A470,$C$5:$C$3004,"&lt;"&amp;D470,$D$5:$D$3004,"&gt;"&amp;C470)&gt;1,"⚠️ пересечение",""))</f>
        <v/>
      </c>
      <c r="M470" s="54">
        <f>IF(F470="","",IF(J470="✅ Сделано","✔ ",IF(J470="❌ Пропущено","✖ ","⏰ "))&amp;IF(C470="","",RIGHT("0"&amp;HOUR(C470),2)&amp;":"&amp;RIGHT("0"&amp;MINUTE(C470),2)&amp;IF(D470="","","–"&amp;RIGHT("0"&amp;HOUR(D470),2)&amp;":"&amp;RIGHT("0"&amp;MINUTE(D470),2))&amp;" ")&amp;F470)</f>
        <v/>
      </c>
      <c r="N470" s="54">
        <f>IF(OR(A470="",F470=""),"",A470&amp;"#"&amp;(COUNTIFS($A$5:$A$3004,A470,$F$5:$F$3004,"?*",$O$5:$O$3004,"&lt;"&amp;O470)+COUNTIFS($A$5:A470,A470,$F$5:F470,"?*",$O$5:O470,O470)))</f>
        <v/>
      </c>
      <c r="O470" s="54">
        <f>IF(A470="","",IF(C470="",0,C470))</f>
        <v/>
      </c>
    </row>
    <row r="471">
      <c r="A471" s="58" t="n"/>
      <c r="B471" s="49">
        <f>IF(A471="","",CHOOSE(WEEKDAY(A471,2),"Пн","Вт","Ср","Чт","Пт","Сб","Вс"))</f>
        <v/>
      </c>
      <c r="C471" s="59" t="n"/>
      <c r="D471" s="59" t="n"/>
      <c r="E471" s="60">
        <f>IF(OR(C471="",D471=""),"",MOD(D471-C471,1)*24)</f>
        <v/>
      </c>
      <c r="F471" s="50" t="n"/>
      <c r="G471" s="51" t="n"/>
      <c r="H471" s="51" t="n"/>
      <c r="I471" s="51" t="n"/>
      <c r="J471" s="51" t="n"/>
      <c r="K471" s="51" t="n"/>
      <c r="L471" s="54">
        <f>IF(OR(A471="",C471="",D471=""),"",IF(COUNTIFS($A$5:$A$3004,A471,$C$5:$C$3004,"&lt;"&amp;D471,$D$5:$D$3004,"&gt;"&amp;C471)&gt;1,"⚠️ пересечение",""))</f>
        <v/>
      </c>
      <c r="M471" s="54">
        <f>IF(F471="","",IF(J471="✅ Сделано","✔ ",IF(J471="❌ Пропущено","✖ ","⏰ "))&amp;IF(C471="","",RIGHT("0"&amp;HOUR(C471),2)&amp;":"&amp;RIGHT("0"&amp;MINUTE(C471),2)&amp;IF(D471="","","–"&amp;RIGHT("0"&amp;HOUR(D471),2)&amp;":"&amp;RIGHT("0"&amp;MINUTE(D471),2))&amp;" ")&amp;F471)</f>
        <v/>
      </c>
      <c r="N471" s="54">
        <f>IF(OR(A471="",F471=""),"",A471&amp;"#"&amp;(COUNTIFS($A$5:$A$3004,A471,$F$5:$F$3004,"?*",$O$5:$O$3004,"&lt;"&amp;O471)+COUNTIFS($A$5:A471,A471,$F$5:F471,"?*",$O$5:O471,O471)))</f>
        <v/>
      </c>
      <c r="O471" s="54">
        <f>IF(A471="","",IF(C471="",0,C471))</f>
        <v/>
      </c>
    </row>
    <row r="472">
      <c r="A472" s="58" t="n"/>
      <c r="B472" s="49">
        <f>IF(A472="","",CHOOSE(WEEKDAY(A472,2),"Пн","Вт","Ср","Чт","Пт","Сб","Вс"))</f>
        <v/>
      </c>
      <c r="C472" s="59" t="n"/>
      <c r="D472" s="59" t="n"/>
      <c r="E472" s="60">
        <f>IF(OR(C472="",D472=""),"",MOD(D472-C472,1)*24)</f>
        <v/>
      </c>
      <c r="F472" s="50" t="n"/>
      <c r="G472" s="51" t="n"/>
      <c r="H472" s="51" t="n"/>
      <c r="I472" s="51" t="n"/>
      <c r="J472" s="51" t="n"/>
      <c r="K472" s="51" t="n"/>
      <c r="L472" s="54">
        <f>IF(OR(A472="",C472="",D472=""),"",IF(COUNTIFS($A$5:$A$3004,A472,$C$5:$C$3004,"&lt;"&amp;D472,$D$5:$D$3004,"&gt;"&amp;C472)&gt;1,"⚠️ пересечение",""))</f>
        <v/>
      </c>
      <c r="M472" s="54">
        <f>IF(F472="","",IF(J472="✅ Сделано","✔ ",IF(J472="❌ Пропущено","✖ ","⏰ "))&amp;IF(C472="","",RIGHT("0"&amp;HOUR(C472),2)&amp;":"&amp;RIGHT("0"&amp;MINUTE(C472),2)&amp;IF(D472="","","–"&amp;RIGHT("0"&amp;HOUR(D472),2)&amp;":"&amp;RIGHT("0"&amp;MINUTE(D472),2))&amp;" ")&amp;F472)</f>
        <v/>
      </c>
      <c r="N472" s="54">
        <f>IF(OR(A472="",F472=""),"",A472&amp;"#"&amp;(COUNTIFS($A$5:$A$3004,A472,$F$5:$F$3004,"?*",$O$5:$O$3004,"&lt;"&amp;O472)+COUNTIFS($A$5:A472,A472,$F$5:F472,"?*",$O$5:O472,O472)))</f>
        <v/>
      </c>
      <c r="O472" s="54">
        <f>IF(A472="","",IF(C472="",0,C472))</f>
        <v/>
      </c>
    </row>
    <row r="473">
      <c r="A473" s="58" t="n"/>
      <c r="B473" s="49">
        <f>IF(A473="","",CHOOSE(WEEKDAY(A473,2),"Пн","Вт","Ср","Чт","Пт","Сб","Вс"))</f>
        <v/>
      </c>
      <c r="C473" s="59" t="n"/>
      <c r="D473" s="59" t="n"/>
      <c r="E473" s="60">
        <f>IF(OR(C473="",D473=""),"",MOD(D473-C473,1)*24)</f>
        <v/>
      </c>
      <c r="F473" s="50" t="n"/>
      <c r="G473" s="51" t="n"/>
      <c r="H473" s="51" t="n"/>
      <c r="I473" s="51" t="n"/>
      <c r="J473" s="51" t="n"/>
      <c r="K473" s="51" t="n"/>
      <c r="L473" s="54">
        <f>IF(OR(A473="",C473="",D473=""),"",IF(COUNTIFS($A$5:$A$3004,A473,$C$5:$C$3004,"&lt;"&amp;D473,$D$5:$D$3004,"&gt;"&amp;C473)&gt;1,"⚠️ пересечение",""))</f>
        <v/>
      </c>
      <c r="M473" s="54">
        <f>IF(F473="","",IF(J473="✅ Сделано","✔ ",IF(J473="❌ Пропущено","✖ ","⏰ "))&amp;IF(C473="","",RIGHT("0"&amp;HOUR(C473),2)&amp;":"&amp;RIGHT("0"&amp;MINUTE(C473),2)&amp;IF(D473="","","–"&amp;RIGHT("0"&amp;HOUR(D473),2)&amp;":"&amp;RIGHT("0"&amp;MINUTE(D473),2))&amp;" ")&amp;F473)</f>
        <v/>
      </c>
      <c r="N473" s="54">
        <f>IF(OR(A473="",F473=""),"",A473&amp;"#"&amp;(COUNTIFS($A$5:$A$3004,A473,$F$5:$F$3004,"?*",$O$5:$O$3004,"&lt;"&amp;O473)+COUNTIFS($A$5:A473,A473,$F$5:F473,"?*",$O$5:O473,O473)))</f>
        <v/>
      </c>
      <c r="O473" s="54">
        <f>IF(A473="","",IF(C473="",0,C473))</f>
        <v/>
      </c>
    </row>
    <row r="474">
      <c r="A474" s="58" t="n"/>
      <c r="B474" s="49">
        <f>IF(A474="","",CHOOSE(WEEKDAY(A474,2),"Пн","Вт","Ср","Чт","Пт","Сб","Вс"))</f>
        <v/>
      </c>
      <c r="C474" s="59" t="n"/>
      <c r="D474" s="59" t="n"/>
      <c r="E474" s="60">
        <f>IF(OR(C474="",D474=""),"",MOD(D474-C474,1)*24)</f>
        <v/>
      </c>
      <c r="F474" s="50" t="n"/>
      <c r="G474" s="51" t="n"/>
      <c r="H474" s="51" t="n"/>
      <c r="I474" s="51" t="n"/>
      <c r="J474" s="51" t="n"/>
      <c r="K474" s="51" t="n"/>
      <c r="L474" s="54">
        <f>IF(OR(A474="",C474="",D474=""),"",IF(COUNTIFS($A$5:$A$3004,A474,$C$5:$C$3004,"&lt;"&amp;D474,$D$5:$D$3004,"&gt;"&amp;C474)&gt;1,"⚠️ пересечение",""))</f>
        <v/>
      </c>
      <c r="M474" s="54">
        <f>IF(F474="","",IF(J474="✅ Сделано","✔ ",IF(J474="❌ Пропущено","✖ ","⏰ "))&amp;IF(C474="","",RIGHT("0"&amp;HOUR(C474),2)&amp;":"&amp;RIGHT("0"&amp;MINUTE(C474),2)&amp;IF(D474="","","–"&amp;RIGHT("0"&amp;HOUR(D474),2)&amp;":"&amp;RIGHT("0"&amp;MINUTE(D474),2))&amp;" ")&amp;F474)</f>
        <v/>
      </c>
      <c r="N474" s="54">
        <f>IF(OR(A474="",F474=""),"",A474&amp;"#"&amp;(COUNTIFS($A$5:$A$3004,A474,$F$5:$F$3004,"?*",$O$5:$O$3004,"&lt;"&amp;O474)+COUNTIFS($A$5:A474,A474,$F$5:F474,"?*",$O$5:O474,O474)))</f>
        <v/>
      </c>
      <c r="O474" s="54">
        <f>IF(A474="","",IF(C474="",0,C474))</f>
        <v/>
      </c>
    </row>
    <row r="475">
      <c r="A475" s="58" t="n"/>
      <c r="B475" s="49">
        <f>IF(A475="","",CHOOSE(WEEKDAY(A475,2),"Пн","Вт","Ср","Чт","Пт","Сб","Вс"))</f>
        <v/>
      </c>
      <c r="C475" s="59" t="n"/>
      <c r="D475" s="59" t="n"/>
      <c r="E475" s="60">
        <f>IF(OR(C475="",D475=""),"",MOD(D475-C475,1)*24)</f>
        <v/>
      </c>
      <c r="F475" s="50" t="n"/>
      <c r="G475" s="51" t="n"/>
      <c r="H475" s="51" t="n"/>
      <c r="I475" s="51" t="n"/>
      <c r="J475" s="51" t="n"/>
      <c r="K475" s="51" t="n"/>
      <c r="L475" s="54">
        <f>IF(OR(A475="",C475="",D475=""),"",IF(COUNTIFS($A$5:$A$3004,A475,$C$5:$C$3004,"&lt;"&amp;D475,$D$5:$D$3004,"&gt;"&amp;C475)&gt;1,"⚠️ пересечение",""))</f>
        <v/>
      </c>
      <c r="M475" s="54">
        <f>IF(F475="","",IF(J475="✅ Сделано","✔ ",IF(J475="❌ Пропущено","✖ ","⏰ "))&amp;IF(C475="","",RIGHT("0"&amp;HOUR(C475),2)&amp;":"&amp;RIGHT("0"&amp;MINUTE(C475),2)&amp;IF(D475="","","–"&amp;RIGHT("0"&amp;HOUR(D475),2)&amp;":"&amp;RIGHT("0"&amp;MINUTE(D475),2))&amp;" ")&amp;F475)</f>
        <v/>
      </c>
      <c r="N475" s="54">
        <f>IF(OR(A475="",F475=""),"",A475&amp;"#"&amp;(COUNTIFS($A$5:$A$3004,A475,$F$5:$F$3004,"?*",$O$5:$O$3004,"&lt;"&amp;O475)+COUNTIFS($A$5:A475,A475,$F$5:F475,"?*",$O$5:O475,O475)))</f>
        <v/>
      </c>
      <c r="O475" s="54">
        <f>IF(A475="","",IF(C475="",0,C475))</f>
        <v/>
      </c>
    </row>
    <row r="476">
      <c r="A476" s="58" t="n"/>
      <c r="B476" s="49">
        <f>IF(A476="","",CHOOSE(WEEKDAY(A476,2),"Пн","Вт","Ср","Чт","Пт","Сб","Вс"))</f>
        <v/>
      </c>
      <c r="C476" s="59" t="n"/>
      <c r="D476" s="59" t="n"/>
      <c r="E476" s="60">
        <f>IF(OR(C476="",D476=""),"",MOD(D476-C476,1)*24)</f>
        <v/>
      </c>
      <c r="F476" s="50" t="n"/>
      <c r="G476" s="51" t="n"/>
      <c r="H476" s="51" t="n"/>
      <c r="I476" s="51" t="n"/>
      <c r="J476" s="51" t="n"/>
      <c r="K476" s="51" t="n"/>
      <c r="L476" s="54">
        <f>IF(OR(A476="",C476="",D476=""),"",IF(COUNTIFS($A$5:$A$3004,A476,$C$5:$C$3004,"&lt;"&amp;D476,$D$5:$D$3004,"&gt;"&amp;C476)&gt;1,"⚠️ пересечение",""))</f>
        <v/>
      </c>
      <c r="M476" s="54">
        <f>IF(F476="","",IF(J476="✅ Сделано","✔ ",IF(J476="❌ Пропущено","✖ ","⏰ "))&amp;IF(C476="","",RIGHT("0"&amp;HOUR(C476),2)&amp;":"&amp;RIGHT("0"&amp;MINUTE(C476),2)&amp;IF(D476="","","–"&amp;RIGHT("0"&amp;HOUR(D476),2)&amp;":"&amp;RIGHT("0"&amp;MINUTE(D476),2))&amp;" ")&amp;F476)</f>
        <v/>
      </c>
      <c r="N476" s="54">
        <f>IF(OR(A476="",F476=""),"",A476&amp;"#"&amp;(COUNTIFS($A$5:$A$3004,A476,$F$5:$F$3004,"?*",$O$5:$O$3004,"&lt;"&amp;O476)+COUNTIFS($A$5:A476,A476,$F$5:F476,"?*",$O$5:O476,O476)))</f>
        <v/>
      </c>
      <c r="O476" s="54">
        <f>IF(A476="","",IF(C476="",0,C476))</f>
        <v/>
      </c>
    </row>
    <row r="477">
      <c r="A477" s="58" t="n"/>
      <c r="B477" s="49">
        <f>IF(A477="","",CHOOSE(WEEKDAY(A477,2),"Пн","Вт","Ср","Чт","Пт","Сб","Вс"))</f>
        <v/>
      </c>
      <c r="C477" s="59" t="n"/>
      <c r="D477" s="59" t="n"/>
      <c r="E477" s="60">
        <f>IF(OR(C477="",D477=""),"",MOD(D477-C477,1)*24)</f>
        <v/>
      </c>
      <c r="F477" s="50" t="n"/>
      <c r="G477" s="51" t="n"/>
      <c r="H477" s="51" t="n"/>
      <c r="I477" s="51" t="n"/>
      <c r="J477" s="51" t="n"/>
      <c r="K477" s="51" t="n"/>
      <c r="L477" s="54">
        <f>IF(OR(A477="",C477="",D477=""),"",IF(COUNTIFS($A$5:$A$3004,A477,$C$5:$C$3004,"&lt;"&amp;D477,$D$5:$D$3004,"&gt;"&amp;C477)&gt;1,"⚠️ пересечение",""))</f>
        <v/>
      </c>
      <c r="M477" s="54">
        <f>IF(F477="","",IF(J477="✅ Сделано","✔ ",IF(J477="❌ Пропущено","✖ ","⏰ "))&amp;IF(C477="","",RIGHT("0"&amp;HOUR(C477),2)&amp;":"&amp;RIGHT("0"&amp;MINUTE(C477),2)&amp;IF(D477="","","–"&amp;RIGHT("0"&amp;HOUR(D477),2)&amp;":"&amp;RIGHT("0"&amp;MINUTE(D477),2))&amp;" ")&amp;F477)</f>
        <v/>
      </c>
      <c r="N477" s="54">
        <f>IF(OR(A477="",F477=""),"",A477&amp;"#"&amp;(COUNTIFS($A$5:$A$3004,A477,$F$5:$F$3004,"?*",$O$5:$O$3004,"&lt;"&amp;O477)+COUNTIFS($A$5:A477,A477,$F$5:F477,"?*",$O$5:O477,O477)))</f>
        <v/>
      </c>
      <c r="O477" s="54">
        <f>IF(A477="","",IF(C477="",0,C477))</f>
        <v/>
      </c>
    </row>
    <row r="478">
      <c r="A478" s="58" t="n"/>
      <c r="B478" s="49">
        <f>IF(A478="","",CHOOSE(WEEKDAY(A478,2),"Пн","Вт","Ср","Чт","Пт","Сб","Вс"))</f>
        <v/>
      </c>
      <c r="C478" s="59" t="n"/>
      <c r="D478" s="59" t="n"/>
      <c r="E478" s="60">
        <f>IF(OR(C478="",D478=""),"",MOD(D478-C478,1)*24)</f>
        <v/>
      </c>
      <c r="F478" s="50" t="n"/>
      <c r="G478" s="51" t="n"/>
      <c r="H478" s="51" t="n"/>
      <c r="I478" s="51" t="n"/>
      <c r="J478" s="51" t="n"/>
      <c r="K478" s="51" t="n"/>
      <c r="L478" s="54">
        <f>IF(OR(A478="",C478="",D478=""),"",IF(COUNTIFS($A$5:$A$3004,A478,$C$5:$C$3004,"&lt;"&amp;D478,$D$5:$D$3004,"&gt;"&amp;C478)&gt;1,"⚠️ пересечение",""))</f>
        <v/>
      </c>
      <c r="M478" s="54">
        <f>IF(F478="","",IF(J478="✅ Сделано","✔ ",IF(J478="❌ Пропущено","✖ ","⏰ "))&amp;IF(C478="","",RIGHT("0"&amp;HOUR(C478),2)&amp;":"&amp;RIGHT("0"&amp;MINUTE(C478),2)&amp;IF(D478="","","–"&amp;RIGHT("0"&amp;HOUR(D478),2)&amp;":"&amp;RIGHT("0"&amp;MINUTE(D478),2))&amp;" ")&amp;F478)</f>
        <v/>
      </c>
      <c r="N478" s="54">
        <f>IF(OR(A478="",F478=""),"",A478&amp;"#"&amp;(COUNTIFS($A$5:$A$3004,A478,$F$5:$F$3004,"?*",$O$5:$O$3004,"&lt;"&amp;O478)+COUNTIFS($A$5:A478,A478,$F$5:F478,"?*",$O$5:O478,O478)))</f>
        <v/>
      </c>
      <c r="O478" s="54">
        <f>IF(A478="","",IF(C478="",0,C478))</f>
        <v/>
      </c>
    </row>
    <row r="479">
      <c r="A479" s="58" t="n"/>
      <c r="B479" s="49">
        <f>IF(A479="","",CHOOSE(WEEKDAY(A479,2),"Пн","Вт","Ср","Чт","Пт","Сб","Вс"))</f>
        <v/>
      </c>
      <c r="C479" s="59" t="n"/>
      <c r="D479" s="59" t="n"/>
      <c r="E479" s="60">
        <f>IF(OR(C479="",D479=""),"",MOD(D479-C479,1)*24)</f>
        <v/>
      </c>
      <c r="F479" s="50" t="n"/>
      <c r="G479" s="51" t="n"/>
      <c r="H479" s="51" t="n"/>
      <c r="I479" s="51" t="n"/>
      <c r="J479" s="51" t="n"/>
      <c r="K479" s="51" t="n"/>
      <c r="L479" s="54">
        <f>IF(OR(A479="",C479="",D479=""),"",IF(COUNTIFS($A$5:$A$3004,A479,$C$5:$C$3004,"&lt;"&amp;D479,$D$5:$D$3004,"&gt;"&amp;C479)&gt;1,"⚠️ пересечение",""))</f>
        <v/>
      </c>
      <c r="M479" s="54">
        <f>IF(F479="","",IF(J479="✅ Сделано","✔ ",IF(J479="❌ Пропущено","✖ ","⏰ "))&amp;IF(C479="","",RIGHT("0"&amp;HOUR(C479),2)&amp;":"&amp;RIGHT("0"&amp;MINUTE(C479),2)&amp;IF(D479="","","–"&amp;RIGHT("0"&amp;HOUR(D479),2)&amp;":"&amp;RIGHT("0"&amp;MINUTE(D479),2))&amp;" ")&amp;F479)</f>
        <v/>
      </c>
      <c r="N479" s="54">
        <f>IF(OR(A479="",F479=""),"",A479&amp;"#"&amp;(COUNTIFS($A$5:$A$3004,A479,$F$5:$F$3004,"?*",$O$5:$O$3004,"&lt;"&amp;O479)+COUNTIFS($A$5:A479,A479,$F$5:F479,"?*",$O$5:O479,O479)))</f>
        <v/>
      </c>
      <c r="O479" s="54">
        <f>IF(A479="","",IF(C479="",0,C479))</f>
        <v/>
      </c>
    </row>
    <row r="480">
      <c r="A480" s="58" t="n"/>
      <c r="B480" s="49">
        <f>IF(A480="","",CHOOSE(WEEKDAY(A480,2),"Пн","Вт","Ср","Чт","Пт","Сб","Вс"))</f>
        <v/>
      </c>
      <c r="C480" s="59" t="n"/>
      <c r="D480" s="59" t="n"/>
      <c r="E480" s="60">
        <f>IF(OR(C480="",D480=""),"",MOD(D480-C480,1)*24)</f>
        <v/>
      </c>
      <c r="F480" s="50" t="n"/>
      <c r="G480" s="51" t="n"/>
      <c r="H480" s="51" t="n"/>
      <c r="I480" s="51" t="n"/>
      <c r="J480" s="51" t="n"/>
      <c r="K480" s="51" t="n"/>
      <c r="L480" s="54">
        <f>IF(OR(A480="",C480="",D480=""),"",IF(COUNTIFS($A$5:$A$3004,A480,$C$5:$C$3004,"&lt;"&amp;D480,$D$5:$D$3004,"&gt;"&amp;C480)&gt;1,"⚠️ пересечение",""))</f>
        <v/>
      </c>
      <c r="M480" s="54">
        <f>IF(F480="","",IF(J480="✅ Сделано","✔ ",IF(J480="❌ Пропущено","✖ ","⏰ "))&amp;IF(C480="","",RIGHT("0"&amp;HOUR(C480),2)&amp;":"&amp;RIGHT("0"&amp;MINUTE(C480),2)&amp;IF(D480="","","–"&amp;RIGHT("0"&amp;HOUR(D480),2)&amp;":"&amp;RIGHT("0"&amp;MINUTE(D480),2))&amp;" ")&amp;F480)</f>
        <v/>
      </c>
      <c r="N480" s="54">
        <f>IF(OR(A480="",F480=""),"",A480&amp;"#"&amp;(COUNTIFS($A$5:$A$3004,A480,$F$5:$F$3004,"?*",$O$5:$O$3004,"&lt;"&amp;O480)+COUNTIFS($A$5:A480,A480,$F$5:F480,"?*",$O$5:O480,O480)))</f>
        <v/>
      </c>
      <c r="O480" s="54">
        <f>IF(A480="","",IF(C480="",0,C480))</f>
        <v/>
      </c>
    </row>
    <row r="481">
      <c r="A481" s="58" t="n"/>
      <c r="B481" s="49">
        <f>IF(A481="","",CHOOSE(WEEKDAY(A481,2),"Пн","Вт","Ср","Чт","Пт","Сб","Вс"))</f>
        <v/>
      </c>
      <c r="C481" s="59" t="n"/>
      <c r="D481" s="59" t="n"/>
      <c r="E481" s="60">
        <f>IF(OR(C481="",D481=""),"",MOD(D481-C481,1)*24)</f>
        <v/>
      </c>
      <c r="F481" s="50" t="n"/>
      <c r="G481" s="51" t="n"/>
      <c r="H481" s="51" t="n"/>
      <c r="I481" s="51" t="n"/>
      <c r="J481" s="51" t="n"/>
      <c r="K481" s="51" t="n"/>
      <c r="L481" s="54">
        <f>IF(OR(A481="",C481="",D481=""),"",IF(COUNTIFS($A$5:$A$3004,A481,$C$5:$C$3004,"&lt;"&amp;D481,$D$5:$D$3004,"&gt;"&amp;C481)&gt;1,"⚠️ пересечение",""))</f>
        <v/>
      </c>
      <c r="M481" s="54">
        <f>IF(F481="","",IF(J481="✅ Сделано","✔ ",IF(J481="❌ Пропущено","✖ ","⏰ "))&amp;IF(C481="","",RIGHT("0"&amp;HOUR(C481),2)&amp;":"&amp;RIGHT("0"&amp;MINUTE(C481),2)&amp;IF(D481="","","–"&amp;RIGHT("0"&amp;HOUR(D481),2)&amp;":"&amp;RIGHT("0"&amp;MINUTE(D481),2))&amp;" ")&amp;F481)</f>
        <v/>
      </c>
      <c r="N481" s="54">
        <f>IF(OR(A481="",F481=""),"",A481&amp;"#"&amp;(COUNTIFS($A$5:$A$3004,A481,$F$5:$F$3004,"?*",$O$5:$O$3004,"&lt;"&amp;O481)+COUNTIFS($A$5:A481,A481,$F$5:F481,"?*",$O$5:O481,O481)))</f>
        <v/>
      </c>
      <c r="O481" s="54">
        <f>IF(A481="","",IF(C481="",0,C481))</f>
        <v/>
      </c>
    </row>
    <row r="482">
      <c r="A482" s="58" t="n"/>
      <c r="B482" s="49">
        <f>IF(A482="","",CHOOSE(WEEKDAY(A482,2),"Пн","Вт","Ср","Чт","Пт","Сб","Вс"))</f>
        <v/>
      </c>
      <c r="C482" s="59" t="n"/>
      <c r="D482" s="59" t="n"/>
      <c r="E482" s="60">
        <f>IF(OR(C482="",D482=""),"",MOD(D482-C482,1)*24)</f>
        <v/>
      </c>
      <c r="F482" s="50" t="n"/>
      <c r="G482" s="51" t="n"/>
      <c r="H482" s="51" t="n"/>
      <c r="I482" s="51" t="n"/>
      <c r="J482" s="51" t="n"/>
      <c r="K482" s="51" t="n"/>
      <c r="L482" s="54">
        <f>IF(OR(A482="",C482="",D482=""),"",IF(COUNTIFS($A$5:$A$3004,A482,$C$5:$C$3004,"&lt;"&amp;D482,$D$5:$D$3004,"&gt;"&amp;C482)&gt;1,"⚠️ пересечение",""))</f>
        <v/>
      </c>
      <c r="M482" s="54">
        <f>IF(F482="","",IF(J482="✅ Сделано","✔ ",IF(J482="❌ Пропущено","✖ ","⏰ "))&amp;IF(C482="","",RIGHT("0"&amp;HOUR(C482),2)&amp;":"&amp;RIGHT("0"&amp;MINUTE(C482),2)&amp;IF(D482="","","–"&amp;RIGHT("0"&amp;HOUR(D482),2)&amp;":"&amp;RIGHT("0"&amp;MINUTE(D482),2))&amp;" ")&amp;F482)</f>
        <v/>
      </c>
      <c r="N482" s="54">
        <f>IF(OR(A482="",F482=""),"",A482&amp;"#"&amp;(COUNTIFS($A$5:$A$3004,A482,$F$5:$F$3004,"?*",$O$5:$O$3004,"&lt;"&amp;O482)+COUNTIFS($A$5:A482,A482,$F$5:F482,"?*",$O$5:O482,O482)))</f>
        <v/>
      </c>
      <c r="O482" s="54">
        <f>IF(A482="","",IF(C482="",0,C482))</f>
        <v/>
      </c>
    </row>
    <row r="483">
      <c r="A483" s="58" t="n"/>
      <c r="B483" s="49">
        <f>IF(A483="","",CHOOSE(WEEKDAY(A483,2),"Пн","Вт","Ср","Чт","Пт","Сб","Вс"))</f>
        <v/>
      </c>
      <c r="C483" s="59" t="n"/>
      <c r="D483" s="59" t="n"/>
      <c r="E483" s="60">
        <f>IF(OR(C483="",D483=""),"",MOD(D483-C483,1)*24)</f>
        <v/>
      </c>
      <c r="F483" s="50" t="n"/>
      <c r="G483" s="51" t="n"/>
      <c r="H483" s="51" t="n"/>
      <c r="I483" s="51" t="n"/>
      <c r="J483" s="51" t="n"/>
      <c r="K483" s="51" t="n"/>
      <c r="L483" s="54">
        <f>IF(OR(A483="",C483="",D483=""),"",IF(COUNTIFS($A$5:$A$3004,A483,$C$5:$C$3004,"&lt;"&amp;D483,$D$5:$D$3004,"&gt;"&amp;C483)&gt;1,"⚠️ пересечение",""))</f>
        <v/>
      </c>
      <c r="M483" s="54">
        <f>IF(F483="","",IF(J483="✅ Сделано","✔ ",IF(J483="❌ Пропущено","✖ ","⏰ "))&amp;IF(C483="","",RIGHT("0"&amp;HOUR(C483),2)&amp;":"&amp;RIGHT("0"&amp;MINUTE(C483),2)&amp;IF(D483="","","–"&amp;RIGHT("0"&amp;HOUR(D483),2)&amp;":"&amp;RIGHT("0"&amp;MINUTE(D483),2))&amp;" ")&amp;F483)</f>
        <v/>
      </c>
      <c r="N483" s="54">
        <f>IF(OR(A483="",F483=""),"",A483&amp;"#"&amp;(COUNTIFS($A$5:$A$3004,A483,$F$5:$F$3004,"?*",$O$5:$O$3004,"&lt;"&amp;O483)+COUNTIFS($A$5:A483,A483,$F$5:F483,"?*",$O$5:O483,O483)))</f>
        <v/>
      </c>
      <c r="O483" s="54">
        <f>IF(A483="","",IF(C483="",0,C483))</f>
        <v/>
      </c>
    </row>
    <row r="484">
      <c r="A484" s="58" t="n"/>
      <c r="B484" s="49">
        <f>IF(A484="","",CHOOSE(WEEKDAY(A484,2),"Пн","Вт","Ср","Чт","Пт","Сб","Вс"))</f>
        <v/>
      </c>
      <c r="C484" s="59" t="n"/>
      <c r="D484" s="59" t="n"/>
      <c r="E484" s="60">
        <f>IF(OR(C484="",D484=""),"",MOD(D484-C484,1)*24)</f>
        <v/>
      </c>
      <c r="F484" s="50" t="n"/>
      <c r="G484" s="51" t="n"/>
      <c r="H484" s="51" t="n"/>
      <c r="I484" s="51" t="n"/>
      <c r="J484" s="51" t="n"/>
      <c r="K484" s="51" t="n"/>
      <c r="L484" s="54">
        <f>IF(OR(A484="",C484="",D484=""),"",IF(COUNTIFS($A$5:$A$3004,A484,$C$5:$C$3004,"&lt;"&amp;D484,$D$5:$D$3004,"&gt;"&amp;C484)&gt;1,"⚠️ пересечение",""))</f>
        <v/>
      </c>
      <c r="M484" s="54">
        <f>IF(F484="","",IF(J484="✅ Сделано","✔ ",IF(J484="❌ Пропущено","✖ ","⏰ "))&amp;IF(C484="","",RIGHT("0"&amp;HOUR(C484),2)&amp;":"&amp;RIGHT("0"&amp;MINUTE(C484),2)&amp;IF(D484="","","–"&amp;RIGHT("0"&amp;HOUR(D484),2)&amp;":"&amp;RIGHT("0"&amp;MINUTE(D484),2))&amp;" ")&amp;F484)</f>
        <v/>
      </c>
      <c r="N484" s="54">
        <f>IF(OR(A484="",F484=""),"",A484&amp;"#"&amp;(COUNTIFS($A$5:$A$3004,A484,$F$5:$F$3004,"?*",$O$5:$O$3004,"&lt;"&amp;O484)+COUNTIFS($A$5:A484,A484,$F$5:F484,"?*",$O$5:O484,O484)))</f>
        <v/>
      </c>
      <c r="O484" s="54">
        <f>IF(A484="","",IF(C484="",0,C484))</f>
        <v/>
      </c>
    </row>
    <row r="485">
      <c r="A485" s="58" t="n"/>
      <c r="B485" s="49">
        <f>IF(A485="","",CHOOSE(WEEKDAY(A485,2),"Пн","Вт","Ср","Чт","Пт","Сб","Вс"))</f>
        <v/>
      </c>
      <c r="C485" s="59" t="n"/>
      <c r="D485" s="59" t="n"/>
      <c r="E485" s="60">
        <f>IF(OR(C485="",D485=""),"",MOD(D485-C485,1)*24)</f>
        <v/>
      </c>
      <c r="F485" s="50" t="n"/>
      <c r="G485" s="51" t="n"/>
      <c r="H485" s="51" t="n"/>
      <c r="I485" s="51" t="n"/>
      <c r="J485" s="51" t="n"/>
      <c r="K485" s="51" t="n"/>
      <c r="L485" s="54">
        <f>IF(OR(A485="",C485="",D485=""),"",IF(COUNTIFS($A$5:$A$3004,A485,$C$5:$C$3004,"&lt;"&amp;D485,$D$5:$D$3004,"&gt;"&amp;C485)&gt;1,"⚠️ пересечение",""))</f>
        <v/>
      </c>
      <c r="M485" s="54">
        <f>IF(F485="","",IF(J485="✅ Сделано","✔ ",IF(J485="❌ Пропущено","✖ ","⏰ "))&amp;IF(C485="","",RIGHT("0"&amp;HOUR(C485),2)&amp;":"&amp;RIGHT("0"&amp;MINUTE(C485),2)&amp;IF(D485="","","–"&amp;RIGHT("0"&amp;HOUR(D485),2)&amp;":"&amp;RIGHT("0"&amp;MINUTE(D485),2))&amp;" ")&amp;F485)</f>
        <v/>
      </c>
      <c r="N485" s="54">
        <f>IF(OR(A485="",F485=""),"",A485&amp;"#"&amp;(COUNTIFS($A$5:$A$3004,A485,$F$5:$F$3004,"?*",$O$5:$O$3004,"&lt;"&amp;O485)+COUNTIFS($A$5:A485,A485,$F$5:F485,"?*",$O$5:O485,O485)))</f>
        <v/>
      </c>
      <c r="O485" s="54">
        <f>IF(A485="","",IF(C485="",0,C485))</f>
        <v/>
      </c>
    </row>
    <row r="486">
      <c r="A486" s="58" t="n"/>
      <c r="B486" s="49">
        <f>IF(A486="","",CHOOSE(WEEKDAY(A486,2),"Пн","Вт","Ср","Чт","Пт","Сб","Вс"))</f>
        <v/>
      </c>
      <c r="C486" s="59" t="n"/>
      <c r="D486" s="59" t="n"/>
      <c r="E486" s="60">
        <f>IF(OR(C486="",D486=""),"",MOD(D486-C486,1)*24)</f>
        <v/>
      </c>
      <c r="F486" s="50" t="n"/>
      <c r="G486" s="51" t="n"/>
      <c r="H486" s="51" t="n"/>
      <c r="I486" s="51" t="n"/>
      <c r="J486" s="51" t="n"/>
      <c r="K486" s="51" t="n"/>
      <c r="L486" s="54">
        <f>IF(OR(A486="",C486="",D486=""),"",IF(COUNTIFS($A$5:$A$3004,A486,$C$5:$C$3004,"&lt;"&amp;D486,$D$5:$D$3004,"&gt;"&amp;C486)&gt;1,"⚠️ пересечение",""))</f>
        <v/>
      </c>
      <c r="M486" s="54">
        <f>IF(F486="","",IF(J486="✅ Сделано","✔ ",IF(J486="❌ Пропущено","✖ ","⏰ "))&amp;IF(C486="","",RIGHT("0"&amp;HOUR(C486),2)&amp;":"&amp;RIGHT("0"&amp;MINUTE(C486),2)&amp;IF(D486="","","–"&amp;RIGHT("0"&amp;HOUR(D486),2)&amp;":"&amp;RIGHT("0"&amp;MINUTE(D486),2))&amp;" ")&amp;F486)</f>
        <v/>
      </c>
      <c r="N486" s="54">
        <f>IF(OR(A486="",F486=""),"",A486&amp;"#"&amp;(COUNTIFS($A$5:$A$3004,A486,$F$5:$F$3004,"?*",$O$5:$O$3004,"&lt;"&amp;O486)+COUNTIFS($A$5:A486,A486,$F$5:F486,"?*",$O$5:O486,O486)))</f>
        <v/>
      </c>
      <c r="O486" s="54">
        <f>IF(A486="","",IF(C486="",0,C486))</f>
        <v/>
      </c>
    </row>
    <row r="487">
      <c r="A487" s="58" t="n"/>
      <c r="B487" s="49">
        <f>IF(A487="","",CHOOSE(WEEKDAY(A487,2),"Пн","Вт","Ср","Чт","Пт","Сб","Вс"))</f>
        <v/>
      </c>
      <c r="C487" s="59" t="n"/>
      <c r="D487" s="59" t="n"/>
      <c r="E487" s="60">
        <f>IF(OR(C487="",D487=""),"",MOD(D487-C487,1)*24)</f>
        <v/>
      </c>
      <c r="F487" s="50" t="n"/>
      <c r="G487" s="51" t="n"/>
      <c r="H487" s="51" t="n"/>
      <c r="I487" s="51" t="n"/>
      <c r="J487" s="51" t="n"/>
      <c r="K487" s="51" t="n"/>
      <c r="L487" s="54">
        <f>IF(OR(A487="",C487="",D487=""),"",IF(COUNTIFS($A$5:$A$3004,A487,$C$5:$C$3004,"&lt;"&amp;D487,$D$5:$D$3004,"&gt;"&amp;C487)&gt;1,"⚠️ пересечение",""))</f>
        <v/>
      </c>
      <c r="M487" s="54">
        <f>IF(F487="","",IF(J487="✅ Сделано","✔ ",IF(J487="❌ Пропущено","✖ ","⏰ "))&amp;IF(C487="","",RIGHT("0"&amp;HOUR(C487),2)&amp;":"&amp;RIGHT("0"&amp;MINUTE(C487),2)&amp;IF(D487="","","–"&amp;RIGHT("0"&amp;HOUR(D487),2)&amp;":"&amp;RIGHT("0"&amp;MINUTE(D487),2))&amp;" ")&amp;F487)</f>
        <v/>
      </c>
      <c r="N487" s="54">
        <f>IF(OR(A487="",F487=""),"",A487&amp;"#"&amp;(COUNTIFS($A$5:$A$3004,A487,$F$5:$F$3004,"?*",$O$5:$O$3004,"&lt;"&amp;O487)+COUNTIFS($A$5:A487,A487,$F$5:F487,"?*",$O$5:O487,O487)))</f>
        <v/>
      </c>
      <c r="O487" s="54">
        <f>IF(A487="","",IF(C487="",0,C487))</f>
        <v/>
      </c>
    </row>
    <row r="488">
      <c r="A488" s="58" t="n"/>
      <c r="B488" s="49">
        <f>IF(A488="","",CHOOSE(WEEKDAY(A488,2),"Пн","Вт","Ср","Чт","Пт","Сб","Вс"))</f>
        <v/>
      </c>
      <c r="C488" s="59" t="n"/>
      <c r="D488" s="59" t="n"/>
      <c r="E488" s="60">
        <f>IF(OR(C488="",D488=""),"",MOD(D488-C488,1)*24)</f>
        <v/>
      </c>
      <c r="F488" s="50" t="n"/>
      <c r="G488" s="51" t="n"/>
      <c r="H488" s="51" t="n"/>
      <c r="I488" s="51" t="n"/>
      <c r="J488" s="51" t="n"/>
      <c r="K488" s="51" t="n"/>
      <c r="L488" s="54">
        <f>IF(OR(A488="",C488="",D488=""),"",IF(COUNTIFS($A$5:$A$3004,A488,$C$5:$C$3004,"&lt;"&amp;D488,$D$5:$D$3004,"&gt;"&amp;C488)&gt;1,"⚠️ пересечение",""))</f>
        <v/>
      </c>
      <c r="M488" s="54">
        <f>IF(F488="","",IF(J488="✅ Сделано","✔ ",IF(J488="❌ Пропущено","✖ ","⏰ "))&amp;IF(C488="","",RIGHT("0"&amp;HOUR(C488),2)&amp;":"&amp;RIGHT("0"&amp;MINUTE(C488),2)&amp;IF(D488="","","–"&amp;RIGHT("0"&amp;HOUR(D488),2)&amp;":"&amp;RIGHT("0"&amp;MINUTE(D488),2))&amp;" ")&amp;F488)</f>
        <v/>
      </c>
      <c r="N488" s="54">
        <f>IF(OR(A488="",F488=""),"",A488&amp;"#"&amp;(COUNTIFS($A$5:$A$3004,A488,$F$5:$F$3004,"?*",$O$5:$O$3004,"&lt;"&amp;O488)+COUNTIFS($A$5:A488,A488,$F$5:F488,"?*",$O$5:O488,O488)))</f>
        <v/>
      </c>
      <c r="O488" s="54">
        <f>IF(A488="","",IF(C488="",0,C488))</f>
        <v/>
      </c>
    </row>
    <row r="489">
      <c r="A489" s="58" t="n"/>
      <c r="B489" s="49">
        <f>IF(A489="","",CHOOSE(WEEKDAY(A489,2),"Пн","Вт","Ср","Чт","Пт","Сб","Вс"))</f>
        <v/>
      </c>
      <c r="C489" s="59" t="n"/>
      <c r="D489" s="59" t="n"/>
      <c r="E489" s="60">
        <f>IF(OR(C489="",D489=""),"",MOD(D489-C489,1)*24)</f>
        <v/>
      </c>
      <c r="F489" s="50" t="n"/>
      <c r="G489" s="51" t="n"/>
      <c r="H489" s="51" t="n"/>
      <c r="I489" s="51" t="n"/>
      <c r="J489" s="51" t="n"/>
      <c r="K489" s="51" t="n"/>
      <c r="L489" s="54">
        <f>IF(OR(A489="",C489="",D489=""),"",IF(COUNTIFS($A$5:$A$3004,A489,$C$5:$C$3004,"&lt;"&amp;D489,$D$5:$D$3004,"&gt;"&amp;C489)&gt;1,"⚠️ пересечение",""))</f>
        <v/>
      </c>
      <c r="M489" s="54">
        <f>IF(F489="","",IF(J489="✅ Сделано","✔ ",IF(J489="❌ Пропущено","✖ ","⏰ "))&amp;IF(C489="","",RIGHT("0"&amp;HOUR(C489),2)&amp;":"&amp;RIGHT("0"&amp;MINUTE(C489),2)&amp;IF(D489="","","–"&amp;RIGHT("0"&amp;HOUR(D489),2)&amp;":"&amp;RIGHT("0"&amp;MINUTE(D489),2))&amp;" ")&amp;F489)</f>
        <v/>
      </c>
      <c r="N489" s="54">
        <f>IF(OR(A489="",F489=""),"",A489&amp;"#"&amp;(COUNTIFS($A$5:$A$3004,A489,$F$5:$F$3004,"?*",$O$5:$O$3004,"&lt;"&amp;O489)+COUNTIFS($A$5:A489,A489,$F$5:F489,"?*",$O$5:O489,O489)))</f>
        <v/>
      </c>
      <c r="O489" s="54">
        <f>IF(A489="","",IF(C489="",0,C489))</f>
        <v/>
      </c>
    </row>
    <row r="490">
      <c r="A490" s="58" t="n"/>
      <c r="B490" s="49">
        <f>IF(A490="","",CHOOSE(WEEKDAY(A490,2),"Пн","Вт","Ср","Чт","Пт","Сб","Вс"))</f>
        <v/>
      </c>
      <c r="C490" s="59" t="n"/>
      <c r="D490" s="59" t="n"/>
      <c r="E490" s="60">
        <f>IF(OR(C490="",D490=""),"",MOD(D490-C490,1)*24)</f>
        <v/>
      </c>
      <c r="F490" s="50" t="n"/>
      <c r="G490" s="51" t="n"/>
      <c r="H490" s="51" t="n"/>
      <c r="I490" s="51" t="n"/>
      <c r="J490" s="51" t="n"/>
      <c r="K490" s="51" t="n"/>
      <c r="L490" s="54">
        <f>IF(OR(A490="",C490="",D490=""),"",IF(COUNTIFS($A$5:$A$3004,A490,$C$5:$C$3004,"&lt;"&amp;D490,$D$5:$D$3004,"&gt;"&amp;C490)&gt;1,"⚠️ пересечение",""))</f>
        <v/>
      </c>
      <c r="M490" s="54">
        <f>IF(F490="","",IF(J490="✅ Сделано","✔ ",IF(J490="❌ Пропущено","✖ ","⏰ "))&amp;IF(C490="","",RIGHT("0"&amp;HOUR(C490),2)&amp;":"&amp;RIGHT("0"&amp;MINUTE(C490),2)&amp;IF(D490="","","–"&amp;RIGHT("0"&amp;HOUR(D490),2)&amp;":"&amp;RIGHT("0"&amp;MINUTE(D490),2))&amp;" ")&amp;F490)</f>
        <v/>
      </c>
      <c r="N490" s="54">
        <f>IF(OR(A490="",F490=""),"",A490&amp;"#"&amp;(COUNTIFS($A$5:$A$3004,A490,$F$5:$F$3004,"?*",$O$5:$O$3004,"&lt;"&amp;O490)+COUNTIFS($A$5:A490,A490,$F$5:F490,"?*",$O$5:O490,O490)))</f>
        <v/>
      </c>
      <c r="O490" s="54">
        <f>IF(A490="","",IF(C490="",0,C490))</f>
        <v/>
      </c>
    </row>
    <row r="491">
      <c r="A491" s="58" t="n"/>
      <c r="B491" s="49">
        <f>IF(A491="","",CHOOSE(WEEKDAY(A491,2),"Пн","Вт","Ср","Чт","Пт","Сб","Вс"))</f>
        <v/>
      </c>
      <c r="C491" s="59" t="n"/>
      <c r="D491" s="59" t="n"/>
      <c r="E491" s="60">
        <f>IF(OR(C491="",D491=""),"",MOD(D491-C491,1)*24)</f>
        <v/>
      </c>
      <c r="F491" s="50" t="n"/>
      <c r="G491" s="51" t="n"/>
      <c r="H491" s="51" t="n"/>
      <c r="I491" s="51" t="n"/>
      <c r="J491" s="51" t="n"/>
      <c r="K491" s="51" t="n"/>
      <c r="L491" s="54">
        <f>IF(OR(A491="",C491="",D491=""),"",IF(COUNTIFS($A$5:$A$3004,A491,$C$5:$C$3004,"&lt;"&amp;D491,$D$5:$D$3004,"&gt;"&amp;C491)&gt;1,"⚠️ пересечение",""))</f>
        <v/>
      </c>
      <c r="M491" s="54">
        <f>IF(F491="","",IF(J491="✅ Сделано","✔ ",IF(J491="❌ Пропущено","✖ ","⏰ "))&amp;IF(C491="","",RIGHT("0"&amp;HOUR(C491),2)&amp;":"&amp;RIGHT("0"&amp;MINUTE(C491),2)&amp;IF(D491="","","–"&amp;RIGHT("0"&amp;HOUR(D491),2)&amp;":"&amp;RIGHT("0"&amp;MINUTE(D491),2))&amp;" ")&amp;F491)</f>
        <v/>
      </c>
      <c r="N491" s="54">
        <f>IF(OR(A491="",F491=""),"",A491&amp;"#"&amp;(COUNTIFS($A$5:$A$3004,A491,$F$5:$F$3004,"?*",$O$5:$O$3004,"&lt;"&amp;O491)+COUNTIFS($A$5:A491,A491,$F$5:F491,"?*",$O$5:O491,O491)))</f>
        <v/>
      </c>
      <c r="O491" s="54">
        <f>IF(A491="","",IF(C491="",0,C491))</f>
        <v/>
      </c>
    </row>
    <row r="492">
      <c r="A492" s="58" t="n"/>
      <c r="B492" s="49">
        <f>IF(A492="","",CHOOSE(WEEKDAY(A492,2),"Пн","Вт","Ср","Чт","Пт","Сб","Вс"))</f>
        <v/>
      </c>
      <c r="C492" s="59" t="n"/>
      <c r="D492" s="59" t="n"/>
      <c r="E492" s="60">
        <f>IF(OR(C492="",D492=""),"",MOD(D492-C492,1)*24)</f>
        <v/>
      </c>
      <c r="F492" s="50" t="n"/>
      <c r="G492" s="51" t="n"/>
      <c r="H492" s="51" t="n"/>
      <c r="I492" s="51" t="n"/>
      <c r="J492" s="51" t="n"/>
      <c r="K492" s="51" t="n"/>
      <c r="L492" s="54">
        <f>IF(OR(A492="",C492="",D492=""),"",IF(COUNTIFS($A$5:$A$3004,A492,$C$5:$C$3004,"&lt;"&amp;D492,$D$5:$D$3004,"&gt;"&amp;C492)&gt;1,"⚠️ пересечение",""))</f>
        <v/>
      </c>
      <c r="M492" s="54">
        <f>IF(F492="","",IF(J492="✅ Сделано","✔ ",IF(J492="❌ Пропущено","✖ ","⏰ "))&amp;IF(C492="","",RIGHT("0"&amp;HOUR(C492),2)&amp;":"&amp;RIGHT("0"&amp;MINUTE(C492),2)&amp;IF(D492="","","–"&amp;RIGHT("0"&amp;HOUR(D492),2)&amp;":"&amp;RIGHT("0"&amp;MINUTE(D492),2))&amp;" ")&amp;F492)</f>
        <v/>
      </c>
      <c r="N492" s="54">
        <f>IF(OR(A492="",F492=""),"",A492&amp;"#"&amp;(COUNTIFS($A$5:$A$3004,A492,$F$5:$F$3004,"?*",$O$5:$O$3004,"&lt;"&amp;O492)+COUNTIFS($A$5:A492,A492,$F$5:F492,"?*",$O$5:O492,O492)))</f>
        <v/>
      </c>
      <c r="O492" s="54">
        <f>IF(A492="","",IF(C492="",0,C492))</f>
        <v/>
      </c>
    </row>
    <row r="493">
      <c r="A493" s="58" t="n"/>
      <c r="B493" s="49">
        <f>IF(A493="","",CHOOSE(WEEKDAY(A493,2),"Пн","Вт","Ср","Чт","Пт","Сб","Вс"))</f>
        <v/>
      </c>
      <c r="C493" s="59" t="n"/>
      <c r="D493" s="59" t="n"/>
      <c r="E493" s="60">
        <f>IF(OR(C493="",D493=""),"",MOD(D493-C493,1)*24)</f>
        <v/>
      </c>
      <c r="F493" s="50" t="n"/>
      <c r="G493" s="51" t="n"/>
      <c r="H493" s="51" t="n"/>
      <c r="I493" s="51" t="n"/>
      <c r="J493" s="51" t="n"/>
      <c r="K493" s="51" t="n"/>
      <c r="L493" s="54">
        <f>IF(OR(A493="",C493="",D493=""),"",IF(COUNTIFS($A$5:$A$3004,A493,$C$5:$C$3004,"&lt;"&amp;D493,$D$5:$D$3004,"&gt;"&amp;C493)&gt;1,"⚠️ пересечение",""))</f>
        <v/>
      </c>
      <c r="M493" s="54">
        <f>IF(F493="","",IF(J493="✅ Сделано","✔ ",IF(J493="❌ Пропущено","✖ ","⏰ "))&amp;IF(C493="","",RIGHT("0"&amp;HOUR(C493),2)&amp;":"&amp;RIGHT("0"&amp;MINUTE(C493),2)&amp;IF(D493="","","–"&amp;RIGHT("0"&amp;HOUR(D493),2)&amp;":"&amp;RIGHT("0"&amp;MINUTE(D493),2))&amp;" ")&amp;F493)</f>
        <v/>
      </c>
      <c r="N493" s="54">
        <f>IF(OR(A493="",F493=""),"",A493&amp;"#"&amp;(COUNTIFS($A$5:$A$3004,A493,$F$5:$F$3004,"?*",$O$5:$O$3004,"&lt;"&amp;O493)+COUNTIFS($A$5:A493,A493,$F$5:F493,"?*",$O$5:O493,O493)))</f>
        <v/>
      </c>
      <c r="O493" s="54">
        <f>IF(A493="","",IF(C493="",0,C493))</f>
        <v/>
      </c>
    </row>
    <row r="494">
      <c r="A494" s="58" t="n"/>
      <c r="B494" s="49">
        <f>IF(A494="","",CHOOSE(WEEKDAY(A494,2),"Пн","Вт","Ср","Чт","Пт","Сб","Вс"))</f>
        <v/>
      </c>
      <c r="C494" s="59" t="n"/>
      <c r="D494" s="59" t="n"/>
      <c r="E494" s="60">
        <f>IF(OR(C494="",D494=""),"",MOD(D494-C494,1)*24)</f>
        <v/>
      </c>
      <c r="F494" s="50" t="n"/>
      <c r="G494" s="51" t="n"/>
      <c r="H494" s="51" t="n"/>
      <c r="I494" s="51" t="n"/>
      <c r="J494" s="51" t="n"/>
      <c r="K494" s="51" t="n"/>
      <c r="L494" s="54">
        <f>IF(OR(A494="",C494="",D494=""),"",IF(COUNTIFS($A$5:$A$3004,A494,$C$5:$C$3004,"&lt;"&amp;D494,$D$5:$D$3004,"&gt;"&amp;C494)&gt;1,"⚠️ пересечение",""))</f>
        <v/>
      </c>
      <c r="M494" s="54">
        <f>IF(F494="","",IF(J494="✅ Сделано","✔ ",IF(J494="❌ Пропущено","✖ ","⏰ "))&amp;IF(C494="","",RIGHT("0"&amp;HOUR(C494),2)&amp;":"&amp;RIGHT("0"&amp;MINUTE(C494),2)&amp;IF(D494="","","–"&amp;RIGHT("0"&amp;HOUR(D494),2)&amp;":"&amp;RIGHT("0"&amp;MINUTE(D494),2))&amp;" ")&amp;F494)</f>
        <v/>
      </c>
      <c r="N494" s="54">
        <f>IF(OR(A494="",F494=""),"",A494&amp;"#"&amp;(COUNTIFS($A$5:$A$3004,A494,$F$5:$F$3004,"?*",$O$5:$O$3004,"&lt;"&amp;O494)+COUNTIFS($A$5:A494,A494,$F$5:F494,"?*",$O$5:O494,O494)))</f>
        <v/>
      </c>
      <c r="O494" s="54">
        <f>IF(A494="","",IF(C494="",0,C494))</f>
        <v/>
      </c>
    </row>
    <row r="495">
      <c r="A495" s="58" t="n"/>
      <c r="B495" s="49">
        <f>IF(A495="","",CHOOSE(WEEKDAY(A495,2),"Пн","Вт","Ср","Чт","Пт","Сб","Вс"))</f>
        <v/>
      </c>
      <c r="C495" s="59" t="n"/>
      <c r="D495" s="59" t="n"/>
      <c r="E495" s="60">
        <f>IF(OR(C495="",D495=""),"",MOD(D495-C495,1)*24)</f>
        <v/>
      </c>
      <c r="F495" s="50" t="n"/>
      <c r="G495" s="51" t="n"/>
      <c r="H495" s="51" t="n"/>
      <c r="I495" s="51" t="n"/>
      <c r="J495" s="51" t="n"/>
      <c r="K495" s="51" t="n"/>
      <c r="L495" s="54">
        <f>IF(OR(A495="",C495="",D495=""),"",IF(COUNTIFS($A$5:$A$3004,A495,$C$5:$C$3004,"&lt;"&amp;D495,$D$5:$D$3004,"&gt;"&amp;C495)&gt;1,"⚠️ пересечение",""))</f>
        <v/>
      </c>
      <c r="M495" s="54">
        <f>IF(F495="","",IF(J495="✅ Сделано","✔ ",IF(J495="❌ Пропущено","✖ ","⏰ "))&amp;IF(C495="","",RIGHT("0"&amp;HOUR(C495),2)&amp;":"&amp;RIGHT("0"&amp;MINUTE(C495),2)&amp;IF(D495="","","–"&amp;RIGHT("0"&amp;HOUR(D495),2)&amp;":"&amp;RIGHT("0"&amp;MINUTE(D495),2))&amp;" ")&amp;F495)</f>
        <v/>
      </c>
      <c r="N495" s="54">
        <f>IF(OR(A495="",F495=""),"",A495&amp;"#"&amp;(COUNTIFS($A$5:$A$3004,A495,$F$5:$F$3004,"?*",$O$5:$O$3004,"&lt;"&amp;O495)+COUNTIFS($A$5:A495,A495,$F$5:F495,"?*",$O$5:O495,O495)))</f>
        <v/>
      </c>
      <c r="O495" s="54">
        <f>IF(A495="","",IF(C495="",0,C495))</f>
        <v/>
      </c>
    </row>
    <row r="496">
      <c r="A496" s="58" t="n"/>
      <c r="B496" s="49">
        <f>IF(A496="","",CHOOSE(WEEKDAY(A496,2),"Пн","Вт","Ср","Чт","Пт","Сб","Вс"))</f>
        <v/>
      </c>
      <c r="C496" s="59" t="n"/>
      <c r="D496" s="59" t="n"/>
      <c r="E496" s="60">
        <f>IF(OR(C496="",D496=""),"",MOD(D496-C496,1)*24)</f>
        <v/>
      </c>
      <c r="F496" s="50" t="n"/>
      <c r="G496" s="51" t="n"/>
      <c r="H496" s="51" t="n"/>
      <c r="I496" s="51" t="n"/>
      <c r="J496" s="51" t="n"/>
      <c r="K496" s="51" t="n"/>
      <c r="L496" s="54">
        <f>IF(OR(A496="",C496="",D496=""),"",IF(COUNTIFS($A$5:$A$3004,A496,$C$5:$C$3004,"&lt;"&amp;D496,$D$5:$D$3004,"&gt;"&amp;C496)&gt;1,"⚠️ пересечение",""))</f>
        <v/>
      </c>
      <c r="M496" s="54">
        <f>IF(F496="","",IF(J496="✅ Сделано","✔ ",IF(J496="❌ Пропущено","✖ ","⏰ "))&amp;IF(C496="","",RIGHT("0"&amp;HOUR(C496),2)&amp;":"&amp;RIGHT("0"&amp;MINUTE(C496),2)&amp;IF(D496="","","–"&amp;RIGHT("0"&amp;HOUR(D496),2)&amp;":"&amp;RIGHT("0"&amp;MINUTE(D496),2))&amp;" ")&amp;F496)</f>
        <v/>
      </c>
      <c r="N496" s="54">
        <f>IF(OR(A496="",F496=""),"",A496&amp;"#"&amp;(COUNTIFS($A$5:$A$3004,A496,$F$5:$F$3004,"?*",$O$5:$O$3004,"&lt;"&amp;O496)+COUNTIFS($A$5:A496,A496,$F$5:F496,"?*",$O$5:O496,O496)))</f>
        <v/>
      </c>
      <c r="O496" s="54">
        <f>IF(A496="","",IF(C496="",0,C496))</f>
        <v/>
      </c>
    </row>
    <row r="497">
      <c r="A497" s="58" t="n"/>
      <c r="B497" s="49">
        <f>IF(A497="","",CHOOSE(WEEKDAY(A497,2),"Пн","Вт","Ср","Чт","Пт","Сб","Вс"))</f>
        <v/>
      </c>
      <c r="C497" s="59" t="n"/>
      <c r="D497" s="59" t="n"/>
      <c r="E497" s="60">
        <f>IF(OR(C497="",D497=""),"",MOD(D497-C497,1)*24)</f>
        <v/>
      </c>
      <c r="F497" s="50" t="n"/>
      <c r="G497" s="51" t="n"/>
      <c r="H497" s="51" t="n"/>
      <c r="I497" s="51" t="n"/>
      <c r="J497" s="51" t="n"/>
      <c r="K497" s="51" t="n"/>
      <c r="L497" s="54">
        <f>IF(OR(A497="",C497="",D497=""),"",IF(COUNTIFS($A$5:$A$3004,A497,$C$5:$C$3004,"&lt;"&amp;D497,$D$5:$D$3004,"&gt;"&amp;C497)&gt;1,"⚠️ пересечение",""))</f>
        <v/>
      </c>
      <c r="M497" s="54">
        <f>IF(F497="","",IF(J497="✅ Сделано","✔ ",IF(J497="❌ Пропущено","✖ ","⏰ "))&amp;IF(C497="","",RIGHT("0"&amp;HOUR(C497),2)&amp;":"&amp;RIGHT("0"&amp;MINUTE(C497),2)&amp;IF(D497="","","–"&amp;RIGHT("0"&amp;HOUR(D497),2)&amp;":"&amp;RIGHT("0"&amp;MINUTE(D497),2))&amp;" ")&amp;F497)</f>
        <v/>
      </c>
      <c r="N497" s="54">
        <f>IF(OR(A497="",F497=""),"",A497&amp;"#"&amp;(COUNTIFS($A$5:$A$3004,A497,$F$5:$F$3004,"?*",$O$5:$O$3004,"&lt;"&amp;O497)+COUNTIFS($A$5:A497,A497,$F$5:F497,"?*",$O$5:O497,O497)))</f>
        <v/>
      </c>
      <c r="O497" s="54">
        <f>IF(A497="","",IF(C497="",0,C497))</f>
        <v/>
      </c>
    </row>
    <row r="498">
      <c r="A498" s="58" t="n"/>
      <c r="B498" s="49">
        <f>IF(A498="","",CHOOSE(WEEKDAY(A498,2),"Пн","Вт","Ср","Чт","Пт","Сб","Вс"))</f>
        <v/>
      </c>
      <c r="C498" s="59" t="n"/>
      <c r="D498" s="59" t="n"/>
      <c r="E498" s="60">
        <f>IF(OR(C498="",D498=""),"",MOD(D498-C498,1)*24)</f>
        <v/>
      </c>
      <c r="F498" s="50" t="n"/>
      <c r="G498" s="51" t="n"/>
      <c r="H498" s="51" t="n"/>
      <c r="I498" s="51" t="n"/>
      <c r="J498" s="51" t="n"/>
      <c r="K498" s="51" t="n"/>
      <c r="L498" s="54">
        <f>IF(OR(A498="",C498="",D498=""),"",IF(COUNTIFS($A$5:$A$3004,A498,$C$5:$C$3004,"&lt;"&amp;D498,$D$5:$D$3004,"&gt;"&amp;C498)&gt;1,"⚠️ пересечение",""))</f>
        <v/>
      </c>
      <c r="M498" s="54">
        <f>IF(F498="","",IF(J498="✅ Сделано","✔ ",IF(J498="❌ Пропущено","✖ ","⏰ "))&amp;IF(C498="","",RIGHT("0"&amp;HOUR(C498),2)&amp;":"&amp;RIGHT("0"&amp;MINUTE(C498),2)&amp;IF(D498="","","–"&amp;RIGHT("0"&amp;HOUR(D498),2)&amp;":"&amp;RIGHT("0"&amp;MINUTE(D498),2))&amp;" ")&amp;F498)</f>
        <v/>
      </c>
      <c r="N498" s="54">
        <f>IF(OR(A498="",F498=""),"",A498&amp;"#"&amp;(COUNTIFS($A$5:$A$3004,A498,$F$5:$F$3004,"?*",$O$5:$O$3004,"&lt;"&amp;O498)+COUNTIFS($A$5:A498,A498,$F$5:F498,"?*",$O$5:O498,O498)))</f>
        <v/>
      </c>
      <c r="O498" s="54">
        <f>IF(A498="","",IF(C498="",0,C498))</f>
        <v/>
      </c>
    </row>
    <row r="499">
      <c r="A499" s="58" t="n"/>
      <c r="B499" s="49">
        <f>IF(A499="","",CHOOSE(WEEKDAY(A499,2),"Пн","Вт","Ср","Чт","Пт","Сб","Вс"))</f>
        <v/>
      </c>
      <c r="C499" s="59" t="n"/>
      <c r="D499" s="59" t="n"/>
      <c r="E499" s="60">
        <f>IF(OR(C499="",D499=""),"",MOD(D499-C499,1)*24)</f>
        <v/>
      </c>
      <c r="F499" s="50" t="n"/>
      <c r="G499" s="51" t="n"/>
      <c r="H499" s="51" t="n"/>
      <c r="I499" s="51" t="n"/>
      <c r="J499" s="51" t="n"/>
      <c r="K499" s="51" t="n"/>
      <c r="L499" s="54">
        <f>IF(OR(A499="",C499="",D499=""),"",IF(COUNTIFS($A$5:$A$3004,A499,$C$5:$C$3004,"&lt;"&amp;D499,$D$5:$D$3004,"&gt;"&amp;C499)&gt;1,"⚠️ пересечение",""))</f>
        <v/>
      </c>
      <c r="M499" s="54">
        <f>IF(F499="","",IF(J499="✅ Сделано","✔ ",IF(J499="❌ Пропущено","✖ ","⏰ "))&amp;IF(C499="","",RIGHT("0"&amp;HOUR(C499),2)&amp;":"&amp;RIGHT("0"&amp;MINUTE(C499),2)&amp;IF(D499="","","–"&amp;RIGHT("0"&amp;HOUR(D499),2)&amp;":"&amp;RIGHT("0"&amp;MINUTE(D499),2))&amp;" ")&amp;F499)</f>
        <v/>
      </c>
      <c r="N499" s="54">
        <f>IF(OR(A499="",F499=""),"",A499&amp;"#"&amp;(COUNTIFS($A$5:$A$3004,A499,$F$5:$F$3004,"?*",$O$5:$O$3004,"&lt;"&amp;O499)+COUNTIFS($A$5:A499,A499,$F$5:F499,"?*",$O$5:O499,O499)))</f>
        <v/>
      </c>
      <c r="O499" s="54">
        <f>IF(A499="","",IF(C499="",0,C499))</f>
        <v/>
      </c>
    </row>
    <row r="500">
      <c r="A500" s="58" t="n"/>
      <c r="B500" s="49">
        <f>IF(A500="","",CHOOSE(WEEKDAY(A500,2),"Пн","Вт","Ср","Чт","Пт","Сб","Вс"))</f>
        <v/>
      </c>
      <c r="C500" s="59" t="n"/>
      <c r="D500" s="59" t="n"/>
      <c r="E500" s="60">
        <f>IF(OR(C500="",D500=""),"",MOD(D500-C500,1)*24)</f>
        <v/>
      </c>
      <c r="F500" s="50" t="n"/>
      <c r="G500" s="51" t="n"/>
      <c r="H500" s="51" t="n"/>
      <c r="I500" s="51" t="n"/>
      <c r="J500" s="51" t="n"/>
      <c r="K500" s="51" t="n"/>
      <c r="L500" s="54">
        <f>IF(OR(A500="",C500="",D500=""),"",IF(COUNTIFS($A$5:$A$3004,A500,$C$5:$C$3004,"&lt;"&amp;D500,$D$5:$D$3004,"&gt;"&amp;C500)&gt;1,"⚠️ пересечение",""))</f>
        <v/>
      </c>
      <c r="M500" s="54">
        <f>IF(F500="","",IF(J500="✅ Сделано","✔ ",IF(J500="❌ Пропущено","✖ ","⏰ "))&amp;IF(C500="","",RIGHT("0"&amp;HOUR(C500),2)&amp;":"&amp;RIGHT("0"&amp;MINUTE(C500),2)&amp;IF(D500="","","–"&amp;RIGHT("0"&amp;HOUR(D500),2)&amp;":"&amp;RIGHT("0"&amp;MINUTE(D500),2))&amp;" ")&amp;F500)</f>
        <v/>
      </c>
      <c r="N500" s="54">
        <f>IF(OR(A500="",F500=""),"",A500&amp;"#"&amp;(COUNTIFS($A$5:$A$3004,A500,$F$5:$F$3004,"?*",$O$5:$O$3004,"&lt;"&amp;O500)+COUNTIFS($A$5:A500,A500,$F$5:F500,"?*",$O$5:O500,O500)))</f>
        <v/>
      </c>
      <c r="O500" s="54">
        <f>IF(A500="","",IF(C500="",0,C500))</f>
        <v/>
      </c>
    </row>
    <row r="501">
      <c r="A501" s="58" t="n"/>
      <c r="B501" s="49">
        <f>IF(A501="","",CHOOSE(WEEKDAY(A501,2),"Пн","Вт","Ср","Чт","Пт","Сб","Вс"))</f>
        <v/>
      </c>
      <c r="C501" s="59" t="n"/>
      <c r="D501" s="59" t="n"/>
      <c r="E501" s="60">
        <f>IF(OR(C501="",D501=""),"",MOD(D501-C501,1)*24)</f>
        <v/>
      </c>
      <c r="F501" s="50" t="n"/>
      <c r="G501" s="51" t="n"/>
      <c r="H501" s="51" t="n"/>
      <c r="I501" s="51" t="n"/>
      <c r="J501" s="51" t="n"/>
      <c r="K501" s="51" t="n"/>
      <c r="L501" s="54">
        <f>IF(OR(A501="",C501="",D501=""),"",IF(COUNTIFS($A$5:$A$3004,A501,$C$5:$C$3004,"&lt;"&amp;D501,$D$5:$D$3004,"&gt;"&amp;C501)&gt;1,"⚠️ пересечение",""))</f>
        <v/>
      </c>
      <c r="M501" s="54">
        <f>IF(F501="","",IF(J501="✅ Сделано","✔ ",IF(J501="❌ Пропущено","✖ ","⏰ "))&amp;IF(C501="","",RIGHT("0"&amp;HOUR(C501),2)&amp;":"&amp;RIGHT("0"&amp;MINUTE(C501),2)&amp;IF(D501="","","–"&amp;RIGHT("0"&amp;HOUR(D501),2)&amp;":"&amp;RIGHT("0"&amp;MINUTE(D501),2))&amp;" ")&amp;F501)</f>
        <v/>
      </c>
      <c r="N501" s="54">
        <f>IF(OR(A501="",F501=""),"",A501&amp;"#"&amp;(COUNTIFS($A$5:$A$3004,A501,$F$5:$F$3004,"?*",$O$5:$O$3004,"&lt;"&amp;O501)+COUNTIFS($A$5:A501,A501,$F$5:F501,"?*",$O$5:O501,O501)))</f>
        <v/>
      </c>
      <c r="O501" s="54">
        <f>IF(A501="","",IF(C501="",0,C501))</f>
        <v/>
      </c>
    </row>
    <row r="502">
      <c r="A502" s="58" t="n"/>
      <c r="B502" s="49">
        <f>IF(A502="","",CHOOSE(WEEKDAY(A502,2),"Пн","Вт","Ср","Чт","Пт","Сб","Вс"))</f>
        <v/>
      </c>
      <c r="C502" s="59" t="n"/>
      <c r="D502" s="59" t="n"/>
      <c r="E502" s="60">
        <f>IF(OR(C502="",D502=""),"",MOD(D502-C502,1)*24)</f>
        <v/>
      </c>
      <c r="F502" s="50" t="n"/>
      <c r="G502" s="51" t="n"/>
      <c r="H502" s="51" t="n"/>
      <c r="I502" s="51" t="n"/>
      <c r="J502" s="51" t="n"/>
      <c r="K502" s="51" t="n"/>
      <c r="L502" s="54">
        <f>IF(OR(A502="",C502="",D502=""),"",IF(COUNTIFS($A$5:$A$3004,A502,$C$5:$C$3004,"&lt;"&amp;D502,$D$5:$D$3004,"&gt;"&amp;C502)&gt;1,"⚠️ пересечение",""))</f>
        <v/>
      </c>
      <c r="M502" s="54">
        <f>IF(F502="","",IF(J502="✅ Сделано","✔ ",IF(J502="❌ Пропущено","✖ ","⏰ "))&amp;IF(C502="","",RIGHT("0"&amp;HOUR(C502),2)&amp;":"&amp;RIGHT("0"&amp;MINUTE(C502),2)&amp;IF(D502="","","–"&amp;RIGHT("0"&amp;HOUR(D502),2)&amp;":"&amp;RIGHT("0"&amp;MINUTE(D502),2))&amp;" ")&amp;F502)</f>
        <v/>
      </c>
      <c r="N502" s="54">
        <f>IF(OR(A502="",F502=""),"",A502&amp;"#"&amp;(COUNTIFS($A$5:$A$3004,A502,$F$5:$F$3004,"?*",$O$5:$O$3004,"&lt;"&amp;O502)+COUNTIFS($A$5:A502,A502,$F$5:F502,"?*",$O$5:O502,O502)))</f>
        <v/>
      </c>
      <c r="O502" s="54">
        <f>IF(A502="","",IF(C502="",0,C502))</f>
        <v/>
      </c>
    </row>
    <row r="503">
      <c r="A503" s="58" t="n"/>
      <c r="B503" s="49">
        <f>IF(A503="","",CHOOSE(WEEKDAY(A503,2),"Пн","Вт","Ср","Чт","Пт","Сб","Вс"))</f>
        <v/>
      </c>
      <c r="C503" s="59" t="n"/>
      <c r="D503" s="59" t="n"/>
      <c r="E503" s="60">
        <f>IF(OR(C503="",D503=""),"",MOD(D503-C503,1)*24)</f>
        <v/>
      </c>
      <c r="F503" s="50" t="n"/>
      <c r="G503" s="51" t="n"/>
      <c r="H503" s="51" t="n"/>
      <c r="I503" s="51" t="n"/>
      <c r="J503" s="51" t="n"/>
      <c r="K503" s="51" t="n"/>
      <c r="L503" s="54">
        <f>IF(OR(A503="",C503="",D503=""),"",IF(COUNTIFS($A$5:$A$3004,A503,$C$5:$C$3004,"&lt;"&amp;D503,$D$5:$D$3004,"&gt;"&amp;C503)&gt;1,"⚠️ пересечение",""))</f>
        <v/>
      </c>
      <c r="M503" s="54">
        <f>IF(F503="","",IF(J503="✅ Сделано","✔ ",IF(J503="❌ Пропущено","✖ ","⏰ "))&amp;IF(C503="","",RIGHT("0"&amp;HOUR(C503),2)&amp;":"&amp;RIGHT("0"&amp;MINUTE(C503),2)&amp;IF(D503="","","–"&amp;RIGHT("0"&amp;HOUR(D503),2)&amp;":"&amp;RIGHT("0"&amp;MINUTE(D503),2))&amp;" ")&amp;F503)</f>
        <v/>
      </c>
      <c r="N503" s="54">
        <f>IF(OR(A503="",F503=""),"",A503&amp;"#"&amp;(COUNTIFS($A$5:$A$3004,A503,$F$5:$F$3004,"?*",$O$5:$O$3004,"&lt;"&amp;O503)+COUNTIFS($A$5:A503,A503,$F$5:F503,"?*",$O$5:O503,O503)))</f>
        <v/>
      </c>
      <c r="O503" s="54">
        <f>IF(A503="","",IF(C503="",0,C503))</f>
        <v/>
      </c>
    </row>
    <row r="504">
      <c r="A504" s="58" t="n"/>
      <c r="B504" s="49">
        <f>IF(A504="","",CHOOSE(WEEKDAY(A504,2),"Пн","Вт","Ср","Чт","Пт","Сб","Вс"))</f>
        <v/>
      </c>
      <c r="C504" s="59" t="n"/>
      <c r="D504" s="59" t="n"/>
      <c r="E504" s="60">
        <f>IF(OR(C504="",D504=""),"",MOD(D504-C504,1)*24)</f>
        <v/>
      </c>
      <c r="F504" s="50" t="n"/>
      <c r="G504" s="51" t="n"/>
      <c r="H504" s="51" t="n"/>
      <c r="I504" s="51" t="n"/>
      <c r="J504" s="51" t="n"/>
      <c r="K504" s="51" t="n"/>
      <c r="L504" s="54">
        <f>IF(OR(A504="",C504="",D504=""),"",IF(COUNTIFS($A$5:$A$3004,A504,$C$5:$C$3004,"&lt;"&amp;D504,$D$5:$D$3004,"&gt;"&amp;C504)&gt;1,"⚠️ пересечение",""))</f>
        <v/>
      </c>
      <c r="M504" s="54">
        <f>IF(F504="","",IF(J504="✅ Сделано","✔ ",IF(J504="❌ Пропущено","✖ ","⏰ "))&amp;IF(C504="","",RIGHT("0"&amp;HOUR(C504),2)&amp;":"&amp;RIGHT("0"&amp;MINUTE(C504),2)&amp;IF(D504="","","–"&amp;RIGHT("0"&amp;HOUR(D504),2)&amp;":"&amp;RIGHT("0"&amp;MINUTE(D504),2))&amp;" ")&amp;F504)</f>
        <v/>
      </c>
      <c r="N504" s="54">
        <f>IF(OR(A504="",F504=""),"",A504&amp;"#"&amp;(COUNTIFS($A$5:$A$3004,A504,$F$5:$F$3004,"?*",$O$5:$O$3004,"&lt;"&amp;O504)+COUNTIFS($A$5:A504,A504,$F$5:F504,"?*",$O$5:O504,O504)))</f>
        <v/>
      </c>
      <c r="O504" s="54">
        <f>IF(A504="","",IF(C504="",0,C504))</f>
        <v/>
      </c>
    </row>
    <row r="505">
      <c r="A505" s="58" t="n"/>
      <c r="B505" s="49">
        <f>IF(A505="","",CHOOSE(WEEKDAY(A505,2),"Пн","Вт","Ср","Чт","Пт","Сб","Вс"))</f>
        <v/>
      </c>
      <c r="C505" s="59" t="n"/>
      <c r="D505" s="59" t="n"/>
      <c r="E505" s="60">
        <f>IF(OR(C505="",D505=""),"",MOD(D505-C505,1)*24)</f>
        <v/>
      </c>
      <c r="F505" s="50" t="n"/>
      <c r="G505" s="51" t="n"/>
      <c r="H505" s="51" t="n"/>
      <c r="I505" s="51" t="n"/>
      <c r="J505" s="51" t="n"/>
      <c r="K505" s="51" t="n"/>
      <c r="L505" s="54">
        <f>IF(OR(A505="",C505="",D505=""),"",IF(COUNTIFS($A$5:$A$3004,A505,$C$5:$C$3004,"&lt;"&amp;D505,$D$5:$D$3004,"&gt;"&amp;C505)&gt;1,"⚠️ пересечение",""))</f>
        <v/>
      </c>
      <c r="M505" s="54">
        <f>IF(F505="","",IF(J505="✅ Сделано","✔ ",IF(J505="❌ Пропущено","✖ ","⏰ "))&amp;IF(C505="","",RIGHT("0"&amp;HOUR(C505),2)&amp;":"&amp;RIGHT("0"&amp;MINUTE(C505),2)&amp;IF(D505="","","–"&amp;RIGHT("0"&amp;HOUR(D505),2)&amp;":"&amp;RIGHT("0"&amp;MINUTE(D505),2))&amp;" ")&amp;F505)</f>
        <v/>
      </c>
      <c r="N505" s="54">
        <f>IF(OR(A505="",F505=""),"",A505&amp;"#"&amp;(COUNTIFS($A$5:$A$3004,A505,$F$5:$F$3004,"?*",$O$5:$O$3004,"&lt;"&amp;O505)+COUNTIFS($A$5:A505,A505,$F$5:F505,"?*",$O$5:O505,O505)))</f>
        <v/>
      </c>
      <c r="O505" s="54">
        <f>IF(A505="","",IF(C505="",0,C505))</f>
        <v/>
      </c>
    </row>
    <row r="506">
      <c r="A506" s="58" t="n"/>
      <c r="B506" s="49">
        <f>IF(A506="","",CHOOSE(WEEKDAY(A506,2),"Пн","Вт","Ср","Чт","Пт","Сб","Вс"))</f>
        <v/>
      </c>
      <c r="C506" s="59" t="n"/>
      <c r="D506" s="59" t="n"/>
      <c r="E506" s="60">
        <f>IF(OR(C506="",D506=""),"",MOD(D506-C506,1)*24)</f>
        <v/>
      </c>
      <c r="F506" s="50" t="n"/>
      <c r="G506" s="51" t="n"/>
      <c r="H506" s="51" t="n"/>
      <c r="I506" s="51" t="n"/>
      <c r="J506" s="51" t="n"/>
      <c r="K506" s="51" t="n"/>
      <c r="L506" s="54">
        <f>IF(OR(A506="",C506="",D506=""),"",IF(COUNTIFS($A$5:$A$3004,A506,$C$5:$C$3004,"&lt;"&amp;D506,$D$5:$D$3004,"&gt;"&amp;C506)&gt;1,"⚠️ пересечение",""))</f>
        <v/>
      </c>
      <c r="M506" s="54">
        <f>IF(F506="","",IF(J506="✅ Сделано","✔ ",IF(J506="❌ Пропущено","✖ ","⏰ "))&amp;IF(C506="","",RIGHT("0"&amp;HOUR(C506),2)&amp;":"&amp;RIGHT("0"&amp;MINUTE(C506),2)&amp;IF(D506="","","–"&amp;RIGHT("0"&amp;HOUR(D506),2)&amp;":"&amp;RIGHT("0"&amp;MINUTE(D506),2))&amp;" ")&amp;F506)</f>
        <v/>
      </c>
      <c r="N506" s="54">
        <f>IF(OR(A506="",F506=""),"",A506&amp;"#"&amp;(COUNTIFS($A$5:$A$3004,A506,$F$5:$F$3004,"?*",$O$5:$O$3004,"&lt;"&amp;O506)+COUNTIFS($A$5:A506,A506,$F$5:F506,"?*",$O$5:O506,O506)))</f>
        <v/>
      </c>
      <c r="O506" s="54">
        <f>IF(A506="","",IF(C506="",0,C506))</f>
        <v/>
      </c>
    </row>
    <row r="507">
      <c r="A507" s="58" t="n"/>
      <c r="B507" s="49">
        <f>IF(A507="","",CHOOSE(WEEKDAY(A507,2),"Пн","Вт","Ср","Чт","Пт","Сб","Вс"))</f>
        <v/>
      </c>
      <c r="C507" s="59" t="n"/>
      <c r="D507" s="59" t="n"/>
      <c r="E507" s="60">
        <f>IF(OR(C507="",D507=""),"",MOD(D507-C507,1)*24)</f>
        <v/>
      </c>
      <c r="F507" s="50" t="n"/>
      <c r="G507" s="51" t="n"/>
      <c r="H507" s="51" t="n"/>
      <c r="I507" s="51" t="n"/>
      <c r="J507" s="51" t="n"/>
      <c r="K507" s="51" t="n"/>
      <c r="L507" s="54">
        <f>IF(OR(A507="",C507="",D507=""),"",IF(COUNTIFS($A$5:$A$3004,A507,$C$5:$C$3004,"&lt;"&amp;D507,$D$5:$D$3004,"&gt;"&amp;C507)&gt;1,"⚠️ пересечение",""))</f>
        <v/>
      </c>
      <c r="M507" s="54">
        <f>IF(F507="","",IF(J507="✅ Сделано","✔ ",IF(J507="❌ Пропущено","✖ ","⏰ "))&amp;IF(C507="","",RIGHT("0"&amp;HOUR(C507),2)&amp;":"&amp;RIGHT("0"&amp;MINUTE(C507),2)&amp;IF(D507="","","–"&amp;RIGHT("0"&amp;HOUR(D507),2)&amp;":"&amp;RIGHT("0"&amp;MINUTE(D507),2))&amp;" ")&amp;F507)</f>
        <v/>
      </c>
      <c r="N507" s="54">
        <f>IF(OR(A507="",F507=""),"",A507&amp;"#"&amp;(COUNTIFS($A$5:$A$3004,A507,$F$5:$F$3004,"?*",$O$5:$O$3004,"&lt;"&amp;O507)+COUNTIFS($A$5:A507,A507,$F$5:F507,"?*",$O$5:O507,O507)))</f>
        <v/>
      </c>
      <c r="O507" s="54">
        <f>IF(A507="","",IF(C507="",0,C507))</f>
        <v/>
      </c>
    </row>
    <row r="508">
      <c r="A508" s="58" t="n"/>
      <c r="B508" s="49">
        <f>IF(A508="","",CHOOSE(WEEKDAY(A508,2),"Пн","Вт","Ср","Чт","Пт","Сб","Вс"))</f>
        <v/>
      </c>
      <c r="C508" s="59" t="n"/>
      <c r="D508" s="59" t="n"/>
      <c r="E508" s="60">
        <f>IF(OR(C508="",D508=""),"",MOD(D508-C508,1)*24)</f>
        <v/>
      </c>
      <c r="F508" s="50" t="n"/>
      <c r="G508" s="51" t="n"/>
      <c r="H508" s="51" t="n"/>
      <c r="I508" s="51" t="n"/>
      <c r="J508" s="51" t="n"/>
      <c r="K508" s="51" t="n"/>
      <c r="L508" s="54">
        <f>IF(OR(A508="",C508="",D508=""),"",IF(COUNTIFS($A$5:$A$3004,A508,$C$5:$C$3004,"&lt;"&amp;D508,$D$5:$D$3004,"&gt;"&amp;C508)&gt;1,"⚠️ пересечение",""))</f>
        <v/>
      </c>
      <c r="M508" s="54">
        <f>IF(F508="","",IF(J508="✅ Сделано","✔ ",IF(J508="❌ Пропущено","✖ ","⏰ "))&amp;IF(C508="","",RIGHT("0"&amp;HOUR(C508),2)&amp;":"&amp;RIGHT("0"&amp;MINUTE(C508),2)&amp;IF(D508="","","–"&amp;RIGHT("0"&amp;HOUR(D508),2)&amp;":"&amp;RIGHT("0"&amp;MINUTE(D508),2))&amp;" ")&amp;F508)</f>
        <v/>
      </c>
      <c r="N508" s="54">
        <f>IF(OR(A508="",F508=""),"",A508&amp;"#"&amp;(COUNTIFS($A$5:$A$3004,A508,$F$5:$F$3004,"?*",$O$5:$O$3004,"&lt;"&amp;O508)+COUNTIFS($A$5:A508,A508,$F$5:F508,"?*",$O$5:O508,O508)))</f>
        <v/>
      </c>
      <c r="O508" s="54">
        <f>IF(A508="","",IF(C508="",0,C508))</f>
        <v/>
      </c>
    </row>
    <row r="509">
      <c r="A509" s="58" t="n"/>
      <c r="B509" s="49">
        <f>IF(A509="","",CHOOSE(WEEKDAY(A509,2),"Пн","Вт","Ср","Чт","Пт","Сб","Вс"))</f>
        <v/>
      </c>
      <c r="C509" s="59" t="n"/>
      <c r="D509" s="59" t="n"/>
      <c r="E509" s="60">
        <f>IF(OR(C509="",D509=""),"",MOD(D509-C509,1)*24)</f>
        <v/>
      </c>
      <c r="F509" s="50" t="n"/>
      <c r="G509" s="51" t="n"/>
      <c r="H509" s="51" t="n"/>
      <c r="I509" s="51" t="n"/>
      <c r="J509" s="51" t="n"/>
      <c r="K509" s="51" t="n"/>
      <c r="L509" s="54">
        <f>IF(OR(A509="",C509="",D509=""),"",IF(COUNTIFS($A$5:$A$3004,A509,$C$5:$C$3004,"&lt;"&amp;D509,$D$5:$D$3004,"&gt;"&amp;C509)&gt;1,"⚠️ пересечение",""))</f>
        <v/>
      </c>
      <c r="M509" s="54">
        <f>IF(F509="","",IF(J509="✅ Сделано","✔ ",IF(J509="❌ Пропущено","✖ ","⏰ "))&amp;IF(C509="","",RIGHT("0"&amp;HOUR(C509),2)&amp;":"&amp;RIGHT("0"&amp;MINUTE(C509),2)&amp;IF(D509="","","–"&amp;RIGHT("0"&amp;HOUR(D509),2)&amp;":"&amp;RIGHT("0"&amp;MINUTE(D509),2))&amp;" ")&amp;F509)</f>
        <v/>
      </c>
      <c r="N509" s="54">
        <f>IF(OR(A509="",F509=""),"",A509&amp;"#"&amp;(COUNTIFS($A$5:$A$3004,A509,$F$5:$F$3004,"?*",$O$5:$O$3004,"&lt;"&amp;O509)+COUNTIFS($A$5:A509,A509,$F$5:F509,"?*",$O$5:O509,O509)))</f>
        <v/>
      </c>
      <c r="O509" s="54">
        <f>IF(A509="","",IF(C509="",0,C509))</f>
        <v/>
      </c>
    </row>
    <row r="510">
      <c r="A510" s="58" t="n"/>
      <c r="B510" s="49">
        <f>IF(A510="","",CHOOSE(WEEKDAY(A510,2),"Пн","Вт","Ср","Чт","Пт","Сб","Вс"))</f>
        <v/>
      </c>
      <c r="C510" s="59" t="n"/>
      <c r="D510" s="59" t="n"/>
      <c r="E510" s="60">
        <f>IF(OR(C510="",D510=""),"",MOD(D510-C510,1)*24)</f>
        <v/>
      </c>
      <c r="F510" s="50" t="n"/>
      <c r="G510" s="51" t="n"/>
      <c r="H510" s="51" t="n"/>
      <c r="I510" s="51" t="n"/>
      <c r="J510" s="51" t="n"/>
      <c r="K510" s="51" t="n"/>
      <c r="L510" s="54">
        <f>IF(OR(A510="",C510="",D510=""),"",IF(COUNTIFS($A$5:$A$3004,A510,$C$5:$C$3004,"&lt;"&amp;D510,$D$5:$D$3004,"&gt;"&amp;C510)&gt;1,"⚠️ пересечение",""))</f>
        <v/>
      </c>
      <c r="M510" s="54">
        <f>IF(F510="","",IF(J510="✅ Сделано","✔ ",IF(J510="❌ Пропущено","✖ ","⏰ "))&amp;IF(C510="","",RIGHT("0"&amp;HOUR(C510),2)&amp;":"&amp;RIGHT("0"&amp;MINUTE(C510),2)&amp;IF(D510="","","–"&amp;RIGHT("0"&amp;HOUR(D510),2)&amp;":"&amp;RIGHT("0"&amp;MINUTE(D510),2))&amp;" ")&amp;F510)</f>
        <v/>
      </c>
      <c r="N510" s="54">
        <f>IF(OR(A510="",F510=""),"",A510&amp;"#"&amp;(COUNTIFS($A$5:$A$3004,A510,$F$5:$F$3004,"?*",$O$5:$O$3004,"&lt;"&amp;O510)+COUNTIFS($A$5:A510,A510,$F$5:F510,"?*",$O$5:O510,O510)))</f>
        <v/>
      </c>
      <c r="O510" s="54">
        <f>IF(A510="","",IF(C510="",0,C510))</f>
        <v/>
      </c>
    </row>
    <row r="511">
      <c r="A511" s="58" t="n"/>
      <c r="B511" s="49">
        <f>IF(A511="","",CHOOSE(WEEKDAY(A511,2),"Пн","Вт","Ср","Чт","Пт","Сб","Вс"))</f>
        <v/>
      </c>
      <c r="C511" s="59" t="n"/>
      <c r="D511" s="59" t="n"/>
      <c r="E511" s="60">
        <f>IF(OR(C511="",D511=""),"",MOD(D511-C511,1)*24)</f>
        <v/>
      </c>
      <c r="F511" s="50" t="n"/>
      <c r="G511" s="51" t="n"/>
      <c r="H511" s="51" t="n"/>
      <c r="I511" s="51" t="n"/>
      <c r="J511" s="51" t="n"/>
      <c r="K511" s="51" t="n"/>
      <c r="L511" s="54">
        <f>IF(OR(A511="",C511="",D511=""),"",IF(COUNTIFS($A$5:$A$3004,A511,$C$5:$C$3004,"&lt;"&amp;D511,$D$5:$D$3004,"&gt;"&amp;C511)&gt;1,"⚠️ пересечение",""))</f>
        <v/>
      </c>
      <c r="M511" s="54">
        <f>IF(F511="","",IF(J511="✅ Сделано","✔ ",IF(J511="❌ Пропущено","✖ ","⏰ "))&amp;IF(C511="","",RIGHT("0"&amp;HOUR(C511),2)&amp;":"&amp;RIGHT("0"&amp;MINUTE(C511),2)&amp;IF(D511="","","–"&amp;RIGHT("0"&amp;HOUR(D511),2)&amp;":"&amp;RIGHT("0"&amp;MINUTE(D511),2))&amp;" ")&amp;F511)</f>
        <v/>
      </c>
      <c r="N511" s="54">
        <f>IF(OR(A511="",F511=""),"",A511&amp;"#"&amp;(COUNTIFS($A$5:$A$3004,A511,$F$5:$F$3004,"?*",$O$5:$O$3004,"&lt;"&amp;O511)+COUNTIFS($A$5:A511,A511,$F$5:F511,"?*",$O$5:O511,O511)))</f>
        <v/>
      </c>
      <c r="O511" s="54">
        <f>IF(A511="","",IF(C511="",0,C511))</f>
        <v/>
      </c>
    </row>
    <row r="512">
      <c r="A512" s="58" t="n"/>
      <c r="B512" s="49">
        <f>IF(A512="","",CHOOSE(WEEKDAY(A512,2),"Пн","Вт","Ср","Чт","Пт","Сб","Вс"))</f>
        <v/>
      </c>
      <c r="C512" s="59" t="n"/>
      <c r="D512" s="59" t="n"/>
      <c r="E512" s="60">
        <f>IF(OR(C512="",D512=""),"",MOD(D512-C512,1)*24)</f>
        <v/>
      </c>
      <c r="F512" s="50" t="n"/>
      <c r="G512" s="51" t="n"/>
      <c r="H512" s="51" t="n"/>
      <c r="I512" s="51" t="n"/>
      <c r="J512" s="51" t="n"/>
      <c r="K512" s="51" t="n"/>
      <c r="L512" s="54">
        <f>IF(OR(A512="",C512="",D512=""),"",IF(COUNTIFS($A$5:$A$3004,A512,$C$5:$C$3004,"&lt;"&amp;D512,$D$5:$D$3004,"&gt;"&amp;C512)&gt;1,"⚠️ пересечение",""))</f>
        <v/>
      </c>
      <c r="M512" s="54">
        <f>IF(F512="","",IF(J512="✅ Сделано","✔ ",IF(J512="❌ Пропущено","✖ ","⏰ "))&amp;IF(C512="","",RIGHT("0"&amp;HOUR(C512),2)&amp;":"&amp;RIGHT("0"&amp;MINUTE(C512),2)&amp;IF(D512="","","–"&amp;RIGHT("0"&amp;HOUR(D512),2)&amp;":"&amp;RIGHT("0"&amp;MINUTE(D512),2))&amp;" ")&amp;F512)</f>
        <v/>
      </c>
      <c r="N512" s="54">
        <f>IF(OR(A512="",F512=""),"",A512&amp;"#"&amp;(COUNTIFS($A$5:$A$3004,A512,$F$5:$F$3004,"?*",$O$5:$O$3004,"&lt;"&amp;O512)+COUNTIFS($A$5:A512,A512,$F$5:F512,"?*",$O$5:O512,O512)))</f>
        <v/>
      </c>
      <c r="O512" s="54">
        <f>IF(A512="","",IF(C512="",0,C512))</f>
        <v/>
      </c>
    </row>
    <row r="513">
      <c r="A513" s="58" t="n"/>
      <c r="B513" s="49">
        <f>IF(A513="","",CHOOSE(WEEKDAY(A513,2),"Пн","Вт","Ср","Чт","Пт","Сб","Вс"))</f>
        <v/>
      </c>
      <c r="C513" s="59" t="n"/>
      <c r="D513" s="59" t="n"/>
      <c r="E513" s="60">
        <f>IF(OR(C513="",D513=""),"",MOD(D513-C513,1)*24)</f>
        <v/>
      </c>
      <c r="F513" s="50" t="n"/>
      <c r="G513" s="51" t="n"/>
      <c r="H513" s="51" t="n"/>
      <c r="I513" s="51" t="n"/>
      <c r="J513" s="51" t="n"/>
      <c r="K513" s="51" t="n"/>
      <c r="L513" s="54">
        <f>IF(OR(A513="",C513="",D513=""),"",IF(COUNTIFS($A$5:$A$3004,A513,$C$5:$C$3004,"&lt;"&amp;D513,$D$5:$D$3004,"&gt;"&amp;C513)&gt;1,"⚠️ пересечение",""))</f>
        <v/>
      </c>
      <c r="M513" s="54">
        <f>IF(F513="","",IF(J513="✅ Сделано","✔ ",IF(J513="❌ Пропущено","✖ ","⏰ "))&amp;IF(C513="","",RIGHT("0"&amp;HOUR(C513),2)&amp;":"&amp;RIGHT("0"&amp;MINUTE(C513),2)&amp;IF(D513="","","–"&amp;RIGHT("0"&amp;HOUR(D513),2)&amp;":"&amp;RIGHT("0"&amp;MINUTE(D513),2))&amp;" ")&amp;F513)</f>
        <v/>
      </c>
      <c r="N513" s="54">
        <f>IF(OR(A513="",F513=""),"",A513&amp;"#"&amp;(COUNTIFS($A$5:$A$3004,A513,$F$5:$F$3004,"?*",$O$5:$O$3004,"&lt;"&amp;O513)+COUNTIFS($A$5:A513,A513,$F$5:F513,"?*",$O$5:O513,O513)))</f>
        <v/>
      </c>
      <c r="O513" s="54">
        <f>IF(A513="","",IF(C513="",0,C513))</f>
        <v/>
      </c>
    </row>
    <row r="514">
      <c r="A514" s="58" t="n"/>
      <c r="B514" s="49">
        <f>IF(A514="","",CHOOSE(WEEKDAY(A514,2),"Пн","Вт","Ср","Чт","Пт","Сб","Вс"))</f>
        <v/>
      </c>
      <c r="C514" s="59" t="n"/>
      <c r="D514" s="59" t="n"/>
      <c r="E514" s="60">
        <f>IF(OR(C514="",D514=""),"",MOD(D514-C514,1)*24)</f>
        <v/>
      </c>
      <c r="F514" s="50" t="n"/>
      <c r="G514" s="51" t="n"/>
      <c r="H514" s="51" t="n"/>
      <c r="I514" s="51" t="n"/>
      <c r="J514" s="51" t="n"/>
      <c r="K514" s="51" t="n"/>
      <c r="L514" s="54">
        <f>IF(OR(A514="",C514="",D514=""),"",IF(COUNTIFS($A$5:$A$3004,A514,$C$5:$C$3004,"&lt;"&amp;D514,$D$5:$D$3004,"&gt;"&amp;C514)&gt;1,"⚠️ пересечение",""))</f>
        <v/>
      </c>
      <c r="M514" s="54">
        <f>IF(F514="","",IF(J514="✅ Сделано","✔ ",IF(J514="❌ Пропущено","✖ ","⏰ "))&amp;IF(C514="","",RIGHT("0"&amp;HOUR(C514),2)&amp;":"&amp;RIGHT("0"&amp;MINUTE(C514),2)&amp;IF(D514="","","–"&amp;RIGHT("0"&amp;HOUR(D514),2)&amp;":"&amp;RIGHT("0"&amp;MINUTE(D514),2))&amp;" ")&amp;F514)</f>
        <v/>
      </c>
      <c r="N514" s="54">
        <f>IF(OR(A514="",F514=""),"",A514&amp;"#"&amp;(COUNTIFS($A$5:$A$3004,A514,$F$5:$F$3004,"?*",$O$5:$O$3004,"&lt;"&amp;O514)+COUNTIFS($A$5:A514,A514,$F$5:F514,"?*",$O$5:O514,O514)))</f>
        <v/>
      </c>
      <c r="O514" s="54">
        <f>IF(A514="","",IF(C514="",0,C514))</f>
        <v/>
      </c>
    </row>
    <row r="515">
      <c r="A515" s="58" t="n"/>
      <c r="B515" s="49">
        <f>IF(A515="","",CHOOSE(WEEKDAY(A515,2),"Пн","Вт","Ср","Чт","Пт","Сб","Вс"))</f>
        <v/>
      </c>
      <c r="C515" s="59" t="n"/>
      <c r="D515" s="59" t="n"/>
      <c r="E515" s="60">
        <f>IF(OR(C515="",D515=""),"",MOD(D515-C515,1)*24)</f>
        <v/>
      </c>
      <c r="F515" s="50" t="n"/>
      <c r="G515" s="51" t="n"/>
      <c r="H515" s="51" t="n"/>
      <c r="I515" s="51" t="n"/>
      <c r="J515" s="51" t="n"/>
      <c r="K515" s="51" t="n"/>
      <c r="L515" s="54">
        <f>IF(OR(A515="",C515="",D515=""),"",IF(COUNTIFS($A$5:$A$3004,A515,$C$5:$C$3004,"&lt;"&amp;D515,$D$5:$D$3004,"&gt;"&amp;C515)&gt;1,"⚠️ пересечение",""))</f>
        <v/>
      </c>
      <c r="M515" s="54">
        <f>IF(F515="","",IF(J515="✅ Сделано","✔ ",IF(J515="❌ Пропущено","✖ ","⏰ "))&amp;IF(C515="","",RIGHT("0"&amp;HOUR(C515),2)&amp;":"&amp;RIGHT("0"&amp;MINUTE(C515),2)&amp;IF(D515="","","–"&amp;RIGHT("0"&amp;HOUR(D515),2)&amp;":"&amp;RIGHT("0"&amp;MINUTE(D515),2))&amp;" ")&amp;F515)</f>
        <v/>
      </c>
      <c r="N515" s="54">
        <f>IF(OR(A515="",F515=""),"",A515&amp;"#"&amp;(COUNTIFS($A$5:$A$3004,A515,$F$5:$F$3004,"?*",$O$5:$O$3004,"&lt;"&amp;O515)+COUNTIFS($A$5:A515,A515,$F$5:F515,"?*",$O$5:O515,O515)))</f>
        <v/>
      </c>
      <c r="O515" s="54">
        <f>IF(A515="","",IF(C515="",0,C515))</f>
        <v/>
      </c>
    </row>
    <row r="516">
      <c r="A516" s="58" t="n"/>
      <c r="B516" s="49">
        <f>IF(A516="","",CHOOSE(WEEKDAY(A516,2),"Пн","Вт","Ср","Чт","Пт","Сб","Вс"))</f>
        <v/>
      </c>
      <c r="C516" s="59" t="n"/>
      <c r="D516" s="59" t="n"/>
      <c r="E516" s="60">
        <f>IF(OR(C516="",D516=""),"",MOD(D516-C516,1)*24)</f>
        <v/>
      </c>
      <c r="F516" s="50" t="n"/>
      <c r="G516" s="51" t="n"/>
      <c r="H516" s="51" t="n"/>
      <c r="I516" s="51" t="n"/>
      <c r="J516" s="51" t="n"/>
      <c r="K516" s="51" t="n"/>
      <c r="L516" s="54">
        <f>IF(OR(A516="",C516="",D516=""),"",IF(COUNTIFS($A$5:$A$3004,A516,$C$5:$C$3004,"&lt;"&amp;D516,$D$5:$D$3004,"&gt;"&amp;C516)&gt;1,"⚠️ пересечение",""))</f>
        <v/>
      </c>
      <c r="M516" s="54">
        <f>IF(F516="","",IF(J516="✅ Сделано","✔ ",IF(J516="❌ Пропущено","✖ ","⏰ "))&amp;IF(C516="","",RIGHT("0"&amp;HOUR(C516),2)&amp;":"&amp;RIGHT("0"&amp;MINUTE(C516),2)&amp;IF(D516="","","–"&amp;RIGHT("0"&amp;HOUR(D516),2)&amp;":"&amp;RIGHT("0"&amp;MINUTE(D516),2))&amp;" ")&amp;F516)</f>
        <v/>
      </c>
      <c r="N516" s="54">
        <f>IF(OR(A516="",F516=""),"",A516&amp;"#"&amp;(COUNTIFS($A$5:$A$3004,A516,$F$5:$F$3004,"?*",$O$5:$O$3004,"&lt;"&amp;O516)+COUNTIFS($A$5:A516,A516,$F$5:F516,"?*",$O$5:O516,O516)))</f>
        <v/>
      </c>
      <c r="O516" s="54">
        <f>IF(A516="","",IF(C516="",0,C516))</f>
        <v/>
      </c>
    </row>
    <row r="517">
      <c r="A517" s="58" t="n"/>
      <c r="B517" s="49">
        <f>IF(A517="","",CHOOSE(WEEKDAY(A517,2),"Пн","Вт","Ср","Чт","Пт","Сб","Вс"))</f>
        <v/>
      </c>
      <c r="C517" s="59" t="n"/>
      <c r="D517" s="59" t="n"/>
      <c r="E517" s="60">
        <f>IF(OR(C517="",D517=""),"",MOD(D517-C517,1)*24)</f>
        <v/>
      </c>
      <c r="F517" s="50" t="n"/>
      <c r="G517" s="51" t="n"/>
      <c r="H517" s="51" t="n"/>
      <c r="I517" s="51" t="n"/>
      <c r="J517" s="51" t="n"/>
      <c r="K517" s="51" t="n"/>
      <c r="L517" s="54">
        <f>IF(OR(A517="",C517="",D517=""),"",IF(COUNTIFS($A$5:$A$3004,A517,$C$5:$C$3004,"&lt;"&amp;D517,$D$5:$D$3004,"&gt;"&amp;C517)&gt;1,"⚠️ пересечение",""))</f>
        <v/>
      </c>
      <c r="M517" s="54">
        <f>IF(F517="","",IF(J517="✅ Сделано","✔ ",IF(J517="❌ Пропущено","✖ ","⏰ "))&amp;IF(C517="","",RIGHT("0"&amp;HOUR(C517),2)&amp;":"&amp;RIGHT("0"&amp;MINUTE(C517),2)&amp;IF(D517="","","–"&amp;RIGHT("0"&amp;HOUR(D517),2)&amp;":"&amp;RIGHT("0"&amp;MINUTE(D517),2))&amp;" ")&amp;F517)</f>
        <v/>
      </c>
      <c r="N517" s="54">
        <f>IF(OR(A517="",F517=""),"",A517&amp;"#"&amp;(COUNTIFS($A$5:$A$3004,A517,$F$5:$F$3004,"?*",$O$5:$O$3004,"&lt;"&amp;O517)+COUNTIFS($A$5:A517,A517,$F$5:F517,"?*",$O$5:O517,O517)))</f>
        <v/>
      </c>
      <c r="O517" s="54">
        <f>IF(A517="","",IF(C517="",0,C517))</f>
        <v/>
      </c>
    </row>
    <row r="518">
      <c r="A518" s="58" t="n"/>
      <c r="B518" s="49">
        <f>IF(A518="","",CHOOSE(WEEKDAY(A518,2),"Пн","Вт","Ср","Чт","Пт","Сб","Вс"))</f>
        <v/>
      </c>
      <c r="C518" s="59" t="n"/>
      <c r="D518" s="59" t="n"/>
      <c r="E518" s="60">
        <f>IF(OR(C518="",D518=""),"",MOD(D518-C518,1)*24)</f>
        <v/>
      </c>
      <c r="F518" s="50" t="n"/>
      <c r="G518" s="51" t="n"/>
      <c r="H518" s="51" t="n"/>
      <c r="I518" s="51" t="n"/>
      <c r="J518" s="51" t="n"/>
      <c r="K518" s="51" t="n"/>
      <c r="L518" s="54">
        <f>IF(OR(A518="",C518="",D518=""),"",IF(COUNTIFS($A$5:$A$3004,A518,$C$5:$C$3004,"&lt;"&amp;D518,$D$5:$D$3004,"&gt;"&amp;C518)&gt;1,"⚠️ пересечение",""))</f>
        <v/>
      </c>
      <c r="M518" s="54">
        <f>IF(F518="","",IF(J518="✅ Сделано","✔ ",IF(J518="❌ Пропущено","✖ ","⏰ "))&amp;IF(C518="","",RIGHT("0"&amp;HOUR(C518),2)&amp;":"&amp;RIGHT("0"&amp;MINUTE(C518),2)&amp;IF(D518="","","–"&amp;RIGHT("0"&amp;HOUR(D518),2)&amp;":"&amp;RIGHT("0"&amp;MINUTE(D518),2))&amp;" ")&amp;F518)</f>
        <v/>
      </c>
      <c r="N518" s="54">
        <f>IF(OR(A518="",F518=""),"",A518&amp;"#"&amp;(COUNTIFS($A$5:$A$3004,A518,$F$5:$F$3004,"?*",$O$5:$O$3004,"&lt;"&amp;O518)+COUNTIFS($A$5:A518,A518,$F$5:F518,"?*",$O$5:O518,O518)))</f>
        <v/>
      </c>
      <c r="O518" s="54">
        <f>IF(A518="","",IF(C518="",0,C518))</f>
        <v/>
      </c>
    </row>
    <row r="519">
      <c r="A519" s="58" t="n"/>
      <c r="B519" s="49">
        <f>IF(A519="","",CHOOSE(WEEKDAY(A519,2),"Пн","Вт","Ср","Чт","Пт","Сб","Вс"))</f>
        <v/>
      </c>
      <c r="C519" s="59" t="n"/>
      <c r="D519" s="59" t="n"/>
      <c r="E519" s="60">
        <f>IF(OR(C519="",D519=""),"",MOD(D519-C519,1)*24)</f>
        <v/>
      </c>
      <c r="F519" s="50" t="n"/>
      <c r="G519" s="51" t="n"/>
      <c r="H519" s="51" t="n"/>
      <c r="I519" s="51" t="n"/>
      <c r="J519" s="51" t="n"/>
      <c r="K519" s="51" t="n"/>
      <c r="L519" s="54">
        <f>IF(OR(A519="",C519="",D519=""),"",IF(COUNTIFS($A$5:$A$3004,A519,$C$5:$C$3004,"&lt;"&amp;D519,$D$5:$D$3004,"&gt;"&amp;C519)&gt;1,"⚠️ пересечение",""))</f>
        <v/>
      </c>
      <c r="M519" s="54">
        <f>IF(F519="","",IF(J519="✅ Сделано","✔ ",IF(J519="❌ Пропущено","✖ ","⏰ "))&amp;IF(C519="","",RIGHT("0"&amp;HOUR(C519),2)&amp;":"&amp;RIGHT("0"&amp;MINUTE(C519),2)&amp;IF(D519="","","–"&amp;RIGHT("0"&amp;HOUR(D519),2)&amp;":"&amp;RIGHT("0"&amp;MINUTE(D519),2))&amp;" ")&amp;F519)</f>
        <v/>
      </c>
      <c r="N519" s="54">
        <f>IF(OR(A519="",F519=""),"",A519&amp;"#"&amp;(COUNTIFS($A$5:$A$3004,A519,$F$5:$F$3004,"?*",$O$5:$O$3004,"&lt;"&amp;O519)+COUNTIFS($A$5:A519,A519,$F$5:F519,"?*",$O$5:O519,O519)))</f>
        <v/>
      </c>
      <c r="O519" s="54">
        <f>IF(A519="","",IF(C519="",0,C519))</f>
        <v/>
      </c>
    </row>
    <row r="520">
      <c r="A520" s="58" t="n"/>
      <c r="B520" s="49">
        <f>IF(A520="","",CHOOSE(WEEKDAY(A520,2),"Пн","Вт","Ср","Чт","Пт","Сб","Вс"))</f>
        <v/>
      </c>
      <c r="C520" s="59" t="n"/>
      <c r="D520" s="59" t="n"/>
      <c r="E520" s="60">
        <f>IF(OR(C520="",D520=""),"",MOD(D520-C520,1)*24)</f>
        <v/>
      </c>
      <c r="F520" s="50" t="n"/>
      <c r="G520" s="51" t="n"/>
      <c r="H520" s="51" t="n"/>
      <c r="I520" s="51" t="n"/>
      <c r="J520" s="51" t="n"/>
      <c r="K520" s="51" t="n"/>
      <c r="L520" s="54">
        <f>IF(OR(A520="",C520="",D520=""),"",IF(COUNTIFS($A$5:$A$3004,A520,$C$5:$C$3004,"&lt;"&amp;D520,$D$5:$D$3004,"&gt;"&amp;C520)&gt;1,"⚠️ пересечение",""))</f>
        <v/>
      </c>
      <c r="M520" s="54">
        <f>IF(F520="","",IF(J520="✅ Сделано","✔ ",IF(J520="❌ Пропущено","✖ ","⏰ "))&amp;IF(C520="","",RIGHT("0"&amp;HOUR(C520),2)&amp;":"&amp;RIGHT("0"&amp;MINUTE(C520),2)&amp;IF(D520="","","–"&amp;RIGHT("0"&amp;HOUR(D520),2)&amp;":"&amp;RIGHT("0"&amp;MINUTE(D520),2))&amp;" ")&amp;F520)</f>
        <v/>
      </c>
      <c r="N520" s="54">
        <f>IF(OR(A520="",F520=""),"",A520&amp;"#"&amp;(COUNTIFS($A$5:$A$3004,A520,$F$5:$F$3004,"?*",$O$5:$O$3004,"&lt;"&amp;O520)+COUNTIFS($A$5:A520,A520,$F$5:F520,"?*",$O$5:O520,O520)))</f>
        <v/>
      </c>
      <c r="O520" s="54">
        <f>IF(A520="","",IF(C520="",0,C520))</f>
        <v/>
      </c>
    </row>
    <row r="521">
      <c r="A521" s="58" t="n"/>
      <c r="B521" s="49">
        <f>IF(A521="","",CHOOSE(WEEKDAY(A521,2),"Пн","Вт","Ср","Чт","Пт","Сб","Вс"))</f>
        <v/>
      </c>
      <c r="C521" s="59" t="n"/>
      <c r="D521" s="59" t="n"/>
      <c r="E521" s="60">
        <f>IF(OR(C521="",D521=""),"",MOD(D521-C521,1)*24)</f>
        <v/>
      </c>
      <c r="F521" s="50" t="n"/>
      <c r="G521" s="51" t="n"/>
      <c r="H521" s="51" t="n"/>
      <c r="I521" s="51" t="n"/>
      <c r="J521" s="51" t="n"/>
      <c r="K521" s="51" t="n"/>
      <c r="L521" s="54">
        <f>IF(OR(A521="",C521="",D521=""),"",IF(COUNTIFS($A$5:$A$3004,A521,$C$5:$C$3004,"&lt;"&amp;D521,$D$5:$D$3004,"&gt;"&amp;C521)&gt;1,"⚠️ пересечение",""))</f>
        <v/>
      </c>
      <c r="M521" s="54">
        <f>IF(F521="","",IF(J521="✅ Сделано","✔ ",IF(J521="❌ Пропущено","✖ ","⏰ "))&amp;IF(C521="","",RIGHT("0"&amp;HOUR(C521),2)&amp;":"&amp;RIGHT("0"&amp;MINUTE(C521),2)&amp;IF(D521="","","–"&amp;RIGHT("0"&amp;HOUR(D521),2)&amp;":"&amp;RIGHT("0"&amp;MINUTE(D521),2))&amp;" ")&amp;F521)</f>
        <v/>
      </c>
      <c r="N521" s="54">
        <f>IF(OR(A521="",F521=""),"",A521&amp;"#"&amp;(COUNTIFS($A$5:$A$3004,A521,$F$5:$F$3004,"?*",$O$5:$O$3004,"&lt;"&amp;O521)+COUNTIFS($A$5:A521,A521,$F$5:F521,"?*",$O$5:O521,O521)))</f>
        <v/>
      </c>
      <c r="O521" s="54">
        <f>IF(A521="","",IF(C521="",0,C521))</f>
        <v/>
      </c>
    </row>
    <row r="522">
      <c r="A522" s="58" t="n"/>
      <c r="B522" s="49">
        <f>IF(A522="","",CHOOSE(WEEKDAY(A522,2),"Пн","Вт","Ср","Чт","Пт","Сб","Вс"))</f>
        <v/>
      </c>
      <c r="C522" s="59" t="n"/>
      <c r="D522" s="59" t="n"/>
      <c r="E522" s="60">
        <f>IF(OR(C522="",D522=""),"",MOD(D522-C522,1)*24)</f>
        <v/>
      </c>
      <c r="F522" s="50" t="n"/>
      <c r="G522" s="51" t="n"/>
      <c r="H522" s="51" t="n"/>
      <c r="I522" s="51" t="n"/>
      <c r="J522" s="51" t="n"/>
      <c r="K522" s="51" t="n"/>
      <c r="L522" s="54">
        <f>IF(OR(A522="",C522="",D522=""),"",IF(COUNTIFS($A$5:$A$3004,A522,$C$5:$C$3004,"&lt;"&amp;D522,$D$5:$D$3004,"&gt;"&amp;C522)&gt;1,"⚠️ пересечение",""))</f>
        <v/>
      </c>
      <c r="M522" s="54">
        <f>IF(F522="","",IF(J522="✅ Сделано","✔ ",IF(J522="❌ Пропущено","✖ ","⏰ "))&amp;IF(C522="","",RIGHT("0"&amp;HOUR(C522),2)&amp;":"&amp;RIGHT("0"&amp;MINUTE(C522),2)&amp;IF(D522="","","–"&amp;RIGHT("0"&amp;HOUR(D522),2)&amp;":"&amp;RIGHT("0"&amp;MINUTE(D522),2))&amp;" ")&amp;F522)</f>
        <v/>
      </c>
      <c r="N522" s="54">
        <f>IF(OR(A522="",F522=""),"",A522&amp;"#"&amp;(COUNTIFS($A$5:$A$3004,A522,$F$5:$F$3004,"?*",$O$5:$O$3004,"&lt;"&amp;O522)+COUNTIFS($A$5:A522,A522,$F$5:F522,"?*",$O$5:O522,O522)))</f>
        <v/>
      </c>
      <c r="O522" s="54">
        <f>IF(A522="","",IF(C522="",0,C522))</f>
        <v/>
      </c>
    </row>
    <row r="523">
      <c r="A523" s="58" t="n"/>
      <c r="B523" s="49">
        <f>IF(A523="","",CHOOSE(WEEKDAY(A523,2),"Пн","Вт","Ср","Чт","Пт","Сб","Вс"))</f>
        <v/>
      </c>
      <c r="C523" s="59" t="n"/>
      <c r="D523" s="59" t="n"/>
      <c r="E523" s="60">
        <f>IF(OR(C523="",D523=""),"",MOD(D523-C523,1)*24)</f>
        <v/>
      </c>
      <c r="F523" s="50" t="n"/>
      <c r="G523" s="51" t="n"/>
      <c r="H523" s="51" t="n"/>
      <c r="I523" s="51" t="n"/>
      <c r="J523" s="51" t="n"/>
      <c r="K523" s="51" t="n"/>
      <c r="L523" s="54">
        <f>IF(OR(A523="",C523="",D523=""),"",IF(COUNTIFS($A$5:$A$3004,A523,$C$5:$C$3004,"&lt;"&amp;D523,$D$5:$D$3004,"&gt;"&amp;C523)&gt;1,"⚠️ пересечение",""))</f>
        <v/>
      </c>
      <c r="M523" s="54">
        <f>IF(F523="","",IF(J523="✅ Сделано","✔ ",IF(J523="❌ Пропущено","✖ ","⏰ "))&amp;IF(C523="","",RIGHT("0"&amp;HOUR(C523),2)&amp;":"&amp;RIGHT("0"&amp;MINUTE(C523),2)&amp;IF(D523="","","–"&amp;RIGHT("0"&amp;HOUR(D523),2)&amp;":"&amp;RIGHT("0"&amp;MINUTE(D523),2))&amp;" ")&amp;F523)</f>
        <v/>
      </c>
      <c r="N523" s="54">
        <f>IF(OR(A523="",F523=""),"",A523&amp;"#"&amp;(COUNTIFS($A$5:$A$3004,A523,$F$5:$F$3004,"?*",$O$5:$O$3004,"&lt;"&amp;O523)+COUNTIFS($A$5:A523,A523,$F$5:F523,"?*",$O$5:O523,O523)))</f>
        <v/>
      </c>
      <c r="O523" s="54">
        <f>IF(A523="","",IF(C523="",0,C523))</f>
        <v/>
      </c>
    </row>
    <row r="524">
      <c r="A524" s="58" t="n"/>
      <c r="B524" s="49">
        <f>IF(A524="","",CHOOSE(WEEKDAY(A524,2),"Пн","Вт","Ср","Чт","Пт","Сб","Вс"))</f>
        <v/>
      </c>
      <c r="C524" s="59" t="n"/>
      <c r="D524" s="59" t="n"/>
      <c r="E524" s="60">
        <f>IF(OR(C524="",D524=""),"",MOD(D524-C524,1)*24)</f>
        <v/>
      </c>
      <c r="F524" s="50" t="n"/>
      <c r="G524" s="51" t="n"/>
      <c r="H524" s="51" t="n"/>
      <c r="I524" s="51" t="n"/>
      <c r="J524" s="51" t="n"/>
      <c r="K524" s="51" t="n"/>
      <c r="L524" s="54">
        <f>IF(OR(A524="",C524="",D524=""),"",IF(COUNTIFS($A$5:$A$3004,A524,$C$5:$C$3004,"&lt;"&amp;D524,$D$5:$D$3004,"&gt;"&amp;C524)&gt;1,"⚠️ пересечение",""))</f>
        <v/>
      </c>
      <c r="M524" s="54">
        <f>IF(F524="","",IF(J524="✅ Сделано","✔ ",IF(J524="❌ Пропущено","✖ ","⏰ "))&amp;IF(C524="","",RIGHT("0"&amp;HOUR(C524),2)&amp;":"&amp;RIGHT("0"&amp;MINUTE(C524),2)&amp;IF(D524="","","–"&amp;RIGHT("0"&amp;HOUR(D524),2)&amp;":"&amp;RIGHT("0"&amp;MINUTE(D524),2))&amp;" ")&amp;F524)</f>
        <v/>
      </c>
      <c r="N524" s="54">
        <f>IF(OR(A524="",F524=""),"",A524&amp;"#"&amp;(COUNTIFS($A$5:$A$3004,A524,$F$5:$F$3004,"?*",$O$5:$O$3004,"&lt;"&amp;O524)+COUNTIFS($A$5:A524,A524,$F$5:F524,"?*",$O$5:O524,O524)))</f>
        <v/>
      </c>
      <c r="O524" s="54">
        <f>IF(A524="","",IF(C524="",0,C524))</f>
        <v/>
      </c>
    </row>
    <row r="525">
      <c r="A525" s="58" t="n"/>
      <c r="B525" s="49">
        <f>IF(A525="","",CHOOSE(WEEKDAY(A525,2),"Пн","Вт","Ср","Чт","Пт","Сб","Вс"))</f>
        <v/>
      </c>
      <c r="C525" s="59" t="n"/>
      <c r="D525" s="59" t="n"/>
      <c r="E525" s="60">
        <f>IF(OR(C525="",D525=""),"",MOD(D525-C525,1)*24)</f>
        <v/>
      </c>
      <c r="F525" s="50" t="n"/>
      <c r="G525" s="51" t="n"/>
      <c r="H525" s="51" t="n"/>
      <c r="I525" s="51" t="n"/>
      <c r="J525" s="51" t="n"/>
      <c r="K525" s="51" t="n"/>
      <c r="L525" s="54">
        <f>IF(OR(A525="",C525="",D525=""),"",IF(COUNTIFS($A$5:$A$3004,A525,$C$5:$C$3004,"&lt;"&amp;D525,$D$5:$D$3004,"&gt;"&amp;C525)&gt;1,"⚠️ пересечение",""))</f>
        <v/>
      </c>
      <c r="M525" s="54">
        <f>IF(F525="","",IF(J525="✅ Сделано","✔ ",IF(J525="❌ Пропущено","✖ ","⏰ "))&amp;IF(C525="","",RIGHT("0"&amp;HOUR(C525),2)&amp;":"&amp;RIGHT("0"&amp;MINUTE(C525),2)&amp;IF(D525="","","–"&amp;RIGHT("0"&amp;HOUR(D525),2)&amp;":"&amp;RIGHT("0"&amp;MINUTE(D525),2))&amp;" ")&amp;F525)</f>
        <v/>
      </c>
      <c r="N525" s="54">
        <f>IF(OR(A525="",F525=""),"",A525&amp;"#"&amp;(COUNTIFS($A$5:$A$3004,A525,$F$5:$F$3004,"?*",$O$5:$O$3004,"&lt;"&amp;O525)+COUNTIFS($A$5:A525,A525,$F$5:F525,"?*",$O$5:O525,O525)))</f>
        <v/>
      </c>
      <c r="O525" s="54">
        <f>IF(A525="","",IF(C525="",0,C525))</f>
        <v/>
      </c>
    </row>
    <row r="526">
      <c r="A526" s="58" t="n"/>
      <c r="B526" s="49">
        <f>IF(A526="","",CHOOSE(WEEKDAY(A526,2),"Пн","Вт","Ср","Чт","Пт","Сб","Вс"))</f>
        <v/>
      </c>
      <c r="C526" s="59" t="n"/>
      <c r="D526" s="59" t="n"/>
      <c r="E526" s="60">
        <f>IF(OR(C526="",D526=""),"",MOD(D526-C526,1)*24)</f>
        <v/>
      </c>
      <c r="F526" s="50" t="n"/>
      <c r="G526" s="51" t="n"/>
      <c r="H526" s="51" t="n"/>
      <c r="I526" s="51" t="n"/>
      <c r="J526" s="51" t="n"/>
      <c r="K526" s="51" t="n"/>
      <c r="L526" s="54">
        <f>IF(OR(A526="",C526="",D526=""),"",IF(COUNTIFS($A$5:$A$3004,A526,$C$5:$C$3004,"&lt;"&amp;D526,$D$5:$D$3004,"&gt;"&amp;C526)&gt;1,"⚠️ пересечение",""))</f>
        <v/>
      </c>
      <c r="M526" s="54">
        <f>IF(F526="","",IF(J526="✅ Сделано","✔ ",IF(J526="❌ Пропущено","✖ ","⏰ "))&amp;IF(C526="","",RIGHT("0"&amp;HOUR(C526),2)&amp;":"&amp;RIGHT("0"&amp;MINUTE(C526),2)&amp;IF(D526="","","–"&amp;RIGHT("0"&amp;HOUR(D526),2)&amp;":"&amp;RIGHT("0"&amp;MINUTE(D526),2))&amp;" ")&amp;F526)</f>
        <v/>
      </c>
      <c r="N526" s="54">
        <f>IF(OR(A526="",F526=""),"",A526&amp;"#"&amp;(COUNTIFS($A$5:$A$3004,A526,$F$5:$F$3004,"?*",$O$5:$O$3004,"&lt;"&amp;O526)+COUNTIFS($A$5:A526,A526,$F$5:F526,"?*",$O$5:O526,O526)))</f>
        <v/>
      </c>
      <c r="O526" s="54">
        <f>IF(A526="","",IF(C526="",0,C526))</f>
        <v/>
      </c>
    </row>
    <row r="527">
      <c r="A527" s="58" t="n"/>
      <c r="B527" s="49">
        <f>IF(A527="","",CHOOSE(WEEKDAY(A527,2),"Пн","Вт","Ср","Чт","Пт","Сб","Вс"))</f>
        <v/>
      </c>
      <c r="C527" s="59" t="n"/>
      <c r="D527" s="59" t="n"/>
      <c r="E527" s="60">
        <f>IF(OR(C527="",D527=""),"",MOD(D527-C527,1)*24)</f>
        <v/>
      </c>
      <c r="F527" s="50" t="n"/>
      <c r="G527" s="51" t="n"/>
      <c r="H527" s="51" t="n"/>
      <c r="I527" s="51" t="n"/>
      <c r="J527" s="51" t="n"/>
      <c r="K527" s="51" t="n"/>
      <c r="L527" s="54">
        <f>IF(OR(A527="",C527="",D527=""),"",IF(COUNTIFS($A$5:$A$3004,A527,$C$5:$C$3004,"&lt;"&amp;D527,$D$5:$D$3004,"&gt;"&amp;C527)&gt;1,"⚠️ пересечение",""))</f>
        <v/>
      </c>
      <c r="M527" s="54">
        <f>IF(F527="","",IF(J527="✅ Сделано","✔ ",IF(J527="❌ Пропущено","✖ ","⏰ "))&amp;IF(C527="","",RIGHT("0"&amp;HOUR(C527),2)&amp;":"&amp;RIGHT("0"&amp;MINUTE(C527),2)&amp;IF(D527="","","–"&amp;RIGHT("0"&amp;HOUR(D527),2)&amp;":"&amp;RIGHT("0"&amp;MINUTE(D527),2))&amp;" ")&amp;F527)</f>
        <v/>
      </c>
      <c r="N527" s="54">
        <f>IF(OR(A527="",F527=""),"",A527&amp;"#"&amp;(COUNTIFS($A$5:$A$3004,A527,$F$5:$F$3004,"?*",$O$5:$O$3004,"&lt;"&amp;O527)+COUNTIFS($A$5:A527,A527,$F$5:F527,"?*",$O$5:O527,O527)))</f>
        <v/>
      </c>
      <c r="O527" s="54">
        <f>IF(A527="","",IF(C527="",0,C527))</f>
        <v/>
      </c>
    </row>
    <row r="528">
      <c r="A528" s="58" t="n"/>
      <c r="B528" s="49">
        <f>IF(A528="","",CHOOSE(WEEKDAY(A528,2),"Пн","Вт","Ср","Чт","Пт","Сб","Вс"))</f>
        <v/>
      </c>
      <c r="C528" s="59" t="n"/>
      <c r="D528" s="59" t="n"/>
      <c r="E528" s="60">
        <f>IF(OR(C528="",D528=""),"",MOD(D528-C528,1)*24)</f>
        <v/>
      </c>
      <c r="F528" s="50" t="n"/>
      <c r="G528" s="51" t="n"/>
      <c r="H528" s="51" t="n"/>
      <c r="I528" s="51" t="n"/>
      <c r="J528" s="51" t="n"/>
      <c r="K528" s="51" t="n"/>
      <c r="L528" s="54">
        <f>IF(OR(A528="",C528="",D528=""),"",IF(COUNTIFS($A$5:$A$3004,A528,$C$5:$C$3004,"&lt;"&amp;D528,$D$5:$D$3004,"&gt;"&amp;C528)&gt;1,"⚠️ пересечение",""))</f>
        <v/>
      </c>
      <c r="M528" s="54">
        <f>IF(F528="","",IF(J528="✅ Сделано","✔ ",IF(J528="❌ Пропущено","✖ ","⏰ "))&amp;IF(C528="","",RIGHT("0"&amp;HOUR(C528),2)&amp;":"&amp;RIGHT("0"&amp;MINUTE(C528),2)&amp;IF(D528="","","–"&amp;RIGHT("0"&amp;HOUR(D528),2)&amp;":"&amp;RIGHT("0"&amp;MINUTE(D528),2))&amp;" ")&amp;F528)</f>
        <v/>
      </c>
      <c r="N528" s="54">
        <f>IF(OR(A528="",F528=""),"",A528&amp;"#"&amp;(COUNTIFS($A$5:$A$3004,A528,$F$5:$F$3004,"?*",$O$5:$O$3004,"&lt;"&amp;O528)+COUNTIFS($A$5:A528,A528,$F$5:F528,"?*",$O$5:O528,O528)))</f>
        <v/>
      </c>
      <c r="O528" s="54">
        <f>IF(A528="","",IF(C528="",0,C528))</f>
        <v/>
      </c>
    </row>
    <row r="529">
      <c r="A529" s="58" t="n"/>
      <c r="B529" s="49">
        <f>IF(A529="","",CHOOSE(WEEKDAY(A529,2),"Пн","Вт","Ср","Чт","Пт","Сб","Вс"))</f>
        <v/>
      </c>
      <c r="C529" s="59" t="n"/>
      <c r="D529" s="59" t="n"/>
      <c r="E529" s="60">
        <f>IF(OR(C529="",D529=""),"",MOD(D529-C529,1)*24)</f>
        <v/>
      </c>
      <c r="F529" s="50" t="n"/>
      <c r="G529" s="51" t="n"/>
      <c r="H529" s="51" t="n"/>
      <c r="I529" s="51" t="n"/>
      <c r="J529" s="51" t="n"/>
      <c r="K529" s="51" t="n"/>
      <c r="L529" s="54">
        <f>IF(OR(A529="",C529="",D529=""),"",IF(COUNTIFS($A$5:$A$3004,A529,$C$5:$C$3004,"&lt;"&amp;D529,$D$5:$D$3004,"&gt;"&amp;C529)&gt;1,"⚠️ пересечение",""))</f>
        <v/>
      </c>
      <c r="M529" s="54">
        <f>IF(F529="","",IF(J529="✅ Сделано","✔ ",IF(J529="❌ Пропущено","✖ ","⏰ "))&amp;IF(C529="","",RIGHT("0"&amp;HOUR(C529),2)&amp;":"&amp;RIGHT("0"&amp;MINUTE(C529),2)&amp;IF(D529="","","–"&amp;RIGHT("0"&amp;HOUR(D529),2)&amp;":"&amp;RIGHT("0"&amp;MINUTE(D529),2))&amp;" ")&amp;F529)</f>
        <v/>
      </c>
      <c r="N529" s="54">
        <f>IF(OR(A529="",F529=""),"",A529&amp;"#"&amp;(COUNTIFS($A$5:$A$3004,A529,$F$5:$F$3004,"?*",$O$5:$O$3004,"&lt;"&amp;O529)+COUNTIFS($A$5:A529,A529,$F$5:F529,"?*",$O$5:O529,O529)))</f>
        <v/>
      </c>
      <c r="O529" s="54">
        <f>IF(A529="","",IF(C529="",0,C529))</f>
        <v/>
      </c>
    </row>
    <row r="530">
      <c r="A530" s="58" t="n"/>
      <c r="B530" s="49">
        <f>IF(A530="","",CHOOSE(WEEKDAY(A530,2),"Пн","Вт","Ср","Чт","Пт","Сб","Вс"))</f>
        <v/>
      </c>
      <c r="C530" s="59" t="n"/>
      <c r="D530" s="59" t="n"/>
      <c r="E530" s="60">
        <f>IF(OR(C530="",D530=""),"",MOD(D530-C530,1)*24)</f>
        <v/>
      </c>
      <c r="F530" s="50" t="n"/>
      <c r="G530" s="51" t="n"/>
      <c r="H530" s="51" t="n"/>
      <c r="I530" s="51" t="n"/>
      <c r="J530" s="51" t="n"/>
      <c r="K530" s="51" t="n"/>
      <c r="L530" s="54">
        <f>IF(OR(A530="",C530="",D530=""),"",IF(COUNTIFS($A$5:$A$3004,A530,$C$5:$C$3004,"&lt;"&amp;D530,$D$5:$D$3004,"&gt;"&amp;C530)&gt;1,"⚠️ пересечение",""))</f>
        <v/>
      </c>
      <c r="M530" s="54">
        <f>IF(F530="","",IF(J530="✅ Сделано","✔ ",IF(J530="❌ Пропущено","✖ ","⏰ "))&amp;IF(C530="","",RIGHT("0"&amp;HOUR(C530),2)&amp;":"&amp;RIGHT("0"&amp;MINUTE(C530),2)&amp;IF(D530="","","–"&amp;RIGHT("0"&amp;HOUR(D530),2)&amp;":"&amp;RIGHT("0"&amp;MINUTE(D530),2))&amp;" ")&amp;F530)</f>
        <v/>
      </c>
      <c r="N530" s="54">
        <f>IF(OR(A530="",F530=""),"",A530&amp;"#"&amp;(COUNTIFS($A$5:$A$3004,A530,$F$5:$F$3004,"?*",$O$5:$O$3004,"&lt;"&amp;O530)+COUNTIFS($A$5:A530,A530,$F$5:F530,"?*",$O$5:O530,O530)))</f>
        <v/>
      </c>
      <c r="O530" s="54">
        <f>IF(A530="","",IF(C530="",0,C530))</f>
        <v/>
      </c>
    </row>
    <row r="531">
      <c r="A531" s="58" t="n"/>
      <c r="B531" s="49">
        <f>IF(A531="","",CHOOSE(WEEKDAY(A531,2),"Пн","Вт","Ср","Чт","Пт","Сб","Вс"))</f>
        <v/>
      </c>
      <c r="C531" s="59" t="n"/>
      <c r="D531" s="59" t="n"/>
      <c r="E531" s="60">
        <f>IF(OR(C531="",D531=""),"",MOD(D531-C531,1)*24)</f>
        <v/>
      </c>
      <c r="F531" s="50" t="n"/>
      <c r="G531" s="51" t="n"/>
      <c r="H531" s="51" t="n"/>
      <c r="I531" s="51" t="n"/>
      <c r="J531" s="51" t="n"/>
      <c r="K531" s="51" t="n"/>
      <c r="L531" s="54">
        <f>IF(OR(A531="",C531="",D531=""),"",IF(COUNTIFS($A$5:$A$3004,A531,$C$5:$C$3004,"&lt;"&amp;D531,$D$5:$D$3004,"&gt;"&amp;C531)&gt;1,"⚠️ пересечение",""))</f>
        <v/>
      </c>
      <c r="M531" s="54">
        <f>IF(F531="","",IF(J531="✅ Сделано","✔ ",IF(J531="❌ Пропущено","✖ ","⏰ "))&amp;IF(C531="","",RIGHT("0"&amp;HOUR(C531),2)&amp;":"&amp;RIGHT("0"&amp;MINUTE(C531),2)&amp;IF(D531="","","–"&amp;RIGHT("0"&amp;HOUR(D531),2)&amp;":"&amp;RIGHT("0"&amp;MINUTE(D531),2))&amp;" ")&amp;F531)</f>
        <v/>
      </c>
      <c r="N531" s="54">
        <f>IF(OR(A531="",F531=""),"",A531&amp;"#"&amp;(COUNTIFS($A$5:$A$3004,A531,$F$5:$F$3004,"?*",$O$5:$O$3004,"&lt;"&amp;O531)+COUNTIFS($A$5:A531,A531,$F$5:F531,"?*",$O$5:O531,O531)))</f>
        <v/>
      </c>
      <c r="O531" s="54">
        <f>IF(A531="","",IF(C531="",0,C531))</f>
        <v/>
      </c>
    </row>
    <row r="532">
      <c r="A532" s="58" t="n"/>
      <c r="B532" s="49">
        <f>IF(A532="","",CHOOSE(WEEKDAY(A532,2),"Пн","Вт","Ср","Чт","Пт","Сб","Вс"))</f>
        <v/>
      </c>
      <c r="C532" s="59" t="n"/>
      <c r="D532" s="59" t="n"/>
      <c r="E532" s="60">
        <f>IF(OR(C532="",D532=""),"",MOD(D532-C532,1)*24)</f>
        <v/>
      </c>
      <c r="F532" s="50" t="n"/>
      <c r="G532" s="51" t="n"/>
      <c r="H532" s="51" t="n"/>
      <c r="I532" s="51" t="n"/>
      <c r="J532" s="51" t="n"/>
      <c r="K532" s="51" t="n"/>
      <c r="L532" s="54">
        <f>IF(OR(A532="",C532="",D532=""),"",IF(COUNTIFS($A$5:$A$3004,A532,$C$5:$C$3004,"&lt;"&amp;D532,$D$5:$D$3004,"&gt;"&amp;C532)&gt;1,"⚠️ пересечение",""))</f>
        <v/>
      </c>
      <c r="M532" s="54">
        <f>IF(F532="","",IF(J532="✅ Сделано","✔ ",IF(J532="❌ Пропущено","✖ ","⏰ "))&amp;IF(C532="","",RIGHT("0"&amp;HOUR(C532),2)&amp;":"&amp;RIGHT("0"&amp;MINUTE(C532),2)&amp;IF(D532="","","–"&amp;RIGHT("0"&amp;HOUR(D532),2)&amp;":"&amp;RIGHT("0"&amp;MINUTE(D532),2))&amp;" ")&amp;F532)</f>
        <v/>
      </c>
      <c r="N532" s="54">
        <f>IF(OR(A532="",F532=""),"",A532&amp;"#"&amp;(COUNTIFS($A$5:$A$3004,A532,$F$5:$F$3004,"?*",$O$5:$O$3004,"&lt;"&amp;O532)+COUNTIFS($A$5:A532,A532,$F$5:F532,"?*",$O$5:O532,O532)))</f>
        <v/>
      </c>
      <c r="O532" s="54">
        <f>IF(A532="","",IF(C532="",0,C532))</f>
        <v/>
      </c>
    </row>
    <row r="533">
      <c r="A533" s="58" t="n"/>
      <c r="B533" s="49">
        <f>IF(A533="","",CHOOSE(WEEKDAY(A533,2),"Пн","Вт","Ср","Чт","Пт","Сб","Вс"))</f>
        <v/>
      </c>
      <c r="C533" s="59" t="n"/>
      <c r="D533" s="59" t="n"/>
      <c r="E533" s="60">
        <f>IF(OR(C533="",D533=""),"",MOD(D533-C533,1)*24)</f>
        <v/>
      </c>
      <c r="F533" s="50" t="n"/>
      <c r="G533" s="51" t="n"/>
      <c r="H533" s="51" t="n"/>
      <c r="I533" s="51" t="n"/>
      <c r="J533" s="51" t="n"/>
      <c r="K533" s="51" t="n"/>
      <c r="L533" s="54">
        <f>IF(OR(A533="",C533="",D533=""),"",IF(COUNTIFS($A$5:$A$3004,A533,$C$5:$C$3004,"&lt;"&amp;D533,$D$5:$D$3004,"&gt;"&amp;C533)&gt;1,"⚠️ пересечение",""))</f>
        <v/>
      </c>
      <c r="M533" s="54">
        <f>IF(F533="","",IF(J533="✅ Сделано","✔ ",IF(J533="❌ Пропущено","✖ ","⏰ "))&amp;IF(C533="","",RIGHT("0"&amp;HOUR(C533),2)&amp;":"&amp;RIGHT("0"&amp;MINUTE(C533),2)&amp;IF(D533="","","–"&amp;RIGHT("0"&amp;HOUR(D533),2)&amp;":"&amp;RIGHT("0"&amp;MINUTE(D533),2))&amp;" ")&amp;F533)</f>
        <v/>
      </c>
      <c r="N533" s="54">
        <f>IF(OR(A533="",F533=""),"",A533&amp;"#"&amp;(COUNTIFS($A$5:$A$3004,A533,$F$5:$F$3004,"?*",$O$5:$O$3004,"&lt;"&amp;O533)+COUNTIFS($A$5:A533,A533,$F$5:F533,"?*",$O$5:O533,O533)))</f>
        <v/>
      </c>
      <c r="O533" s="54">
        <f>IF(A533="","",IF(C533="",0,C533))</f>
        <v/>
      </c>
    </row>
    <row r="534">
      <c r="A534" s="58" t="n"/>
      <c r="B534" s="49">
        <f>IF(A534="","",CHOOSE(WEEKDAY(A534,2),"Пн","Вт","Ср","Чт","Пт","Сб","Вс"))</f>
        <v/>
      </c>
      <c r="C534" s="59" t="n"/>
      <c r="D534" s="59" t="n"/>
      <c r="E534" s="60">
        <f>IF(OR(C534="",D534=""),"",MOD(D534-C534,1)*24)</f>
        <v/>
      </c>
      <c r="F534" s="50" t="n"/>
      <c r="G534" s="51" t="n"/>
      <c r="H534" s="51" t="n"/>
      <c r="I534" s="51" t="n"/>
      <c r="J534" s="51" t="n"/>
      <c r="K534" s="51" t="n"/>
      <c r="L534" s="54">
        <f>IF(OR(A534="",C534="",D534=""),"",IF(COUNTIFS($A$5:$A$3004,A534,$C$5:$C$3004,"&lt;"&amp;D534,$D$5:$D$3004,"&gt;"&amp;C534)&gt;1,"⚠️ пересечение",""))</f>
        <v/>
      </c>
      <c r="M534" s="54">
        <f>IF(F534="","",IF(J534="✅ Сделано","✔ ",IF(J534="❌ Пропущено","✖ ","⏰ "))&amp;IF(C534="","",RIGHT("0"&amp;HOUR(C534),2)&amp;":"&amp;RIGHT("0"&amp;MINUTE(C534),2)&amp;IF(D534="","","–"&amp;RIGHT("0"&amp;HOUR(D534),2)&amp;":"&amp;RIGHT("0"&amp;MINUTE(D534),2))&amp;" ")&amp;F534)</f>
        <v/>
      </c>
      <c r="N534" s="54">
        <f>IF(OR(A534="",F534=""),"",A534&amp;"#"&amp;(COUNTIFS($A$5:$A$3004,A534,$F$5:$F$3004,"?*",$O$5:$O$3004,"&lt;"&amp;O534)+COUNTIFS($A$5:A534,A534,$F$5:F534,"?*",$O$5:O534,O534)))</f>
        <v/>
      </c>
      <c r="O534" s="54">
        <f>IF(A534="","",IF(C534="",0,C534))</f>
        <v/>
      </c>
    </row>
    <row r="535">
      <c r="A535" s="58" t="n"/>
      <c r="B535" s="49">
        <f>IF(A535="","",CHOOSE(WEEKDAY(A535,2),"Пн","Вт","Ср","Чт","Пт","Сб","Вс"))</f>
        <v/>
      </c>
      <c r="C535" s="59" t="n"/>
      <c r="D535" s="59" t="n"/>
      <c r="E535" s="60">
        <f>IF(OR(C535="",D535=""),"",MOD(D535-C535,1)*24)</f>
        <v/>
      </c>
      <c r="F535" s="50" t="n"/>
      <c r="G535" s="51" t="n"/>
      <c r="H535" s="51" t="n"/>
      <c r="I535" s="51" t="n"/>
      <c r="J535" s="51" t="n"/>
      <c r="K535" s="51" t="n"/>
      <c r="L535" s="54">
        <f>IF(OR(A535="",C535="",D535=""),"",IF(COUNTIFS($A$5:$A$3004,A535,$C$5:$C$3004,"&lt;"&amp;D535,$D$5:$D$3004,"&gt;"&amp;C535)&gt;1,"⚠️ пересечение",""))</f>
        <v/>
      </c>
      <c r="M535" s="54">
        <f>IF(F535="","",IF(J535="✅ Сделано","✔ ",IF(J535="❌ Пропущено","✖ ","⏰ "))&amp;IF(C535="","",RIGHT("0"&amp;HOUR(C535),2)&amp;":"&amp;RIGHT("0"&amp;MINUTE(C535),2)&amp;IF(D535="","","–"&amp;RIGHT("0"&amp;HOUR(D535),2)&amp;":"&amp;RIGHT("0"&amp;MINUTE(D535),2))&amp;" ")&amp;F535)</f>
        <v/>
      </c>
      <c r="N535" s="54">
        <f>IF(OR(A535="",F535=""),"",A535&amp;"#"&amp;(COUNTIFS($A$5:$A$3004,A535,$F$5:$F$3004,"?*",$O$5:$O$3004,"&lt;"&amp;O535)+COUNTIFS($A$5:A535,A535,$F$5:F535,"?*",$O$5:O535,O535)))</f>
        <v/>
      </c>
      <c r="O535" s="54">
        <f>IF(A535="","",IF(C535="",0,C535))</f>
        <v/>
      </c>
    </row>
    <row r="536">
      <c r="A536" s="58" t="n"/>
      <c r="B536" s="49">
        <f>IF(A536="","",CHOOSE(WEEKDAY(A536,2),"Пн","Вт","Ср","Чт","Пт","Сб","Вс"))</f>
        <v/>
      </c>
      <c r="C536" s="59" t="n"/>
      <c r="D536" s="59" t="n"/>
      <c r="E536" s="60">
        <f>IF(OR(C536="",D536=""),"",MOD(D536-C536,1)*24)</f>
        <v/>
      </c>
      <c r="F536" s="50" t="n"/>
      <c r="G536" s="51" t="n"/>
      <c r="H536" s="51" t="n"/>
      <c r="I536" s="51" t="n"/>
      <c r="J536" s="51" t="n"/>
      <c r="K536" s="51" t="n"/>
      <c r="L536" s="54">
        <f>IF(OR(A536="",C536="",D536=""),"",IF(COUNTIFS($A$5:$A$3004,A536,$C$5:$C$3004,"&lt;"&amp;D536,$D$5:$D$3004,"&gt;"&amp;C536)&gt;1,"⚠️ пересечение",""))</f>
        <v/>
      </c>
      <c r="M536" s="54">
        <f>IF(F536="","",IF(J536="✅ Сделано","✔ ",IF(J536="❌ Пропущено","✖ ","⏰ "))&amp;IF(C536="","",RIGHT("0"&amp;HOUR(C536),2)&amp;":"&amp;RIGHT("0"&amp;MINUTE(C536),2)&amp;IF(D536="","","–"&amp;RIGHT("0"&amp;HOUR(D536),2)&amp;":"&amp;RIGHT("0"&amp;MINUTE(D536),2))&amp;" ")&amp;F536)</f>
        <v/>
      </c>
      <c r="N536" s="54">
        <f>IF(OR(A536="",F536=""),"",A536&amp;"#"&amp;(COUNTIFS($A$5:$A$3004,A536,$F$5:$F$3004,"?*",$O$5:$O$3004,"&lt;"&amp;O536)+COUNTIFS($A$5:A536,A536,$F$5:F536,"?*",$O$5:O536,O536)))</f>
        <v/>
      </c>
      <c r="O536" s="54">
        <f>IF(A536="","",IF(C536="",0,C536))</f>
        <v/>
      </c>
    </row>
    <row r="537">
      <c r="A537" s="58" t="n"/>
      <c r="B537" s="49">
        <f>IF(A537="","",CHOOSE(WEEKDAY(A537,2),"Пн","Вт","Ср","Чт","Пт","Сб","Вс"))</f>
        <v/>
      </c>
      <c r="C537" s="59" t="n"/>
      <c r="D537" s="59" t="n"/>
      <c r="E537" s="60">
        <f>IF(OR(C537="",D537=""),"",MOD(D537-C537,1)*24)</f>
        <v/>
      </c>
      <c r="F537" s="50" t="n"/>
      <c r="G537" s="51" t="n"/>
      <c r="H537" s="51" t="n"/>
      <c r="I537" s="51" t="n"/>
      <c r="J537" s="51" t="n"/>
      <c r="K537" s="51" t="n"/>
      <c r="L537" s="54">
        <f>IF(OR(A537="",C537="",D537=""),"",IF(COUNTIFS($A$5:$A$3004,A537,$C$5:$C$3004,"&lt;"&amp;D537,$D$5:$D$3004,"&gt;"&amp;C537)&gt;1,"⚠️ пересечение",""))</f>
        <v/>
      </c>
      <c r="M537" s="54">
        <f>IF(F537="","",IF(J537="✅ Сделано","✔ ",IF(J537="❌ Пропущено","✖ ","⏰ "))&amp;IF(C537="","",RIGHT("0"&amp;HOUR(C537),2)&amp;":"&amp;RIGHT("0"&amp;MINUTE(C537),2)&amp;IF(D537="","","–"&amp;RIGHT("0"&amp;HOUR(D537),2)&amp;":"&amp;RIGHT("0"&amp;MINUTE(D537),2))&amp;" ")&amp;F537)</f>
        <v/>
      </c>
      <c r="N537" s="54">
        <f>IF(OR(A537="",F537=""),"",A537&amp;"#"&amp;(COUNTIFS($A$5:$A$3004,A537,$F$5:$F$3004,"?*",$O$5:$O$3004,"&lt;"&amp;O537)+COUNTIFS($A$5:A537,A537,$F$5:F537,"?*",$O$5:O537,O537)))</f>
        <v/>
      </c>
      <c r="O537" s="54">
        <f>IF(A537="","",IF(C537="",0,C537))</f>
        <v/>
      </c>
    </row>
    <row r="538">
      <c r="A538" s="58" t="n"/>
      <c r="B538" s="49">
        <f>IF(A538="","",CHOOSE(WEEKDAY(A538,2),"Пн","Вт","Ср","Чт","Пт","Сб","Вс"))</f>
        <v/>
      </c>
      <c r="C538" s="59" t="n"/>
      <c r="D538" s="59" t="n"/>
      <c r="E538" s="60">
        <f>IF(OR(C538="",D538=""),"",MOD(D538-C538,1)*24)</f>
        <v/>
      </c>
      <c r="F538" s="50" t="n"/>
      <c r="G538" s="51" t="n"/>
      <c r="H538" s="51" t="n"/>
      <c r="I538" s="51" t="n"/>
      <c r="J538" s="51" t="n"/>
      <c r="K538" s="51" t="n"/>
      <c r="L538" s="54">
        <f>IF(OR(A538="",C538="",D538=""),"",IF(COUNTIFS($A$5:$A$3004,A538,$C$5:$C$3004,"&lt;"&amp;D538,$D$5:$D$3004,"&gt;"&amp;C538)&gt;1,"⚠️ пересечение",""))</f>
        <v/>
      </c>
      <c r="M538" s="54">
        <f>IF(F538="","",IF(J538="✅ Сделано","✔ ",IF(J538="❌ Пропущено","✖ ","⏰ "))&amp;IF(C538="","",RIGHT("0"&amp;HOUR(C538),2)&amp;":"&amp;RIGHT("0"&amp;MINUTE(C538),2)&amp;IF(D538="","","–"&amp;RIGHT("0"&amp;HOUR(D538),2)&amp;":"&amp;RIGHT("0"&amp;MINUTE(D538),2))&amp;" ")&amp;F538)</f>
        <v/>
      </c>
      <c r="N538" s="54">
        <f>IF(OR(A538="",F538=""),"",A538&amp;"#"&amp;(COUNTIFS($A$5:$A$3004,A538,$F$5:$F$3004,"?*",$O$5:$O$3004,"&lt;"&amp;O538)+COUNTIFS($A$5:A538,A538,$F$5:F538,"?*",$O$5:O538,O538)))</f>
        <v/>
      </c>
      <c r="O538" s="54">
        <f>IF(A538="","",IF(C538="",0,C538))</f>
        <v/>
      </c>
    </row>
    <row r="539">
      <c r="A539" s="58" t="n"/>
      <c r="B539" s="49">
        <f>IF(A539="","",CHOOSE(WEEKDAY(A539,2),"Пн","Вт","Ср","Чт","Пт","Сб","Вс"))</f>
        <v/>
      </c>
      <c r="C539" s="59" t="n"/>
      <c r="D539" s="59" t="n"/>
      <c r="E539" s="60">
        <f>IF(OR(C539="",D539=""),"",MOD(D539-C539,1)*24)</f>
        <v/>
      </c>
      <c r="F539" s="50" t="n"/>
      <c r="G539" s="51" t="n"/>
      <c r="H539" s="51" t="n"/>
      <c r="I539" s="51" t="n"/>
      <c r="J539" s="51" t="n"/>
      <c r="K539" s="51" t="n"/>
      <c r="L539" s="54">
        <f>IF(OR(A539="",C539="",D539=""),"",IF(COUNTIFS($A$5:$A$3004,A539,$C$5:$C$3004,"&lt;"&amp;D539,$D$5:$D$3004,"&gt;"&amp;C539)&gt;1,"⚠️ пересечение",""))</f>
        <v/>
      </c>
      <c r="M539" s="54">
        <f>IF(F539="","",IF(J539="✅ Сделано","✔ ",IF(J539="❌ Пропущено","✖ ","⏰ "))&amp;IF(C539="","",RIGHT("0"&amp;HOUR(C539),2)&amp;":"&amp;RIGHT("0"&amp;MINUTE(C539),2)&amp;IF(D539="","","–"&amp;RIGHT("0"&amp;HOUR(D539),2)&amp;":"&amp;RIGHT("0"&amp;MINUTE(D539),2))&amp;" ")&amp;F539)</f>
        <v/>
      </c>
      <c r="N539" s="54">
        <f>IF(OR(A539="",F539=""),"",A539&amp;"#"&amp;(COUNTIFS($A$5:$A$3004,A539,$F$5:$F$3004,"?*",$O$5:$O$3004,"&lt;"&amp;O539)+COUNTIFS($A$5:A539,A539,$F$5:F539,"?*",$O$5:O539,O539)))</f>
        <v/>
      </c>
      <c r="O539" s="54">
        <f>IF(A539="","",IF(C539="",0,C539))</f>
        <v/>
      </c>
    </row>
    <row r="540">
      <c r="A540" s="58" t="n"/>
      <c r="B540" s="49">
        <f>IF(A540="","",CHOOSE(WEEKDAY(A540,2),"Пн","Вт","Ср","Чт","Пт","Сб","Вс"))</f>
        <v/>
      </c>
      <c r="C540" s="59" t="n"/>
      <c r="D540" s="59" t="n"/>
      <c r="E540" s="60">
        <f>IF(OR(C540="",D540=""),"",MOD(D540-C540,1)*24)</f>
        <v/>
      </c>
      <c r="F540" s="50" t="n"/>
      <c r="G540" s="51" t="n"/>
      <c r="H540" s="51" t="n"/>
      <c r="I540" s="51" t="n"/>
      <c r="J540" s="51" t="n"/>
      <c r="K540" s="51" t="n"/>
      <c r="L540" s="54">
        <f>IF(OR(A540="",C540="",D540=""),"",IF(COUNTIFS($A$5:$A$3004,A540,$C$5:$C$3004,"&lt;"&amp;D540,$D$5:$D$3004,"&gt;"&amp;C540)&gt;1,"⚠️ пересечение",""))</f>
        <v/>
      </c>
      <c r="M540" s="54">
        <f>IF(F540="","",IF(J540="✅ Сделано","✔ ",IF(J540="❌ Пропущено","✖ ","⏰ "))&amp;IF(C540="","",RIGHT("0"&amp;HOUR(C540),2)&amp;":"&amp;RIGHT("0"&amp;MINUTE(C540),2)&amp;IF(D540="","","–"&amp;RIGHT("0"&amp;HOUR(D540),2)&amp;":"&amp;RIGHT("0"&amp;MINUTE(D540),2))&amp;" ")&amp;F540)</f>
        <v/>
      </c>
      <c r="N540" s="54">
        <f>IF(OR(A540="",F540=""),"",A540&amp;"#"&amp;(COUNTIFS($A$5:$A$3004,A540,$F$5:$F$3004,"?*",$O$5:$O$3004,"&lt;"&amp;O540)+COUNTIFS($A$5:A540,A540,$F$5:F540,"?*",$O$5:O540,O540)))</f>
        <v/>
      </c>
      <c r="O540" s="54">
        <f>IF(A540="","",IF(C540="",0,C540))</f>
        <v/>
      </c>
    </row>
    <row r="541">
      <c r="A541" s="58" t="n"/>
      <c r="B541" s="49">
        <f>IF(A541="","",CHOOSE(WEEKDAY(A541,2),"Пн","Вт","Ср","Чт","Пт","Сб","Вс"))</f>
        <v/>
      </c>
      <c r="C541" s="59" t="n"/>
      <c r="D541" s="59" t="n"/>
      <c r="E541" s="60">
        <f>IF(OR(C541="",D541=""),"",MOD(D541-C541,1)*24)</f>
        <v/>
      </c>
      <c r="F541" s="50" t="n"/>
      <c r="G541" s="51" t="n"/>
      <c r="H541" s="51" t="n"/>
      <c r="I541" s="51" t="n"/>
      <c r="J541" s="51" t="n"/>
      <c r="K541" s="51" t="n"/>
      <c r="L541" s="54">
        <f>IF(OR(A541="",C541="",D541=""),"",IF(COUNTIFS($A$5:$A$3004,A541,$C$5:$C$3004,"&lt;"&amp;D541,$D$5:$D$3004,"&gt;"&amp;C541)&gt;1,"⚠️ пересечение",""))</f>
        <v/>
      </c>
      <c r="M541" s="54">
        <f>IF(F541="","",IF(J541="✅ Сделано","✔ ",IF(J541="❌ Пропущено","✖ ","⏰ "))&amp;IF(C541="","",RIGHT("0"&amp;HOUR(C541),2)&amp;":"&amp;RIGHT("0"&amp;MINUTE(C541),2)&amp;IF(D541="","","–"&amp;RIGHT("0"&amp;HOUR(D541),2)&amp;":"&amp;RIGHT("0"&amp;MINUTE(D541),2))&amp;" ")&amp;F541)</f>
        <v/>
      </c>
      <c r="N541" s="54">
        <f>IF(OR(A541="",F541=""),"",A541&amp;"#"&amp;(COUNTIFS($A$5:$A$3004,A541,$F$5:$F$3004,"?*",$O$5:$O$3004,"&lt;"&amp;O541)+COUNTIFS($A$5:A541,A541,$F$5:F541,"?*",$O$5:O541,O541)))</f>
        <v/>
      </c>
      <c r="O541" s="54">
        <f>IF(A541="","",IF(C541="",0,C541))</f>
        <v/>
      </c>
    </row>
    <row r="542">
      <c r="A542" s="58" t="n"/>
      <c r="B542" s="49">
        <f>IF(A542="","",CHOOSE(WEEKDAY(A542,2),"Пн","Вт","Ср","Чт","Пт","Сб","Вс"))</f>
        <v/>
      </c>
      <c r="C542" s="59" t="n"/>
      <c r="D542" s="59" t="n"/>
      <c r="E542" s="60">
        <f>IF(OR(C542="",D542=""),"",MOD(D542-C542,1)*24)</f>
        <v/>
      </c>
      <c r="F542" s="50" t="n"/>
      <c r="G542" s="51" t="n"/>
      <c r="H542" s="51" t="n"/>
      <c r="I542" s="51" t="n"/>
      <c r="J542" s="51" t="n"/>
      <c r="K542" s="51" t="n"/>
      <c r="L542" s="54">
        <f>IF(OR(A542="",C542="",D542=""),"",IF(COUNTIFS($A$5:$A$3004,A542,$C$5:$C$3004,"&lt;"&amp;D542,$D$5:$D$3004,"&gt;"&amp;C542)&gt;1,"⚠️ пересечение",""))</f>
        <v/>
      </c>
      <c r="M542" s="54">
        <f>IF(F542="","",IF(J542="✅ Сделано","✔ ",IF(J542="❌ Пропущено","✖ ","⏰ "))&amp;IF(C542="","",RIGHT("0"&amp;HOUR(C542),2)&amp;":"&amp;RIGHT("0"&amp;MINUTE(C542),2)&amp;IF(D542="","","–"&amp;RIGHT("0"&amp;HOUR(D542),2)&amp;":"&amp;RIGHT("0"&amp;MINUTE(D542),2))&amp;" ")&amp;F542)</f>
        <v/>
      </c>
      <c r="N542" s="54">
        <f>IF(OR(A542="",F542=""),"",A542&amp;"#"&amp;(COUNTIFS($A$5:$A$3004,A542,$F$5:$F$3004,"?*",$O$5:$O$3004,"&lt;"&amp;O542)+COUNTIFS($A$5:A542,A542,$F$5:F542,"?*",$O$5:O542,O542)))</f>
        <v/>
      </c>
      <c r="O542" s="54">
        <f>IF(A542="","",IF(C542="",0,C542))</f>
        <v/>
      </c>
    </row>
    <row r="543">
      <c r="A543" s="58" t="n"/>
      <c r="B543" s="49">
        <f>IF(A543="","",CHOOSE(WEEKDAY(A543,2),"Пн","Вт","Ср","Чт","Пт","Сб","Вс"))</f>
        <v/>
      </c>
      <c r="C543" s="59" t="n"/>
      <c r="D543" s="59" t="n"/>
      <c r="E543" s="60">
        <f>IF(OR(C543="",D543=""),"",MOD(D543-C543,1)*24)</f>
        <v/>
      </c>
      <c r="F543" s="50" t="n"/>
      <c r="G543" s="51" t="n"/>
      <c r="H543" s="51" t="n"/>
      <c r="I543" s="51" t="n"/>
      <c r="J543" s="51" t="n"/>
      <c r="K543" s="51" t="n"/>
      <c r="L543" s="54">
        <f>IF(OR(A543="",C543="",D543=""),"",IF(COUNTIFS($A$5:$A$3004,A543,$C$5:$C$3004,"&lt;"&amp;D543,$D$5:$D$3004,"&gt;"&amp;C543)&gt;1,"⚠️ пересечение",""))</f>
        <v/>
      </c>
      <c r="M543" s="54">
        <f>IF(F543="","",IF(J543="✅ Сделано","✔ ",IF(J543="❌ Пропущено","✖ ","⏰ "))&amp;IF(C543="","",RIGHT("0"&amp;HOUR(C543),2)&amp;":"&amp;RIGHT("0"&amp;MINUTE(C543),2)&amp;IF(D543="","","–"&amp;RIGHT("0"&amp;HOUR(D543),2)&amp;":"&amp;RIGHT("0"&amp;MINUTE(D543),2))&amp;" ")&amp;F543)</f>
        <v/>
      </c>
      <c r="N543" s="54">
        <f>IF(OR(A543="",F543=""),"",A543&amp;"#"&amp;(COUNTIFS($A$5:$A$3004,A543,$F$5:$F$3004,"?*",$O$5:$O$3004,"&lt;"&amp;O543)+COUNTIFS($A$5:A543,A543,$F$5:F543,"?*",$O$5:O543,O543)))</f>
        <v/>
      </c>
      <c r="O543" s="54">
        <f>IF(A543="","",IF(C543="",0,C543))</f>
        <v/>
      </c>
    </row>
    <row r="544">
      <c r="A544" s="58" t="n"/>
      <c r="B544" s="49">
        <f>IF(A544="","",CHOOSE(WEEKDAY(A544,2),"Пн","Вт","Ср","Чт","Пт","Сб","Вс"))</f>
        <v/>
      </c>
      <c r="C544" s="59" t="n"/>
      <c r="D544" s="59" t="n"/>
      <c r="E544" s="60">
        <f>IF(OR(C544="",D544=""),"",MOD(D544-C544,1)*24)</f>
        <v/>
      </c>
      <c r="F544" s="50" t="n"/>
      <c r="G544" s="51" t="n"/>
      <c r="H544" s="51" t="n"/>
      <c r="I544" s="51" t="n"/>
      <c r="J544" s="51" t="n"/>
      <c r="K544" s="51" t="n"/>
      <c r="L544" s="54">
        <f>IF(OR(A544="",C544="",D544=""),"",IF(COUNTIFS($A$5:$A$3004,A544,$C$5:$C$3004,"&lt;"&amp;D544,$D$5:$D$3004,"&gt;"&amp;C544)&gt;1,"⚠️ пересечение",""))</f>
        <v/>
      </c>
      <c r="M544" s="54">
        <f>IF(F544="","",IF(J544="✅ Сделано","✔ ",IF(J544="❌ Пропущено","✖ ","⏰ "))&amp;IF(C544="","",RIGHT("0"&amp;HOUR(C544),2)&amp;":"&amp;RIGHT("0"&amp;MINUTE(C544),2)&amp;IF(D544="","","–"&amp;RIGHT("0"&amp;HOUR(D544),2)&amp;":"&amp;RIGHT("0"&amp;MINUTE(D544),2))&amp;" ")&amp;F544)</f>
        <v/>
      </c>
      <c r="N544" s="54">
        <f>IF(OR(A544="",F544=""),"",A544&amp;"#"&amp;(COUNTIFS($A$5:$A$3004,A544,$F$5:$F$3004,"?*",$O$5:$O$3004,"&lt;"&amp;O544)+COUNTIFS($A$5:A544,A544,$F$5:F544,"?*",$O$5:O544,O544)))</f>
        <v/>
      </c>
      <c r="O544" s="54">
        <f>IF(A544="","",IF(C544="",0,C544))</f>
        <v/>
      </c>
    </row>
    <row r="545">
      <c r="A545" s="58" t="n"/>
      <c r="B545" s="49">
        <f>IF(A545="","",CHOOSE(WEEKDAY(A545,2),"Пн","Вт","Ср","Чт","Пт","Сб","Вс"))</f>
        <v/>
      </c>
      <c r="C545" s="59" t="n"/>
      <c r="D545" s="59" t="n"/>
      <c r="E545" s="60">
        <f>IF(OR(C545="",D545=""),"",MOD(D545-C545,1)*24)</f>
        <v/>
      </c>
      <c r="F545" s="50" t="n"/>
      <c r="G545" s="51" t="n"/>
      <c r="H545" s="51" t="n"/>
      <c r="I545" s="51" t="n"/>
      <c r="J545" s="51" t="n"/>
      <c r="K545" s="51" t="n"/>
      <c r="L545" s="54">
        <f>IF(OR(A545="",C545="",D545=""),"",IF(COUNTIFS($A$5:$A$3004,A545,$C$5:$C$3004,"&lt;"&amp;D545,$D$5:$D$3004,"&gt;"&amp;C545)&gt;1,"⚠️ пересечение",""))</f>
        <v/>
      </c>
      <c r="M545" s="54">
        <f>IF(F545="","",IF(J545="✅ Сделано","✔ ",IF(J545="❌ Пропущено","✖ ","⏰ "))&amp;IF(C545="","",RIGHT("0"&amp;HOUR(C545),2)&amp;":"&amp;RIGHT("0"&amp;MINUTE(C545),2)&amp;IF(D545="","","–"&amp;RIGHT("0"&amp;HOUR(D545),2)&amp;":"&amp;RIGHT("0"&amp;MINUTE(D545),2))&amp;" ")&amp;F545)</f>
        <v/>
      </c>
      <c r="N545" s="54">
        <f>IF(OR(A545="",F545=""),"",A545&amp;"#"&amp;(COUNTIFS($A$5:$A$3004,A545,$F$5:$F$3004,"?*",$O$5:$O$3004,"&lt;"&amp;O545)+COUNTIFS($A$5:A545,A545,$F$5:F545,"?*",$O$5:O545,O545)))</f>
        <v/>
      </c>
      <c r="O545" s="54">
        <f>IF(A545="","",IF(C545="",0,C545))</f>
        <v/>
      </c>
    </row>
    <row r="546">
      <c r="A546" s="58" t="n"/>
      <c r="B546" s="49">
        <f>IF(A546="","",CHOOSE(WEEKDAY(A546,2),"Пн","Вт","Ср","Чт","Пт","Сб","Вс"))</f>
        <v/>
      </c>
      <c r="C546" s="59" t="n"/>
      <c r="D546" s="59" t="n"/>
      <c r="E546" s="60">
        <f>IF(OR(C546="",D546=""),"",MOD(D546-C546,1)*24)</f>
        <v/>
      </c>
      <c r="F546" s="50" t="n"/>
      <c r="G546" s="51" t="n"/>
      <c r="H546" s="51" t="n"/>
      <c r="I546" s="51" t="n"/>
      <c r="J546" s="51" t="n"/>
      <c r="K546" s="51" t="n"/>
      <c r="L546" s="54">
        <f>IF(OR(A546="",C546="",D546=""),"",IF(COUNTIFS($A$5:$A$3004,A546,$C$5:$C$3004,"&lt;"&amp;D546,$D$5:$D$3004,"&gt;"&amp;C546)&gt;1,"⚠️ пересечение",""))</f>
        <v/>
      </c>
      <c r="M546" s="54">
        <f>IF(F546="","",IF(J546="✅ Сделано","✔ ",IF(J546="❌ Пропущено","✖ ","⏰ "))&amp;IF(C546="","",RIGHT("0"&amp;HOUR(C546),2)&amp;":"&amp;RIGHT("0"&amp;MINUTE(C546),2)&amp;IF(D546="","","–"&amp;RIGHT("0"&amp;HOUR(D546),2)&amp;":"&amp;RIGHT("0"&amp;MINUTE(D546),2))&amp;" ")&amp;F546)</f>
        <v/>
      </c>
      <c r="N546" s="54">
        <f>IF(OR(A546="",F546=""),"",A546&amp;"#"&amp;(COUNTIFS($A$5:$A$3004,A546,$F$5:$F$3004,"?*",$O$5:$O$3004,"&lt;"&amp;O546)+COUNTIFS($A$5:A546,A546,$F$5:F546,"?*",$O$5:O546,O546)))</f>
        <v/>
      </c>
      <c r="O546" s="54">
        <f>IF(A546="","",IF(C546="",0,C546))</f>
        <v/>
      </c>
    </row>
    <row r="547">
      <c r="A547" s="58" t="n"/>
      <c r="B547" s="49">
        <f>IF(A547="","",CHOOSE(WEEKDAY(A547,2),"Пн","Вт","Ср","Чт","Пт","Сб","Вс"))</f>
        <v/>
      </c>
      <c r="C547" s="59" t="n"/>
      <c r="D547" s="59" t="n"/>
      <c r="E547" s="60">
        <f>IF(OR(C547="",D547=""),"",MOD(D547-C547,1)*24)</f>
        <v/>
      </c>
      <c r="F547" s="50" t="n"/>
      <c r="G547" s="51" t="n"/>
      <c r="H547" s="51" t="n"/>
      <c r="I547" s="51" t="n"/>
      <c r="J547" s="51" t="n"/>
      <c r="K547" s="51" t="n"/>
      <c r="L547" s="54">
        <f>IF(OR(A547="",C547="",D547=""),"",IF(COUNTIFS($A$5:$A$3004,A547,$C$5:$C$3004,"&lt;"&amp;D547,$D$5:$D$3004,"&gt;"&amp;C547)&gt;1,"⚠️ пересечение",""))</f>
        <v/>
      </c>
      <c r="M547" s="54">
        <f>IF(F547="","",IF(J547="✅ Сделано","✔ ",IF(J547="❌ Пропущено","✖ ","⏰ "))&amp;IF(C547="","",RIGHT("0"&amp;HOUR(C547),2)&amp;":"&amp;RIGHT("0"&amp;MINUTE(C547),2)&amp;IF(D547="","","–"&amp;RIGHT("0"&amp;HOUR(D547),2)&amp;":"&amp;RIGHT("0"&amp;MINUTE(D547),2))&amp;" ")&amp;F547)</f>
        <v/>
      </c>
      <c r="N547" s="54">
        <f>IF(OR(A547="",F547=""),"",A547&amp;"#"&amp;(COUNTIFS($A$5:$A$3004,A547,$F$5:$F$3004,"?*",$O$5:$O$3004,"&lt;"&amp;O547)+COUNTIFS($A$5:A547,A547,$F$5:F547,"?*",$O$5:O547,O547)))</f>
        <v/>
      </c>
      <c r="O547" s="54">
        <f>IF(A547="","",IF(C547="",0,C547))</f>
        <v/>
      </c>
    </row>
    <row r="548">
      <c r="A548" s="58" t="n"/>
      <c r="B548" s="49">
        <f>IF(A548="","",CHOOSE(WEEKDAY(A548,2),"Пн","Вт","Ср","Чт","Пт","Сб","Вс"))</f>
        <v/>
      </c>
      <c r="C548" s="59" t="n"/>
      <c r="D548" s="59" t="n"/>
      <c r="E548" s="60">
        <f>IF(OR(C548="",D548=""),"",MOD(D548-C548,1)*24)</f>
        <v/>
      </c>
      <c r="F548" s="50" t="n"/>
      <c r="G548" s="51" t="n"/>
      <c r="H548" s="51" t="n"/>
      <c r="I548" s="51" t="n"/>
      <c r="J548" s="51" t="n"/>
      <c r="K548" s="51" t="n"/>
      <c r="L548" s="54">
        <f>IF(OR(A548="",C548="",D548=""),"",IF(COUNTIFS($A$5:$A$3004,A548,$C$5:$C$3004,"&lt;"&amp;D548,$D$5:$D$3004,"&gt;"&amp;C548)&gt;1,"⚠️ пересечение",""))</f>
        <v/>
      </c>
      <c r="M548" s="54">
        <f>IF(F548="","",IF(J548="✅ Сделано","✔ ",IF(J548="❌ Пропущено","✖ ","⏰ "))&amp;IF(C548="","",RIGHT("0"&amp;HOUR(C548),2)&amp;":"&amp;RIGHT("0"&amp;MINUTE(C548),2)&amp;IF(D548="","","–"&amp;RIGHT("0"&amp;HOUR(D548),2)&amp;":"&amp;RIGHT("0"&amp;MINUTE(D548),2))&amp;" ")&amp;F548)</f>
        <v/>
      </c>
      <c r="N548" s="54">
        <f>IF(OR(A548="",F548=""),"",A548&amp;"#"&amp;(COUNTIFS($A$5:$A$3004,A548,$F$5:$F$3004,"?*",$O$5:$O$3004,"&lt;"&amp;O548)+COUNTIFS($A$5:A548,A548,$F$5:F548,"?*",$O$5:O548,O548)))</f>
        <v/>
      </c>
      <c r="O548" s="54">
        <f>IF(A548="","",IF(C548="",0,C548))</f>
        <v/>
      </c>
    </row>
    <row r="549">
      <c r="A549" s="58" t="n"/>
      <c r="B549" s="49">
        <f>IF(A549="","",CHOOSE(WEEKDAY(A549,2),"Пн","Вт","Ср","Чт","Пт","Сб","Вс"))</f>
        <v/>
      </c>
      <c r="C549" s="59" t="n"/>
      <c r="D549" s="59" t="n"/>
      <c r="E549" s="60">
        <f>IF(OR(C549="",D549=""),"",MOD(D549-C549,1)*24)</f>
        <v/>
      </c>
      <c r="F549" s="50" t="n"/>
      <c r="G549" s="51" t="n"/>
      <c r="H549" s="51" t="n"/>
      <c r="I549" s="51" t="n"/>
      <c r="J549" s="51" t="n"/>
      <c r="K549" s="51" t="n"/>
      <c r="L549" s="54">
        <f>IF(OR(A549="",C549="",D549=""),"",IF(COUNTIFS($A$5:$A$3004,A549,$C$5:$C$3004,"&lt;"&amp;D549,$D$5:$D$3004,"&gt;"&amp;C549)&gt;1,"⚠️ пересечение",""))</f>
        <v/>
      </c>
      <c r="M549" s="54">
        <f>IF(F549="","",IF(J549="✅ Сделано","✔ ",IF(J549="❌ Пропущено","✖ ","⏰ "))&amp;IF(C549="","",RIGHT("0"&amp;HOUR(C549),2)&amp;":"&amp;RIGHT("0"&amp;MINUTE(C549),2)&amp;IF(D549="","","–"&amp;RIGHT("0"&amp;HOUR(D549),2)&amp;":"&amp;RIGHT("0"&amp;MINUTE(D549),2))&amp;" ")&amp;F549)</f>
        <v/>
      </c>
      <c r="N549" s="54">
        <f>IF(OR(A549="",F549=""),"",A549&amp;"#"&amp;(COUNTIFS($A$5:$A$3004,A549,$F$5:$F$3004,"?*",$O$5:$O$3004,"&lt;"&amp;O549)+COUNTIFS($A$5:A549,A549,$F$5:F549,"?*",$O$5:O549,O549)))</f>
        <v/>
      </c>
      <c r="O549" s="54">
        <f>IF(A549="","",IF(C549="",0,C549))</f>
        <v/>
      </c>
    </row>
    <row r="550">
      <c r="A550" s="58" t="n"/>
      <c r="B550" s="49">
        <f>IF(A550="","",CHOOSE(WEEKDAY(A550,2),"Пн","Вт","Ср","Чт","Пт","Сб","Вс"))</f>
        <v/>
      </c>
      <c r="C550" s="59" t="n"/>
      <c r="D550" s="59" t="n"/>
      <c r="E550" s="60">
        <f>IF(OR(C550="",D550=""),"",MOD(D550-C550,1)*24)</f>
        <v/>
      </c>
      <c r="F550" s="50" t="n"/>
      <c r="G550" s="51" t="n"/>
      <c r="H550" s="51" t="n"/>
      <c r="I550" s="51" t="n"/>
      <c r="J550" s="51" t="n"/>
      <c r="K550" s="51" t="n"/>
      <c r="L550" s="54">
        <f>IF(OR(A550="",C550="",D550=""),"",IF(COUNTIFS($A$5:$A$3004,A550,$C$5:$C$3004,"&lt;"&amp;D550,$D$5:$D$3004,"&gt;"&amp;C550)&gt;1,"⚠️ пересечение",""))</f>
        <v/>
      </c>
      <c r="M550" s="54">
        <f>IF(F550="","",IF(J550="✅ Сделано","✔ ",IF(J550="❌ Пропущено","✖ ","⏰ "))&amp;IF(C550="","",RIGHT("0"&amp;HOUR(C550),2)&amp;":"&amp;RIGHT("0"&amp;MINUTE(C550),2)&amp;IF(D550="","","–"&amp;RIGHT("0"&amp;HOUR(D550),2)&amp;":"&amp;RIGHT("0"&amp;MINUTE(D550),2))&amp;" ")&amp;F550)</f>
        <v/>
      </c>
      <c r="N550" s="54">
        <f>IF(OR(A550="",F550=""),"",A550&amp;"#"&amp;(COUNTIFS($A$5:$A$3004,A550,$F$5:$F$3004,"?*",$O$5:$O$3004,"&lt;"&amp;O550)+COUNTIFS($A$5:A550,A550,$F$5:F550,"?*",$O$5:O550,O550)))</f>
        <v/>
      </c>
      <c r="O550" s="54">
        <f>IF(A550="","",IF(C550="",0,C550))</f>
        <v/>
      </c>
    </row>
    <row r="551">
      <c r="A551" s="58" t="n"/>
      <c r="B551" s="49">
        <f>IF(A551="","",CHOOSE(WEEKDAY(A551,2),"Пн","Вт","Ср","Чт","Пт","Сб","Вс"))</f>
        <v/>
      </c>
      <c r="C551" s="59" t="n"/>
      <c r="D551" s="59" t="n"/>
      <c r="E551" s="60">
        <f>IF(OR(C551="",D551=""),"",MOD(D551-C551,1)*24)</f>
        <v/>
      </c>
      <c r="F551" s="50" t="n"/>
      <c r="G551" s="51" t="n"/>
      <c r="H551" s="51" t="n"/>
      <c r="I551" s="51" t="n"/>
      <c r="J551" s="51" t="n"/>
      <c r="K551" s="51" t="n"/>
      <c r="L551" s="54">
        <f>IF(OR(A551="",C551="",D551=""),"",IF(COUNTIFS($A$5:$A$3004,A551,$C$5:$C$3004,"&lt;"&amp;D551,$D$5:$D$3004,"&gt;"&amp;C551)&gt;1,"⚠️ пересечение",""))</f>
        <v/>
      </c>
      <c r="M551" s="54">
        <f>IF(F551="","",IF(J551="✅ Сделано","✔ ",IF(J551="❌ Пропущено","✖ ","⏰ "))&amp;IF(C551="","",RIGHT("0"&amp;HOUR(C551),2)&amp;":"&amp;RIGHT("0"&amp;MINUTE(C551),2)&amp;IF(D551="","","–"&amp;RIGHT("0"&amp;HOUR(D551),2)&amp;":"&amp;RIGHT("0"&amp;MINUTE(D551),2))&amp;" ")&amp;F551)</f>
        <v/>
      </c>
      <c r="N551" s="54">
        <f>IF(OR(A551="",F551=""),"",A551&amp;"#"&amp;(COUNTIFS($A$5:$A$3004,A551,$F$5:$F$3004,"?*",$O$5:$O$3004,"&lt;"&amp;O551)+COUNTIFS($A$5:A551,A551,$F$5:F551,"?*",$O$5:O551,O551)))</f>
        <v/>
      </c>
      <c r="O551" s="54">
        <f>IF(A551="","",IF(C551="",0,C551))</f>
        <v/>
      </c>
    </row>
    <row r="552">
      <c r="A552" s="58" t="n"/>
      <c r="B552" s="49">
        <f>IF(A552="","",CHOOSE(WEEKDAY(A552,2),"Пн","Вт","Ср","Чт","Пт","Сб","Вс"))</f>
        <v/>
      </c>
      <c r="C552" s="59" t="n"/>
      <c r="D552" s="59" t="n"/>
      <c r="E552" s="60">
        <f>IF(OR(C552="",D552=""),"",MOD(D552-C552,1)*24)</f>
        <v/>
      </c>
      <c r="F552" s="50" t="n"/>
      <c r="G552" s="51" t="n"/>
      <c r="H552" s="51" t="n"/>
      <c r="I552" s="51" t="n"/>
      <c r="J552" s="51" t="n"/>
      <c r="K552" s="51" t="n"/>
      <c r="L552" s="54">
        <f>IF(OR(A552="",C552="",D552=""),"",IF(COUNTIFS($A$5:$A$3004,A552,$C$5:$C$3004,"&lt;"&amp;D552,$D$5:$D$3004,"&gt;"&amp;C552)&gt;1,"⚠️ пересечение",""))</f>
        <v/>
      </c>
      <c r="M552" s="54">
        <f>IF(F552="","",IF(J552="✅ Сделано","✔ ",IF(J552="❌ Пропущено","✖ ","⏰ "))&amp;IF(C552="","",RIGHT("0"&amp;HOUR(C552),2)&amp;":"&amp;RIGHT("0"&amp;MINUTE(C552),2)&amp;IF(D552="","","–"&amp;RIGHT("0"&amp;HOUR(D552),2)&amp;":"&amp;RIGHT("0"&amp;MINUTE(D552),2))&amp;" ")&amp;F552)</f>
        <v/>
      </c>
      <c r="N552" s="54">
        <f>IF(OR(A552="",F552=""),"",A552&amp;"#"&amp;(COUNTIFS($A$5:$A$3004,A552,$F$5:$F$3004,"?*",$O$5:$O$3004,"&lt;"&amp;O552)+COUNTIFS($A$5:A552,A552,$F$5:F552,"?*",$O$5:O552,O552)))</f>
        <v/>
      </c>
      <c r="O552" s="54">
        <f>IF(A552="","",IF(C552="",0,C552))</f>
        <v/>
      </c>
    </row>
    <row r="553">
      <c r="A553" s="58" t="n"/>
      <c r="B553" s="49">
        <f>IF(A553="","",CHOOSE(WEEKDAY(A553,2),"Пн","Вт","Ср","Чт","Пт","Сб","Вс"))</f>
        <v/>
      </c>
      <c r="C553" s="59" t="n"/>
      <c r="D553" s="59" t="n"/>
      <c r="E553" s="60">
        <f>IF(OR(C553="",D553=""),"",MOD(D553-C553,1)*24)</f>
        <v/>
      </c>
      <c r="F553" s="50" t="n"/>
      <c r="G553" s="51" t="n"/>
      <c r="H553" s="51" t="n"/>
      <c r="I553" s="51" t="n"/>
      <c r="J553" s="51" t="n"/>
      <c r="K553" s="51" t="n"/>
      <c r="L553" s="54">
        <f>IF(OR(A553="",C553="",D553=""),"",IF(COUNTIFS($A$5:$A$3004,A553,$C$5:$C$3004,"&lt;"&amp;D553,$D$5:$D$3004,"&gt;"&amp;C553)&gt;1,"⚠️ пересечение",""))</f>
        <v/>
      </c>
      <c r="M553" s="54">
        <f>IF(F553="","",IF(J553="✅ Сделано","✔ ",IF(J553="❌ Пропущено","✖ ","⏰ "))&amp;IF(C553="","",RIGHT("0"&amp;HOUR(C553),2)&amp;":"&amp;RIGHT("0"&amp;MINUTE(C553),2)&amp;IF(D553="","","–"&amp;RIGHT("0"&amp;HOUR(D553),2)&amp;":"&amp;RIGHT("0"&amp;MINUTE(D553),2))&amp;" ")&amp;F553)</f>
        <v/>
      </c>
      <c r="N553" s="54">
        <f>IF(OR(A553="",F553=""),"",A553&amp;"#"&amp;(COUNTIFS($A$5:$A$3004,A553,$F$5:$F$3004,"?*",$O$5:$O$3004,"&lt;"&amp;O553)+COUNTIFS($A$5:A553,A553,$F$5:F553,"?*",$O$5:O553,O553)))</f>
        <v/>
      </c>
      <c r="O553" s="54">
        <f>IF(A553="","",IF(C553="",0,C553))</f>
        <v/>
      </c>
    </row>
    <row r="554">
      <c r="A554" s="58" t="n"/>
      <c r="B554" s="49">
        <f>IF(A554="","",CHOOSE(WEEKDAY(A554,2),"Пн","Вт","Ср","Чт","Пт","Сб","Вс"))</f>
        <v/>
      </c>
      <c r="C554" s="59" t="n"/>
      <c r="D554" s="59" t="n"/>
      <c r="E554" s="60">
        <f>IF(OR(C554="",D554=""),"",MOD(D554-C554,1)*24)</f>
        <v/>
      </c>
      <c r="F554" s="50" t="n"/>
      <c r="G554" s="51" t="n"/>
      <c r="H554" s="51" t="n"/>
      <c r="I554" s="51" t="n"/>
      <c r="J554" s="51" t="n"/>
      <c r="K554" s="51" t="n"/>
      <c r="L554" s="54">
        <f>IF(OR(A554="",C554="",D554=""),"",IF(COUNTIFS($A$5:$A$3004,A554,$C$5:$C$3004,"&lt;"&amp;D554,$D$5:$D$3004,"&gt;"&amp;C554)&gt;1,"⚠️ пересечение",""))</f>
        <v/>
      </c>
      <c r="M554" s="54">
        <f>IF(F554="","",IF(J554="✅ Сделано","✔ ",IF(J554="❌ Пропущено","✖ ","⏰ "))&amp;IF(C554="","",RIGHT("0"&amp;HOUR(C554),2)&amp;":"&amp;RIGHT("0"&amp;MINUTE(C554),2)&amp;IF(D554="","","–"&amp;RIGHT("0"&amp;HOUR(D554),2)&amp;":"&amp;RIGHT("0"&amp;MINUTE(D554),2))&amp;" ")&amp;F554)</f>
        <v/>
      </c>
      <c r="N554" s="54">
        <f>IF(OR(A554="",F554=""),"",A554&amp;"#"&amp;(COUNTIFS($A$5:$A$3004,A554,$F$5:$F$3004,"?*",$O$5:$O$3004,"&lt;"&amp;O554)+COUNTIFS($A$5:A554,A554,$F$5:F554,"?*",$O$5:O554,O554)))</f>
        <v/>
      </c>
      <c r="O554" s="54">
        <f>IF(A554="","",IF(C554="",0,C554))</f>
        <v/>
      </c>
    </row>
    <row r="555">
      <c r="A555" s="58" t="n"/>
      <c r="B555" s="49">
        <f>IF(A555="","",CHOOSE(WEEKDAY(A555,2),"Пн","Вт","Ср","Чт","Пт","Сб","Вс"))</f>
        <v/>
      </c>
      <c r="C555" s="59" t="n"/>
      <c r="D555" s="59" t="n"/>
      <c r="E555" s="60">
        <f>IF(OR(C555="",D555=""),"",MOD(D555-C555,1)*24)</f>
        <v/>
      </c>
      <c r="F555" s="50" t="n"/>
      <c r="G555" s="51" t="n"/>
      <c r="H555" s="51" t="n"/>
      <c r="I555" s="51" t="n"/>
      <c r="J555" s="51" t="n"/>
      <c r="K555" s="51" t="n"/>
      <c r="L555" s="54">
        <f>IF(OR(A555="",C555="",D555=""),"",IF(COUNTIFS($A$5:$A$3004,A555,$C$5:$C$3004,"&lt;"&amp;D555,$D$5:$D$3004,"&gt;"&amp;C555)&gt;1,"⚠️ пересечение",""))</f>
        <v/>
      </c>
      <c r="M555" s="54">
        <f>IF(F555="","",IF(J555="✅ Сделано","✔ ",IF(J555="❌ Пропущено","✖ ","⏰ "))&amp;IF(C555="","",RIGHT("0"&amp;HOUR(C555),2)&amp;":"&amp;RIGHT("0"&amp;MINUTE(C555),2)&amp;IF(D555="","","–"&amp;RIGHT("0"&amp;HOUR(D555),2)&amp;":"&amp;RIGHT("0"&amp;MINUTE(D555),2))&amp;" ")&amp;F555)</f>
        <v/>
      </c>
      <c r="N555" s="54">
        <f>IF(OR(A555="",F555=""),"",A555&amp;"#"&amp;(COUNTIFS($A$5:$A$3004,A555,$F$5:$F$3004,"?*",$O$5:$O$3004,"&lt;"&amp;O555)+COUNTIFS($A$5:A555,A555,$F$5:F555,"?*",$O$5:O555,O555)))</f>
        <v/>
      </c>
      <c r="O555" s="54">
        <f>IF(A555="","",IF(C555="",0,C555))</f>
        <v/>
      </c>
    </row>
    <row r="556">
      <c r="A556" s="58" t="n"/>
      <c r="B556" s="49">
        <f>IF(A556="","",CHOOSE(WEEKDAY(A556,2),"Пн","Вт","Ср","Чт","Пт","Сб","Вс"))</f>
        <v/>
      </c>
      <c r="C556" s="59" t="n"/>
      <c r="D556" s="59" t="n"/>
      <c r="E556" s="60">
        <f>IF(OR(C556="",D556=""),"",MOD(D556-C556,1)*24)</f>
        <v/>
      </c>
      <c r="F556" s="50" t="n"/>
      <c r="G556" s="51" t="n"/>
      <c r="H556" s="51" t="n"/>
      <c r="I556" s="51" t="n"/>
      <c r="J556" s="51" t="n"/>
      <c r="K556" s="51" t="n"/>
      <c r="L556" s="54">
        <f>IF(OR(A556="",C556="",D556=""),"",IF(COUNTIFS($A$5:$A$3004,A556,$C$5:$C$3004,"&lt;"&amp;D556,$D$5:$D$3004,"&gt;"&amp;C556)&gt;1,"⚠️ пересечение",""))</f>
        <v/>
      </c>
      <c r="M556" s="54">
        <f>IF(F556="","",IF(J556="✅ Сделано","✔ ",IF(J556="❌ Пропущено","✖ ","⏰ "))&amp;IF(C556="","",RIGHT("0"&amp;HOUR(C556),2)&amp;":"&amp;RIGHT("0"&amp;MINUTE(C556),2)&amp;IF(D556="","","–"&amp;RIGHT("0"&amp;HOUR(D556),2)&amp;":"&amp;RIGHT("0"&amp;MINUTE(D556),2))&amp;" ")&amp;F556)</f>
        <v/>
      </c>
      <c r="N556" s="54">
        <f>IF(OR(A556="",F556=""),"",A556&amp;"#"&amp;(COUNTIFS($A$5:$A$3004,A556,$F$5:$F$3004,"?*",$O$5:$O$3004,"&lt;"&amp;O556)+COUNTIFS($A$5:A556,A556,$F$5:F556,"?*",$O$5:O556,O556)))</f>
        <v/>
      </c>
      <c r="O556" s="54">
        <f>IF(A556="","",IF(C556="",0,C556))</f>
        <v/>
      </c>
    </row>
    <row r="557">
      <c r="A557" s="58" t="n"/>
      <c r="B557" s="49">
        <f>IF(A557="","",CHOOSE(WEEKDAY(A557,2),"Пн","Вт","Ср","Чт","Пт","Сб","Вс"))</f>
        <v/>
      </c>
      <c r="C557" s="59" t="n"/>
      <c r="D557" s="59" t="n"/>
      <c r="E557" s="60">
        <f>IF(OR(C557="",D557=""),"",MOD(D557-C557,1)*24)</f>
        <v/>
      </c>
      <c r="F557" s="50" t="n"/>
      <c r="G557" s="51" t="n"/>
      <c r="H557" s="51" t="n"/>
      <c r="I557" s="51" t="n"/>
      <c r="J557" s="51" t="n"/>
      <c r="K557" s="51" t="n"/>
      <c r="L557" s="54">
        <f>IF(OR(A557="",C557="",D557=""),"",IF(COUNTIFS($A$5:$A$3004,A557,$C$5:$C$3004,"&lt;"&amp;D557,$D$5:$D$3004,"&gt;"&amp;C557)&gt;1,"⚠️ пересечение",""))</f>
        <v/>
      </c>
      <c r="M557" s="54">
        <f>IF(F557="","",IF(J557="✅ Сделано","✔ ",IF(J557="❌ Пропущено","✖ ","⏰ "))&amp;IF(C557="","",RIGHT("0"&amp;HOUR(C557),2)&amp;":"&amp;RIGHT("0"&amp;MINUTE(C557),2)&amp;IF(D557="","","–"&amp;RIGHT("0"&amp;HOUR(D557),2)&amp;":"&amp;RIGHT("0"&amp;MINUTE(D557),2))&amp;" ")&amp;F557)</f>
        <v/>
      </c>
      <c r="N557" s="54">
        <f>IF(OR(A557="",F557=""),"",A557&amp;"#"&amp;(COUNTIFS($A$5:$A$3004,A557,$F$5:$F$3004,"?*",$O$5:$O$3004,"&lt;"&amp;O557)+COUNTIFS($A$5:A557,A557,$F$5:F557,"?*",$O$5:O557,O557)))</f>
        <v/>
      </c>
      <c r="O557" s="54">
        <f>IF(A557="","",IF(C557="",0,C557))</f>
        <v/>
      </c>
    </row>
    <row r="558">
      <c r="A558" s="58" t="n"/>
      <c r="B558" s="49">
        <f>IF(A558="","",CHOOSE(WEEKDAY(A558,2),"Пн","Вт","Ср","Чт","Пт","Сб","Вс"))</f>
        <v/>
      </c>
      <c r="C558" s="59" t="n"/>
      <c r="D558" s="59" t="n"/>
      <c r="E558" s="60">
        <f>IF(OR(C558="",D558=""),"",MOD(D558-C558,1)*24)</f>
        <v/>
      </c>
      <c r="F558" s="50" t="n"/>
      <c r="G558" s="51" t="n"/>
      <c r="H558" s="51" t="n"/>
      <c r="I558" s="51" t="n"/>
      <c r="J558" s="51" t="n"/>
      <c r="K558" s="51" t="n"/>
      <c r="L558" s="54">
        <f>IF(OR(A558="",C558="",D558=""),"",IF(COUNTIFS($A$5:$A$3004,A558,$C$5:$C$3004,"&lt;"&amp;D558,$D$5:$D$3004,"&gt;"&amp;C558)&gt;1,"⚠️ пересечение",""))</f>
        <v/>
      </c>
      <c r="M558" s="54">
        <f>IF(F558="","",IF(J558="✅ Сделано","✔ ",IF(J558="❌ Пропущено","✖ ","⏰ "))&amp;IF(C558="","",RIGHT("0"&amp;HOUR(C558),2)&amp;":"&amp;RIGHT("0"&amp;MINUTE(C558),2)&amp;IF(D558="","","–"&amp;RIGHT("0"&amp;HOUR(D558),2)&amp;":"&amp;RIGHT("0"&amp;MINUTE(D558),2))&amp;" ")&amp;F558)</f>
        <v/>
      </c>
      <c r="N558" s="54">
        <f>IF(OR(A558="",F558=""),"",A558&amp;"#"&amp;(COUNTIFS($A$5:$A$3004,A558,$F$5:$F$3004,"?*",$O$5:$O$3004,"&lt;"&amp;O558)+COUNTIFS($A$5:A558,A558,$F$5:F558,"?*",$O$5:O558,O558)))</f>
        <v/>
      </c>
      <c r="O558" s="54">
        <f>IF(A558="","",IF(C558="",0,C558))</f>
        <v/>
      </c>
    </row>
    <row r="559">
      <c r="A559" s="58" t="n"/>
      <c r="B559" s="49">
        <f>IF(A559="","",CHOOSE(WEEKDAY(A559,2),"Пн","Вт","Ср","Чт","Пт","Сб","Вс"))</f>
        <v/>
      </c>
      <c r="C559" s="59" t="n"/>
      <c r="D559" s="59" t="n"/>
      <c r="E559" s="60">
        <f>IF(OR(C559="",D559=""),"",MOD(D559-C559,1)*24)</f>
        <v/>
      </c>
      <c r="F559" s="50" t="n"/>
      <c r="G559" s="51" t="n"/>
      <c r="H559" s="51" t="n"/>
      <c r="I559" s="51" t="n"/>
      <c r="J559" s="51" t="n"/>
      <c r="K559" s="51" t="n"/>
      <c r="L559" s="54">
        <f>IF(OR(A559="",C559="",D559=""),"",IF(COUNTIFS($A$5:$A$3004,A559,$C$5:$C$3004,"&lt;"&amp;D559,$D$5:$D$3004,"&gt;"&amp;C559)&gt;1,"⚠️ пересечение",""))</f>
        <v/>
      </c>
      <c r="M559" s="54">
        <f>IF(F559="","",IF(J559="✅ Сделано","✔ ",IF(J559="❌ Пропущено","✖ ","⏰ "))&amp;IF(C559="","",RIGHT("0"&amp;HOUR(C559),2)&amp;":"&amp;RIGHT("0"&amp;MINUTE(C559),2)&amp;IF(D559="","","–"&amp;RIGHT("0"&amp;HOUR(D559),2)&amp;":"&amp;RIGHT("0"&amp;MINUTE(D559),2))&amp;" ")&amp;F559)</f>
        <v/>
      </c>
      <c r="N559" s="54">
        <f>IF(OR(A559="",F559=""),"",A559&amp;"#"&amp;(COUNTIFS($A$5:$A$3004,A559,$F$5:$F$3004,"?*",$O$5:$O$3004,"&lt;"&amp;O559)+COUNTIFS($A$5:A559,A559,$F$5:F559,"?*",$O$5:O559,O559)))</f>
        <v/>
      </c>
      <c r="O559" s="54">
        <f>IF(A559="","",IF(C559="",0,C559))</f>
        <v/>
      </c>
    </row>
    <row r="560">
      <c r="A560" s="58" t="n"/>
      <c r="B560" s="49">
        <f>IF(A560="","",CHOOSE(WEEKDAY(A560,2),"Пн","Вт","Ср","Чт","Пт","Сб","Вс"))</f>
        <v/>
      </c>
      <c r="C560" s="59" t="n"/>
      <c r="D560" s="59" t="n"/>
      <c r="E560" s="60">
        <f>IF(OR(C560="",D560=""),"",MOD(D560-C560,1)*24)</f>
        <v/>
      </c>
      <c r="F560" s="50" t="n"/>
      <c r="G560" s="51" t="n"/>
      <c r="H560" s="51" t="n"/>
      <c r="I560" s="51" t="n"/>
      <c r="J560" s="51" t="n"/>
      <c r="K560" s="51" t="n"/>
      <c r="L560" s="54">
        <f>IF(OR(A560="",C560="",D560=""),"",IF(COUNTIFS($A$5:$A$3004,A560,$C$5:$C$3004,"&lt;"&amp;D560,$D$5:$D$3004,"&gt;"&amp;C560)&gt;1,"⚠️ пересечение",""))</f>
        <v/>
      </c>
      <c r="M560" s="54">
        <f>IF(F560="","",IF(J560="✅ Сделано","✔ ",IF(J560="❌ Пропущено","✖ ","⏰ "))&amp;IF(C560="","",RIGHT("0"&amp;HOUR(C560),2)&amp;":"&amp;RIGHT("0"&amp;MINUTE(C560),2)&amp;IF(D560="","","–"&amp;RIGHT("0"&amp;HOUR(D560),2)&amp;":"&amp;RIGHT("0"&amp;MINUTE(D560),2))&amp;" ")&amp;F560)</f>
        <v/>
      </c>
      <c r="N560" s="54">
        <f>IF(OR(A560="",F560=""),"",A560&amp;"#"&amp;(COUNTIFS($A$5:$A$3004,A560,$F$5:$F$3004,"?*",$O$5:$O$3004,"&lt;"&amp;O560)+COUNTIFS($A$5:A560,A560,$F$5:F560,"?*",$O$5:O560,O560)))</f>
        <v/>
      </c>
      <c r="O560" s="54">
        <f>IF(A560="","",IF(C560="",0,C560))</f>
        <v/>
      </c>
    </row>
    <row r="561">
      <c r="A561" s="58" t="n"/>
      <c r="B561" s="49">
        <f>IF(A561="","",CHOOSE(WEEKDAY(A561,2),"Пн","Вт","Ср","Чт","Пт","Сб","Вс"))</f>
        <v/>
      </c>
      <c r="C561" s="59" t="n"/>
      <c r="D561" s="59" t="n"/>
      <c r="E561" s="60">
        <f>IF(OR(C561="",D561=""),"",MOD(D561-C561,1)*24)</f>
        <v/>
      </c>
      <c r="F561" s="50" t="n"/>
      <c r="G561" s="51" t="n"/>
      <c r="H561" s="51" t="n"/>
      <c r="I561" s="51" t="n"/>
      <c r="J561" s="51" t="n"/>
      <c r="K561" s="51" t="n"/>
      <c r="L561" s="54">
        <f>IF(OR(A561="",C561="",D561=""),"",IF(COUNTIFS($A$5:$A$3004,A561,$C$5:$C$3004,"&lt;"&amp;D561,$D$5:$D$3004,"&gt;"&amp;C561)&gt;1,"⚠️ пересечение",""))</f>
        <v/>
      </c>
      <c r="M561" s="54">
        <f>IF(F561="","",IF(J561="✅ Сделано","✔ ",IF(J561="❌ Пропущено","✖ ","⏰ "))&amp;IF(C561="","",RIGHT("0"&amp;HOUR(C561),2)&amp;":"&amp;RIGHT("0"&amp;MINUTE(C561),2)&amp;IF(D561="","","–"&amp;RIGHT("0"&amp;HOUR(D561),2)&amp;":"&amp;RIGHT("0"&amp;MINUTE(D561),2))&amp;" ")&amp;F561)</f>
        <v/>
      </c>
      <c r="N561" s="54">
        <f>IF(OR(A561="",F561=""),"",A561&amp;"#"&amp;(COUNTIFS($A$5:$A$3004,A561,$F$5:$F$3004,"?*",$O$5:$O$3004,"&lt;"&amp;O561)+COUNTIFS($A$5:A561,A561,$F$5:F561,"?*",$O$5:O561,O561)))</f>
        <v/>
      </c>
      <c r="O561" s="54">
        <f>IF(A561="","",IF(C561="",0,C561))</f>
        <v/>
      </c>
    </row>
    <row r="562">
      <c r="A562" s="58" t="n"/>
      <c r="B562" s="49">
        <f>IF(A562="","",CHOOSE(WEEKDAY(A562,2),"Пн","Вт","Ср","Чт","Пт","Сб","Вс"))</f>
        <v/>
      </c>
      <c r="C562" s="59" t="n"/>
      <c r="D562" s="59" t="n"/>
      <c r="E562" s="60">
        <f>IF(OR(C562="",D562=""),"",MOD(D562-C562,1)*24)</f>
        <v/>
      </c>
      <c r="F562" s="50" t="n"/>
      <c r="G562" s="51" t="n"/>
      <c r="H562" s="51" t="n"/>
      <c r="I562" s="51" t="n"/>
      <c r="J562" s="51" t="n"/>
      <c r="K562" s="51" t="n"/>
      <c r="L562" s="54">
        <f>IF(OR(A562="",C562="",D562=""),"",IF(COUNTIFS($A$5:$A$3004,A562,$C$5:$C$3004,"&lt;"&amp;D562,$D$5:$D$3004,"&gt;"&amp;C562)&gt;1,"⚠️ пересечение",""))</f>
        <v/>
      </c>
      <c r="M562" s="54">
        <f>IF(F562="","",IF(J562="✅ Сделано","✔ ",IF(J562="❌ Пропущено","✖ ","⏰ "))&amp;IF(C562="","",RIGHT("0"&amp;HOUR(C562),2)&amp;":"&amp;RIGHT("0"&amp;MINUTE(C562),2)&amp;IF(D562="","","–"&amp;RIGHT("0"&amp;HOUR(D562),2)&amp;":"&amp;RIGHT("0"&amp;MINUTE(D562),2))&amp;" ")&amp;F562)</f>
        <v/>
      </c>
      <c r="N562" s="54">
        <f>IF(OR(A562="",F562=""),"",A562&amp;"#"&amp;(COUNTIFS($A$5:$A$3004,A562,$F$5:$F$3004,"?*",$O$5:$O$3004,"&lt;"&amp;O562)+COUNTIFS($A$5:A562,A562,$F$5:F562,"?*",$O$5:O562,O562)))</f>
        <v/>
      </c>
      <c r="O562" s="54">
        <f>IF(A562="","",IF(C562="",0,C562))</f>
        <v/>
      </c>
    </row>
    <row r="563">
      <c r="A563" s="58" t="n"/>
      <c r="B563" s="49">
        <f>IF(A563="","",CHOOSE(WEEKDAY(A563,2),"Пн","Вт","Ср","Чт","Пт","Сб","Вс"))</f>
        <v/>
      </c>
      <c r="C563" s="59" t="n"/>
      <c r="D563" s="59" t="n"/>
      <c r="E563" s="60">
        <f>IF(OR(C563="",D563=""),"",MOD(D563-C563,1)*24)</f>
        <v/>
      </c>
      <c r="F563" s="50" t="n"/>
      <c r="G563" s="51" t="n"/>
      <c r="H563" s="51" t="n"/>
      <c r="I563" s="51" t="n"/>
      <c r="J563" s="51" t="n"/>
      <c r="K563" s="51" t="n"/>
      <c r="L563" s="54">
        <f>IF(OR(A563="",C563="",D563=""),"",IF(COUNTIFS($A$5:$A$3004,A563,$C$5:$C$3004,"&lt;"&amp;D563,$D$5:$D$3004,"&gt;"&amp;C563)&gt;1,"⚠️ пересечение",""))</f>
        <v/>
      </c>
      <c r="M563" s="54">
        <f>IF(F563="","",IF(J563="✅ Сделано","✔ ",IF(J563="❌ Пропущено","✖ ","⏰ "))&amp;IF(C563="","",RIGHT("0"&amp;HOUR(C563),2)&amp;":"&amp;RIGHT("0"&amp;MINUTE(C563),2)&amp;IF(D563="","","–"&amp;RIGHT("0"&amp;HOUR(D563),2)&amp;":"&amp;RIGHT("0"&amp;MINUTE(D563),2))&amp;" ")&amp;F563)</f>
        <v/>
      </c>
      <c r="N563" s="54">
        <f>IF(OR(A563="",F563=""),"",A563&amp;"#"&amp;(COUNTIFS($A$5:$A$3004,A563,$F$5:$F$3004,"?*",$O$5:$O$3004,"&lt;"&amp;O563)+COUNTIFS($A$5:A563,A563,$F$5:F563,"?*",$O$5:O563,O563)))</f>
        <v/>
      </c>
      <c r="O563" s="54">
        <f>IF(A563="","",IF(C563="",0,C563))</f>
        <v/>
      </c>
    </row>
    <row r="564">
      <c r="A564" s="58" t="n"/>
      <c r="B564" s="49">
        <f>IF(A564="","",CHOOSE(WEEKDAY(A564,2),"Пн","Вт","Ср","Чт","Пт","Сб","Вс"))</f>
        <v/>
      </c>
      <c r="C564" s="59" t="n"/>
      <c r="D564" s="59" t="n"/>
      <c r="E564" s="60">
        <f>IF(OR(C564="",D564=""),"",MOD(D564-C564,1)*24)</f>
        <v/>
      </c>
      <c r="F564" s="50" t="n"/>
      <c r="G564" s="51" t="n"/>
      <c r="H564" s="51" t="n"/>
      <c r="I564" s="51" t="n"/>
      <c r="J564" s="51" t="n"/>
      <c r="K564" s="51" t="n"/>
      <c r="L564" s="54">
        <f>IF(OR(A564="",C564="",D564=""),"",IF(COUNTIFS($A$5:$A$3004,A564,$C$5:$C$3004,"&lt;"&amp;D564,$D$5:$D$3004,"&gt;"&amp;C564)&gt;1,"⚠️ пересечение",""))</f>
        <v/>
      </c>
      <c r="M564" s="54">
        <f>IF(F564="","",IF(J564="✅ Сделано","✔ ",IF(J564="❌ Пропущено","✖ ","⏰ "))&amp;IF(C564="","",RIGHT("0"&amp;HOUR(C564),2)&amp;":"&amp;RIGHT("0"&amp;MINUTE(C564),2)&amp;IF(D564="","","–"&amp;RIGHT("0"&amp;HOUR(D564),2)&amp;":"&amp;RIGHT("0"&amp;MINUTE(D564),2))&amp;" ")&amp;F564)</f>
        <v/>
      </c>
      <c r="N564" s="54">
        <f>IF(OR(A564="",F564=""),"",A564&amp;"#"&amp;(COUNTIFS($A$5:$A$3004,A564,$F$5:$F$3004,"?*",$O$5:$O$3004,"&lt;"&amp;O564)+COUNTIFS($A$5:A564,A564,$F$5:F564,"?*",$O$5:O564,O564)))</f>
        <v/>
      </c>
      <c r="O564" s="54">
        <f>IF(A564="","",IF(C564="",0,C564))</f>
        <v/>
      </c>
    </row>
    <row r="565">
      <c r="A565" s="58" t="n"/>
      <c r="B565" s="49">
        <f>IF(A565="","",CHOOSE(WEEKDAY(A565,2),"Пн","Вт","Ср","Чт","Пт","Сб","Вс"))</f>
        <v/>
      </c>
      <c r="C565" s="59" t="n"/>
      <c r="D565" s="59" t="n"/>
      <c r="E565" s="60">
        <f>IF(OR(C565="",D565=""),"",MOD(D565-C565,1)*24)</f>
        <v/>
      </c>
      <c r="F565" s="50" t="n"/>
      <c r="G565" s="51" t="n"/>
      <c r="H565" s="51" t="n"/>
      <c r="I565" s="51" t="n"/>
      <c r="J565" s="51" t="n"/>
      <c r="K565" s="51" t="n"/>
      <c r="L565" s="54">
        <f>IF(OR(A565="",C565="",D565=""),"",IF(COUNTIFS($A$5:$A$3004,A565,$C$5:$C$3004,"&lt;"&amp;D565,$D$5:$D$3004,"&gt;"&amp;C565)&gt;1,"⚠️ пересечение",""))</f>
        <v/>
      </c>
      <c r="M565" s="54">
        <f>IF(F565="","",IF(J565="✅ Сделано","✔ ",IF(J565="❌ Пропущено","✖ ","⏰ "))&amp;IF(C565="","",RIGHT("0"&amp;HOUR(C565),2)&amp;":"&amp;RIGHT("0"&amp;MINUTE(C565),2)&amp;IF(D565="","","–"&amp;RIGHT("0"&amp;HOUR(D565),2)&amp;":"&amp;RIGHT("0"&amp;MINUTE(D565),2))&amp;" ")&amp;F565)</f>
        <v/>
      </c>
      <c r="N565" s="54">
        <f>IF(OR(A565="",F565=""),"",A565&amp;"#"&amp;(COUNTIFS($A$5:$A$3004,A565,$F$5:$F$3004,"?*",$O$5:$O$3004,"&lt;"&amp;O565)+COUNTIFS($A$5:A565,A565,$F$5:F565,"?*",$O$5:O565,O565)))</f>
        <v/>
      </c>
      <c r="O565" s="54">
        <f>IF(A565="","",IF(C565="",0,C565))</f>
        <v/>
      </c>
    </row>
    <row r="566">
      <c r="A566" s="58" t="n"/>
      <c r="B566" s="49">
        <f>IF(A566="","",CHOOSE(WEEKDAY(A566,2),"Пн","Вт","Ср","Чт","Пт","Сб","Вс"))</f>
        <v/>
      </c>
      <c r="C566" s="59" t="n"/>
      <c r="D566" s="59" t="n"/>
      <c r="E566" s="60">
        <f>IF(OR(C566="",D566=""),"",MOD(D566-C566,1)*24)</f>
        <v/>
      </c>
      <c r="F566" s="50" t="n"/>
      <c r="G566" s="51" t="n"/>
      <c r="H566" s="51" t="n"/>
      <c r="I566" s="51" t="n"/>
      <c r="J566" s="51" t="n"/>
      <c r="K566" s="51" t="n"/>
      <c r="L566" s="54">
        <f>IF(OR(A566="",C566="",D566=""),"",IF(COUNTIFS($A$5:$A$3004,A566,$C$5:$C$3004,"&lt;"&amp;D566,$D$5:$D$3004,"&gt;"&amp;C566)&gt;1,"⚠️ пересечение",""))</f>
        <v/>
      </c>
      <c r="M566" s="54">
        <f>IF(F566="","",IF(J566="✅ Сделано","✔ ",IF(J566="❌ Пропущено","✖ ","⏰ "))&amp;IF(C566="","",RIGHT("0"&amp;HOUR(C566),2)&amp;":"&amp;RIGHT("0"&amp;MINUTE(C566),2)&amp;IF(D566="","","–"&amp;RIGHT("0"&amp;HOUR(D566),2)&amp;":"&amp;RIGHT("0"&amp;MINUTE(D566),2))&amp;" ")&amp;F566)</f>
        <v/>
      </c>
      <c r="N566" s="54">
        <f>IF(OR(A566="",F566=""),"",A566&amp;"#"&amp;(COUNTIFS($A$5:$A$3004,A566,$F$5:$F$3004,"?*",$O$5:$O$3004,"&lt;"&amp;O566)+COUNTIFS($A$5:A566,A566,$F$5:F566,"?*",$O$5:O566,O566)))</f>
        <v/>
      </c>
      <c r="O566" s="54">
        <f>IF(A566="","",IF(C566="",0,C566))</f>
        <v/>
      </c>
    </row>
    <row r="567">
      <c r="A567" s="58" t="n"/>
      <c r="B567" s="49">
        <f>IF(A567="","",CHOOSE(WEEKDAY(A567,2),"Пн","Вт","Ср","Чт","Пт","Сб","Вс"))</f>
        <v/>
      </c>
      <c r="C567" s="59" t="n"/>
      <c r="D567" s="59" t="n"/>
      <c r="E567" s="60">
        <f>IF(OR(C567="",D567=""),"",MOD(D567-C567,1)*24)</f>
        <v/>
      </c>
      <c r="F567" s="50" t="n"/>
      <c r="G567" s="51" t="n"/>
      <c r="H567" s="51" t="n"/>
      <c r="I567" s="51" t="n"/>
      <c r="J567" s="51" t="n"/>
      <c r="K567" s="51" t="n"/>
      <c r="L567" s="54">
        <f>IF(OR(A567="",C567="",D567=""),"",IF(COUNTIFS($A$5:$A$3004,A567,$C$5:$C$3004,"&lt;"&amp;D567,$D$5:$D$3004,"&gt;"&amp;C567)&gt;1,"⚠️ пересечение",""))</f>
        <v/>
      </c>
      <c r="M567" s="54">
        <f>IF(F567="","",IF(J567="✅ Сделано","✔ ",IF(J567="❌ Пропущено","✖ ","⏰ "))&amp;IF(C567="","",RIGHT("0"&amp;HOUR(C567),2)&amp;":"&amp;RIGHT("0"&amp;MINUTE(C567),2)&amp;IF(D567="","","–"&amp;RIGHT("0"&amp;HOUR(D567),2)&amp;":"&amp;RIGHT("0"&amp;MINUTE(D567),2))&amp;" ")&amp;F567)</f>
        <v/>
      </c>
      <c r="N567" s="54">
        <f>IF(OR(A567="",F567=""),"",A567&amp;"#"&amp;(COUNTIFS($A$5:$A$3004,A567,$F$5:$F$3004,"?*",$O$5:$O$3004,"&lt;"&amp;O567)+COUNTIFS($A$5:A567,A567,$F$5:F567,"?*",$O$5:O567,O567)))</f>
        <v/>
      </c>
      <c r="O567" s="54">
        <f>IF(A567="","",IF(C567="",0,C567))</f>
        <v/>
      </c>
    </row>
    <row r="568">
      <c r="A568" s="58" t="n"/>
      <c r="B568" s="49">
        <f>IF(A568="","",CHOOSE(WEEKDAY(A568,2),"Пн","Вт","Ср","Чт","Пт","Сб","Вс"))</f>
        <v/>
      </c>
      <c r="C568" s="59" t="n"/>
      <c r="D568" s="59" t="n"/>
      <c r="E568" s="60">
        <f>IF(OR(C568="",D568=""),"",MOD(D568-C568,1)*24)</f>
        <v/>
      </c>
      <c r="F568" s="50" t="n"/>
      <c r="G568" s="51" t="n"/>
      <c r="H568" s="51" t="n"/>
      <c r="I568" s="51" t="n"/>
      <c r="J568" s="51" t="n"/>
      <c r="K568" s="51" t="n"/>
      <c r="L568" s="54">
        <f>IF(OR(A568="",C568="",D568=""),"",IF(COUNTIFS($A$5:$A$3004,A568,$C$5:$C$3004,"&lt;"&amp;D568,$D$5:$D$3004,"&gt;"&amp;C568)&gt;1,"⚠️ пересечение",""))</f>
        <v/>
      </c>
      <c r="M568" s="54">
        <f>IF(F568="","",IF(J568="✅ Сделано","✔ ",IF(J568="❌ Пропущено","✖ ","⏰ "))&amp;IF(C568="","",RIGHT("0"&amp;HOUR(C568),2)&amp;":"&amp;RIGHT("0"&amp;MINUTE(C568),2)&amp;IF(D568="","","–"&amp;RIGHT("0"&amp;HOUR(D568),2)&amp;":"&amp;RIGHT("0"&amp;MINUTE(D568),2))&amp;" ")&amp;F568)</f>
        <v/>
      </c>
      <c r="N568" s="54">
        <f>IF(OR(A568="",F568=""),"",A568&amp;"#"&amp;(COUNTIFS($A$5:$A$3004,A568,$F$5:$F$3004,"?*",$O$5:$O$3004,"&lt;"&amp;O568)+COUNTIFS($A$5:A568,A568,$F$5:F568,"?*",$O$5:O568,O568)))</f>
        <v/>
      </c>
      <c r="O568" s="54">
        <f>IF(A568="","",IF(C568="",0,C568))</f>
        <v/>
      </c>
    </row>
    <row r="569">
      <c r="A569" s="58" t="n"/>
      <c r="B569" s="49">
        <f>IF(A569="","",CHOOSE(WEEKDAY(A569,2),"Пн","Вт","Ср","Чт","Пт","Сб","Вс"))</f>
        <v/>
      </c>
      <c r="C569" s="59" t="n"/>
      <c r="D569" s="59" t="n"/>
      <c r="E569" s="60">
        <f>IF(OR(C569="",D569=""),"",MOD(D569-C569,1)*24)</f>
        <v/>
      </c>
      <c r="F569" s="50" t="n"/>
      <c r="G569" s="51" t="n"/>
      <c r="H569" s="51" t="n"/>
      <c r="I569" s="51" t="n"/>
      <c r="J569" s="51" t="n"/>
      <c r="K569" s="51" t="n"/>
      <c r="L569" s="54">
        <f>IF(OR(A569="",C569="",D569=""),"",IF(COUNTIFS($A$5:$A$3004,A569,$C$5:$C$3004,"&lt;"&amp;D569,$D$5:$D$3004,"&gt;"&amp;C569)&gt;1,"⚠️ пересечение",""))</f>
        <v/>
      </c>
      <c r="M569" s="54">
        <f>IF(F569="","",IF(J569="✅ Сделано","✔ ",IF(J569="❌ Пропущено","✖ ","⏰ "))&amp;IF(C569="","",RIGHT("0"&amp;HOUR(C569),2)&amp;":"&amp;RIGHT("0"&amp;MINUTE(C569),2)&amp;IF(D569="","","–"&amp;RIGHT("0"&amp;HOUR(D569),2)&amp;":"&amp;RIGHT("0"&amp;MINUTE(D569),2))&amp;" ")&amp;F569)</f>
        <v/>
      </c>
      <c r="N569" s="54">
        <f>IF(OR(A569="",F569=""),"",A569&amp;"#"&amp;(COUNTIFS($A$5:$A$3004,A569,$F$5:$F$3004,"?*",$O$5:$O$3004,"&lt;"&amp;O569)+COUNTIFS($A$5:A569,A569,$F$5:F569,"?*",$O$5:O569,O569)))</f>
        <v/>
      </c>
      <c r="O569" s="54">
        <f>IF(A569="","",IF(C569="",0,C569))</f>
        <v/>
      </c>
    </row>
    <row r="570">
      <c r="A570" s="58" t="n"/>
      <c r="B570" s="49">
        <f>IF(A570="","",CHOOSE(WEEKDAY(A570,2),"Пн","Вт","Ср","Чт","Пт","Сб","Вс"))</f>
        <v/>
      </c>
      <c r="C570" s="59" t="n"/>
      <c r="D570" s="59" t="n"/>
      <c r="E570" s="60">
        <f>IF(OR(C570="",D570=""),"",MOD(D570-C570,1)*24)</f>
        <v/>
      </c>
      <c r="F570" s="50" t="n"/>
      <c r="G570" s="51" t="n"/>
      <c r="H570" s="51" t="n"/>
      <c r="I570" s="51" t="n"/>
      <c r="J570" s="51" t="n"/>
      <c r="K570" s="51" t="n"/>
      <c r="L570" s="54">
        <f>IF(OR(A570="",C570="",D570=""),"",IF(COUNTIFS($A$5:$A$3004,A570,$C$5:$C$3004,"&lt;"&amp;D570,$D$5:$D$3004,"&gt;"&amp;C570)&gt;1,"⚠️ пересечение",""))</f>
        <v/>
      </c>
      <c r="M570" s="54">
        <f>IF(F570="","",IF(J570="✅ Сделано","✔ ",IF(J570="❌ Пропущено","✖ ","⏰ "))&amp;IF(C570="","",RIGHT("0"&amp;HOUR(C570),2)&amp;":"&amp;RIGHT("0"&amp;MINUTE(C570),2)&amp;IF(D570="","","–"&amp;RIGHT("0"&amp;HOUR(D570),2)&amp;":"&amp;RIGHT("0"&amp;MINUTE(D570),2))&amp;" ")&amp;F570)</f>
        <v/>
      </c>
      <c r="N570" s="54">
        <f>IF(OR(A570="",F570=""),"",A570&amp;"#"&amp;(COUNTIFS($A$5:$A$3004,A570,$F$5:$F$3004,"?*",$O$5:$O$3004,"&lt;"&amp;O570)+COUNTIFS($A$5:A570,A570,$F$5:F570,"?*",$O$5:O570,O570)))</f>
        <v/>
      </c>
      <c r="O570" s="54">
        <f>IF(A570="","",IF(C570="",0,C570))</f>
        <v/>
      </c>
    </row>
    <row r="571">
      <c r="A571" s="58" t="n"/>
      <c r="B571" s="49">
        <f>IF(A571="","",CHOOSE(WEEKDAY(A571,2),"Пн","Вт","Ср","Чт","Пт","Сб","Вс"))</f>
        <v/>
      </c>
      <c r="C571" s="59" t="n"/>
      <c r="D571" s="59" t="n"/>
      <c r="E571" s="60">
        <f>IF(OR(C571="",D571=""),"",MOD(D571-C571,1)*24)</f>
        <v/>
      </c>
      <c r="F571" s="50" t="n"/>
      <c r="G571" s="51" t="n"/>
      <c r="H571" s="51" t="n"/>
      <c r="I571" s="51" t="n"/>
      <c r="J571" s="51" t="n"/>
      <c r="K571" s="51" t="n"/>
      <c r="L571" s="54">
        <f>IF(OR(A571="",C571="",D571=""),"",IF(COUNTIFS($A$5:$A$3004,A571,$C$5:$C$3004,"&lt;"&amp;D571,$D$5:$D$3004,"&gt;"&amp;C571)&gt;1,"⚠️ пересечение",""))</f>
        <v/>
      </c>
      <c r="M571" s="54">
        <f>IF(F571="","",IF(J571="✅ Сделано","✔ ",IF(J571="❌ Пропущено","✖ ","⏰ "))&amp;IF(C571="","",RIGHT("0"&amp;HOUR(C571),2)&amp;":"&amp;RIGHT("0"&amp;MINUTE(C571),2)&amp;IF(D571="","","–"&amp;RIGHT("0"&amp;HOUR(D571),2)&amp;":"&amp;RIGHT("0"&amp;MINUTE(D571),2))&amp;" ")&amp;F571)</f>
        <v/>
      </c>
      <c r="N571" s="54">
        <f>IF(OR(A571="",F571=""),"",A571&amp;"#"&amp;(COUNTIFS($A$5:$A$3004,A571,$F$5:$F$3004,"?*",$O$5:$O$3004,"&lt;"&amp;O571)+COUNTIFS($A$5:A571,A571,$F$5:F571,"?*",$O$5:O571,O571)))</f>
        <v/>
      </c>
      <c r="O571" s="54">
        <f>IF(A571="","",IF(C571="",0,C571))</f>
        <v/>
      </c>
    </row>
    <row r="572">
      <c r="A572" s="58" t="n"/>
      <c r="B572" s="49">
        <f>IF(A572="","",CHOOSE(WEEKDAY(A572,2),"Пн","Вт","Ср","Чт","Пт","Сб","Вс"))</f>
        <v/>
      </c>
      <c r="C572" s="59" t="n"/>
      <c r="D572" s="59" t="n"/>
      <c r="E572" s="60">
        <f>IF(OR(C572="",D572=""),"",MOD(D572-C572,1)*24)</f>
        <v/>
      </c>
      <c r="F572" s="50" t="n"/>
      <c r="G572" s="51" t="n"/>
      <c r="H572" s="51" t="n"/>
      <c r="I572" s="51" t="n"/>
      <c r="J572" s="51" t="n"/>
      <c r="K572" s="51" t="n"/>
      <c r="L572" s="54">
        <f>IF(OR(A572="",C572="",D572=""),"",IF(COUNTIFS($A$5:$A$3004,A572,$C$5:$C$3004,"&lt;"&amp;D572,$D$5:$D$3004,"&gt;"&amp;C572)&gt;1,"⚠️ пересечение",""))</f>
        <v/>
      </c>
      <c r="M572" s="54">
        <f>IF(F572="","",IF(J572="✅ Сделано","✔ ",IF(J572="❌ Пропущено","✖ ","⏰ "))&amp;IF(C572="","",RIGHT("0"&amp;HOUR(C572),2)&amp;":"&amp;RIGHT("0"&amp;MINUTE(C572),2)&amp;IF(D572="","","–"&amp;RIGHT("0"&amp;HOUR(D572),2)&amp;":"&amp;RIGHT("0"&amp;MINUTE(D572),2))&amp;" ")&amp;F572)</f>
        <v/>
      </c>
      <c r="N572" s="54">
        <f>IF(OR(A572="",F572=""),"",A572&amp;"#"&amp;(COUNTIFS($A$5:$A$3004,A572,$F$5:$F$3004,"?*",$O$5:$O$3004,"&lt;"&amp;O572)+COUNTIFS($A$5:A572,A572,$F$5:F572,"?*",$O$5:O572,O572)))</f>
        <v/>
      </c>
      <c r="O572" s="54">
        <f>IF(A572="","",IF(C572="",0,C572))</f>
        <v/>
      </c>
    </row>
    <row r="573">
      <c r="A573" s="58" t="n"/>
      <c r="B573" s="49">
        <f>IF(A573="","",CHOOSE(WEEKDAY(A573,2),"Пн","Вт","Ср","Чт","Пт","Сб","Вс"))</f>
        <v/>
      </c>
      <c r="C573" s="59" t="n"/>
      <c r="D573" s="59" t="n"/>
      <c r="E573" s="60">
        <f>IF(OR(C573="",D573=""),"",MOD(D573-C573,1)*24)</f>
        <v/>
      </c>
      <c r="F573" s="50" t="n"/>
      <c r="G573" s="51" t="n"/>
      <c r="H573" s="51" t="n"/>
      <c r="I573" s="51" t="n"/>
      <c r="J573" s="51" t="n"/>
      <c r="K573" s="51" t="n"/>
      <c r="L573" s="54">
        <f>IF(OR(A573="",C573="",D573=""),"",IF(COUNTIFS($A$5:$A$3004,A573,$C$5:$C$3004,"&lt;"&amp;D573,$D$5:$D$3004,"&gt;"&amp;C573)&gt;1,"⚠️ пересечение",""))</f>
        <v/>
      </c>
      <c r="M573" s="54">
        <f>IF(F573="","",IF(J573="✅ Сделано","✔ ",IF(J573="❌ Пропущено","✖ ","⏰ "))&amp;IF(C573="","",RIGHT("0"&amp;HOUR(C573),2)&amp;":"&amp;RIGHT("0"&amp;MINUTE(C573),2)&amp;IF(D573="","","–"&amp;RIGHT("0"&amp;HOUR(D573),2)&amp;":"&amp;RIGHT("0"&amp;MINUTE(D573),2))&amp;" ")&amp;F573)</f>
        <v/>
      </c>
      <c r="N573" s="54">
        <f>IF(OR(A573="",F573=""),"",A573&amp;"#"&amp;(COUNTIFS($A$5:$A$3004,A573,$F$5:$F$3004,"?*",$O$5:$O$3004,"&lt;"&amp;O573)+COUNTIFS($A$5:A573,A573,$F$5:F573,"?*",$O$5:O573,O573)))</f>
        <v/>
      </c>
      <c r="O573" s="54">
        <f>IF(A573="","",IF(C573="",0,C573))</f>
        <v/>
      </c>
    </row>
    <row r="574">
      <c r="A574" s="58" t="n"/>
      <c r="B574" s="49">
        <f>IF(A574="","",CHOOSE(WEEKDAY(A574,2),"Пн","Вт","Ср","Чт","Пт","Сб","Вс"))</f>
        <v/>
      </c>
      <c r="C574" s="59" t="n"/>
      <c r="D574" s="59" t="n"/>
      <c r="E574" s="60">
        <f>IF(OR(C574="",D574=""),"",MOD(D574-C574,1)*24)</f>
        <v/>
      </c>
      <c r="F574" s="50" t="n"/>
      <c r="G574" s="51" t="n"/>
      <c r="H574" s="51" t="n"/>
      <c r="I574" s="51" t="n"/>
      <c r="J574" s="51" t="n"/>
      <c r="K574" s="51" t="n"/>
      <c r="L574" s="54">
        <f>IF(OR(A574="",C574="",D574=""),"",IF(COUNTIFS($A$5:$A$3004,A574,$C$5:$C$3004,"&lt;"&amp;D574,$D$5:$D$3004,"&gt;"&amp;C574)&gt;1,"⚠️ пересечение",""))</f>
        <v/>
      </c>
      <c r="M574" s="54">
        <f>IF(F574="","",IF(J574="✅ Сделано","✔ ",IF(J574="❌ Пропущено","✖ ","⏰ "))&amp;IF(C574="","",RIGHT("0"&amp;HOUR(C574),2)&amp;":"&amp;RIGHT("0"&amp;MINUTE(C574),2)&amp;IF(D574="","","–"&amp;RIGHT("0"&amp;HOUR(D574),2)&amp;":"&amp;RIGHT("0"&amp;MINUTE(D574),2))&amp;" ")&amp;F574)</f>
        <v/>
      </c>
      <c r="N574" s="54">
        <f>IF(OR(A574="",F574=""),"",A574&amp;"#"&amp;(COUNTIFS($A$5:$A$3004,A574,$F$5:$F$3004,"?*",$O$5:$O$3004,"&lt;"&amp;O574)+COUNTIFS($A$5:A574,A574,$F$5:F574,"?*",$O$5:O574,O574)))</f>
        <v/>
      </c>
      <c r="O574" s="54">
        <f>IF(A574="","",IF(C574="",0,C574))</f>
        <v/>
      </c>
    </row>
    <row r="575">
      <c r="A575" s="58" t="n"/>
      <c r="B575" s="49">
        <f>IF(A575="","",CHOOSE(WEEKDAY(A575,2),"Пн","Вт","Ср","Чт","Пт","Сб","Вс"))</f>
        <v/>
      </c>
      <c r="C575" s="59" t="n"/>
      <c r="D575" s="59" t="n"/>
      <c r="E575" s="60">
        <f>IF(OR(C575="",D575=""),"",MOD(D575-C575,1)*24)</f>
        <v/>
      </c>
      <c r="F575" s="50" t="n"/>
      <c r="G575" s="51" t="n"/>
      <c r="H575" s="51" t="n"/>
      <c r="I575" s="51" t="n"/>
      <c r="J575" s="51" t="n"/>
      <c r="K575" s="51" t="n"/>
      <c r="L575" s="54">
        <f>IF(OR(A575="",C575="",D575=""),"",IF(COUNTIFS($A$5:$A$3004,A575,$C$5:$C$3004,"&lt;"&amp;D575,$D$5:$D$3004,"&gt;"&amp;C575)&gt;1,"⚠️ пересечение",""))</f>
        <v/>
      </c>
      <c r="M575" s="54">
        <f>IF(F575="","",IF(J575="✅ Сделано","✔ ",IF(J575="❌ Пропущено","✖ ","⏰ "))&amp;IF(C575="","",RIGHT("0"&amp;HOUR(C575),2)&amp;":"&amp;RIGHT("0"&amp;MINUTE(C575),2)&amp;IF(D575="","","–"&amp;RIGHT("0"&amp;HOUR(D575),2)&amp;":"&amp;RIGHT("0"&amp;MINUTE(D575),2))&amp;" ")&amp;F575)</f>
        <v/>
      </c>
      <c r="N575" s="54">
        <f>IF(OR(A575="",F575=""),"",A575&amp;"#"&amp;(COUNTIFS($A$5:$A$3004,A575,$F$5:$F$3004,"?*",$O$5:$O$3004,"&lt;"&amp;O575)+COUNTIFS($A$5:A575,A575,$F$5:F575,"?*",$O$5:O575,O575)))</f>
        <v/>
      </c>
      <c r="O575" s="54">
        <f>IF(A575="","",IF(C575="",0,C575))</f>
        <v/>
      </c>
    </row>
    <row r="576">
      <c r="A576" s="58" t="n"/>
      <c r="B576" s="49">
        <f>IF(A576="","",CHOOSE(WEEKDAY(A576,2),"Пн","Вт","Ср","Чт","Пт","Сб","Вс"))</f>
        <v/>
      </c>
      <c r="C576" s="59" t="n"/>
      <c r="D576" s="59" t="n"/>
      <c r="E576" s="60">
        <f>IF(OR(C576="",D576=""),"",MOD(D576-C576,1)*24)</f>
        <v/>
      </c>
      <c r="F576" s="50" t="n"/>
      <c r="G576" s="51" t="n"/>
      <c r="H576" s="51" t="n"/>
      <c r="I576" s="51" t="n"/>
      <c r="J576" s="51" t="n"/>
      <c r="K576" s="51" t="n"/>
      <c r="L576" s="54">
        <f>IF(OR(A576="",C576="",D576=""),"",IF(COUNTIFS($A$5:$A$3004,A576,$C$5:$C$3004,"&lt;"&amp;D576,$D$5:$D$3004,"&gt;"&amp;C576)&gt;1,"⚠️ пересечение",""))</f>
        <v/>
      </c>
      <c r="M576" s="54">
        <f>IF(F576="","",IF(J576="✅ Сделано","✔ ",IF(J576="❌ Пропущено","✖ ","⏰ "))&amp;IF(C576="","",RIGHT("0"&amp;HOUR(C576),2)&amp;":"&amp;RIGHT("0"&amp;MINUTE(C576),2)&amp;IF(D576="","","–"&amp;RIGHT("0"&amp;HOUR(D576),2)&amp;":"&amp;RIGHT("0"&amp;MINUTE(D576),2))&amp;" ")&amp;F576)</f>
        <v/>
      </c>
      <c r="N576" s="54">
        <f>IF(OR(A576="",F576=""),"",A576&amp;"#"&amp;(COUNTIFS($A$5:$A$3004,A576,$F$5:$F$3004,"?*",$O$5:$O$3004,"&lt;"&amp;O576)+COUNTIFS($A$5:A576,A576,$F$5:F576,"?*",$O$5:O576,O576)))</f>
        <v/>
      </c>
      <c r="O576" s="54">
        <f>IF(A576="","",IF(C576="",0,C576))</f>
        <v/>
      </c>
    </row>
    <row r="577">
      <c r="A577" s="58" t="n"/>
      <c r="B577" s="49">
        <f>IF(A577="","",CHOOSE(WEEKDAY(A577,2),"Пн","Вт","Ср","Чт","Пт","Сб","Вс"))</f>
        <v/>
      </c>
      <c r="C577" s="59" t="n"/>
      <c r="D577" s="59" t="n"/>
      <c r="E577" s="60">
        <f>IF(OR(C577="",D577=""),"",MOD(D577-C577,1)*24)</f>
        <v/>
      </c>
      <c r="F577" s="50" t="n"/>
      <c r="G577" s="51" t="n"/>
      <c r="H577" s="51" t="n"/>
      <c r="I577" s="51" t="n"/>
      <c r="J577" s="51" t="n"/>
      <c r="K577" s="51" t="n"/>
      <c r="L577" s="54">
        <f>IF(OR(A577="",C577="",D577=""),"",IF(COUNTIFS($A$5:$A$3004,A577,$C$5:$C$3004,"&lt;"&amp;D577,$D$5:$D$3004,"&gt;"&amp;C577)&gt;1,"⚠️ пересечение",""))</f>
        <v/>
      </c>
      <c r="M577" s="54">
        <f>IF(F577="","",IF(J577="✅ Сделано","✔ ",IF(J577="❌ Пропущено","✖ ","⏰ "))&amp;IF(C577="","",RIGHT("0"&amp;HOUR(C577),2)&amp;":"&amp;RIGHT("0"&amp;MINUTE(C577),2)&amp;IF(D577="","","–"&amp;RIGHT("0"&amp;HOUR(D577),2)&amp;":"&amp;RIGHT("0"&amp;MINUTE(D577),2))&amp;" ")&amp;F577)</f>
        <v/>
      </c>
      <c r="N577" s="54">
        <f>IF(OR(A577="",F577=""),"",A577&amp;"#"&amp;(COUNTIFS($A$5:$A$3004,A577,$F$5:$F$3004,"?*",$O$5:$O$3004,"&lt;"&amp;O577)+COUNTIFS($A$5:A577,A577,$F$5:F577,"?*",$O$5:O577,O577)))</f>
        <v/>
      </c>
      <c r="O577" s="54">
        <f>IF(A577="","",IF(C577="",0,C577))</f>
        <v/>
      </c>
    </row>
    <row r="578">
      <c r="A578" s="58" t="n"/>
      <c r="B578" s="49">
        <f>IF(A578="","",CHOOSE(WEEKDAY(A578,2),"Пн","Вт","Ср","Чт","Пт","Сб","Вс"))</f>
        <v/>
      </c>
      <c r="C578" s="59" t="n"/>
      <c r="D578" s="59" t="n"/>
      <c r="E578" s="60">
        <f>IF(OR(C578="",D578=""),"",MOD(D578-C578,1)*24)</f>
        <v/>
      </c>
      <c r="F578" s="50" t="n"/>
      <c r="G578" s="51" t="n"/>
      <c r="H578" s="51" t="n"/>
      <c r="I578" s="51" t="n"/>
      <c r="J578" s="51" t="n"/>
      <c r="K578" s="51" t="n"/>
      <c r="L578" s="54">
        <f>IF(OR(A578="",C578="",D578=""),"",IF(COUNTIFS($A$5:$A$3004,A578,$C$5:$C$3004,"&lt;"&amp;D578,$D$5:$D$3004,"&gt;"&amp;C578)&gt;1,"⚠️ пересечение",""))</f>
        <v/>
      </c>
      <c r="M578" s="54">
        <f>IF(F578="","",IF(J578="✅ Сделано","✔ ",IF(J578="❌ Пропущено","✖ ","⏰ "))&amp;IF(C578="","",RIGHT("0"&amp;HOUR(C578),2)&amp;":"&amp;RIGHT("0"&amp;MINUTE(C578),2)&amp;IF(D578="","","–"&amp;RIGHT("0"&amp;HOUR(D578),2)&amp;":"&amp;RIGHT("0"&amp;MINUTE(D578),2))&amp;" ")&amp;F578)</f>
        <v/>
      </c>
      <c r="N578" s="54">
        <f>IF(OR(A578="",F578=""),"",A578&amp;"#"&amp;(COUNTIFS($A$5:$A$3004,A578,$F$5:$F$3004,"?*",$O$5:$O$3004,"&lt;"&amp;O578)+COUNTIFS($A$5:A578,A578,$F$5:F578,"?*",$O$5:O578,O578)))</f>
        <v/>
      </c>
      <c r="O578" s="54">
        <f>IF(A578="","",IF(C578="",0,C578))</f>
        <v/>
      </c>
    </row>
    <row r="579">
      <c r="A579" s="58" t="n"/>
      <c r="B579" s="49">
        <f>IF(A579="","",CHOOSE(WEEKDAY(A579,2),"Пн","Вт","Ср","Чт","Пт","Сб","Вс"))</f>
        <v/>
      </c>
      <c r="C579" s="59" t="n"/>
      <c r="D579" s="59" t="n"/>
      <c r="E579" s="60">
        <f>IF(OR(C579="",D579=""),"",MOD(D579-C579,1)*24)</f>
        <v/>
      </c>
      <c r="F579" s="50" t="n"/>
      <c r="G579" s="51" t="n"/>
      <c r="H579" s="51" t="n"/>
      <c r="I579" s="51" t="n"/>
      <c r="J579" s="51" t="n"/>
      <c r="K579" s="51" t="n"/>
      <c r="L579" s="54">
        <f>IF(OR(A579="",C579="",D579=""),"",IF(COUNTIFS($A$5:$A$3004,A579,$C$5:$C$3004,"&lt;"&amp;D579,$D$5:$D$3004,"&gt;"&amp;C579)&gt;1,"⚠️ пересечение",""))</f>
        <v/>
      </c>
      <c r="M579" s="54">
        <f>IF(F579="","",IF(J579="✅ Сделано","✔ ",IF(J579="❌ Пропущено","✖ ","⏰ "))&amp;IF(C579="","",RIGHT("0"&amp;HOUR(C579),2)&amp;":"&amp;RIGHT("0"&amp;MINUTE(C579),2)&amp;IF(D579="","","–"&amp;RIGHT("0"&amp;HOUR(D579),2)&amp;":"&amp;RIGHT("0"&amp;MINUTE(D579),2))&amp;" ")&amp;F579)</f>
        <v/>
      </c>
      <c r="N579" s="54">
        <f>IF(OR(A579="",F579=""),"",A579&amp;"#"&amp;(COUNTIFS($A$5:$A$3004,A579,$F$5:$F$3004,"?*",$O$5:$O$3004,"&lt;"&amp;O579)+COUNTIFS($A$5:A579,A579,$F$5:F579,"?*",$O$5:O579,O579)))</f>
        <v/>
      </c>
      <c r="O579" s="54">
        <f>IF(A579="","",IF(C579="",0,C579))</f>
        <v/>
      </c>
    </row>
    <row r="580">
      <c r="A580" s="58" t="n"/>
      <c r="B580" s="49">
        <f>IF(A580="","",CHOOSE(WEEKDAY(A580,2),"Пн","Вт","Ср","Чт","Пт","Сб","Вс"))</f>
        <v/>
      </c>
      <c r="C580" s="59" t="n"/>
      <c r="D580" s="59" t="n"/>
      <c r="E580" s="60">
        <f>IF(OR(C580="",D580=""),"",MOD(D580-C580,1)*24)</f>
        <v/>
      </c>
      <c r="F580" s="50" t="n"/>
      <c r="G580" s="51" t="n"/>
      <c r="H580" s="51" t="n"/>
      <c r="I580" s="51" t="n"/>
      <c r="J580" s="51" t="n"/>
      <c r="K580" s="51" t="n"/>
      <c r="L580" s="54">
        <f>IF(OR(A580="",C580="",D580=""),"",IF(COUNTIFS($A$5:$A$3004,A580,$C$5:$C$3004,"&lt;"&amp;D580,$D$5:$D$3004,"&gt;"&amp;C580)&gt;1,"⚠️ пересечение",""))</f>
        <v/>
      </c>
      <c r="M580" s="54">
        <f>IF(F580="","",IF(J580="✅ Сделано","✔ ",IF(J580="❌ Пропущено","✖ ","⏰ "))&amp;IF(C580="","",RIGHT("0"&amp;HOUR(C580),2)&amp;":"&amp;RIGHT("0"&amp;MINUTE(C580),2)&amp;IF(D580="","","–"&amp;RIGHT("0"&amp;HOUR(D580),2)&amp;":"&amp;RIGHT("0"&amp;MINUTE(D580),2))&amp;" ")&amp;F580)</f>
        <v/>
      </c>
      <c r="N580" s="54">
        <f>IF(OR(A580="",F580=""),"",A580&amp;"#"&amp;(COUNTIFS($A$5:$A$3004,A580,$F$5:$F$3004,"?*",$O$5:$O$3004,"&lt;"&amp;O580)+COUNTIFS($A$5:A580,A580,$F$5:F580,"?*",$O$5:O580,O580)))</f>
        <v/>
      </c>
      <c r="O580" s="54">
        <f>IF(A580="","",IF(C580="",0,C580))</f>
        <v/>
      </c>
    </row>
    <row r="581">
      <c r="A581" s="58" t="n"/>
      <c r="B581" s="49">
        <f>IF(A581="","",CHOOSE(WEEKDAY(A581,2),"Пн","Вт","Ср","Чт","Пт","Сб","Вс"))</f>
        <v/>
      </c>
      <c r="C581" s="59" t="n"/>
      <c r="D581" s="59" t="n"/>
      <c r="E581" s="60">
        <f>IF(OR(C581="",D581=""),"",MOD(D581-C581,1)*24)</f>
        <v/>
      </c>
      <c r="F581" s="50" t="n"/>
      <c r="G581" s="51" t="n"/>
      <c r="H581" s="51" t="n"/>
      <c r="I581" s="51" t="n"/>
      <c r="J581" s="51" t="n"/>
      <c r="K581" s="51" t="n"/>
      <c r="L581" s="54">
        <f>IF(OR(A581="",C581="",D581=""),"",IF(COUNTIFS($A$5:$A$3004,A581,$C$5:$C$3004,"&lt;"&amp;D581,$D$5:$D$3004,"&gt;"&amp;C581)&gt;1,"⚠️ пересечение",""))</f>
        <v/>
      </c>
      <c r="M581" s="54">
        <f>IF(F581="","",IF(J581="✅ Сделано","✔ ",IF(J581="❌ Пропущено","✖ ","⏰ "))&amp;IF(C581="","",RIGHT("0"&amp;HOUR(C581),2)&amp;":"&amp;RIGHT("0"&amp;MINUTE(C581),2)&amp;IF(D581="","","–"&amp;RIGHT("0"&amp;HOUR(D581),2)&amp;":"&amp;RIGHT("0"&amp;MINUTE(D581),2))&amp;" ")&amp;F581)</f>
        <v/>
      </c>
      <c r="N581" s="54">
        <f>IF(OR(A581="",F581=""),"",A581&amp;"#"&amp;(COUNTIFS($A$5:$A$3004,A581,$F$5:$F$3004,"?*",$O$5:$O$3004,"&lt;"&amp;O581)+COUNTIFS($A$5:A581,A581,$F$5:F581,"?*",$O$5:O581,O581)))</f>
        <v/>
      </c>
      <c r="O581" s="54">
        <f>IF(A581="","",IF(C581="",0,C581))</f>
        <v/>
      </c>
    </row>
    <row r="582">
      <c r="A582" s="58" t="n"/>
      <c r="B582" s="49">
        <f>IF(A582="","",CHOOSE(WEEKDAY(A582,2),"Пн","Вт","Ср","Чт","Пт","Сб","Вс"))</f>
        <v/>
      </c>
      <c r="C582" s="59" t="n"/>
      <c r="D582" s="59" t="n"/>
      <c r="E582" s="60">
        <f>IF(OR(C582="",D582=""),"",MOD(D582-C582,1)*24)</f>
        <v/>
      </c>
      <c r="F582" s="50" t="n"/>
      <c r="G582" s="51" t="n"/>
      <c r="H582" s="51" t="n"/>
      <c r="I582" s="51" t="n"/>
      <c r="J582" s="51" t="n"/>
      <c r="K582" s="51" t="n"/>
      <c r="L582" s="54">
        <f>IF(OR(A582="",C582="",D582=""),"",IF(COUNTIFS($A$5:$A$3004,A582,$C$5:$C$3004,"&lt;"&amp;D582,$D$5:$D$3004,"&gt;"&amp;C582)&gt;1,"⚠️ пересечение",""))</f>
        <v/>
      </c>
      <c r="M582" s="54">
        <f>IF(F582="","",IF(J582="✅ Сделано","✔ ",IF(J582="❌ Пропущено","✖ ","⏰ "))&amp;IF(C582="","",RIGHT("0"&amp;HOUR(C582),2)&amp;":"&amp;RIGHT("0"&amp;MINUTE(C582),2)&amp;IF(D582="","","–"&amp;RIGHT("0"&amp;HOUR(D582),2)&amp;":"&amp;RIGHT("0"&amp;MINUTE(D582),2))&amp;" ")&amp;F582)</f>
        <v/>
      </c>
      <c r="N582" s="54">
        <f>IF(OR(A582="",F582=""),"",A582&amp;"#"&amp;(COUNTIFS($A$5:$A$3004,A582,$F$5:$F$3004,"?*",$O$5:$O$3004,"&lt;"&amp;O582)+COUNTIFS($A$5:A582,A582,$F$5:F582,"?*",$O$5:O582,O582)))</f>
        <v/>
      </c>
      <c r="O582" s="54">
        <f>IF(A582="","",IF(C582="",0,C582))</f>
        <v/>
      </c>
    </row>
    <row r="583">
      <c r="A583" s="58" t="n"/>
      <c r="B583" s="49">
        <f>IF(A583="","",CHOOSE(WEEKDAY(A583,2),"Пн","Вт","Ср","Чт","Пт","Сб","Вс"))</f>
        <v/>
      </c>
      <c r="C583" s="59" t="n"/>
      <c r="D583" s="59" t="n"/>
      <c r="E583" s="60">
        <f>IF(OR(C583="",D583=""),"",MOD(D583-C583,1)*24)</f>
        <v/>
      </c>
      <c r="F583" s="50" t="n"/>
      <c r="G583" s="51" t="n"/>
      <c r="H583" s="51" t="n"/>
      <c r="I583" s="51" t="n"/>
      <c r="J583" s="51" t="n"/>
      <c r="K583" s="51" t="n"/>
      <c r="L583" s="54">
        <f>IF(OR(A583="",C583="",D583=""),"",IF(COUNTIFS($A$5:$A$3004,A583,$C$5:$C$3004,"&lt;"&amp;D583,$D$5:$D$3004,"&gt;"&amp;C583)&gt;1,"⚠️ пересечение",""))</f>
        <v/>
      </c>
      <c r="M583" s="54">
        <f>IF(F583="","",IF(J583="✅ Сделано","✔ ",IF(J583="❌ Пропущено","✖ ","⏰ "))&amp;IF(C583="","",RIGHT("0"&amp;HOUR(C583),2)&amp;":"&amp;RIGHT("0"&amp;MINUTE(C583),2)&amp;IF(D583="","","–"&amp;RIGHT("0"&amp;HOUR(D583),2)&amp;":"&amp;RIGHT("0"&amp;MINUTE(D583),2))&amp;" ")&amp;F583)</f>
        <v/>
      </c>
      <c r="N583" s="54">
        <f>IF(OR(A583="",F583=""),"",A583&amp;"#"&amp;(COUNTIFS($A$5:$A$3004,A583,$F$5:$F$3004,"?*",$O$5:$O$3004,"&lt;"&amp;O583)+COUNTIFS($A$5:A583,A583,$F$5:F583,"?*",$O$5:O583,O583)))</f>
        <v/>
      </c>
      <c r="O583" s="54">
        <f>IF(A583="","",IF(C583="",0,C583))</f>
        <v/>
      </c>
    </row>
    <row r="584">
      <c r="A584" s="58" t="n"/>
      <c r="B584" s="49">
        <f>IF(A584="","",CHOOSE(WEEKDAY(A584,2),"Пн","Вт","Ср","Чт","Пт","Сб","Вс"))</f>
        <v/>
      </c>
      <c r="C584" s="59" t="n"/>
      <c r="D584" s="59" t="n"/>
      <c r="E584" s="60">
        <f>IF(OR(C584="",D584=""),"",MOD(D584-C584,1)*24)</f>
        <v/>
      </c>
      <c r="F584" s="50" t="n"/>
      <c r="G584" s="51" t="n"/>
      <c r="H584" s="51" t="n"/>
      <c r="I584" s="51" t="n"/>
      <c r="J584" s="51" t="n"/>
      <c r="K584" s="51" t="n"/>
      <c r="L584" s="54">
        <f>IF(OR(A584="",C584="",D584=""),"",IF(COUNTIFS($A$5:$A$3004,A584,$C$5:$C$3004,"&lt;"&amp;D584,$D$5:$D$3004,"&gt;"&amp;C584)&gt;1,"⚠️ пересечение",""))</f>
        <v/>
      </c>
      <c r="M584" s="54">
        <f>IF(F584="","",IF(J584="✅ Сделано","✔ ",IF(J584="❌ Пропущено","✖ ","⏰ "))&amp;IF(C584="","",RIGHT("0"&amp;HOUR(C584),2)&amp;":"&amp;RIGHT("0"&amp;MINUTE(C584),2)&amp;IF(D584="","","–"&amp;RIGHT("0"&amp;HOUR(D584),2)&amp;":"&amp;RIGHT("0"&amp;MINUTE(D584),2))&amp;" ")&amp;F584)</f>
        <v/>
      </c>
      <c r="N584" s="54">
        <f>IF(OR(A584="",F584=""),"",A584&amp;"#"&amp;(COUNTIFS($A$5:$A$3004,A584,$F$5:$F$3004,"?*",$O$5:$O$3004,"&lt;"&amp;O584)+COUNTIFS($A$5:A584,A584,$F$5:F584,"?*",$O$5:O584,O584)))</f>
        <v/>
      </c>
      <c r="O584" s="54">
        <f>IF(A584="","",IF(C584="",0,C584))</f>
        <v/>
      </c>
    </row>
    <row r="585">
      <c r="A585" s="58" t="n"/>
      <c r="B585" s="49">
        <f>IF(A585="","",CHOOSE(WEEKDAY(A585,2),"Пн","Вт","Ср","Чт","Пт","Сб","Вс"))</f>
        <v/>
      </c>
      <c r="C585" s="59" t="n"/>
      <c r="D585" s="59" t="n"/>
      <c r="E585" s="60">
        <f>IF(OR(C585="",D585=""),"",MOD(D585-C585,1)*24)</f>
        <v/>
      </c>
      <c r="F585" s="50" t="n"/>
      <c r="G585" s="51" t="n"/>
      <c r="H585" s="51" t="n"/>
      <c r="I585" s="51" t="n"/>
      <c r="J585" s="51" t="n"/>
      <c r="K585" s="51" t="n"/>
      <c r="L585" s="54">
        <f>IF(OR(A585="",C585="",D585=""),"",IF(COUNTIFS($A$5:$A$3004,A585,$C$5:$C$3004,"&lt;"&amp;D585,$D$5:$D$3004,"&gt;"&amp;C585)&gt;1,"⚠️ пересечение",""))</f>
        <v/>
      </c>
      <c r="M585" s="54">
        <f>IF(F585="","",IF(J585="✅ Сделано","✔ ",IF(J585="❌ Пропущено","✖ ","⏰ "))&amp;IF(C585="","",RIGHT("0"&amp;HOUR(C585),2)&amp;":"&amp;RIGHT("0"&amp;MINUTE(C585),2)&amp;IF(D585="","","–"&amp;RIGHT("0"&amp;HOUR(D585),2)&amp;":"&amp;RIGHT("0"&amp;MINUTE(D585),2))&amp;" ")&amp;F585)</f>
        <v/>
      </c>
      <c r="N585" s="54">
        <f>IF(OR(A585="",F585=""),"",A585&amp;"#"&amp;(COUNTIFS($A$5:$A$3004,A585,$F$5:$F$3004,"?*",$O$5:$O$3004,"&lt;"&amp;O585)+COUNTIFS($A$5:A585,A585,$F$5:F585,"?*",$O$5:O585,O585)))</f>
        <v/>
      </c>
      <c r="O585" s="54">
        <f>IF(A585="","",IF(C585="",0,C585))</f>
        <v/>
      </c>
    </row>
    <row r="586">
      <c r="A586" s="58" t="n"/>
      <c r="B586" s="49">
        <f>IF(A586="","",CHOOSE(WEEKDAY(A586,2),"Пн","Вт","Ср","Чт","Пт","Сб","Вс"))</f>
        <v/>
      </c>
      <c r="C586" s="59" t="n"/>
      <c r="D586" s="59" t="n"/>
      <c r="E586" s="60">
        <f>IF(OR(C586="",D586=""),"",MOD(D586-C586,1)*24)</f>
        <v/>
      </c>
      <c r="F586" s="50" t="n"/>
      <c r="G586" s="51" t="n"/>
      <c r="H586" s="51" t="n"/>
      <c r="I586" s="51" t="n"/>
      <c r="J586" s="51" t="n"/>
      <c r="K586" s="51" t="n"/>
      <c r="L586" s="54">
        <f>IF(OR(A586="",C586="",D586=""),"",IF(COUNTIFS($A$5:$A$3004,A586,$C$5:$C$3004,"&lt;"&amp;D586,$D$5:$D$3004,"&gt;"&amp;C586)&gt;1,"⚠️ пересечение",""))</f>
        <v/>
      </c>
      <c r="M586" s="54">
        <f>IF(F586="","",IF(J586="✅ Сделано","✔ ",IF(J586="❌ Пропущено","✖ ","⏰ "))&amp;IF(C586="","",RIGHT("0"&amp;HOUR(C586),2)&amp;":"&amp;RIGHT("0"&amp;MINUTE(C586),2)&amp;IF(D586="","","–"&amp;RIGHT("0"&amp;HOUR(D586),2)&amp;":"&amp;RIGHT("0"&amp;MINUTE(D586),2))&amp;" ")&amp;F586)</f>
        <v/>
      </c>
      <c r="N586" s="54">
        <f>IF(OR(A586="",F586=""),"",A586&amp;"#"&amp;(COUNTIFS($A$5:$A$3004,A586,$F$5:$F$3004,"?*",$O$5:$O$3004,"&lt;"&amp;O586)+COUNTIFS($A$5:A586,A586,$F$5:F586,"?*",$O$5:O586,O586)))</f>
        <v/>
      </c>
      <c r="O586" s="54">
        <f>IF(A586="","",IF(C586="",0,C586))</f>
        <v/>
      </c>
    </row>
    <row r="587">
      <c r="A587" s="58" t="n"/>
      <c r="B587" s="49">
        <f>IF(A587="","",CHOOSE(WEEKDAY(A587,2),"Пн","Вт","Ср","Чт","Пт","Сб","Вс"))</f>
        <v/>
      </c>
      <c r="C587" s="59" t="n"/>
      <c r="D587" s="59" t="n"/>
      <c r="E587" s="60">
        <f>IF(OR(C587="",D587=""),"",MOD(D587-C587,1)*24)</f>
        <v/>
      </c>
      <c r="F587" s="50" t="n"/>
      <c r="G587" s="51" t="n"/>
      <c r="H587" s="51" t="n"/>
      <c r="I587" s="51" t="n"/>
      <c r="J587" s="51" t="n"/>
      <c r="K587" s="51" t="n"/>
      <c r="L587" s="54">
        <f>IF(OR(A587="",C587="",D587=""),"",IF(COUNTIFS($A$5:$A$3004,A587,$C$5:$C$3004,"&lt;"&amp;D587,$D$5:$D$3004,"&gt;"&amp;C587)&gt;1,"⚠️ пересечение",""))</f>
        <v/>
      </c>
      <c r="M587" s="54">
        <f>IF(F587="","",IF(J587="✅ Сделано","✔ ",IF(J587="❌ Пропущено","✖ ","⏰ "))&amp;IF(C587="","",RIGHT("0"&amp;HOUR(C587),2)&amp;":"&amp;RIGHT("0"&amp;MINUTE(C587),2)&amp;IF(D587="","","–"&amp;RIGHT("0"&amp;HOUR(D587),2)&amp;":"&amp;RIGHT("0"&amp;MINUTE(D587),2))&amp;" ")&amp;F587)</f>
        <v/>
      </c>
      <c r="N587" s="54">
        <f>IF(OR(A587="",F587=""),"",A587&amp;"#"&amp;(COUNTIFS($A$5:$A$3004,A587,$F$5:$F$3004,"?*",$O$5:$O$3004,"&lt;"&amp;O587)+COUNTIFS($A$5:A587,A587,$F$5:F587,"?*",$O$5:O587,O587)))</f>
        <v/>
      </c>
      <c r="O587" s="54">
        <f>IF(A587="","",IF(C587="",0,C587))</f>
        <v/>
      </c>
    </row>
    <row r="588">
      <c r="A588" s="58" t="n"/>
      <c r="B588" s="49">
        <f>IF(A588="","",CHOOSE(WEEKDAY(A588,2),"Пн","Вт","Ср","Чт","Пт","Сб","Вс"))</f>
        <v/>
      </c>
      <c r="C588" s="59" t="n"/>
      <c r="D588" s="59" t="n"/>
      <c r="E588" s="60">
        <f>IF(OR(C588="",D588=""),"",MOD(D588-C588,1)*24)</f>
        <v/>
      </c>
      <c r="F588" s="50" t="n"/>
      <c r="G588" s="51" t="n"/>
      <c r="H588" s="51" t="n"/>
      <c r="I588" s="51" t="n"/>
      <c r="J588" s="51" t="n"/>
      <c r="K588" s="51" t="n"/>
      <c r="L588" s="54">
        <f>IF(OR(A588="",C588="",D588=""),"",IF(COUNTIFS($A$5:$A$3004,A588,$C$5:$C$3004,"&lt;"&amp;D588,$D$5:$D$3004,"&gt;"&amp;C588)&gt;1,"⚠️ пересечение",""))</f>
        <v/>
      </c>
      <c r="M588" s="54">
        <f>IF(F588="","",IF(J588="✅ Сделано","✔ ",IF(J588="❌ Пропущено","✖ ","⏰ "))&amp;IF(C588="","",RIGHT("0"&amp;HOUR(C588),2)&amp;":"&amp;RIGHT("0"&amp;MINUTE(C588),2)&amp;IF(D588="","","–"&amp;RIGHT("0"&amp;HOUR(D588),2)&amp;":"&amp;RIGHT("0"&amp;MINUTE(D588),2))&amp;" ")&amp;F588)</f>
        <v/>
      </c>
      <c r="N588" s="54">
        <f>IF(OR(A588="",F588=""),"",A588&amp;"#"&amp;(COUNTIFS($A$5:$A$3004,A588,$F$5:$F$3004,"?*",$O$5:$O$3004,"&lt;"&amp;O588)+COUNTIFS($A$5:A588,A588,$F$5:F588,"?*",$O$5:O588,O588)))</f>
        <v/>
      </c>
      <c r="O588" s="54">
        <f>IF(A588="","",IF(C588="",0,C588))</f>
        <v/>
      </c>
    </row>
    <row r="589">
      <c r="A589" s="58" t="n"/>
      <c r="B589" s="49">
        <f>IF(A589="","",CHOOSE(WEEKDAY(A589,2),"Пн","Вт","Ср","Чт","Пт","Сб","Вс"))</f>
        <v/>
      </c>
      <c r="C589" s="59" t="n"/>
      <c r="D589" s="59" t="n"/>
      <c r="E589" s="60">
        <f>IF(OR(C589="",D589=""),"",MOD(D589-C589,1)*24)</f>
        <v/>
      </c>
      <c r="F589" s="50" t="n"/>
      <c r="G589" s="51" t="n"/>
      <c r="H589" s="51" t="n"/>
      <c r="I589" s="51" t="n"/>
      <c r="J589" s="51" t="n"/>
      <c r="K589" s="51" t="n"/>
      <c r="L589" s="54">
        <f>IF(OR(A589="",C589="",D589=""),"",IF(COUNTIFS($A$5:$A$3004,A589,$C$5:$C$3004,"&lt;"&amp;D589,$D$5:$D$3004,"&gt;"&amp;C589)&gt;1,"⚠️ пересечение",""))</f>
        <v/>
      </c>
      <c r="M589" s="54">
        <f>IF(F589="","",IF(J589="✅ Сделано","✔ ",IF(J589="❌ Пропущено","✖ ","⏰ "))&amp;IF(C589="","",RIGHT("0"&amp;HOUR(C589),2)&amp;":"&amp;RIGHT("0"&amp;MINUTE(C589),2)&amp;IF(D589="","","–"&amp;RIGHT("0"&amp;HOUR(D589),2)&amp;":"&amp;RIGHT("0"&amp;MINUTE(D589),2))&amp;" ")&amp;F589)</f>
        <v/>
      </c>
      <c r="N589" s="54">
        <f>IF(OR(A589="",F589=""),"",A589&amp;"#"&amp;(COUNTIFS($A$5:$A$3004,A589,$F$5:$F$3004,"?*",$O$5:$O$3004,"&lt;"&amp;O589)+COUNTIFS($A$5:A589,A589,$F$5:F589,"?*",$O$5:O589,O589)))</f>
        <v/>
      </c>
      <c r="O589" s="54">
        <f>IF(A589="","",IF(C589="",0,C589))</f>
        <v/>
      </c>
    </row>
    <row r="590">
      <c r="A590" s="58" t="n"/>
      <c r="B590" s="49">
        <f>IF(A590="","",CHOOSE(WEEKDAY(A590,2),"Пн","Вт","Ср","Чт","Пт","Сб","Вс"))</f>
        <v/>
      </c>
      <c r="C590" s="59" t="n"/>
      <c r="D590" s="59" t="n"/>
      <c r="E590" s="60">
        <f>IF(OR(C590="",D590=""),"",MOD(D590-C590,1)*24)</f>
        <v/>
      </c>
      <c r="F590" s="50" t="n"/>
      <c r="G590" s="51" t="n"/>
      <c r="H590" s="51" t="n"/>
      <c r="I590" s="51" t="n"/>
      <c r="J590" s="51" t="n"/>
      <c r="K590" s="51" t="n"/>
      <c r="L590" s="54">
        <f>IF(OR(A590="",C590="",D590=""),"",IF(COUNTIFS($A$5:$A$3004,A590,$C$5:$C$3004,"&lt;"&amp;D590,$D$5:$D$3004,"&gt;"&amp;C590)&gt;1,"⚠️ пересечение",""))</f>
        <v/>
      </c>
      <c r="M590" s="54">
        <f>IF(F590="","",IF(J590="✅ Сделано","✔ ",IF(J590="❌ Пропущено","✖ ","⏰ "))&amp;IF(C590="","",RIGHT("0"&amp;HOUR(C590),2)&amp;":"&amp;RIGHT("0"&amp;MINUTE(C590),2)&amp;IF(D590="","","–"&amp;RIGHT("0"&amp;HOUR(D590),2)&amp;":"&amp;RIGHT("0"&amp;MINUTE(D590),2))&amp;" ")&amp;F590)</f>
        <v/>
      </c>
      <c r="N590" s="54">
        <f>IF(OR(A590="",F590=""),"",A590&amp;"#"&amp;(COUNTIFS($A$5:$A$3004,A590,$F$5:$F$3004,"?*",$O$5:$O$3004,"&lt;"&amp;O590)+COUNTIFS($A$5:A590,A590,$F$5:F590,"?*",$O$5:O590,O590)))</f>
        <v/>
      </c>
      <c r="O590" s="54">
        <f>IF(A590="","",IF(C590="",0,C590))</f>
        <v/>
      </c>
    </row>
    <row r="591">
      <c r="A591" s="58" t="n"/>
      <c r="B591" s="49">
        <f>IF(A591="","",CHOOSE(WEEKDAY(A591,2),"Пн","Вт","Ср","Чт","Пт","Сб","Вс"))</f>
        <v/>
      </c>
      <c r="C591" s="59" t="n"/>
      <c r="D591" s="59" t="n"/>
      <c r="E591" s="60">
        <f>IF(OR(C591="",D591=""),"",MOD(D591-C591,1)*24)</f>
        <v/>
      </c>
      <c r="F591" s="50" t="n"/>
      <c r="G591" s="51" t="n"/>
      <c r="H591" s="51" t="n"/>
      <c r="I591" s="51" t="n"/>
      <c r="J591" s="51" t="n"/>
      <c r="K591" s="51" t="n"/>
      <c r="L591" s="54">
        <f>IF(OR(A591="",C591="",D591=""),"",IF(COUNTIFS($A$5:$A$3004,A591,$C$5:$C$3004,"&lt;"&amp;D591,$D$5:$D$3004,"&gt;"&amp;C591)&gt;1,"⚠️ пересечение",""))</f>
        <v/>
      </c>
      <c r="M591" s="54">
        <f>IF(F591="","",IF(J591="✅ Сделано","✔ ",IF(J591="❌ Пропущено","✖ ","⏰ "))&amp;IF(C591="","",RIGHT("0"&amp;HOUR(C591),2)&amp;":"&amp;RIGHT("0"&amp;MINUTE(C591),2)&amp;IF(D591="","","–"&amp;RIGHT("0"&amp;HOUR(D591),2)&amp;":"&amp;RIGHT("0"&amp;MINUTE(D591),2))&amp;" ")&amp;F591)</f>
        <v/>
      </c>
      <c r="N591" s="54">
        <f>IF(OR(A591="",F591=""),"",A591&amp;"#"&amp;(COUNTIFS($A$5:$A$3004,A591,$F$5:$F$3004,"?*",$O$5:$O$3004,"&lt;"&amp;O591)+COUNTIFS($A$5:A591,A591,$F$5:F591,"?*",$O$5:O591,O591)))</f>
        <v/>
      </c>
      <c r="O591" s="54">
        <f>IF(A591="","",IF(C591="",0,C591))</f>
        <v/>
      </c>
    </row>
    <row r="592">
      <c r="A592" s="58" t="n"/>
      <c r="B592" s="49">
        <f>IF(A592="","",CHOOSE(WEEKDAY(A592,2),"Пн","Вт","Ср","Чт","Пт","Сб","Вс"))</f>
        <v/>
      </c>
      <c r="C592" s="59" t="n"/>
      <c r="D592" s="59" t="n"/>
      <c r="E592" s="60">
        <f>IF(OR(C592="",D592=""),"",MOD(D592-C592,1)*24)</f>
        <v/>
      </c>
      <c r="F592" s="50" t="n"/>
      <c r="G592" s="51" t="n"/>
      <c r="H592" s="51" t="n"/>
      <c r="I592" s="51" t="n"/>
      <c r="J592" s="51" t="n"/>
      <c r="K592" s="51" t="n"/>
      <c r="L592" s="54">
        <f>IF(OR(A592="",C592="",D592=""),"",IF(COUNTIFS($A$5:$A$3004,A592,$C$5:$C$3004,"&lt;"&amp;D592,$D$5:$D$3004,"&gt;"&amp;C592)&gt;1,"⚠️ пересечение",""))</f>
        <v/>
      </c>
      <c r="M592" s="54">
        <f>IF(F592="","",IF(J592="✅ Сделано","✔ ",IF(J592="❌ Пропущено","✖ ","⏰ "))&amp;IF(C592="","",RIGHT("0"&amp;HOUR(C592),2)&amp;":"&amp;RIGHT("0"&amp;MINUTE(C592),2)&amp;IF(D592="","","–"&amp;RIGHT("0"&amp;HOUR(D592),2)&amp;":"&amp;RIGHT("0"&amp;MINUTE(D592),2))&amp;" ")&amp;F592)</f>
        <v/>
      </c>
      <c r="N592" s="54">
        <f>IF(OR(A592="",F592=""),"",A592&amp;"#"&amp;(COUNTIFS($A$5:$A$3004,A592,$F$5:$F$3004,"?*",$O$5:$O$3004,"&lt;"&amp;O592)+COUNTIFS($A$5:A592,A592,$F$5:F592,"?*",$O$5:O592,O592)))</f>
        <v/>
      </c>
      <c r="O592" s="54">
        <f>IF(A592="","",IF(C592="",0,C592))</f>
        <v/>
      </c>
    </row>
    <row r="593">
      <c r="A593" s="58" t="n"/>
      <c r="B593" s="49">
        <f>IF(A593="","",CHOOSE(WEEKDAY(A593,2),"Пн","Вт","Ср","Чт","Пт","Сб","Вс"))</f>
        <v/>
      </c>
      <c r="C593" s="59" t="n"/>
      <c r="D593" s="59" t="n"/>
      <c r="E593" s="60">
        <f>IF(OR(C593="",D593=""),"",MOD(D593-C593,1)*24)</f>
        <v/>
      </c>
      <c r="F593" s="50" t="n"/>
      <c r="G593" s="51" t="n"/>
      <c r="H593" s="51" t="n"/>
      <c r="I593" s="51" t="n"/>
      <c r="J593" s="51" t="n"/>
      <c r="K593" s="51" t="n"/>
      <c r="L593" s="54">
        <f>IF(OR(A593="",C593="",D593=""),"",IF(COUNTIFS($A$5:$A$3004,A593,$C$5:$C$3004,"&lt;"&amp;D593,$D$5:$D$3004,"&gt;"&amp;C593)&gt;1,"⚠️ пересечение",""))</f>
        <v/>
      </c>
      <c r="M593" s="54">
        <f>IF(F593="","",IF(J593="✅ Сделано","✔ ",IF(J593="❌ Пропущено","✖ ","⏰ "))&amp;IF(C593="","",RIGHT("0"&amp;HOUR(C593),2)&amp;":"&amp;RIGHT("0"&amp;MINUTE(C593),2)&amp;IF(D593="","","–"&amp;RIGHT("0"&amp;HOUR(D593),2)&amp;":"&amp;RIGHT("0"&amp;MINUTE(D593),2))&amp;" ")&amp;F593)</f>
        <v/>
      </c>
      <c r="N593" s="54">
        <f>IF(OR(A593="",F593=""),"",A593&amp;"#"&amp;(COUNTIFS($A$5:$A$3004,A593,$F$5:$F$3004,"?*",$O$5:$O$3004,"&lt;"&amp;O593)+COUNTIFS($A$5:A593,A593,$F$5:F593,"?*",$O$5:O593,O593)))</f>
        <v/>
      </c>
      <c r="O593" s="54">
        <f>IF(A593="","",IF(C593="",0,C593))</f>
        <v/>
      </c>
    </row>
    <row r="594">
      <c r="A594" s="58" t="n"/>
      <c r="B594" s="49">
        <f>IF(A594="","",CHOOSE(WEEKDAY(A594,2),"Пн","Вт","Ср","Чт","Пт","Сб","Вс"))</f>
        <v/>
      </c>
      <c r="C594" s="59" t="n"/>
      <c r="D594" s="59" t="n"/>
      <c r="E594" s="60">
        <f>IF(OR(C594="",D594=""),"",MOD(D594-C594,1)*24)</f>
        <v/>
      </c>
      <c r="F594" s="50" t="n"/>
      <c r="G594" s="51" t="n"/>
      <c r="H594" s="51" t="n"/>
      <c r="I594" s="51" t="n"/>
      <c r="J594" s="51" t="n"/>
      <c r="K594" s="51" t="n"/>
      <c r="L594" s="54">
        <f>IF(OR(A594="",C594="",D594=""),"",IF(COUNTIFS($A$5:$A$3004,A594,$C$5:$C$3004,"&lt;"&amp;D594,$D$5:$D$3004,"&gt;"&amp;C594)&gt;1,"⚠️ пересечение",""))</f>
        <v/>
      </c>
      <c r="M594" s="54">
        <f>IF(F594="","",IF(J594="✅ Сделано","✔ ",IF(J594="❌ Пропущено","✖ ","⏰ "))&amp;IF(C594="","",RIGHT("0"&amp;HOUR(C594),2)&amp;":"&amp;RIGHT("0"&amp;MINUTE(C594),2)&amp;IF(D594="","","–"&amp;RIGHT("0"&amp;HOUR(D594),2)&amp;":"&amp;RIGHT("0"&amp;MINUTE(D594),2))&amp;" ")&amp;F594)</f>
        <v/>
      </c>
      <c r="N594" s="54">
        <f>IF(OR(A594="",F594=""),"",A594&amp;"#"&amp;(COUNTIFS($A$5:$A$3004,A594,$F$5:$F$3004,"?*",$O$5:$O$3004,"&lt;"&amp;O594)+COUNTIFS($A$5:A594,A594,$F$5:F594,"?*",$O$5:O594,O594)))</f>
        <v/>
      </c>
      <c r="O594" s="54">
        <f>IF(A594="","",IF(C594="",0,C594))</f>
        <v/>
      </c>
    </row>
    <row r="595">
      <c r="A595" s="58" t="n"/>
      <c r="B595" s="49">
        <f>IF(A595="","",CHOOSE(WEEKDAY(A595,2),"Пн","Вт","Ср","Чт","Пт","Сб","Вс"))</f>
        <v/>
      </c>
      <c r="C595" s="59" t="n"/>
      <c r="D595" s="59" t="n"/>
      <c r="E595" s="60">
        <f>IF(OR(C595="",D595=""),"",MOD(D595-C595,1)*24)</f>
        <v/>
      </c>
      <c r="F595" s="50" t="n"/>
      <c r="G595" s="51" t="n"/>
      <c r="H595" s="51" t="n"/>
      <c r="I595" s="51" t="n"/>
      <c r="J595" s="51" t="n"/>
      <c r="K595" s="51" t="n"/>
      <c r="L595" s="54">
        <f>IF(OR(A595="",C595="",D595=""),"",IF(COUNTIFS($A$5:$A$3004,A595,$C$5:$C$3004,"&lt;"&amp;D595,$D$5:$D$3004,"&gt;"&amp;C595)&gt;1,"⚠️ пересечение",""))</f>
        <v/>
      </c>
      <c r="M595" s="54">
        <f>IF(F595="","",IF(J595="✅ Сделано","✔ ",IF(J595="❌ Пропущено","✖ ","⏰ "))&amp;IF(C595="","",RIGHT("0"&amp;HOUR(C595),2)&amp;":"&amp;RIGHT("0"&amp;MINUTE(C595),2)&amp;IF(D595="","","–"&amp;RIGHT("0"&amp;HOUR(D595),2)&amp;":"&amp;RIGHT("0"&amp;MINUTE(D595),2))&amp;" ")&amp;F595)</f>
        <v/>
      </c>
      <c r="N595" s="54">
        <f>IF(OR(A595="",F595=""),"",A595&amp;"#"&amp;(COUNTIFS($A$5:$A$3004,A595,$F$5:$F$3004,"?*",$O$5:$O$3004,"&lt;"&amp;O595)+COUNTIFS($A$5:A595,A595,$F$5:F595,"?*",$O$5:O595,O595)))</f>
        <v/>
      </c>
      <c r="O595" s="54">
        <f>IF(A595="","",IF(C595="",0,C595))</f>
        <v/>
      </c>
    </row>
    <row r="596">
      <c r="A596" s="58" t="n"/>
      <c r="B596" s="49">
        <f>IF(A596="","",CHOOSE(WEEKDAY(A596,2),"Пн","Вт","Ср","Чт","Пт","Сб","Вс"))</f>
        <v/>
      </c>
      <c r="C596" s="59" t="n"/>
      <c r="D596" s="59" t="n"/>
      <c r="E596" s="60">
        <f>IF(OR(C596="",D596=""),"",MOD(D596-C596,1)*24)</f>
        <v/>
      </c>
      <c r="F596" s="50" t="n"/>
      <c r="G596" s="51" t="n"/>
      <c r="H596" s="51" t="n"/>
      <c r="I596" s="51" t="n"/>
      <c r="J596" s="51" t="n"/>
      <c r="K596" s="51" t="n"/>
      <c r="L596" s="54">
        <f>IF(OR(A596="",C596="",D596=""),"",IF(COUNTIFS($A$5:$A$3004,A596,$C$5:$C$3004,"&lt;"&amp;D596,$D$5:$D$3004,"&gt;"&amp;C596)&gt;1,"⚠️ пересечение",""))</f>
        <v/>
      </c>
      <c r="M596" s="54">
        <f>IF(F596="","",IF(J596="✅ Сделано","✔ ",IF(J596="❌ Пропущено","✖ ","⏰ "))&amp;IF(C596="","",RIGHT("0"&amp;HOUR(C596),2)&amp;":"&amp;RIGHT("0"&amp;MINUTE(C596),2)&amp;IF(D596="","","–"&amp;RIGHT("0"&amp;HOUR(D596),2)&amp;":"&amp;RIGHT("0"&amp;MINUTE(D596),2))&amp;" ")&amp;F596)</f>
        <v/>
      </c>
      <c r="N596" s="54">
        <f>IF(OR(A596="",F596=""),"",A596&amp;"#"&amp;(COUNTIFS($A$5:$A$3004,A596,$F$5:$F$3004,"?*",$O$5:$O$3004,"&lt;"&amp;O596)+COUNTIFS($A$5:A596,A596,$F$5:F596,"?*",$O$5:O596,O596)))</f>
        <v/>
      </c>
      <c r="O596" s="54">
        <f>IF(A596="","",IF(C596="",0,C596))</f>
        <v/>
      </c>
    </row>
    <row r="597">
      <c r="A597" s="58" t="n"/>
      <c r="B597" s="49">
        <f>IF(A597="","",CHOOSE(WEEKDAY(A597,2),"Пн","Вт","Ср","Чт","Пт","Сб","Вс"))</f>
        <v/>
      </c>
      <c r="C597" s="59" t="n"/>
      <c r="D597" s="59" t="n"/>
      <c r="E597" s="60">
        <f>IF(OR(C597="",D597=""),"",MOD(D597-C597,1)*24)</f>
        <v/>
      </c>
      <c r="F597" s="50" t="n"/>
      <c r="G597" s="51" t="n"/>
      <c r="H597" s="51" t="n"/>
      <c r="I597" s="51" t="n"/>
      <c r="J597" s="51" t="n"/>
      <c r="K597" s="51" t="n"/>
      <c r="L597" s="54">
        <f>IF(OR(A597="",C597="",D597=""),"",IF(COUNTIFS($A$5:$A$3004,A597,$C$5:$C$3004,"&lt;"&amp;D597,$D$5:$D$3004,"&gt;"&amp;C597)&gt;1,"⚠️ пересечение",""))</f>
        <v/>
      </c>
      <c r="M597" s="54">
        <f>IF(F597="","",IF(J597="✅ Сделано","✔ ",IF(J597="❌ Пропущено","✖ ","⏰ "))&amp;IF(C597="","",RIGHT("0"&amp;HOUR(C597),2)&amp;":"&amp;RIGHT("0"&amp;MINUTE(C597),2)&amp;IF(D597="","","–"&amp;RIGHT("0"&amp;HOUR(D597),2)&amp;":"&amp;RIGHT("0"&amp;MINUTE(D597),2))&amp;" ")&amp;F597)</f>
        <v/>
      </c>
      <c r="N597" s="54">
        <f>IF(OR(A597="",F597=""),"",A597&amp;"#"&amp;(COUNTIFS($A$5:$A$3004,A597,$F$5:$F$3004,"?*",$O$5:$O$3004,"&lt;"&amp;O597)+COUNTIFS($A$5:A597,A597,$F$5:F597,"?*",$O$5:O597,O597)))</f>
        <v/>
      </c>
      <c r="O597" s="54">
        <f>IF(A597="","",IF(C597="",0,C597))</f>
        <v/>
      </c>
    </row>
    <row r="598">
      <c r="A598" s="58" t="n"/>
      <c r="B598" s="49">
        <f>IF(A598="","",CHOOSE(WEEKDAY(A598,2),"Пн","Вт","Ср","Чт","Пт","Сб","Вс"))</f>
        <v/>
      </c>
      <c r="C598" s="59" t="n"/>
      <c r="D598" s="59" t="n"/>
      <c r="E598" s="60">
        <f>IF(OR(C598="",D598=""),"",MOD(D598-C598,1)*24)</f>
        <v/>
      </c>
      <c r="F598" s="50" t="n"/>
      <c r="G598" s="51" t="n"/>
      <c r="H598" s="51" t="n"/>
      <c r="I598" s="51" t="n"/>
      <c r="J598" s="51" t="n"/>
      <c r="K598" s="51" t="n"/>
      <c r="L598" s="54">
        <f>IF(OR(A598="",C598="",D598=""),"",IF(COUNTIFS($A$5:$A$3004,A598,$C$5:$C$3004,"&lt;"&amp;D598,$D$5:$D$3004,"&gt;"&amp;C598)&gt;1,"⚠️ пересечение",""))</f>
        <v/>
      </c>
      <c r="M598" s="54">
        <f>IF(F598="","",IF(J598="✅ Сделано","✔ ",IF(J598="❌ Пропущено","✖ ","⏰ "))&amp;IF(C598="","",RIGHT("0"&amp;HOUR(C598),2)&amp;":"&amp;RIGHT("0"&amp;MINUTE(C598),2)&amp;IF(D598="","","–"&amp;RIGHT("0"&amp;HOUR(D598),2)&amp;":"&amp;RIGHT("0"&amp;MINUTE(D598),2))&amp;" ")&amp;F598)</f>
        <v/>
      </c>
      <c r="N598" s="54">
        <f>IF(OR(A598="",F598=""),"",A598&amp;"#"&amp;(COUNTIFS($A$5:$A$3004,A598,$F$5:$F$3004,"?*",$O$5:$O$3004,"&lt;"&amp;O598)+COUNTIFS($A$5:A598,A598,$F$5:F598,"?*",$O$5:O598,O598)))</f>
        <v/>
      </c>
      <c r="O598" s="54">
        <f>IF(A598="","",IF(C598="",0,C598))</f>
        <v/>
      </c>
    </row>
    <row r="599">
      <c r="A599" s="58" t="n"/>
      <c r="B599" s="49">
        <f>IF(A599="","",CHOOSE(WEEKDAY(A599,2),"Пн","Вт","Ср","Чт","Пт","Сб","Вс"))</f>
        <v/>
      </c>
      <c r="C599" s="59" t="n"/>
      <c r="D599" s="59" t="n"/>
      <c r="E599" s="60">
        <f>IF(OR(C599="",D599=""),"",MOD(D599-C599,1)*24)</f>
        <v/>
      </c>
      <c r="F599" s="50" t="n"/>
      <c r="G599" s="51" t="n"/>
      <c r="H599" s="51" t="n"/>
      <c r="I599" s="51" t="n"/>
      <c r="J599" s="51" t="n"/>
      <c r="K599" s="51" t="n"/>
      <c r="L599" s="54">
        <f>IF(OR(A599="",C599="",D599=""),"",IF(COUNTIFS($A$5:$A$3004,A599,$C$5:$C$3004,"&lt;"&amp;D599,$D$5:$D$3004,"&gt;"&amp;C599)&gt;1,"⚠️ пересечение",""))</f>
        <v/>
      </c>
      <c r="M599" s="54">
        <f>IF(F599="","",IF(J599="✅ Сделано","✔ ",IF(J599="❌ Пропущено","✖ ","⏰ "))&amp;IF(C599="","",RIGHT("0"&amp;HOUR(C599),2)&amp;":"&amp;RIGHT("0"&amp;MINUTE(C599),2)&amp;IF(D599="","","–"&amp;RIGHT("0"&amp;HOUR(D599),2)&amp;":"&amp;RIGHT("0"&amp;MINUTE(D599),2))&amp;" ")&amp;F599)</f>
        <v/>
      </c>
      <c r="N599" s="54">
        <f>IF(OR(A599="",F599=""),"",A599&amp;"#"&amp;(COUNTIFS($A$5:$A$3004,A599,$F$5:$F$3004,"?*",$O$5:$O$3004,"&lt;"&amp;O599)+COUNTIFS($A$5:A599,A599,$F$5:F599,"?*",$O$5:O599,O599)))</f>
        <v/>
      </c>
      <c r="O599" s="54">
        <f>IF(A599="","",IF(C599="",0,C599))</f>
        <v/>
      </c>
    </row>
    <row r="600">
      <c r="A600" s="58" t="n"/>
      <c r="B600" s="49">
        <f>IF(A600="","",CHOOSE(WEEKDAY(A600,2),"Пн","Вт","Ср","Чт","Пт","Сб","Вс"))</f>
        <v/>
      </c>
      <c r="C600" s="59" t="n"/>
      <c r="D600" s="59" t="n"/>
      <c r="E600" s="60">
        <f>IF(OR(C600="",D600=""),"",MOD(D600-C600,1)*24)</f>
        <v/>
      </c>
      <c r="F600" s="50" t="n"/>
      <c r="G600" s="51" t="n"/>
      <c r="H600" s="51" t="n"/>
      <c r="I600" s="51" t="n"/>
      <c r="J600" s="51" t="n"/>
      <c r="K600" s="51" t="n"/>
      <c r="L600" s="54">
        <f>IF(OR(A600="",C600="",D600=""),"",IF(COUNTIFS($A$5:$A$3004,A600,$C$5:$C$3004,"&lt;"&amp;D600,$D$5:$D$3004,"&gt;"&amp;C600)&gt;1,"⚠️ пересечение",""))</f>
        <v/>
      </c>
      <c r="M600" s="54">
        <f>IF(F600="","",IF(J600="✅ Сделано","✔ ",IF(J600="❌ Пропущено","✖ ","⏰ "))&amp;IF(C600="","",RIGHT("0"&amp;HOUR(C600),2)&amp;":"&amp;RIGHT("0"&amp;MINUTE(C600),2)&amp;IF(D600="","","–"&amp;RIGHT("0"&amp;HOUR(D600),2)&amp;":"&amp;RIGHT("0"&amp;MINUTE(D600),2))&amp;" ")&amp;F600)</f>
        <v/>
      </c>
      <c r="N600" s="54">
        <f>IF(OR(A600="",F600=""),"",A600&amp;"#"&amp;(COUNTIFS($A$5:$A$3004,A600,$F$5:$F$3004,"?*",$O$5:$O$3004,"&lt;"&amp;O600)+COUNTIFS($A$5:A600,A600,$F$5:F600,"?*",$O$5:O600,O600)))</f>
        <v/>
      </c>
      <c r="O600" s="54">
        <f>IF(A600="","",IF(C600="",0,C600))</f>
        <v/>
      </c>
    </row>
    <row r="601">
      <c r="A601" s="58" t="n"/>
      <c r="B601" s="49">
        <f>IF(A601="","",CHOOSE(WEEKDAY(A601,2),"Пн","Вт","Ср","Чт","Пт","Сб","Вс"))</f>
        <v/>
      </c>
      <c r="C601" s="59" t="n"/>
      <c r="D601" s="59" t="n"/>
      <c r="E601" s="60">
        <f>IF(OR(C601="",D601=""),"",MOD(D601-C601,1)*24)</f>
        <v/>
      </c>
      <c r="F601" s="50" t="n"/>
      <c r="G601" s="51" t="n"/>
      <c r="H601" s="51" t="n"/>
      <c r="I601" s="51" t="n"/>
      <c r="J601" s="51" t="n"/>
      <c r="K601" s="51" t="n"/>
      <c r="L601" s="54">
        <f>IF(OR(A601="",C601="",D601=""),"",IF(COUNTIFS($A$5:$A$3004,A601,$C$5:$C$3004,"&lt;"&amp;D601,$D$5:$D$3004,"&gt;"&amp;C601)&gt;1,"⚠️ пересечение",""))</f>
        <v/>
      </c>
      <c r="M601" s="54">
        <f>IF(F601="","",IF(J601="✅ Сделано","✔ ",IF(J601="❌ Пропущено","✖ ","⏰ "))&amp;IF(C601="","",RIGHT("0"&amp;HOUR(C601),2)&amp;":"&amp;RIGHT("0"&amp;MINUTE(C601),2)&amp;IF(D601="","","–"&amp;RIGHT("0"&amp;HOUR(D601),2)&amp;":"&amp;RIGHT("0"&amp;MINUTE(D601),2))&amp;" ")&amp;F601)</f>
        <v/>
      </c>
      <c r="N601" s="54">
        <f>IF(OR(A601="",F601=""),"",A601&amp;"#"&amp;(COUNTIFS($A$5:$A$3004,A601,$F$5:$F$3004,"?*",$O$5:$O$3004,"&lt;"&amp;O601)+COUNTIFS($A$5:A601,A601,$F$5:F601,"?*",$O$5:O601,O601)))</f>
        <v/>
      </c>
      <c r="O601" s="54">
        <f>IF(A601="","",IF(C601="",0,C601))</f>
        <v/>
      </c>
    </row>
    <row r="602">
      <c r="A602" s="58" t="n"/>
      <c r="B602" s="49">
        <f>IF(A602="","",CHOOSE(WEEKDAY(A602,2),"Пн","Вт","Ср","Чт","Пт","Сб","Вс"))</f>
        <v/>
      </c>
      <c r="C602" s="59" t="n"/>
      <c r="D602" s="59" t="n"/>
      <c r="E602" s="60">
        <f>IF(OR(C602="",D602=""),"",MOD(D602-C602,1)*24)</f>
        <v/>
      </c>
      <c r="F602" s="50" t="n"/>
      <c r="G602" s="51" t="n"/>
      <c r="H602" s="51" t="n"/>
      <c r="I602" s="51" t="n"/>
      <c r="J602" s="51" t="n"/>
      <c r="K602" s="51" t="n"/>
      <c r="L602" s="54">
        <f>IF(OR(A602="",C602="",D602=""),"",IF(COUNTIFS($A$5:$A$3004,A602,$C$5:$C$3004,"&lt;"&amp;D602,$D$5:$D$3004,"&gt;"&amp;C602)&gt;1,"⚠️ пересечение",""))</f>
        <v/>
      </c>
      <c r="M602" s="54">
        <f>IF(F602="","",IF(J602="✅ Сделано","✔ ",IF(J602="❌ Пропущено","✖ ","⏰ "))&amp;IF(C602="","",RIGHT("0"&amp;HOUR(C602),2)&amp;":"&amp;RIGHT("0"&amp;MINUTE(C602),2)&amp;IF(D602="","","–"&amp;RIGHT("0"&amp;HOUR(D602),2)&amp;":"&amp;RIGHT("0"&amp;MINUTE(D602),2))&amp;" ")&amp;F602)</f>
        <v/>
      </c>
      <c r="N602" s="54">
        <f>IF(OR(A602="",F602=""),"",A602&amp;"#"&amp;(COUNTIFS($A$5:$A$3004,A602,$F$5:$F$3004,"?*",$O$5:$O$3004,"&lt;"&amp;O602)+COUNTIFS($A$5:A602,A602,$F$5:F602,"?*",$O$5:O602,O602)))</f>
        <v/>
      </c>
      <c r="O602" s="54">
        <f>IF(A602="","",IF(C602="",0,C602))</f>
        <v/>
      </c>
    </row>
    <row r="603">
      <c r="A603" s="58" t="n"/>
      <c r="B603" s="49">
        <f>IF(A603="","",CHOOSE(WEEKDAY(A603,2),"Пн","Вт","Ср","Чт","Пт","Сб","Вс"))</f>
        <v/>
      </c>
      <c r="C603" s="59" t="n"/>
      <c r="D603" s="59" t="n"/>
      <c r="E603" s="60">
        <f>IF(OR(C603="",D603=""),"",MOD(D603-C603,1)*24)</f>
        <v/>
      </c>
      <c r="F603" s="50" t="n"/>
      <c r="G603" s="51" t="n"/>
      <c r="H603" s="51" t="n"/>
      <c r="I603" s="51" t="n"/>
      <c r="J603" s="51" t="n"/>
      <c r="K603" s="51" t="n"/>
      <c r="L603" s="54">
        <f>IF(OR(A603="",C603="",D603=""),"",IF(COUNTIFS($A$5:$A$3004,A603,$C$5:$C$3004,"&lt;"&amp;D603,$D$5:$D$3004,"&gt;"&amp;C603)&gt;1,"⚠️ пересечение",""))</f>
        <v/>
      </c>
      <c r="M603" s="54">
        <f>IF(F603="","",IF(J603="✅ Сделано","✔ ",IF(J603="❌ Пропущено","✖ ","⏰ "))&amp;IF(C603="","",RIGHT("0"&amp;HOUR(C603),2)&amp;":"&amp;RIGHT("0"&amp;MINUTE(C603),2)&amp;IF(D603="","","–"&amp;RIGHT("0"&amp;HOUR(D603),2)&amp;":"&amp;RIGHT("0"&amp;MINUTE(D603),2))&amp;" ")&amp;F603)</f>
        <v/>
      </c>
      <c r="N603" s="54">
        <f>IF(OR(A603="",F603=""),"",A603&amp;"#"&amp;(COUNTIFS($A$5:$A$3004,A603,$F$5:$F$3004,"?*",$O$5:$O$3004,"&lt;"&amp;O603)+COUNTIFS($A$5:A603,A603,$F$5:F603,"?*",$O$5:O603,O603)))</f>
        <v/>
      </c>
      <c r="O603" s="54">
        <f>IF(A603="","",IF(C603="",0,C603))</f>
        <v/>
      </c>
    </row>
    <row r="604">
      <c r="A604" s="58" t="n"/>
      <c r="B604" s="49">
        <f>IF(A604="","",CHOOSE(WEEKDAY(A604,2),"Пн","Вт","Ср","Чт","Пт","Сб","Вс"))</f>
        <v/>
      </c>
      <c r="C604" s="59" t="n"/>
      <c r="D604" s="59" t="n"/>
      <c r="E604" s="60">
        <f>IF(OR(C604="",D604=""),"",MOD(D604-C604,1)*24)</f>
        <v/>
      </c>
      <c r="F604" s="50" t="n"/>
      <c r="G604" s="51" t="n"/>
      <c r="H604" s="51" t="n"/>
      <c r="I604" s="51" t="n"/>
      <c r="J604" s="51" t="n"/>
      <c r="K604" s="51" t="n"/>
      <c r="L604" s="54">
        <f>IF(OR(A604="",C604="",D604=""),"",IF(COUNTIFS($A$5:$A$3004,A604,$C$5:$C$3004,"&lt;"&amp;D604,$D$5:$D$3004,"&gt;"&amp;C604)&gt;1,"⚠️ пересечение",""))</f>
        <v/>
      </c>
      <c r="M604" s="54">
        <f>IF(F604="","",IF(J604="✅ Сделано","✔ ",IF(J604="❌ Пропущено","✖ ","⏰ "))&amp;IF(C604="","",RIGHT("0"&amp;HOUR(C604),2)&amp;":"&amp;RIGHT("0"&amp;MINUTE(C604),2)&amp;IF(D604="","","–"&amp;RIGHT("0"&amp;HOUR(D604),2)&amp;":"&amp;RIGHT("0"&amp;MINUTE(D604),2))&amp;" ")&amp;F604)</f>
        <v/>
      </c>
      <c r="N604" s="54">
        <f>IF(OR(A604="",F604=""),"",A604&amp;"#"&amp;(COUNTIFS($A$5:$A$3004,A604,$F$5:$F$3004,"?*",$O$5:$O$3004,"&lt;"&amp;O604)+COUNTIFS($A$5:A604,A604,$F$5:F604,"?*",$O$5:O604,O604)))</f>
        <v/>
      </c>
      <c r="O604" s="54">
        <f>IF(A604="","",IF(C604="",0,C604))</f>
        <v/>
      </c>
    </row>
    <row r="605">
      <c r="A605" s="58" t="n"/>
      <c r="B605" s="49">
        <f>IF(A605="","",CHOOSE(WEEKDAY(A605,2),"Пн","Вт","Ср","Чт","Пт","Сб","Вс"))</f>
        <v/>
      </c>
      <c r="C605" s="59" t="n"/>
      <c r="D605" s="59" t="n"/>
      <c r="E605" s="60">
        <f>IF(OR(C605="",D605=""),"",MOD(D605-C605,1)*24)</f>
        <v/>
      </c>
      <c r="F605" s="50" t="n"/>
      <c r="G605" s="51" t="n"/>
      <c r="H605" s="51" t="n"/>
      <c r="I605" s="51" t="n"/>
      <c r="J605" s="51" t="n"/>
      <c r="K605" s="51" t="n"/>
      <c r="L605" s="54">
        <f>IF(OR(A605="",C605="",D605=""),"",IF(COUNTIFS($A$5:$A$3004,A605,$C$5:$C$3004,"&lt;"&amp;D605,$D$5:$D$3004,"&gt;"&amp;C605)&gt;1,"⚠️ пересечение",""))</f>
        <v/>
      </c>
      <c r="M605" s="54">
        <f>IF(F605="","",IF(J605="✅ Сделано","✔ ",IF(J605="❌ Пропущено","✖ ","⏰ "))&amp;IF(C605="","",RIGHT("0"&amp;HOUR(C605),2)&amp;":"&amp;RIGHT("0"&amp;MINUTE(C605),2)&amp;IF(D605="","","–"&amp;RIGHT("0"&amp;HOUR(D605),2)&amp;":"&amp;RIGHT("0"&amp;MINUTE(D605),2))&amp;" ")&amp;F605)</f>
        <v/>
      </c>
      <c r="N605" s="54">
        <f>IF(OR(A605="",F605=""),"",A605&amp;"#"&amp;(COUNTIFS($A$5:$A$3004,A605,$F$5:$F$3004,"?*",$O$5:$O$3004,"&lt;"&amp;O605)+COUNTIFS($A$5:A605,A605,$F$5:F605,"?*",$O$5:O605,O605)))</f>
        <v/>
      </c>
      <c r="O605" s="54">
        <f>IF(A605="","",IF(C605="",0,C605))</f>
        <v/>
      </c>
    </row>
    <row r="606">
      <c r="A606" s="58" t="n"/>
      <c r="B606" s="49">
        <f>IF(A606="","",CHOOSE(WEEKDAY(A606,2),"Пн","Вт","Ср","Чт","Пт","Сб","Вс"))</f>
        <v/>
      </c>
      <c r="C606" s="59" t="n"/>
      <c r="D606" s="59" t="n"/>
      <c r="E606" s="60">
        <f>IF(OR(C606="",D606=""),"",MOD(D606-C606,1)*24)</f>
        <v/>
      </c>
      <c r="F606" s="50" t="n"/>
      <c r="G606" s="51" t="n"/>
      <c r="H606" s="51" t="n"/>
      <c r="I606" s="51" t="n"/>
      <c r="J606" s="51" t="n"/>
      <c r="K606" s="51" t="n"/>
      <c r="L606" s="54">
        <f>IF(OR(A606="",C606="",D606=""),"",IF(COUNTIFS($A$5:$A$3004,A606,$C$5:$C$3004,"&lt;"&amp;D606,$D$5:$D$3004,"&gt;"&amp;C606)&gt;1,"⚠️ пересечение",""))</f>
        <v/>
      </c>
      <c r="M606" s="54">
        <f>IF(F606="","",IF(J606="✅ Сделано","✔ ",IF(J606="❌ Пропущено","✖ ","⏰ "))&amp;IF(C606="","",RIGHT("0"&amp;HOUR(C606),2)&amp;":"&amp;RIGHT("0"&amp;MINUTE(C606),2)&amp;IF(D606="","","–"&amp;RIGHT("0"&amp;HOUR(D606),2)&amp;":"&amp;RIGHT("0"&amp;MINUTE(D606),2))&amp;" ")&amp;F606)</f>
        <v/>
      </c>
      <c r="N606" s="54">
        <f>IF(OR(A606="",F606=""),"",A606&amp;"#"&amp;(COUNTIFS($A$5:$A$3004,A606,$F$5:$F$3004,"?*",$O$5:$O$3004,"&lt;"&amp;O606)+COUNTIFS($A$5:A606,A606,$F$5:F606,"?*",$O$5:O606,O606)))</f>
        <v/>
      </c>
      <c r="O606" s="54">
        <f>IF(A606="","",IF(C606="",0,C606))</f>
        <v/>
      </c>
    </row>
    <row r="607">
      <c r="A607" s="58" t="n"/>
      <c r="B607" s="49">
        <f>IF(A607="","",CHOOSE(WEEKDAY(A607,2),"Пн","Вт","Ср","Чт","Пт","Сб","Вс"))</f>
        <v/>
      </c>
      <c r="C607" s="59" t="n"/>
      <c r="D607" s="59" t="n"/>
      <c r="E607" s="60">
        <f>IF(OR(C607="",D607=""),"",MOD(D607-C607,1)*24)</f>
        <v/>
      </c>
      <c r="F607" s="50" t="n"/>
      <c r="G607" s="51" t="n"/>
      <c r="H607" s="51" t="n"/>
      <c r="I607" s="51" t="n"/>
      <c r="J607" s="51" t="n"/>
      <c r="K607" s="51" t="n"/>
      <c r="L607" s="54">
        <f>IF(OR(A607="",C607="",D607=""),"",IF(COUNTIFS($A$5:$A$3004,A607,$C$5:$C$3004,"&lt;"&amp;D607,$D$5:$D$3004,"&gt;"&amp;C607)&gt;1,"⚠️ пересечение",""))</f>
        <v/>
      </c>
      <c r="M607" s="54">
        <f>IF(F607="","",IF(J607="✅ Сделано","✔ ",IF(J607="❌ Пропущено","✖ ","⏰ "))&amp;IF(C607="","",RIGHT("0"&amp;HOUR(C607),2)&amp;":"&amp;RIGHT("0"&amp;MINUTE(C607),2)&amp;IF(D607="","","–"&amp;RIGHT("0"&amp;HOUR(D607),2)&amp;":"&amp;RIGHT("0"&amp;MINUTE(D607),2))&amp;" ")&amp;F607)</f>
        <v/>
      </c>
      <c r="N607" s="54">
        <f>IF(OR(A607="",F607=""),"",A607&amp;"#"&amp;(COUNTIFS($A$5:$A$3004,A607,$F$5:$F$3004,"?*",$O$5:$O$3004,"&lt;"&amp;O607)+COUNTIFS($A$5:A607,A607,$F$5:F607,"?*",$O$5:O607,O607)))</f>
        <v/>
      </c>
      <c r="O607" s="54">
        <f>IF(A607="","",IF(C607="",0,C607))</f>
        <v/>
      </c>
    </row>
    <row r="608">
      <c r="A608" s="58" t="n"/>
      <c r="B608" s="49">
        <f>IF(A608="","",CHOOSE(WEEKDAY(A608,2),"Пн","Вт","Ср","Чт","Пт","Сб","Вс"))</f>
        <v/>
      </c>
      <c r="C608" s="59" t="n"/>
      <c r="D608" s="59" t="n"/>
      <c r="E608" s="60">
        <f>IF(OR(C608="",D608=""),"",MOD(D608-C608,1)*24)</f>
        <v/>
      </c>
      <c r="F608" s="50" t="n"/>
      <c r="G608" s="51" t="n"/>
      <c r="H608" s="51" t="n"/>
      <c r="I608" s="51" t="n"/>
      <c r="J608" s="51" t="n"/>
      <c r="K608" s="51" t="n"/>
      <c r="L608" s="54">
        <f>IF(OR(A608="",C608="",D608=""),"",IF(COUNTIFS($A$5:$A$3004,A608,$C$5:$C$3004,"&lt;"&amp;D608,$D$5:$D$3004,"&gt;"&amp;C608)&gt;1,"⚠️ пересечение",""))</f>
        <v/>
      </c>
      <c r="M608" s="54">
        <f>IF(F608="","",IF(J608="✅ Сделано","✔ ",IF(J608="❌ Пропущено","✖ ","⏰ "))&amp;IF(C608="","",RIGHT("0"&amp;HOUR(C608),2)&amp;":"&amp;RIGHT("0"&amp;MINUTE(C608),2)&amp;IF(D608="","","–"&amp;RIGHT("0"&amp;HOUR(D608),2)&amp;":"&amp;RIGHT("0"&amp;MINUTE(D608),2))&amp;" ")&amp;F608)</f>
        <v/>
      </c>
      <c r="N608" s="54">
        <f>IF(OR(A608="",F608=""),"",A608&amp;"#"&amp;(COUNTIFS($A$5:$A$3004,A608,$F$5:$F$3004,"?*",$O$5:$O$3004,"&lt;"&amp;O608)+COUNTIFS($A$5:A608,A608,$F$5:F608,"?*",$O$5:O608,O608)))</f>
        <v/>
      </c>
      <c r="O608" s="54">
        <f>IF(A608="","",IF(C608="",0,C608))</f>
        <v/>
      </c>
    </row>
    <row r="609">
      <c r="A609" s="58" t="n"/>
      <c r="B609" s="49">
        <f>IF(A609="","",CHOOSE(WEEKDAY(A609,2),"Пн","Вт","Ср","Чт","Пт","Сб","Вс"))</f>
        <v/>
      </c>
      <c r="C609" s="59" t="n"/>
      <c r="D609" s="59" t="n"/>
      <c r="E609" s="60">
        <f>IF(OR(C609="",D609=""),"",MOD(D609-C609,1)*24)</f>
        <v/>
      </c>
      <c r="F609" s="50" t="n"/>
      <c r="G609" s="51" t="n"/>
      <c r="H609" s="51" t="n"/>
      <c r="I609" s="51" t="n"/>
      <c r="J609" s="51" t="n"/>
      <c r="K609" s="51" t="n"/>
      <c r="L609" s="54">
        <f>IF(OR(A609="",C609="",D609=""),"",IF(COUNTIFS($A$5:$A$3004,A609,$C$5:$C$3004,"&lt;"&amp;D609,$D$5:$D$3004,"&gt;"&amp;C609)&gt;1,"⚠️ пересечение",""))</f>
        <v/>
      </c>
      <c r="M609" s="54">
        <f>IF(F609="","",IF(J609="✅ Сделано","✔ ",IF(J609="❌ Пропущено","✖ ","⏰ "))&amp;IF(C609="","",RIGHT("0"&amp;HOUR(C609),2)&amp;":"&amp;RIGHT("0"&amp;MINUTE(C609),2)&amp;IF(D609="","","–"&amp;RIGHT("0"&amp;HOUR(D609),2)&amp;":"&amp;RIGHT("0"&amp;MINUTE(D609),2))&amp;" ")&amp;F609)</f>
        <v/>
      </c>
      <c r="N609" s="54">
        <f>IF(OR(A609="",F609=""),"",A609&amp;"#"&amp;(COUNTIFS($A$5:$A$3004,A609,$F$5:$F$3004,"?*",$O$5:$O$3004,"&lt;"&amp;O609)+COUNTIFS($A$5:A609,A609,$F$5:F609,"?*",$O$5:O609,O609)))</f>
        <v/>
      </c>
      <c r="O609" s="54">
        <f>IF(A609="","",IF(C609="",0,C609))</f>
        <v/>
      </c>
    </row>
    <row r="610">
      <c r="A610" s="58" t="n"/>
      <c r="B610" s="49">
        <f>IF(A610="","",CHOOSE(WEEKDAY(A610,2),"Пн","Вт","Ср","Чт","Пт","Сб","Вс"))</f>
        <v/>
      </c>
      <c r="C610" s="59" t="n"/>
      <c r="D610" s="59" t="n"/>
      <c r="E610" s="60">
        <f>IF(OR(C610="",D610=""),"",MOD(D610-C610,1)*24)</f>
        <v/>
      </c>
      <c r="F610" s="50" t="n"/>
      <c r="G610" s="51" t="n"/>
      <c r="H610" s="51" t="n"/>
      <c r="I610" s="51" t="n"/>
      <c r="J610" s="51" t="n"/>
      <c r="K610" s="51" t="n"/>
      <c r="L610" s="54">
        <f>IF(OR(A610="",C610="",D610=""),"",IF(COUNTIFS($A$5:$A$3004,A610,$C$5:$C$3004,"&lt;"&amp;D610,$D$5:$D$3004,"&gt;"&amp;C610)&gt;1,"⚠️ пересечение",""))</f>
        <v/>
      </c>
      <c r="M610" s="54">
        <f>IF(F610="","",IF(J610="✅ Сделано","✔ ",IF(J610="❌ Пропущено","✖ ","⏰ "))&amp;IF(C610="","",RIGHT("0"&amp;HOUR(C610),2)&amp;":"&amp;RIGHT("0"&amp;MINUTE(C610),2)&amp;IF(D610="","","–"&amp;RIGHT("0"&amp;HOUR(D610),2)&amp;":"&amp;RIGHT("0"&amp;MINUTE(D610),2))&amp;" ")&amp;F610)</f>
        <v/>
      </c>
      <c r="N610" s="54">
        <f>IF(OR(A610="",F610=""),"",A610&amp;"#"&amp;(COUNTIFS($A$5:$A$3004,A610,$F$5:$F$3004,"?*",$O$5:$O$3004,"&lt;"&amp;O610)+COUNTIFS($A$5:A610,A610,$F$5:F610,"?*",$O$5:O610,O610)))</f>
        <v/>
      </c>
      <c r="O610" s="54">
        <f>IF(A610="","",IF(C610="",0,C610))</f>
        <v/>
      </c>
    </row>
    <row r="611">
      <c r="A611" s="58" t="n"/>
      <c r="B611" s="49">
        <f>IF(A611="","",CHOOSE(WEEKDAY(A611,2),"Пн","Вт","Ср","Чт","Пт","Сб","Вс"))</f>
        <v/>
      </c>
      <c r="C611" s="59" t="n"/>
      <c r="D611" s="59" t="n"/>
      <c r="E611" s="60">
        <f>IF(OR(C611="",D611=""),"",MOD(D611-C611,1)*24)</f>
        <v/>
      </c>
      <c r="F611" s="50" t="n"/>
      <c r="G611" s="51" t="n"/>
      <c r="H611" s="51" t="n"/>
      <c r="I611" s="51" t="n"/>
      <c r="J611" s="51" t="n"/>
      <c r="K611" s="51" t="n"/>
      <c r="L611" s="54">
        <f>IF(OR(A611="",C611="",D611=""),"",IF(COUNTIFS($A$5:$A$3004,A611,$C$5:$C$3004,"&lt;"&amp;D611,$D$5:$D$3004,"&gt;"&amp;C611)&gt;1,"⚠️ пересечение",""))</f>
        <v/>
      </c>
      <c r="M611" s="54">
        <f>IF(F611="","",IF(J611="✅ Сделано","✔ ",IF(J611="❌ Пропущено","✖ ","⏰ "))&amp;IF(C611="","",RIGHT("0"&amp;HOUR(C611),2)&amp;":"&amp;RIGHT("0"&amp;MINUTE(C611),2)&amp;IF(D611="","","–"&amp;RIGHT("0"&amp;HOUR(D611),2)&amp;":"&amp;RIGHT("0"&amp;MINUTE(D611),2))&amp;" ")&amp;F611)</f>
        <v/>
      </c>
      <c r="N611" s="54">
        <f>IF(OR(A611="",F611=""),"",A611&amp;"#"&amp;(COUNTIFS($A$5:$A$3004,A611,$F$5:$F$3004,"?*",$O$5:$O$3004,"&lt;"&amp;O611)+COUNTIFS($A$5:A611,A611,$F$5:F611,"?*",$O$5:O611,O611)))</f>
        <v/>
      </c>
      <c r="O611" s="54">
        <f>IF(A611="","",IF(C611="",0,C611))</f>
        <v/>
      </c>
    </row>
    <row r="612">
      <c r="A612" s="58" t="n"/>
      <c r="B612" s="49">
        <f>IF(A612="","",CHOOSE(WEEKDAY(A612,2),"Пн","Вт","Ср","Чт","Пт","Сб","Вс"))</f>
        <v/>
      </c>
      <c r="C612" s="59" t="n"/>
      <c r="D612" s="59" t="n"/>
      <c r="E612" s="60">
        <f>IF(OR(C612="",D612=""),"",MOD(D612-C612,1)*24)</f>
        <v/>
      </c>
      <c r="F612" s="50" t="n"/>
      <c r="G612" s="51" t="n"/>
      <c r="H612" s="51" t="n"/>
      <c r="I612" s="51" t="n"/>
      <c r="J612" s="51" t="n"/>
      <c r="K612" s="51" t="n"/>
      <c r="L612" s="54">
        <f>IF(OR(A612="",C612="",D612=""),"",IF(COUNTIFS($A$5:$A$3004,A612,$C$5:$C$3004,"&lt;"&amp;D612,$D$5:$D$3004,"&gt;"&amp;C612)&gt;1,"⚠️ пересечение",""))</f>
        <v/>
      </c>
      <c r="M612" s="54">
        <f>IF(F612="","",IF(J612="✅ Сделано","✔ ",IF(J612="❌ Пропущено","✖ ","⏰ "))&amp;IF(C612="","",RIGHT("0"&amp;HOUR(C612),2)&amp;":"&amp;RIGHT("0"&amp;MINUTE(C612),2)&amp;IF(D612="","","–"&amp;RIGHT("0"&amp;HOUR(D612),2)&amp;":"&amp;RIGHT("0"&amp;MINUTE(D612),2))&amp;" ")&amp;F612)</f>
        <v/>
      </c>
      <c r="N612" s="54">
        <f>IF(OR(A612="",F612=""),"",A612&amp;"#"&amp;(COUNTIFS($A$5:$A$3004,A612,$F$5:$F$3004,"?*",$O$5:$O$3004,"&lt;"&amp;O612)+COUNTIFS($A$5:A612,A612,$F$5:F612,"?*",$O$5:O612,O612)))</f>
        <v/>
      </c>
      <c r="O612" s="54">
        <f>IF(A612="","",IF(C612="",0,C612))</f>
        <v/>
      </c>
    </row>
    <row r="613">
      <c r="A613" s="58" t="n"/>
      <c r="B613" s="49">
        <f>IF(A613="","",CHOOSE(WEEKDAY(A613,2),"Пн","Вт","Ср","Чт","Пт","Сб","Вс"))</f>
        <v/>
      </c>
      <c r="C613" s="59" t="n"/>
      <c r="D613" s="59" t="n"/>
      <c r="E613" s="60">
        <f>IF(OR(C613="",D613=""),"",MOD(D613-C613,1)*24)</f>
        <v/>
      </c>
      <c r="F613" s="50" t="n"/>
      <c r="G613" s="51" t="n"/>
      <c r="H613" s="51" t="n"/>
      <c r="I613" s="51" t="n"/>
      <c r="J613" s="51" t="n"/>
      <c r="K613" s="51" t="n"/>
      <c r="L613" s="54">
        <f>IF(OR(A613="",C613="",D613=""),"",IF(COUNTIFS($A$5:$A$3004,A613,$C$5:$C$3004,"&lt;"&amp;D613,$D$5:$D$3004,"&gt;"&amp;C613)&gt;1,"⚠️ пересечение",""))</f>
        <v/>
      </c>
      <c r="M613" s="54">
        <f>IF(F613="","",IF(J613="✅ Сделано","✔ ",IF(J613="❌ Пропущено","✖ ","⏰ "))&amp;IF(C613="","",RIGHT("0"&amp;HOUR(C613),2)&amp;":"&amp;RIGHT("0"&amp;MINUTE(C613),2)&amp;IF(D613="","","–"&amp;RIGHT("0"&amp;HOUR(D613),2)&amp;":"&amp;RIGHT("0"&amp;MINUTE(D613),2))&amp;" ")&amp;F613)</f>
        <v/>
      </c>
      <c r="N613" s="54">
        <f>IF(OR(A613="",F613=""),"",A613&amp;"#"&amp;(COUNTIFS($A$5:$A$3004,A613,$F$5:$F$3004,"?*",$O$5:$O$3004,"&lt;"&amp;O613)+COUNTIFS($A$5:A613,A613,$F$5:F613,"?*",$O$5:O613,O613)))</f>
        <v/>
      </c>
      <c r="O613" s="54">
        <f>IF(A613="","",IF(C613="",0,C613))</f>
        <v/>
      </c>
    </row>
    <row r="614">
      <c r="A614" s="58" t="n"/>
      <c r="B614" s="49">
        <f>IF(A614="","",CHOOSE(WEEKDAY(A614,2),"Пн","Вт","Ср","Чт","Пт","Сб","Вс"))</f>
        <v/>
      </c>
      <c r="C614" s="59" t="n"/>
      <c r="D614" s="59" t="n"/>
      <c r="E614" s="60">
        <f>IF(OR(C614="",D614=""),"",MOD(D614-C614,1)*24)</f>
        <v/>
      </c>
      <c r="F614" s="50" t="n"/>
      <c r="G614" s="51" t="n"/>
      <c r="H614" s="51" t="n"/>
      <c r="I614" s="51" t="n"/>
      <c r="J614" s="51" t="n"/>
      <c r="K614" s="51" t="n"/>
      <c r="L614" s="54">
        <f>IF(OR(A614="",C614="",D614=""),"",IF(COUNTIFS($A$5:$A$3004,A614,$C$5:$C$3004,"&lt;"&amp;D614,$D$5:$D$3004,"&gt;"&amp;C614)&gt;1,"⚠️ пересечение",""))</f>
        <v/>
      </c>
      <c r="M614" s="54">
        <f>IF(F614="","",IF(J614="✅ Сделано","✔ ",IF(J614="❌ Пропущено","✖ ","⏰ "))&amp;IF(C614="","",RIGHT("0"&amp;HOUR(C614),2)&amp;":"&amp;RIGHT("0"&amp;MINUTE(C614),2)&amp;IF(D614="","","–"&amp;RIGHT("0"&amp;HOUR(D614),2)&amp;":"&amp;RIGHT("0"&amp;MINUTE(D614),2))&amp;" ")&amp;F614)</f>
        <v/>
      </c>
      <c r="N614" s="54">
        <f>IF(OR(A614="",F614=""),"",A614&amp;"#"&amp;(COUNTIFS($A$5:$A$3004,A614,$F$5:$F$3004,"?*",$O$5:$O$3004,"&lt;"&amp;O614)+COUNTIFS($A$5:A614,A614,$F$5:F614,"?*",$O$5:O614,O614)))</f>
        <v/>
      </c>
      <c r="O614" s="54">
        <f>IF(A614="","",IF(C614="",0,C614))</f>
        <v/>
      </c>
    </row>
    <row r="615">
      <c r="A615" s="58" t="n"/>
      <c r="B615" s="49">
        <f>IF(A615="","",CHOOSE(WEEKDAY(A615,2),"Пн","Вт","Ср","Чт","Пт","Сб","Вс"))</f>
        <v/>
      </c>
      <c r="C615" s="59" t="n"/>
      <c r="D615" s="59" t="n"/>
      <c r="E615" s="60">
        <f>IF(OR(C615="",D615=""),"",MOD(D615-C615,1)*24)</f>
        <v/>
      </c>
      <c r="F615" s="50" t="n"/>
      <c r="G615" s="51" t="n"/>
      <c r="H615" s="51" t="n"/>
      <c r="I615" s="51" t="n"/>
      <c r="J615" s="51" t="n"/>
      <c r="K615" s="51" t="n"/>
      <c r="L615" s="54">
        <f>IF(OR(A615="",C615="",D615=""),"",IF(COUNTIFS($A$5:$A$3004,A615,$C$5:$C$3004,"&lt;"&amp;D615,$D$5:$D$3004,"&gt;"&amp;C615)&gt;1,"⚠️ пересечение",""))</f>
        <v/>
      </c>
      <c r="M615" s="54">
        <f>IF(F615="","",IF(J615="✅ Сделано","✔ ",IF(J615="❌ Пропущено","✖ ","⏰ "))&amp;IF(C615="","",RIGHT("0"&amp;HOUR(C615),2)&amp;":"&amp;RIGHT("0"&amp;MINUTE(C615),2)&amp;IF(D615="","","–"&amp;RIGHT("0"&amp;HOUR(D615),2)&amp;":"&amp;RIGHT("0"&amp;MINUTE(D615),2))&amp;" ")&amp;F615)</f>
        <v/>
      </c>
      <c r="N615" s="54">
        <f>IF(OR(A615="",F615=""),"",A615&amp;"#"&amp;(COUNTIFS($A$5:$A$3004,A615,$F$5:$F$3004,"?*",$O$5:$O$3004,"&lt;"&amp;O615)+COUNTIFS($A$5:A615,A615,$F$5:F615,"?*",$O$5:O615,O615)))</f>
        <v/>
      </c>
      <c r="O615" s="54">
        <f>IF(A615="","",IF(C615="",0,C615))</f>
        <v/>
      </c>
    </row>
    <row r="616">
      <c r="A616" s="58" t="n"/>
      <c r="B616" s="49">
        <f>IF(A616="","",CHOOSE(WEEKDAY(A616,2),"Пн","Вт","Ср","Чт","Пт","Сб","Вс"))</f>
        <v/>
      </c>
      <c r="C616" s="59" t="n"/>
      <c r="D616" s="59" t="n"/>
      <c r="E616" s="60">
        <f>IF(OR(C616="",D616=""),"",MOD(D616-C616,1)*24)</f>
        <v/>
      </c>
      <c r="F616" s="50" t="n"/>
      <c r="G616" s="51" t="n"/>
      <c r="H616" s="51" t="n"/>
      <c r="I616" s="51" t="n"/>
      <c r="J616" s="51" t="n"/>
      <c r="K616" s="51" t="n"/>
      <c r="L616" s="54">
        <f>IF(OR(A616="",C616="",D616=""),"",IF(COUNTIFS($A$5:$A$3004,A616,$C$5:$C$3004,"&lt;"&amp;D616,$D$5:$D$3004,"&gt;"&amp;C616)&gt;1,"⚠️ пересечение",""))</f>
        <v/>
      </c>
      <c r="M616" s="54">
        <f>IF(F616="","",IF(J616="✅ Сделано","✔ ",IF(J616="❌ Пропущено","✖ ","⏰ "))&amp;IF(C616="","",RIGHT("0"&amp;HOUR(C616),2)&amp;":"&amp;RIGHT("0"&amp;MINUTE(C616),2)&amp;IF(D616="","","–"&amp;RIGHT("0"&amp;HOUR(D616),2)&amp;":"&amp;RIGHT("0"&amp;MINUTE(D616),2))&amp;" ")&amp;F616)</f>
        <v/>
      </c>
      <c r="N616" s="54">
        <f>IF(OR(A616="",F616=""),"",A616&amp;"#"&amp;(COUNTIFS($A$5:$A$3004,A616,$F$5:$F$3004,"?*",$O$5:$O$3004,"&lt;"&amp;O616)+COUNTIFS($A$5:A616,A616,$F$5:F616,"?*",$O$5:O616,O616)))</f>
        <v/>
      </c>
      <c r="O616" s="54">
        <f>IF(A616="","",IF(C616="",0,C616))</f>
        <v/>
      </c>
    </row>
    <row r="617">
      <c r="A617" s="58" t="n"/>
      <c r="B617" s="49">
        <f>IF(A617="","",CHOOSE(WEEKDAY(A617,2),"Пн","Вт","Ср","Чт","Пт","Сб","Вс"))</f>
        <v/>
      </c>
      <c r="C617" s="59" t="n"/>
      <c r="D617" s="59" t="n"/>
      <c r="E617" s="60">
        <f>IF(OR(C617="",D617=""),"",MOD(D617-C617,1)*24)</f>
        <v/>
      </c>
      <c r="F617" s="50" t="n"/>
      <c r="G617" s="51" t="n"/>
      <c r="H617" s="51" t="n"/>
      <c r="I617" s="51" t="n"/>
      <c r="J617" s="51" t="n"/>
      <c r="K617" s="51" t="n"/>
      <c r="L617" s="54">
        <f>IF(OR(A617="",C617="",D617=""),"",IF(COUNTIFS($A$5:$A$3004,A617,$C$5:$C$3004,"&lt;"&amp;D617,$D$5:$D$3004,"&gt;"&amp;C617)&gt;1,"⚠️ пересечение",""))</f>
        <v/>
      </c>
      <c r="M617" s="54">
        <f>IF(F617="","",IF(J617="✅ Сделано","✔ ",IF(J617="❌ Пропущено","✖ ","⏰ "))&amp;IF(C617="","",RIGHT("0"&amp;HOUR(C617),2)&amp;":"&amp;RIGHT("0"&amp;MINUTE(C617),2)&amp;IF(D617="","","–"&amp;RIGHT("0"&amp;HOUR(D617),2)&amp;":"&amp;RIGHT("0"&amp;MINUTE(D617),2))&amp;" ")&amp;F617)</f>
        <v/>
      </c>
      <c r="N617" s="54">
        <f>IF(OR(A617="",F617=""),"",A617&amp;"#"&amp;(COUNTIFS($A$5:$A$3004,A617,$F$5:$F$3004,"?*",$O$5:$O$3004,"&lt;"&amp;O617)+COUNTIFS($A$5:A617,A617,$F$5:F617,"?*",$O$5:O617,O617)))</f>
        <v/>
      </c>
      <c r="O617" s="54">
        <f>IF(A617="","",IF(C617="",0,C617))</f>
        <v/>
      </c>
    </row>
    <row r="618">
      <c r="A618" s="58" t="n"/>
      <c r="B618" s="49">
        <f>IF(A618="","",CHOOSE(WEEKDAY(A618,2),"Пн","Вт","Ср","Чт","Пт","Сб","Вс"))</f>
        <v/>
      </c>
      <c r="C618" s="59" t="n"/>
      <c r="D618" s="59" t="n"/>
      <c r="E618" s="60">
        <f>IF(OR(C618="",D618=""),"",MOD(D618-C618,1)*24)</f>
        <v/>
      </c>
      <c r="F618" s="50" t="n"/>
      <c r="G618" s="51" t="n"/>
      <c r="H618" s="51" t="n"/>
      <c r="I618" s="51" t="n"/>
      <c r="J618" s="51" t="n"/>
      <c r="K618" s="51" t="n"/>
      <c r="L618" s="54">
        <f>IF(OR(A618="",C618="",D618=""),"",IF(COUNTIFS($A$5:$A$3004,A618,$C$5:$C$3004,"&lt;"&amp;D618,$D$5:$D$3004,"&gt;"&amp;C618)&gt;1,"⚠️ пересечение",""))</f>
        <v/>
      </c>
      <c r="M618" s="54">
        <f>IF(F618="","",IF(J618="✅ Сделано","✔ ",IF(J618="❌ Пропущено","✖ ","⏰ "))&amp;IF(C618="","",RIGHT("0"&amp;HOUR(C618),2)&amp;":"&amp;RIGHT("0"&amp;MINUTE(C618),2)&amp;IF(D618="","","–"&amp;RIGHT("0"&amp;HOUR(D618),2)&amp;":"&amp;RIGHT("0"&amp;MINUTE(D618),2))&amp;" ")&amp;F618)</f>
        <v/>
      </c>
      <c r="N618" s="54">
        <f>IF(OR(A618="",F618=""),"",A618&amp;"#"&amp;(COUNTIFS($A$5:$A$3004,A618,$F$5:$F$3004,"?*",$O$5:$O$3004,"&lt;"&amp;O618)+COUNTIFS($A$5:A618,A618,$F$5:F618,"?*",$O$5:O618,O618)))</f>
        <v/>
      </c>
      <c r="O618" s="54">
        <f>IF(A618="","",IF(C618="",0,C618))</f>
        <v/>
      </c>
    </row>
    <row r="619">
      <c r="A619" s="58" t="n"/>
      <c r="B619" s="49">
        <f>IF(A619="","",CHOOSE(WEEKDAY(A619,2),"Пн","Вт","Ср","Чт","Пт","Сб","Вс"))</f>
        <v/>
      </c>
      <c r="C619" s="59" t="n"/>
      <c r="D619" s="59" t="n"/>
      <c r="E619" s="60">
        <f>IF(OR(C619="",D619=""),"",MOD(D619-C619,1)*24)</f>
        <v/>
      </c>
      <c r="F619" s="50" t="n"/>
      <c r="G619" s="51" t="n"/>
      <c r="H619" s="51" t="n"/>
      <c r="I619" s="51" t="n"/>
      <c r="J619" s="51" t="n"/>
      <c r="K619" s="51" t="n"/>
      <c r="L619" s="54">
        <f>IF(OR(A619="",C619="",D619=""),"",IF(COUNTIFS($A$5:$A$3004,A619,$C$5:$C$3004,"&lt;"&amp;D619,$D$5:$D$3004,"&gt;"&amp;C619)&gt;1,"⚠️ пересечение",""))</f>
        <v/>
      </c>
      <c r="M619" s="54">
        <f>IF(F619="","",IF(J619="✅ Сделано","✔ ",IF(J619="❌ Пропущено","✖ ","⏰ "))&amp;IF(C619="","",RIGHT("0"&amp;HOUR(C619),2)&amp;":"&amp;RIGHT("0"&amp;MINUTE(C619),2)&amp;IF(D619="","","–"&amp;RIGHT("0"&amp;HOUR(D619),2)&amp;":"&amp;RIGHT("0"&amp;MINUTE(D619),2))&amp;" ")&amp;F619)</f>
        <v/>
      </c>
      <c r="N619" s="54">
        <f>IF(OR(A619="",F619=""),"",A619&amp;"#"&amp;(COUNTIFS($A$5:$A$3004,A619,$F$5:$F$3004,"?*",$O$5:$O$3004,"&lt;"&amp;O619)+COUNTIFS($A$5:A619,A619,$F$5:F619,"?*",$O$5:O619,O619)))</f>
        <v/>
      </c>
      <c r="O619" s="54">
        <f>IF(A619="","",IF(C619="",0,C619))</f>
        <v/>
      </c>
    </row>
    <row r="620">
      <c r="A620" s="58" t="n"/>
      <c r="B620" s="49">
        <f>IF(A620="","",CHOOSE(WEEKDAY(A620,2),"Пн","Вт","Ср","Чт","Пт","Сб","Вс"))</f>
        <v/>
      </c>
      <c r="C620" s="59" t="n"/>
      <c r="D620" s="59" t="n"/>
      <c r="E620" s="60">
        <f>IF(OR(C620="",D620=""),"",MOD(D620-C620,1)*24)</f>
        <v/>
      </c>
      <c r="F620" s="50" t="n"/>
      <c r="G620" s="51" t="n"/>
      <c r="H620" s="51" t="n"/>
      <c r="I620" s="51" t="n"/>
      <c r="J620" s="51" t="n"/>
      <c r="K620" s="51" t="n"/>
      <c r="L620" s="54">
        <f>IF(OR(A620="",C620="",D620=""),"",IF(COUNTIFS($A$5:$A$3004,A620,$C$5:$C$3004,"&lt;"&amp;D620,$D$5:$D$3004,"&gt;"&amp;C620)&gt;1,"⚠️ пересечение",""))</f>
        <v/>
      </c>
      <c r="M620" s="54">
        <f>IF(F620="","",IF(J620="✅ Сделано","✔ ",IF(J620="❌ Пропущено","✖ ","⏰ "))&amp;IF(C620="","",RIGHT("0"&amp;HOUR(C620),2)&amp;":"&amp;RIGHT("0"&amp;MINUTE(C620),2)&amp;IF(D620="","","–"&amp;RIGHT("0"&amp;HOUR(D620),2)&amp;":"&amp;RIGHT("0"&amp;MINUTE(D620),2))&amp;" ")&amp;F620)</f>
        <v/>
      </c>
      <c r="N620" s="54">
        <f>IF(OR(A620="",F620=""),"",A620&amp;"#"&amp;(COUNTIFS($A$5:$A$3004,A620,$F$5:$F$3004,"?*",$O$5:$O$3004,"&lt;"&amp;O620)+COUNTIFS($A$5:A620,A620,$F$5:F620,"?*",$O$5:O620,O620)))</f>
        <v/>
      </c>
      <c r="O620" s="54">
        <f>IF(A620="","",IF(C620="",0,C620))</f>
        <v/>
      </c>
    </row>
    <row r="621">
      <c r="A621" s="58" t="n"/>
      <c r="B621" s="49">
        <f>IF(A621="","",CHOOSE(WEEKDAY(A621,2),"Пн","Вт","Ср","Чт","Пт","Сб","Вс"))</f>
        <v/>
      </c>
      <c r="C621" s="59" t="n"/>
      <c r="D621" s="59" t="n"/>
      <c r="E621" s="60">
        <f>IF(OR(C621="",D621=""),"",MOD(D621-C621,1)*24)</f>
        <v/>
      </c>
      <c r="F621" s="50" t="n"/>
      <c r="G621" s="51" t="n"/>
      <c r="H621" s="51" t="n"/>
      <c r="I621" s="51" t="n"/>
      <c r="J621" s="51" t="n"/>
      <c r="K621" s="51" t="n"/>
      <c r="L621" s="54">
        <f>IF(OR(A621="",C621="",D621=""),"",IF(COUNTIFS($A$5:$A$3004,A621,$C$5:$C$3004,"&lt;"&amp;D621,$D$5:$D$3004,"&gt;"&amp;C621)&gt;1,"⚠️ пересечение",""))</f>
        <v/>
      </c>
      <c r="M621" s="54">
        <f>IF(F621="","",IF(J621="✅ Сделано","✔ ",IF(J621="❌ Пропущено","✖ ","⏰ "))&amp;IF(C621="","",RIGHT("0"&amp;HOUR(C621),2)&amp;":"&amp;RIGHT("0"&amp;MINUTE(C621),2)&amp;IF(D621="","","–"&amp;RIGHT("0"&amp;HOUR(D621),2)&amp;":"&amp;RIGHT("0"&amp;MINUTE(D621),2))&amp;" ")&amp;F621)</f>
        <v/>
      </c>
      <c r="N621" s="54">
        <f>IF(OR(A621="",F621=""),"",A621&amp;"#"&amp;(COUNTIFS($A$5:$A$3004,A621,$F$5:$F$3004,"?*",$O$5:$O$3004,"&lt;"&amp;O621)+COUNTIFS($A$5:A621,A621,$F$5:F621,"?*",$O$5:O621,O621)))</f>
        <v/>
      </c>
      <c r="O621" s="54">
        <f>IF(A621="","",IF(C621="",0,C621))</f>
        <v/>
      </c>
    </row>
    <row r="622">
      <c r="A622" s="58" t="n"/>
      <c r="B622" s="49">
        <f>IF(A622="","",CHOOSE(WEEKDAY(A622,2),"Пн","Вт","Ср","Чт","Пт","Сб","Вс"))</f>
        <v/>
      </c>
      <c r="C622" s="59" t="n"/>
      <c r="D622" s="59" t="n"/>
      <c r="E622" s="60">
        <f>IF(OR(C622="",D622=""),"",MOD(D622-C622,1)*24)</f>
        <v/>
      </c>
      <c r="F622" s="50" t="n"/>
      <c r="G622" s="51" t="n"/>
      <c r="H622" s="51" t="n"/>
      <c r="I622" s="51" t="n"/>
      <c r="J622" s="51" t="n"/>
      <c r="K622" s="51" t="n"/>
      <c r="L622" s="54">
        <f>IF(OR(A622="",C622="",D622=""),"",IF(COUNTIFS($A$5:$A$3004,A622,$C$5:$C$3004,"&lt;"&amp;D622,$D$5:$D$3004,"&gt;"&amp;C622)&gt;1,"⚠️ пересечение",""))</f>
        <v/>
      </c>
      <c r="M622" s="54">
        <f>IF(F622="","",IF(J622="✅ Сделано","✔ ",IF(J622="❌ Пропущено","✖ ","⏰ "))&amp;IF(C622="","",RIGHT("0"&amp;HOUR(C622),2)&amp;":"&amp;RIGHT("0"&amp;MINUTE(C622),2)&amp;IF(D622="","","–"&amp;RIGHT("0"&amp;HOUR(D622),2)&amp;":"&amp;RIGHT("0"&amp;MINUTE(D622),2))&amp;" ")&amp;F622)</f>
        <v/>
      </c>
      <c r="N622" s="54">
        <f>IF(OR(A622="",F622=""),"",A622&amp;"#"&amp;(COUNTIFS($A$5:$A$3004,A622,$F$5:$F$3004,"?*",$O$5:$O$3004,"&lt;"&amp;O622)+COUNTIFS($A$5:A622,A622,$F$5:F622,"?*",$O$5:O622,O622)))</f>
        <v/>
      </c>
      <c r="O622" s="54">
        <f>IF(A622="","",IF(C622="",0,C622))</f>
        <v/>
      </c>
    </row>
    <row r="623">
      <c r="A623" s="58" t="n"/>
      <c r="B623" s="49">
        <f>IF(A623="","",CHOOSE(WEEKDAY(A623,2),"Пн","Вт","Ср","Чт","Пт","Сб","Вс"))</f>
        <v/>
      </c>
      <c r="C623" s="59" t="n"/>
      <c r="D623" s="59" t="n"/>
      <c r="E623" s="60">
        <f>IF(OR(C623="",D623=""),"",MOD(D623-C623,1)*24)</f>
        <v/>
      </c>
      <c r="F623" s="50" t="n"/>
      <c r="G623" s="51" t="n"/>
      <c r="H623" s="51" t="n"/>
      <c r="I623" s="51" t="n"/>
      <c r="J623" s="51" t="n"/>
      <c r="K623" s="51" t="n"/>
      <c r="L623" s="54">
        <f>IF(OR(A623="",C623="",D623=""),"",IF(COUNTIFS($A$5:$A$3004,A623,$C$5:$C$3004,"&lt;"&amp;D623,$D$5:$D$3004,"&gt;"&amp;C623)&gt;1,"⚠️ пересечение",""))</f>
        <v/>
      </c>
      <c r="M623" s="54">
        <f>IF(F623="","",IF(J623="✅ Сделано","✔ ",IF(J623="❌ Пропущено","✖ ","⏰ "))&amp;IF(C623="","",RIGHT("0"&amp;HOUR(C623),2)&amp;":"&amp;RIGHT("0"&amp;MINUTE(C623),2)&amp;IF(D623="","","–"&amp;RIGHT("0"&amp;HOUR(D623),2)&amp;":"&amp;RIGHT("0"&amp;MINUTE(D623),2))&amp;" ")&amp;F623)</f>
        <v/>
      </c>
      <c r="N623" s="54">
        <f>IF(OR(A623="",F623=""),"",A623&amp;"#"&amp;(COUNTIFS($A$5:$A$3004,A623,$F$5:$F$3004,"?*",$O$5:$O$3004,"&lt;"&amp;O623)+COUNTIFS($A$5:A623,A623,$F$5:F623,"?*",$O$5:O623,O623)))</f>
        <v/>
      </c>
      <c r="O623" s="54">
        <f>IF(A623="","",IF(C623="",0,C623))</f>
        <v/>
      </c>
    </row>
    <row r="624">
      <c r="A624" s="58" t="n"/>
      <c r="B624" s="49">
        <f>IF(A624="","",CHOOSE(WEEKDAY(A624,2),"Пн","Вт","Ср","Чт","Пт","Сб","Вс"))</f>
        <v/>
      </c>
      <c r="C624" s="59" t="n"/>
      <c r="D624" s="59" t="n"/>
      <c r="E624" s="60">
        <f>IF(OR(C624="",D624=""),"",MOD(D624-C624,1)*24)</f>
        <v/>
      </c>
      <c r="F624" s="50" t="n"/>
      <c r="G624" s="51" t="n"/>
      <c r="H624" s="51" t="n"/>
      <c r="I624" s="51" t="n"/>
      <c r="J624" s="51" t="n"/>
      <c r="K624" s="51" t="n"/>
      <c r="L624" s="54">
        <f>IF(OR(A624="",C624="",D624=""),"",IF(COUNTIFS($A$5:$A$3004,A624,$C$5:$C$3004,"&lt;"&amp;D624,$D$5:$D$3004,"&gt;"&amp;C624)&gt;1,"⚠️ пересечение",""))</f>
        <v/>
      </c>
      <c r="M624" s="54">
        <f>IF(F624="","",IF(J624="✅ Сделано","✔ ",IF(J624="❌ Пропущено","✖ ","⏰ "))&amp;IF(C624="","",RIGHT("0"&amp;HOUR(C624),2)&amp;":"&amp;RIGHT("0"&amp;MINUTE(C624),2)&amp;IF(D624="","","–"&amp;RIGHT("0"&amp;HOUR(D624),2)&amp;":"&amp;RIGHT("0"&amp;MINUTE(D624),2))&amp;" ")&amp;F624)</f>
        <v/>
      </c>
      <c r="N624" s="54">
        <f>IF(OR(A624="",F624=""),"",A624&amp;"#"&amp;(COUNTIFS($A$5:$A$3004,A624,$F$5:$F$3004,"?*",$O$5:$O$3004,"&lt;"&amp;O624)+COUNTIFS($A$5:A624,A624,$F$5:F624,"?*",$O$5:O624,O624)))</f>
        <v/>
      </c>
      <c r="O624" s="54">
        <f>IF(A624="","",IF(C624="",0,C624))</f>
        <v/>
      </c>
    </row>
    <row r="625">
      <c r="A625" s="58" t="n"/>
      <c r="B625" s="49">
        <f>IF(A625="","",CHOOSE(WEEKDAY(A625,2),"Пн","Вт","Ср","Чт","Пт","Сб","Вс"))</f>
        <v/>
      </c>
      <c r="C625" s="59" t="n"/>
      <c r="D625" s="59" t="n"/>
      <c r="E625" s="60">
        <f>IF(OR(C625="",D625=""),"",MOD(D625-C625,1)*24)</f>
        <v/>
      </c>
      <c r="F625" s="50" t="n"/>
      <c r="G625" s="51" t="n"/>
      <c r="H625" s="51" t="n"/>
      <c r="I625" s="51" t="n"/>
      <c r="J625" s="51" t="n"/>
      <c r="K625" s="51" t="n"/>
      <c r="L625" s="54">
        <f>IF(OR(A625="",C625="",D625=""),"",IF(COUNTIFS($A$5:$A$3004,A625,$C$5:$C$3004,"&lt;"&amp;D625,$D$5:$D$3004,"&gt;"&amp;C625)&gt;1,"⚠️ пересечение",""))</f>
        <v/>
      </c>
      <c r="M625" s="54">
        <f>IF(F625="","",IF(J625="✅ Сделано","✔ ",IF(J625="❌ Пропущено","✖ ","⏰ "))&amp;IF(C625="","",RIGHT("0"&amp;HOUR(C625),2)&amp;":"&amp;RIGHT("0"&amp;MINUTE(C625),2)&amp;IF(D625="","","–"&amp;RIGHT("0"&amp;HOUR(D625),2)&amp;":"&amp;RIGHT("0"&amp;MINUTE(D625),2))&amp;" ")&amp;F625)</f>
        <v/>
      </c>
      <c r="N625" s="54">
        <f>IF(OR(A625="",F625=""),"",A625&amp;"#"&amp;(COUNTIFS($A$5:$A$3004,A625,$F$5:$F$3004,"?*",$O$5:$O$3004,"&lt;"&amp;O625)+COUNTIFS($A$5:A625,A625,$F$5:F625,"?*",$O$5:O625,O625)))</f>
        <v/>
      </c>
      <c r="O625" s="54">
        <f>IF(A625="","",IF(C625="",0,C625))</f>
        <v/>
      </c>
    </row>
    <row r="626">
      <c r="A626" s="58" t="n"/>
      <c r="B626" s="49">
        <f>IF(A626="","",CHOOSE(WEEKDAY(A626,2),"Пн","Вт","Ср","Чт","Пт","Сб","Вс"))</f>
        <v/>
      </c>
      <c r="C626" s="59" t="n"/>
      <c r="D626" s="59" t="n"/>
      <c r="E626" s="60">
        <f>IF(OR(C626="",D626=""),"",MOD(D626-C626,1)*24)</f>
        <v/>
      </c>
      <c r="F626" s="50" t="n"/>
      <c r="G626" s="51" t="n"/>
      <c r="H626" s="51" t="n"/>
      <c r="I626" s="51" t="n"/>
      <c r="J626" s="51" t="n"/>
      <c r="K626" s="51" t="n"/>
      <c r="L626" s="54">
        <f>IF(OR(A626="",C626="",D626=""),"",IF(COUNTIFS($A$5:$A$3004,A626,$C$5:$C$3004,"&lt;"&amp;D626,$D$5:$D$3004,"&gt;"&amp;C626)&gt;1,"⚠️ пересечение",""))</f>
        <v/>
      </c>
      <c r="M626" s="54">
        <f>IF(F626="","",IF(J626="✅ Сделано","✔ ",IF(J626="❌ Пропущено","✖ ","⏰ "))&amp;IF(C626="","",RIGHT("0"&amp;HOUR(C626),2)&amp;":"&amp;RIGHT("0"&amp;MINUTE(C626),2)&amp;IF(D626="","","–"&amp;RIGHT("0"&amp;HOUR(D626),2)&amp;":"&amp;RIGHT("0"&amp;MINUTE(D626),2))&amp;" ")&amp;F626)</f>
        <v/>
      </c>
      <c r="N626" s="54">
        <f>IF(OR(A626="",F626=""),"",A626&amp;"#"&amp;(COUNTIFS($A$5:$A$3004,A626,$F$5:$F$3004,"?*",$O$5:$O$3004,"&lt;"&amp;O626)+COUNTIFS($A$5:A626,A626,$F$5:F626,"?*",$O$5:O626,O626)))</f>
        <v/>
      </c>
      <c r="O626" s="54">
        <f>IF(A626="","",IF(C626="",0,C626))</f>
        <v/>
      </c>
    </row>
    <row r="627">
      <c r="A627" s="58" t="n"/>
      <c r="B627" s="49">
        <f>IF(A627="","",CHOOSE(WEEKDAY(A627,2),"Пн","Вт","Ср","Чт","Пт","Сб","Вс"))</f>
        <v/>
      </c>
      <c r="C627" s="59" t="n"/>
      <c r="D627" s="59" t="n"/>
      <c r="E627" s="60">
        <f>IF(OR(C627="",D627=""),"",MOD(D627-C627,1)*24)</f>
        <v/>
      </c>
      <c r="F627" s="50" t="n"/>
      <c r="G627" s="51" t="n"/>
      <c r="H627" s="51" t="n"/>
      <c r="I627" s="51" t="n"/>
      <c r="J627" s="51" t="n"/>
      <c r="K627" s="51" t="n"/>
      <c r="L627" s="54">
        <f>IF(OR(A627="",C627="",D627=""),"",IF(COUNTIFS($A$5:$A$3004,A627,$C$5:$C$3004,"&lt;"&amp;D627,$D$5:$D$3004,"&gt;"&amp;C627)&gt;1,"⚠️ пересечение",""))</f>
        <v/>
      </c>
      <c r="M627" s="54">
        <f>IF(F627="","",IF(J627="✅ Сделано","✔ ",IF(J627="❌ Пропущено","✖ ","⏰ "))&amp;IF(C627="","",RIGHT("0"&amp;HOUR(C627),2)&amp;":"&amp;RIGHT("0"&amp;MINUTE(C627),2)&amp;IF(D627="","","–"&amp;RIGHT("0"&amp;HOUR(D627),2)&amp;":"&amp;RIGHT("0"&amp;MINUTE(D627),2))&amp;" ")&amp;F627)</f>
        <v/>
      </c>
      <c r="N627" s="54">
        <f>IF(OR(A627="",F627=""),"",A627&amp;"#"&amp;(COUNTIFS($A$5:$A$3004,A627,$F$5:$F$3004,"?*",$O$5:$O$3004,"&lt;"&amp;O627)+COUNTIFS($A$5:A627,A627,$F$5:F627,"?*",$O$5:O627,O627)))</f>
        <v/>
      </c>
      <c r="O627" s="54">
        <f>IF(A627="","",IF(C627="",0,C627))</f>
        <v/>
      </c>
    </row>
    <row r="628">
      <c r="A628" s="58" t="n"/>
      <c r="B628" s="49">
        <f>IF(A628="","",CHOOSE(WEEKDAY(A628,2),"Пн","Вт","Ср","Чт","Пт","Сб","Вс"))</f>
        <v/>
      </c>
      <c r="C628" s="59" t="n"/>
      <c r="D628" s="59" t="n"/>
      <c r="E628" s="60">
        <f>IF(OR(C628="",D628=""),"",MOD(D628-C628,1)*24)</f>
        <v/>
      </c>
      <c r="F628" s="50" t="n"/>
      <c r="G628" s="51" t="n"/>
      <c r="H628" s="51" t="n"/>
      <c r="I628" s="51" t="n"/>
      <c r="J628" s="51" t="n"/>
      <c r="K628" s="51" t="n"/>
      <c r="L628" s="54">
        <f>IF(OR(A628="",C628="",D628=""),"",IF(COUNTIFS($A$5:$A$3004,A628,$C$5:$C$3004,"&lt;"&amp;D628,$D$5:$D$3004,"&gt;"&amp;C628)&gt;1,"⚠️ пересечение",""))</f>
        <v/>
      </c>
      <c r="M628" s="54">
        <f>IF(F628="","",IF(J628="✅ Сделано","✔ ",IF(J628="❌ Пропущено","✖ ","⏰ "))&amp;IF(C628="","",RIGHT("0"&amp;HOUR(C628),2)&amp;":"&amp;RIGHT("0"&amp;MINUTE(C628),2)&amp;IF(D628="","","–"&amp;RIGHT("0"&amp;HOUR(D628),2)&amp;":"&amp;RIGHT("0"&amp;MINUTE(D628),2))&amp;" ")&amp;F628)</f>
        <v/>
      </c>
      <c r="N628" s="54">
        <f>IF(OR(A628="",F628=""),"",A628&amp;"#"&amp;(COUNTIFS($A$5:$A$3004,A628,$F$5:$F$3004,"?*",$O$5:$O$3004,"&lt;"&amp;O628)+COUNTIFS($A$5:A628,A628,$F$5:F628,"?*",$O$5:O628,O628)))</f>
        <v/>
      </c>
      <c r="O628" s="54">
        <f>IF(A628="","",IF(C628="",0,C628))</f>
        <v/>
      </c>
    </row>
    <row r="629">
      <c r="A629" s="58" t="n"/>
      <c r="B629" s="49">
        <f>IF(A629="","",CHOOSE(WEEKDAY(A629,2),"Пн","Вт","Ср","Чт","Пт","Сб","Вс"))</f>
        <v/>
      </c>
      <c r="C629" s="59" t="n"/>
      <c r="D629" s="59" t="n"/>
      <c r="E629" s="60">
        <f>IF(OR(C629="",D629=""),"",MOD(D629-C629,1)*24)</f>
        <v/>
      </c>
      <c r="F629" s="50" t="n"/>
      <c r="G629" s="51" t="n"/>
      <c r="H629" s="51" t="n"/>
      <c r="I629" s="51" t="n"/>
      <c r="J629" s="51" t="n"/>
      <c r="K629" s="51" t="n"/>
      <c r="L629" s="54">
        <f>IF(OR(A629="",C629="",D629=""),"",IF(COUNTIFS($A$5:$A$3004,A629,$C$5:$C$3004,"&lt;"&amp;D629,$D$5:$D$3004,"&gt;"&amp;C629)&gt;1,"⚠️ пересечение",""))</f>
        <v/>
      </c>
      <c r="M629" s="54">
        <f>IF(F629="","",IF(J629="✅ Сделано","✔ ",IF(J629="❌ Пропущено","✖ ","⏰ "))&amp;IF(C629="","",RIGHT("0"&amp;HOUR(C629),2)&amp;":"&amp;RIGHT("0"&amp;MINUTE(C629),2)&amp;IF(D629="","","–"&amp;RIGHT("0"&amp;HOUR(D629),2)&amp;":"&amp;RIGHT("0"&amp;MINUTE(D629),2))&amp;" ")&amp;F629)</f>
        <v/>
      </c>
      <c r="N629" s="54">
        <f>IF(OR(A629="",F629=""),"",A629&amp;"#"&amp;(COUNTIFS($A$5:$A$3004,A629,$F$5:$F$3004,"?*",$O$5:$O$3004,"&lt;"&amp;O629)+COUNTIFS($A$5:A629,A629,$F$5:F629,"?*",$O$5:O629,O629)))</f>
        <v/>
      </c>
      <c r="O629" s="54">
        <f>IF(A629="","",IF(C629="",0,C629))</f>
        <v/>
      </c>
    </row>
    <row r="630">
      <c r="A630" s="58" t="n"/>
      <c r="B630" s="49">
        <f>IF(A630="","",CHOOSE(WEEKDAY(A630,2),"Пн","Вт","Ср","Чт","Пт","Сб","Вс"))</f>
        <v/>
      </c>
      <c r="C630" s="59" t="n"/>
      <c r="D630" s="59" t="n"/>
      <c r="E630" s="60">
        <f>IF(OR(C630="",D630=""),"",MOD(D630-C630,1)*24)</f>
        <v/>
      </c>
      <c r="F630" s="50" t="n"/>
      <c r="G630" s="51" t="n"/>
      <c r="H630" s="51" t="n"/>
      <c r="I630" s="51" t="n"/>
      <c r="J630" s="51" t="n"/>
      <c r="K630" s="51" t="n"/>
      <c r="L630" s="54">
        <f>IF(OR(A630="",C630="",D630=""),"",IF(COUNTIFS($A$5:$A$3004,A630,$C$5:$C$3004,"&lt;"&amp;D630,$D$5:$D$3004,"&gt;"&amp;C630)&gt;1,"⚠️ пересечение",""))</f>
        <v/>
      </c>
      <c r="M630" s="54">
        <f>IF(F630="","",IF(J630="✅ Сделано","✔ ",IF(J630="❌ Пропущено","✖ ","⏰ "))&amp;IF(C630="","",RIGHT("0"&amp;HOUR(C630),2)&amp;":"&amp;RIGHT("0"&amp;MINUTE(C630),2)&amp;IF(D630="","","–"&amp;RIGHT("0"&amp;HOUR(D630),2)&amp;":"&amp;RIGHT("0"&amp;MINUTE(D630),2))&amp;" ")&amp;F630)</f>
        <v/>
      </c>
      <c r="N630" s="54">
        <f>IF(OR(A630="",F630=""),"",A630&amp;"#"&amp;(COUNTIFS($A$5:$A$3004,A630,$F$5:$F$3004,"?*",$O$5:$O$3004,"&lt;"&amp;O630)+COUNTIFS($A$5:A630,A630,$F$5:F630,"?*",$O$5:O630,O630)))</f>
        <v/>
      </c>
      <c r="O630" s="54">
        <f>IF(A630="","",IF(C630="",0,C630))</f>
        <v/>
      </c>
    </row>
    <row r="631">
      <c r="A631" s="58" t="n"/>
      <c r="B631" s="49">
        <f>IF(A631="","",CHOOSE(WEEKDAY(A631,2),"Пн","Вт","Ср","Чт","Пт","Сб","Вс"))</f>
        <v/>
      </c>
      <c r="C631" s="59" t="n"/>
      <c r="D631" s="59" t="n"/>
      <c r="E631" s="60">
        <f>IF(OR(C631="",D631=""),"",MOD(D631-C631,1)*24)</f>
        <v/>
      </c>
      <c r="F631" s="50" t="n"/>
      <c r="G631" s="51" t="n"/>
      <c r="H631" s="51" t="n"/>
      <c r="I631" s="51" t="n"/>
      <c r="J631" s="51" t="n"/>
      <c r="K631" s="51" t="n"/>
      <c r="L631" s="54">
        <f>IF(OR(A631="",C631="",D631=""),"",IF(COUNTIFS($A$5:$A$3004,A631,$C$5:$C$3004,"&lt;"&amp;D631,$D$5:$D$3004,"&gt;"&amp;C631)&gt;1,"⚠️ пересечение",""))</f>
        <v/>
      </c>
      <c r="M631" s="54">
        <f>IF(F631="","",IF(J631="✅ Сделано","✔ ",IF(J631="❌ Пропущено","✖ ","⏰ "))&amp;IF(C631="","",RIGHT("0"&amp;HOUR(C631),2)&amp;":"&amp;RIGHT("0"&amp;MINUTE(C631),2)&amp;IF(D631="","","–"&amp;RIGHT("0"&amp;HOUR(D631),2)&amp;":"&amp;RIGHT("0"&amp;MINUTE(D631),2))&amp;" ")&amp;F631)</f>
        <v/>
      </c>
      <c r="N631" s="54">
        <f>IF(OR(A631="",F631=""),"",A631&amp;"#"&amp;(COUNTIFS($A$5:$A$3004,A631,$F$5:$F$3004,"?*",$O$5:$O$3004,"&lt;"&amp;O631)+COUNTIFS($A$5:A631,A631,$F$5:F631,"?*",$O$5:O631,O631)))</f>
        <v/>
      </c>
      <c r="O631" s="54">
        <f>IF(A631="","",IF(C631="",0,C631))</f>
        <v/>
      </c>
    </row>
    <row r="632">
      <c r="A632" s="58" t="n"/>
      <c r="B632" s="49">
        <f>IF(A632="","",CHOOSE(WEEKDAY(A632,2),"Пн","Вт","Ср","Чт","Пт","Сб","Вс"))</f>
        <v/>
      </c>
      <c r="C632" s="59" t="n"/>
      <c r="D632" s="59" t="n"/>
      <c r="E632" s="60">
        <f>IF(OR(C632="",D632=""),"",MOD(D632-C632,1)*24)</f>
        <v/>
      </c>
      <c r="F632" s="50" t="n"/>
      <c r="G632" s="51" t="n"/>
      <c r="H632" s="51" t="n"/>
      <c r="I632" s="51" t="n"/>
      <c r="J632" s="51" t="n"/>
      <c r="K632" s="51" t="n"/>
      <c r="L632" s="54">
        <f>IF(OR(A632="",C632="",D632=""),"",IF(COUNTIFS($A$5:$A$3004,A632,$C$5:$C$3004,"&lt;"&amp;D632,$D$5:$D$3004,"&gt;"&amp;C632)&gt;1,"⚠️ пересечение",""))</f>
        <v/>
      </c>
      <c r="M632" s="54">
        <f>IF(F632="","",IF(J632="✅ Сделано","✔ ",IF(J632="❌ Пропущено","✖ ","⏰ "))&amp;IF(C632="","",RIGHT("0"&amp;HOUR(C632),2)&amp;":"&amp;RIGHT("0"&amp;MINUTE(C632),2)&amp;IF(D632="","","–"&amp;RIGHT("0"&amp;HOUR(D632),2)&amp;":"&amp;RIGHT("0"&amp;MINUTE(D632),2))&amp;" ")&amp;F632)</f>
        <v/>
      </c>
      <c r="N632" s="54">
        <f>IF(OR(A632="",F632=""),"",A632&amp;"#"&amp;(COUNTIFS($A$5:$A$3004,A632,$F$5:$F$3004,"?*",$O$5:$O$3004,"&lt;"&amp;O632)+COUNTIFS($A$5:A632,A632,$F$5:F632,"?*",$O$5:O632,O632)))</f>
        <v/>
      </c>
      <c r="O632" s="54">
        <f>IF(A632="","",IF(C632="",0,C632))</f>
        <v/>
      </c>
    </row>
    <row r="633">
      <c r="A633" s="58" t="n"/>
      <c r="B633" s="49">
        <f>IF(A633="","",CHOOSE(WEEKDAY(A633,2),"Пн","Вт","Ср","Чт","Пт","Сб","Вс"))</f>
        <v/>
      </c>
      <c r="C633" s="59" t="n"/>
      <c r="D633" s="59" t="n"/>
      <c r="E633" s="60">
        <f>IF(OR(C633="",D633=""),"",MOD(D633-C633,1)*24)</f>
        <v/>
      </c>
      <c r="F633" s="50" t="n"/>
      <c r="G633" s="51" t="n"/>
      <c r="H633" s="51" t="n"/>
      <c r="I633" s="51" t="n"/>
      <c r="J633" s="51" t="n"/>
      <c r="K633" s="51" t="n"/>
      <c r="L633" s="54">
        <f>IF(OR(A633="",C633="",D633=""),"",IF(COUNTIFS($A$5:$A$3004,A633,$C$5:$C$3004,"&lt;"&amp;D633,$D$5:$D$3004,"&gt;"&amp;C633)&gt;1,"⚠️ пересечение",""))</f>
        <v/>
      </c>
      <c r="M633" s="54">
        <f>IF(F633="","",IF(J633="✅ Сделано","✔ ",IF(J633="❌ Пропущено","✖ ","⏰ "))&amp;IF(C633="","",RIGHT("0"&amp;HOUR(C633),2)&amp;":"&amp;RIGHT("0"&amp;MINUTE(C633),2)&amp;IF(D633="","","–"&amp;RIGHT("0"&amp;HOUR(D633),2)&amp;":"&amp;RIGHT("0"&amp;MINUTE(D633),2))&amp;" ")&amp;F633)</f>
        <v/>
      </c>
      <c r="N633" s="54">
        <f>IF(OR(A633="",F633=""),"",A633&amp;"#"&amp;(COUNTIFS($A$5:$A$3004,A633,$F$5:$F$3004,"?*",$O$5:$O$3004,"&lt;"&amp;O633)+COUNTIFS($A$5:A633,A633,$F$5:F633,"?*",$O$5:O633,O633)))</f>
        <v/>
      </c>
      <c r="O633" s="54">
        <f>IF(A633="","",IF(C633="",0,C633))</f>
        <v/>
      </c>
    </row>
    <row r="634">
      <c r="A634" s="58" t="n"/>
      <c r="B634" s="49">
        <f>IF(A634="","",CHOOSE(WEEKDAY(A634,2),"Пн","Вт","Ср","Чт","Пт","Сб","Вс"))</f>
        <v/>
      </c>
      <c r="C634" s="59" t="n"/>
      <c r="D634" s="59" t="n"/>
      <c r="E634" s="60">
        <f>IF(OR(C634="",D634=""),"",MOD(D634-C634,1)*24)</f>
        <v/>
      </c>
      <c r="F634" s="50" t="n"/>
      <c r="G634" s="51" t="n"/>
      <c r="H634" s="51" t="n"/>
      <c r="I634" s="51" t="n"/>
      <c r="J634" s="51" t="n"/>
      <c r="K634" s="51" t="n"/>
      <c r="L634" s="54">
        <f>IF(OR(A634="",C634="",D634=""),"",IF(COUNTIFS($A$5:$A$3004,A634,$C$5:$C$3004,"&lt;"&amp;D634,$D$5:$D$3004,"&gt;"&amp;C634)&gt;1,"⚠️ пересечение",""))</f>
        <v/>
      </c>
      <c r="M634" s="54">
        <f>IF(F634="","",IF(J634="✅ Сделано","✔ ",IF(J634="❌ Пропущено","✖ ","⏰ "))&amp;IF(C634="","",RIGHT("0"&amp;HOUR(C634),2)&amp;":"&amp;RIGHT("0"&amp;MINUTE(C634),2)&amp;IF(D634="","","–"&amp;RIGHT("0"&amp;HOUR(D634),2)&amp;":"&amp;RIGHT("0"&amp;MINUTE(D634),2))&amp;" ")&amp;F634)</f>
        <v/>
      </c>
      <c r="N634" s="54">
        <f>IF(OR(A634="",F634=""),"",A634&amp;"#"&amp;(COUNTIFS($A$5:$A$3004,A634,$F$5:$F$3004,"?*",$O$5:$O$3004,"&lt;"&amp;O634)+COUNTIFS($A$5:A634,A634,$F$5:F634,"?*",$O$5:O634,O634)))</f>
        <v/>
      </c>
      <c r="O634" s="54">
        <f>IF(A634="","",IF(C634="",0,C634))</f>
        <v/>
      </c>
    </row>
    <row r="635">
      <c r="A635" s="58" t="n"/>
      <c r="B635" s="49">
        <f>IF(A635="","",CHOOSE(WEEKDAY(A635,2),"Пн","Вт","Ср","Чт","Пт","Сб","Вс"))</f>
        <v/>
      </c>
      <c r="C635" s="59" t="n"/>
      <c r="D635" s="59" t="n"/>
      <c r="E635" s="60">
        <f>IF(OR(C635="",D635=""),"",MOD(D635-C635,1)*24)</f>
        <v/>
      </c>
      <c r="F635" s="50" t="n"/>
      <c r="G635" s="51" t="n"/>
      <c r="H635" s="51" t="n"/>
      <c r="I635" s="51" t="n"/>
      <c r="J635" s="51" t="n"/>
      <c r="K635" s="51" t="n"/>
      <c r="L635" s="54">
        <f>IF(OR(A635="",C635="",D635=""),"",IF(COUNTIFS($A$5:$A$3004,A635,$C$5:$C$3004,"&lt;"&amp;D635,$D$5:$D$3004,"&gt;"&amp;C635)&gt;1,"⚠️ пересечение",""))</f>
        <v/>
      </c>
      <c r="M635" s="54">
        <f>IF(F635="","",IF(J635="✅ Сделано","✔ ",IF(J635="❌ Пропущено","✖ ","⏰ "))&amp;IF(C635="","",RIGHT("0"&amp;HOUR(C635),2)&amp;":"&amp;RIGHT("0"&amp;MINUTE(C635),2)&amp;IF(D635="","","–"&amp;RIGHT("0"&amp;HOUR(D635),2)&amp;":"&amp;RIGHT("0"&amp;MINUTE(D635),2))&amp;" ")&amp;F635)</f>
        <v/>
      </c>
      <c r="N635" s="54">
        <f>IF(OR(A635="",F635=""),"",A635&amp;"#"&amp;(COUNTIFS($A$5:$A$3004,A635,$F$5:$F$3004,"?*",$O$5:$O$3004,"&lt;"&amp;O635)+COUNTIFS($A$5:A635,A635,$F$5:F635,"?*",$O$5:O635,O635)))</f>
        <v/>
      </c>
      <c r="O635" s="54">
        <f>IF(A635="","",IF(C635="",0,C635))</f>
        <v/>
      </c>
    </row>
    <row r="636">
      <c r="A636" s="58" t="n"/>
      <c r="B636" s="49">
        <f>IF(A636="","",CHOOSE(WEEKDAY(A636,2),"Пн","Вт","Ср","Чт","Пт","Сб","Вс"))</f>
        <v/>
      </c>
      <c r="C636" s="59" t="n"/>
      <c r="D636" s="59" t="n"/>
      <c r="E636" s="60">
        <f>IF(OR(C636="",D636=""),"",MOD(D636-C636,1)*24)</f>
        <v/>
      </c>
      <c r="F636" s="50" t="n"/>
      <c r="G636" s="51" t="n"/>
      <c r="H636" s="51" t="n"/>
      <c r="I636" s="51" t="n"/>
      <c r="J636" s="51" t="n"/>
      <c r="K636" s="51" t="n"/>
      <c r="L636" s="54">
        <f>IF(OR(A636="",C636="",D636=""),"",IF(COUNTIFS($A$5:$A$3004,A636,$C$5:$C$3004,"&lt;"&amp;D636,$D$5:$D$3004,"&gt;"&amp;C636)&gt;1,"⚠️ пересечение",""))</f>
        <v/>
      </c>
      <c r="M636" s="54">
        <f>IF(F636="","",IF(J636="✅ Сделано","✔ ",IF(J636="❌ Пропущено","✖ ","⏰ "))&amp;IF(C636="","",RIGHT("0"&amp;HOUR(C636),2)&amp;":"&amp;RIGHT("0"&amp;MINUTE(C636),2)&amp;IF(D636="","","–"&amp;RIGHT("0"&amp;HOUR(D636),2)&amp;":"&amp;RIGHT("0"&amp;MINUTE(D636),2))&amp;" ")&amp;F636)</f>
        <v/>
      </c>
      <c r="N636" s="54">
        <f>IF(OR(A636="",F636=""),"",A636&amp;"#"&amp;(COUNTIFS($A$5:$A$3004,A636,$F$5:$F$3004,"?*",$O$5:$O$3004,"&lt;"&amp;O636)+COUNTIFS($A$5:A636,A636,$F$5:F636,"?*",$O$5:O636,O636)))</f>
        <v/>
      </c>
      <c r="O636" s="54">
        <f>IF(A636="","",IF(C636="",0,C636))</f>
        <v/>
      </c>
    </row>
    <row r="637">
      <c r="A637" s="58" t="n"/>
      <c r="B637" s="49">
        <f>IF(A637="","",CHOOSE(WEEKDAY(A637,2),"Пн","Вт","Ср","Чт","Пт","Сб","Вс"))</f>
        <v/>
      </c>
      <c r="C637" s="59" t="n"/>
      <c r="D637" s="59" t="n"/>
      <c r="E637" s="60">
        <f>IF(OR(C637="",D637=""),"",MOD(D637-C637,1)*24)</f>
        <v/>
      </c>
      <c r="F637" s="50" t="n"/>
      <c r="G637" s="51" t="n"/>
      <c r="H637" s="51" t="n"/>
      <c r="I637" s="51" t="n"/>
      <c r="J637" s="51" t="n"/>
      <c r="K637" s="51" t="n"/>
      <c r="L637" s="54">
        <f>IF(OR(A637="",C637="",D637=""),"",IF(COUNTIFS($A$5:$A$3004,A637,$C$5:$C$3004,"&lt;"&amp;D637,$D$5:$D$3004,"&gt;"&amp;C637)&gt;1,"⚠️ пересечение",""))</f>
        <v/>
      </c>
      <c r="M637" s="54">
        <f>IF(F637="","",IF(J637="✅ Сделано","✔ ",IF(J637="❌ Пропущено","✖ ","⏰ "))&amp;IF(C637="","",RIGHT("0"&amp;HOUR(C637),2)&amp;":"&amp;RIGHT("0"&amp;MINUTE(C637),2)&amp;IF(D637="","","–"&amp;RIGHT("0"&amp;HOUR(D637),2)&amp;":"&amp;RIGHT("0"&amp;MINUTE(D637),2))&amp;" ")&amp;F637)</f>
        <v/>
      </c>
      <c r="N637" s="54">
        <f>IF(OR(A637="",F637=""),"",A637&amp;"#"&amp;(COUNTIFS($A$5:$A$3004,A637,$F$5:$F$3004,"?*",$O$5:$O$3004,"&lt;"&amp;O637)+COUNTIFS($A$5:A637,A637,$F$5:F637,"?*",$O$5:O637,O637)))</f>
        <v/>
      </c>
      <c r="O637" s="54">
        <f>IF(A637="","",IF(C637="",0,C637))</f>
        <v/>
      </c>
    </row>
    <row r="638">
      <c r="A638" s="58" t="n"/>
      <c r="B638" s="49">
        <f>IF(A638="","",CHOOSE(WEEKDAY(A638,2),"Пн","Вт","Ср","Чт","Пт","Сб","Вс"))</f>
        <v/>
      </c>
      <c r="C638" s="59" t="n"/>
      <c r="D638" s="59" t="n"/>
      <c r="E638" s="60">
        <f>IF(OR(C638="",D638=""),"",MOD(D638-C638,1)*24)</f>
        <v/>
      </c>
      <c r="F638" s="50" t="n"/>
      <c r="G638" s="51" t="n"/>
      <c r="H638" s="51" t="n"/>
      <c r="I638" s="51" t="n"/>
      <c r="J638" s="51" t="n"/>
      <c r="K638" s="51" t="n"/>
      <c r="L638" s="54">
        <f>IF(OR(A638="",C638="",D638=""),"",IF(COUNTIFS($A$5:$A$3004,A638,$C$5:$C$3004,"&lt;"&amp;D638,$D$5:$D$3004,"&gt;"&amp;C638)&gt;1,"⚠️ пересечение",""))</f>
        <v/>
      </c>
      <c r="M638" s="54">
        <f>IF(F638="","",IF(J638="✅ Сделано","✔ ",IF(J638="❌ Пропущено","✖ ","⏰ "))&amp;IF(C638="","",RIGHT("0"&amp;HOUR(C638),2)&amp;":"&amp;RIGHT("0"&amp;MINUTE(C638),2)&amp;IF(D638="","","–"&amp;RIGHT("0"&amp;HOUR(D638),2)&amp;":"&amp;RIGHT("0"&amp;MINUTE(D638),2))&amp;" ")&amp;F638)</f>
        <v/>
      </c>
      <c r="N638" s="54">
        <f>IF(OR(A638="",F638=""),"",A638&amp;"#"&amp;(COUNTIFS($A$5:$A$3004,A638,$F$5:$F$3004,"?*",$O$5:$O$3004,"&lt;"&amp;O638)+COUNTIFS($A$5:A638,A638,$F$5:F638,"?*",$O$5:O638,O638)))</f>
        <v/>
      </c>
      <c r="O638" s="54">
        <f>IF(A638="","",IF(C638="",0,C638))</f>
        <v/>
      </c>
    </row>
    <row r="639">
      <c r="A639" s="58" t="n"/>
      <c r="B639" s="49">
        <f>IF(A639="","",CHOOSE(WEEKDAY(A639,2),"Пн","Вт","Ср","Чт","Пт","Сб","Вс"))</f>
        <v/>
      </c>
      <c r="C639" s="59" t="n"/>
      <c r="D639" s="59" t="n"/>
      <c r="E639" s="60">
        <f>IF(OR(C639="",D639=""),"",MOD(D639-C639,1)*24)</f>
        <v/>
      </c>
      <c r="F639" s="50" t="n"/>
      <c r="G639" s="51" t="n"/>
      <c r="H639" s="51" t="n"/>
      <c r="I639" s="51" t="n"/>
      <c r="J639" s="51" t="n"/>
      <c r="K639" s="51" t="n"/>
      <c r="L639" s="54">
        <f>IF(OR(A639="",C639="",D639=""),"",IF(COUNTIFS($A$5:$A$3004,A639,$C$5:$C$3004,"&lt;"&amp;D639,$D$5:$D$3004,"&gt;"&amp;C639)&gt;1,"⚠️ пересечение",""))</f>
        <v/>
      </c>
      <c r="M639" s="54">
        <f>IF(F639="","",IF(J639="✅ Сделано","✔ ",IF(J639="❌ Пропущено","✖ ","⏰ "))&amp;IF(C639="","",RIGHT("0"&amp;HOUR(C639),2)&amp;":"&amp;RIGHT("0"&amp;MINUTE(C639),2)&amp;IF(D639="","","–"&amp;RIGHT("0"&amp;HOUR(D639),2)&amp;":"&amp;RIGHT("0"&amp;MINUTE(D639),2))&amp;" ")&amp;F639)</f>
        <v/>
      </c>
      <c r="N639" s="54">
        <f>IF(OR(A639="",F639=""),"",A639&amp;"#"&amp;(COUNTIFS($A$5:$A$3004,A639,$F$5:$F$3004,"?*",$O$5:$O$3004,"&lt;"&amp;O639)+COUNTIFS($A$5:A639,A639,$F$5:F639,"?*",$O$5:O639,O639)))</f>
        <v/>
      </c>
      <c r="O639" s="54">
        <f>IF(A639="","",IF(C639="",0,C639))</f>
        <v/>
      </c>
    </row>
    <row r="640">
      <c r="A640" s="58" t="n"/>
      <c r="B640" s="49">
        <f>IF(A640="","",CHOOSE(WEEKDAY(A640,2),"Пн","Вт","Ср","Чт","Пт","Сб","Вс"))</f>
        <v/>
      </c>
      <c r="C640" s="59" t="n"/>
      <c r="D640" s="59" t="n"/>
      <c r="E640" s="60">
        <f>IF(OR(C640="",D640=""),"",MOD(D640-C640,1)*24)</f>
        <v/>
      </c>
      <c r="F640" s="50" t="n"/>
      <c r="G640" s="51" t="n"/>
      <c r="H640" s="51" t="n"/>
      <c r="I640" s="51" t="n"/>
      <c r="J640" s="51" t="n"/>
      <c r="K640" s="51" t="n"/>
      <c r="L640" s="54">
        <f>IF(OR(A640="",C640="",D640=""),"",IF(COUNTIFS($A$5:$A$3004,A640,$C$5:$C$3004,"&lt;"&amp;D640,$D$5:$D$3004,"&gt;"&amp;C640)&gt;1,"⚠️ пересечение",""))</f>
        <v/>
      </c>
      <c r="M640" s="54">
        <f>IF(F640="","",IF(J640="✅ Сделано","✔ ",IF(J640="❌ Пропущено","✖ ","⏰ "))&amp;IF(C640="","",RIGHT("0"&amp;HOUR(C640),2)&amp;":"&amp;RIGHT("0"&amp;MINUTE(C640),2)&amp;IF(D640="","","–"&amp;RIGHT("0"&amp;HOUR(D640),2)&amp;":"&amp;RIGHT("0"&amp;MINUTE(D640),2))&amp;" ")&amp;F640)</f>
        <v/>
      </c>
      <c r="N640" s="54">
        <f>IF(OR(A640="",F640=""),"",A640&amp;"#"&amp;(COUNTIFS($A$5:$A$3004,A640,$F$5:$F$3004,"?*",$O$5:$O$3004,"&lt;"&amp;O640)+COUNTIFS($A$5:A640,A640,$F$5:F640,"?*",$O$5:O640,O640)))</f>
        <v/>
      </c>
      <c r="O640" s="54">
        <f>IF(A640="","",IF(C640="",0,C640))</f>
        <v/>
      </c>
    </row>
    <row r="641">
      <c r="A641" s="58" t="n"/>
      <c r="B641" s="49">
        <f>IF(A641="","",CHOOSE(WEEKDAY(A641,2),"Пн","Вт","Ср","Чт","Пт","Сб","Вс"))</f>
        <v/>
      </c>
      <c r="C641" s="59" t="n"/>
      <c r="D641" s="59" t="n"/>
      <c r="E641" s="60">
        <f>IF(OR(C641="",D641=""),"",MOD(D641-C641,1)*24)</f>
        <v/>
      </c>
      <c r="F641" s="50" t="n"/>
      <c r="G641" s="51" t="n"/>
      <c r="H641" s="51" t="n"/>
      <c r="I641" s="51" t="n"/>
      <c r="J641" s="51" t="n"/>
      <c r="K641" s="51" t="n"/>
      <c r="L641" s="54">
        <f>IF(OR(A641="",C641="",D641=""),"",IF(COUNTIFS($A$5:$A$3004,A641,$C$5:$C$3004,"&lt;"&amp;D641,$D$5:$D$3004,"&gt;"&amp;C641)&gt;1,"⚠️ пересечение",""))</f>
        <v/>
      </c>
      <c r="M641" s="54">
        <f>IF(F641="","",IF(J641="✅ Сделано","✔ ",IF(J641="❌ Пропущено","✖ ","⏰ "))&amp;IF(C641="","",RIGHT("0"&amp;HOUR(C641),2)&amp;":"&amp;RIGHT("0"&amp;MINUTE(C641),2)&amp;IF(D641="","","–"&amp;RIGHT("0"&amp;HOUR(D641),2)&amp;":"&amp;RIGHT("0"&amp;MINUTE(D641),2))&amp;" ")&amp;F641)</f>
        <v/>
      </c>
      <c r="N641" s="54">
        <f>IF(OR(A641="",F641=""),"",A641&amp;"#"&amp;(COUNTIFS($A$5:$A$3004,A641,$F$5:$F$3004,"?*",$O$5:$O$3004,"&lt;"&amp;O641)+COUNTIFS($A$5:A641,A641,$F$5:F641,"?*",$O$5:O641,O641)))</f>
        <v/>
      </c>
      <c r="O641" s="54">
        <f>IF(A641="","",IF(C641="",0,C641))</f>
        <v/>
      </c>
    </row>
    <row r="642">
      <c r="A642" s="58" t="n"/>
      <c r="B642" s="49">
        <f>IF(A642="","",CHOOSE(WEEKDAY(A642,2),"Пн","Вт","Ср","Чт","Пт","Сб","Вс"))</f>
        <v/>
      </c>
      <c r="C642" s="59" t="n"/>
      <c r="D642" s="59" t="n"/>
      <c r="E642" s="60">
        <f>IF(OR(C642="",D642=""),"",MOD(D642-C642,1)*24)</f>
        <v/>
      </c>
      <c r="F642" s="50" t="n"/>
      <c r="G642" s="51" t="n"/>
      <c r="H642" s="51" t="n"/>
      <c r="I642" s="51" t="n"/>
      <c r="J642" s="51" t="n"/>
      <c r="K642" s="51" t="n"/>
      <c r="L642" s="54">
        <f>IF(OR(A642="",C642="",D642=""),"",IF(COUNTIFS($A$5:$A$3004,A642,$C$5:$C$3004,"&lt;"&amp;D642,$D$5:$D$3004,"&gt;"&amp;C642)&gt;1,"⚠️ пересечение",""))</f>
        <v/>
      </c>
      <c r="M642" s="54">
        <f>IF(F642="","",IF(J642="✅ Сделано","✔ ",IF(J642="❌ Пропущено","✖ ","⏰ "))&amp;IF(C642="","",RIGHT("0"&amp;HOUR(C642),2)&amp;":"&amp;RIGHT("0"&amp;MINUTE(C642),2)&amp;IF(D642="","","–"&amp;RIGHT("0"&amp;HOUR(D642),2)&amp;":"&amp;RIGHT("0"&amp;MINUTE(D642),2))&amp;" ")&amp;F642)</f>
        <v/>
      </c>
      <c r="N642" s="54">
        <f>IF(OR(A642="",F642=""),"",A642&amp;"#"&amp;(COUNTIFS($A$5:$A$3004,A642,$F$5:$F$3004,"?*",$O$5:$O$3004,"&lt;"&amp;O642)+COUNTIFS($A$5:A642,A642,$F$5:F642,"?*",$O$5:O642,O642)))</f>
        <v/>
      </c>
      <c r="O642" s="54">
        <f>IF(A642="","",IF(C642="",0,C642))</f>
        <v/>
      </c>
    </row>
    <row r="643">
      <c r="A643" s="58" t="n"/>
      <c r="B643" s="49">
        <f>IF(A643="","",CHOOSE(WEEKDAY(A643,2),"Пн","Вт","Ср","Чт","Пт","Сб","Вс"))</f>
        <v/>
      </c>
      <c r="C643" s="59" t="n"/>
      <c r="D643" s="59" t="n"/>
      <c r="E643" s="60">
        <f>IF(OR(C643="",D643=""),"",MOD(D643-C643,1)*24)</f>
        <v/>
      </c>
      <c r="F643" s="50" t="n"/>
      <c r="G643" s="51" t="n"/>
      <c r="H643" s="51" t="n"/>
      <c r="I643" s="51" t="n"/>
      <c r="J643" s="51" t="n"/>
      <c r="K643" s="51" t="n"/>
      <c r="L643" s="54">
        <f>IF(OR(A643="",C643="",D643=""),"",IF(COUNTIFS($A$5:$A$3004,A643,$C$5:$C$3004,"&lt;"&amp;D643,$D$5:$D$3004,"&gt;"&amp;C643)&gt;1,"⚠️ пересечение",""))</f>
        <v/>
      </c>
      <c r="M643" s="54">
        <f>IF(F643="","",IF(J643="✅ Сделано","✔ ",IF(J643="❌ Пропущено","✖ ","⏰ "))&amp;IF(C643="","",RIGHT("0"&amp;HOUR(C643),2)&amp;":"&amp;RIGHT("0"&amp;MINUTE(C643),2)&amp;IF(D643="","","–"&amp;RIGHT("0"&amp;HOUR(D643),2)&amp;":"&amp;RIGHT("0"&amp;MINUTE(D643),2))&amp;" ")&amp;F643)</f>
        <v/>
      </c>
      <c r="N643" s="54">
        <f>IF(OR(A643="",F643=""),"",A643&amp;"#"&amp;(COUNTIFS($A$5:$A$3004,A643,$F$5:$F$3004,"?*",$O$5:$O$3004,"&lt;"&amp;O643)+COUNTIFS($A$5:A643,A643,$F$5:F643,"?*",$O$5:O643,O643)))</f>
        <v/>
      </c>
      <c r="O643" s="54">
        <f>IF(A643="","",IF(C643="",0,C643))</f>
        <v/>
      </c>
    </row>
    <row r="644">
      <c r="A644" s="58" t="n"/>
      <c r="B644" s="49">
        <f>IF(A644="","",CHOOSE(WEEKDAY(A644,2),"Пн","Вт","Ср","Чт","Пт","Сб","Вс"))</f>
        <v/>
      </c>
      <c r="C644" s="59" t="n"/>
      <c r="D644" s="59" t="n"/>
      <c r="E644" s="60">
        <f>IF(OR(C644="",D644=""),"",MOD(D644-C644,1)*24)</f>
        <v/>
      </c>
      <c r="F644" s="50" t="n"/>
      <c r="G644" s="51" t="n"/>
      <c r="H644" s="51" t="n"/>
      <c r="I644" s="51" t="n"/>
      <c r="J644" s="51" t="n"/>
      <c r="K644" s="51" t="n"/>
      <c r="L644" s="54">
        <f>IF(OR(A644="",C644="",D644=""),"",IF(COUNTIFS($A$5:$A$3004,A644,$C$5:$C$3004,"&lt;"&amp;D644,$D$5:$D$3004,"&gt;"&amp;C644)&gt;1,"⚠️ пересечение",""))</f>
        <v/>
      </c>
      <c r="M644" s="54">
        <f>IF(F644="","",IF(J644="✅ Сделано","✔ ",IF(J644="❌ Пропущено","✖ ","⏰ "))&amp;IF(C644="","",RIGHT("0"&amp;HOUR(C644),2)&amp;":"&amp;RIGHT("0"&amp;MINUTE(C644),2)&amp;IF(D644="","","–"&amp;RIGHT("0"&amp;HOUR(D644),2)&amp;":"&amp;RIGHT("0"&amp;MINUTE(D644),2))&amp;" ")&amp;F644)</f>
        <v/>
      </c>
      <c r="N644" s="54">
        <f>IF(OR(A644="",F644=""),"",A644&amp;"#"&amp;(COUNTIFS($A$5:$A$3004,A644,$F$5:$F$3004,"?*",$O$5:$O$3004,"&lt;"&amp;O644)+COUNTIFS($A$5:A644,A644,$F$5:F644,"?*",$O$5:O644,O644)))</f>
        <v/>
      </c>
      <c r="O644" s="54">
        <f>IF(A644="","",IF(C644="",0,C644))</f>
        <v/>
      </c>
    </row>
    <row r="645">
      <c r="A645" s="58" t="n"/>
      <c r="B645" s="49">
        <f>IF(A645="","",CHOOSE(WEEKDAY(A645,2),"Пн","Вт","Ср","Чт","Пт","Сб","Вс"))</f>
        <v/>
      </c>
      <c r="C645" s="59" t="n"/>
      <c r="D645" s="59" t="n"/>
      <c r="E645" s="60">
        <f>IF(OR(C645="",D645=""),"",MOD(D645-C645,1)*24)</f>
        <v/>
      </c>
      <c r="F645" s="50" t="n"/>
      <c r="G645" s="51" t="n"/>
      <c r="H645" s="51" t="n"/>
      <c r="I645" s="51" t="n"/>
      <c r="J645" s="51" t="n"/>
      <c r="K645" s="51" t="n"/>
      <c r="L645" s="54">
        <f>IF(OR(A645="",C645="",D645=""),"",IF(COUNTIFS($A$5:$A$3004,A645,$C$5:$C$3004,"&lt;"&amp;D645,$D$5:$D$3004,"&gt;"&amp;C645)&gt;1,"⚠️ пересечение",""))</f>
        <v/>
      </c>
      <c r="M645" s="54">
        <f>IF(F645="","",IF(J645="✅ Сделано","✔ ",IF(J645="❌ Пропущено","✖ ","⏰ "))&amp;IF(C645="","",RIGHT("0"&amp;HOUR(C645),2)&amp;":"&amp;RIGHT("0"&amp;MINUTE(C645),2)&amp;IF(D645="","","–"&amp;RIGHT("0"&amp;HOUR(D645),2)&amp;":"&amp;RIGHT("0"&amp;MINUTE(D645),2))&amp;" ")&amp;F645)</f>
        <v/>
      </c>
      <c r="N645" s="54">
        <f>IF(OR(A645="",F645=""),"",A645&amp;"#"&amp;(COUNTIFS($A$5:$A$3004,A645,$F$5:$F$3004,"?*",$O$5:$O$3004,"&lt;"&amp;O645)+COUNTIFS($A$5:A645,A645,$F$5:F645,"?*",$O$5:O645,O645)))</f>
        <v/>
      </c>
      <c r="O645" s="54">
        <f>IF(A645="","",IF(C645="",0,C645))</f>
        <v/>
      </c>
    </row>
    <row r="646">
      <c r="A646" s="58" t="n"/>
      <c r="B646" s="49">
        <f>IF(A646="","",CHOOSE(WEEKDAY(A646,2),"Пн","Вт","Ср","Чт","Пт","Сб","Вс"))</f>
        <v/>
      </c>
      <c r="C646" s="59" t="n"/>
      <c r="D646" s="59" t="n"/>
      <c r="E646" s="60">
        <f>IF(OR(C646="",D646=""),"",MOD(D646-C646,1)*24)</f>
        <v/>
      </c>
      <c r="F646" s="50" t="n"/>
      <c r="G646" s="51" t="n"/>
      <c r="H646" s="51" t="n"/>
      <c r="I646" s="51" t="n"/>
      <c r="J646" s="51" t="n"/>
      <c r="K646" s="51" t="n"/>
      <c r="L646" s="54">
        <f>IF(OR(A646="",C646="",D646=""),"",IF(COUNTIFS($A$5:$A$3004,A646,$C$5:$C$3004,"&lt;"&amp;D646,$D$5:$D$3004,"&gt;"&amp;C646)&gt;1,"⚠️ пересечение",""))</f>
        <v/>
      </c>
      <c r="M646" s="54">
        <f>IF(F646="","",IF(J646="✅ Сделано","✔ ",IF(J646="❌ Пропущено","✖ ","⏰ "))&amp;IF(C646="","",RIGHT("0"&amp;HOUR(C646),2)&amp;":"&amp;RIGHT("0"&amp;MINUTE(C646),2)&amp;IF(D646="","","–"&amp;RIGHT("0"&amp;HOUR(D646),2)&amp;":"&amp;RIGHT("0"&amp;MINUTE(D646),2))&amp;" ")&amp;F646)</f>
        <v/>
      </c>
      <c r="N646" s="54">
        <f>IF(OR(A646="",F646=""),"",A646&amp;"#"&amp;(COUNTIFS($A$5:$A$3004,A646,$F$5:$F$3004,"?*",$O$5:$O$3004,"&lt;"&amp;O646)+COUNTIFS($A$5:A646,A646,$F$5:F646,"?*",$O$5:O646,O646)))</f>
        <v/>
      </c>
      <c r="O646" s="54">
        <f>IF(A646="","",IF(C646="",0,C646))</f>
        <v/>
      </c>
    </row>
    <row r="647">
      <c r="A647" s="58" t="n"/>
      <c r="B647" s="49">
        <f>IF(A647="","",CHOOSE(WEEKDAY(A647,2),"Пн","Вт","Ср","Чт","Пт","Сб","Вс"))</f>
        <v/>
      </c>
      <c r="C647" s="59" t="n"/>
      <c r="D647" s="59" t="n"/>
      <c r="E647" s="60">
        <f>IF(OR(C647="",D647=""),"",MOD(D647-C647,1)*24)</f>
        <v/>
      </c>
      <c r="F647" s="50" t="n"/>
      <c r="G647" s="51" t="n"/>
      <c r="H647" s="51" t="n"/>
      <c r="I647" s="51" t="n"/>
      <c r="J647" s="51" t="n"/>
      <c r="K647" s="51" t="n"/>
      <c r="L647" s="54">
        <f>IF(OR(A647="",C647="",D647=""),"",IF(COUNTIFS($A$5:$A$3004,A647,$C$5:$C$3004,"&lt;"&amp;D647,$D$5:$D$3004,"&gt;"&amp;C647)&gt;1,"⚠️ пересечение",""))</f>
        <v/>
      </c>
      <c r="M647" s="54">
        <f>IF(F647="","",IF(J647="✅ Сделано","✔ ",IF(J647="❌ Пропущено","✖ ","⏰ "))&amp;IF(C647="","",RIGHT("0"&amp;HOUR(C647),2)&amp;":"&amp;RIGHT("0"&amp;MINUTE(C647),2)&amp;IF(D647="","","–"&amp;RIGHT("0"&amp;HOUR(D647),2)&amp;":"&amp;RIGHT("0"&amp;MINUTE(D647),2))&amp;" ")&amp;F647)</f>
        <v/>
      </c>
      <c r="N647" s="54">
        <f>IF(OR(A647="",F647=""),"",A647&amp;"#"&amp;(COUNTIFS($A$5:$A$3004,A647,$F$5:$F$3004,"?*",$O$5:$O$3004,"&lt;"&amp;O647)+COUNTIFS($A$5:A647,A647,$F$5:F647,"?*",$O$5:O647,O647)))</f>
        <v/>
      </c>
      <c r="O647" s="54">
        <f>IF(A647="","",IF(C647="",0,C647))</f>
        <v/>
      </c>
    </row>
    <row r="648">
      <c r="A648" s="58" t="n"/>
      <c r="B648" s="49">
        <f>IF(A648="","",CHOOSE(WEEKDAY(A648,2),"Пн","Вт","Ср","Чт","Пт","Сб","Вс"))</f>
        <v/>
      </c>
      <c r="C648" s="59" t="n"/>
      <c r="D648" s="59" t="n"/>
      <c r="E648" s="60">
        <f>IF(OR(C648="",D648=""),"",MOD(D648-C648,1)*24)</f>
        <v/>
      </c>
      <c r="F648" s="50" t="n"/>
      <c r="G648" s="51" t="n"/>
      <c r="H648" s="51" t="n"/>
      <c r="I648" s="51" t="n"/>
      <c r="J648" s="51" t="n"/>
      <c r="K648" s="51" t="n"/>
      <c r="L648" s="54">
        <f>IF(OR(A648="",C648="",D648=""),"",IF(COUNTIFS($A$5:$A$3004,A648,$C$5:$C$3004,"&lt;"&amp;D648,$D$5:$D$3004,"&gt;"&amp;C648)&gt;1,"⚠️ пересечение",""))</f>
        <v/>
      </c>
      <c r="M648" s="54">
        <f>IF(F648="","",IF(J648="✅ Сделано","✔ ",IF(J648="❌ Пропущено","✖ ","⏰ "))&amp;IF(C648="","",RIGHT("0"&amp;HOUR(C648),2)&amp;":"&amp;RIGHT("0"&amp;MINUTE(C648),2)&amp;IF(D648="","","–"&amp;RIGHT("0"&amp;HOUR(D648),2)&amp;":"&amp;RIGHT("0"&amp;MINUTE(D648),2))&amp;" ")&amp;F648)</f>
        <v/>
      </c>
      <c r="N648" s="54">
        <f>IF(OR(A648="",F648=""),"",A648&amp;"#"&amp;(COUNTIFS($A$5:$A$3004,A648,$F$5:$F$3004,"?*",$O$5:$O$3004,"&lt;"&amp;O648)+COUNTIFS($A$5:A648,A648,$F$5:F648,"?*",$O$5:O648,O648)))</f>
        <v/>
      </c>
      <c r="O648" s="54">
        <f>IF(A648="","",IF(C648="",0,C648))</f>
        <v/>
      </c>
    </row>
    <row r="649">
      <c r="A649" s="58" t="n"/>
      <c r="B649" s="49">
        <f>IF(A649="","",CHOOSE(WEEKDAY(A649,2),"Пн","Вт","Ср","Чт","Пт","Сб","Вс"))</f>
        <v/>
      </c>
      <c r="C649" s="59" t="n"/>
      <c r="D649" s="59" t="n"/>
      <c r="E649" s="60">
        <f>IF(OR(C649="",D649=""),"",MOD(D649-C649,1)*24)</f>
        <v/>
      </c>
      <c r="F649" s="50" t="n"/>
      <c r="G649" s="51" t="n"/>
      <c r="H649" s="51" t="n"/>
      <c r="I649" s="51" t="n"/>
      <c r="J649" s="51" t="n"/>
      <c r="K649" s="51" t="n"/>
      <c r="L649" s="54">
        <f>IF(OR(A649="",C649="",D649=""),"",IF(COUNTIFS($A$5:$A$3004,A649,$C$5:$C$3004,"&lt;"&amp;D649,$D$5:$D$3004,"&gt;"&amp;C649)&gt;1,"⚠️ пересечение",""))</f>
        <v/>
      </c>
      <c r="M649" s="54">
        <f>IF(F649="","",IF(J649="✅ Сделано","✔ ",IF(J649="❌ Пропущено","✖ ","⏰ "))&amp;IF(C649="","",RIGHT("0"&amp;HOUR(C649),2)&amp;":"&amp;RIGHT("0"&amp;MINUTE(C649),2)&amp;IF(D649="","","–"&amp;RIGHT("0"&amp;HOUR(D649),2)&amp;":"&amp;RIGHT("0"&amp;MINUTE(D649),2))&amp;" ")&amp;F649)</f>
        <v/>
      </c>
      <c r="N649" s="54">
        <f>IF(OR(A649="",F649=""),"",A649&amp;"#"&amp;(COUNTIFS($A$5:$A$3004,A649,$F$5:$F$3004,"?*",$O$5:$O$3004,"&lt;"&amp;O649)+COUNTIFS($A$5:A649,A649,$F$5:F649,"?*",$O$5:O649,O649)))</f>
        <v/>
      </c>
      <c r="O649" s="54">
        <f>IF(A649="","",IF(C649="",0,C649))</f>
        <v/>
      </c>
    </row>
    <row r="650">
      <c r="A650" s="58" t="n"/>
      <c r="B650" s="49">
        <f>IF(A650="","",CHOOSE(WEEKDAY(A650,2),"Пн","Вт","Ср","Чт","Пт","Сб","Вс"))</f>
        <v/>
      </c>
      <c r="C650" s="59" t="n"/>
      <c r="D650" s="59" t="n"/>
      <c r="E650" s="60">
        <f>IF(OR(C650="",D650=""),"",MOD(D650-C650,1)*24)</f>
        <v/>
      </c>
      <c r="F650" s="50" t="n"/>
      <c r="G650" s="51" t="n"/>
      <c r="H650" s="51" t="n"/>
      <c r="I650" s="51" t="n"/>
      <c r="J650" s="51" t="n"/>
      <c r="K650" s="51" t="n"/>
      <c r="L650" s="54">
        <f>IF(OR(A650="",C650="",D650=""),"",IF(COUNTIFS($A$5:$A$3004,A650,$C$5:$C$3004,"&lt;"&amp;D650,$D$5:$D$3004,"&gt;"&amp;C650)&gt;1,"⚠️ пересечение",""))</f>
        <v/>
      </c>
      <c r="M650" s="54">
        <f>IF(F650="","",IF(J650="✅ Сделано","✔ ",IF(J650="❌ Пропущено","✖ ","⏰ "))&amp;IF(C650="","",RIGHT("0"&amp;HOUR(C650),2)&amp;":"&amp;RIGHT("0"&amp;MINUTE(C650),2)&amp;IF(D650="","","–"&amp;RIGHT("0"&amp;HOUR(D650),2)&amp;":"&amp;RIGHT("0"&amp;MINUTE(D650),2))&amp;" ")&amp;F650)</f>
        <v/>
      </c>
      <c r="N650" s="54">
        <f>IF(OR(A650="",F650=""),"",A650&amp;"#"&amp;(COUNTIFS($A$5:$A$3004,A650,$F$5:$F$3004,"?*",$O$5:$O$3004,"&lt;"&amp;O650)+COUNTIFS($A$5:A650,A650,$F$5:F650,"?*",$O$5:O650,O650)))</f>
        <v/>
      </c>
      <c r="O650" s="54">
        <f>IF(A650="","",IF(C650="",0,C650))</f>
        <v/>
      </c>
    </row>
    <row r="651">
      <c r="A651" s="58" t="n"/>
      <c r="B651" s="49">
        <f>IF(A651="","",CHOOSE(WEEKDAY(A651,2),"Пн","Вт","Ср","Чт","Пт","Сб","Вс"))</f>
        <v/>
      </c>
      <c r="C651" s="59" t="n"/>
      <c r="D651" s="59" t="n"/>
      <c r="E651" s="60">
        <f>IF(OR(C651="",D651=""),"",MOD(D651-C651,1)*24)</f>
        <v/>
      </c>
      <c r="F651" s="50" t="n"/>
      <c r="G651" s="51" t="n"/>
      <c r="H651" s="51" t="n"/>
      <c r="I651" s="51" t="n"/>
      <c r="J651" s="51" t="n"/>
      <c r="K651" s="51" t="n"/>
      <c r="L651" s="54">
        <f>IF(OR(A651="",C651="",D651=""),"",IF(COUNTIFS($A$5:$A$3004,A651,$C$5:$C$3004,"&lt;"&amp;D651,$D$5:$D$3004,"&gt;"&amp;C651)&gt;1,"⚠️ пересечение",""))</f>
        <v/>
      </c>
      <c r="M651" s="54">
        <f>IF(F651="","",IF(J651="✅ Сделано","✔ ",IF(J651="❌ Пропущено","✖ ","⏰ "))&amp;IF(C651="","",RIGHT("0"&amp;HOUR(C651),2)&amp;":"&amp;RIGHT("0"&amp;MINUTE(C651),2)&amp;IF(D651="","","–"&amp;RIGHT("0"&amp;HOUR(D651),2)&amp;":"&amp;RIGHT("0"&amp;MINUTE(D651),2))&amp;" ")&amp;F651)</f>
        <v/>
      </c>
      <c r="N651" s="54">
        <f>IF(OR(A651="",F651=""),"",A651&amp;"#"&amp;(COUNTIFS($A$5:$A$3004,A651,$F$5:$F$3004,"?*",$O$5:$O$3004,"&lt;"&amp;O651)+COUNTIFS($A$5:A651,A651,$F$5:F651,"?*",$O$5:O651,O651)))</f>
        <v/>
      </c>
      <c r="O651" s="54">
        <f>IF(A651="","",IF(C651="",0,C651))</f>
        <v/>
      </c>
    </row>
    <row r="652">
      <c r="A652" s="58" t="n"/>
      <c r="B652" s="49">
        <f>IF(A652="","",CHOOSE(WEEKDAY(A652,2),"Пн","Вт","Ср","Чт","Пт","Сб","Вс"))</f>
        <v/>
      </c>
      <c r="C652" s="59" t="n"/>
      <c r="D652" s="59" t="n"/>
      <c r="E652" s="60">
        <f>IF(OR(C652="",D652=""),"",MOD(D652-C652,1)*24)</f>
        <v/>
      </c>
      <c r="F652" s="50" t="n"/>
      <c r="G652" s="51" t="n"/>
      <c r="H652" s="51" t="n"/>
      <c r="I652" s="51" t="n"/>
      <c r="J652" s="51" t="n"/>
      <c r="K652" s="51" t="n"/>
      <c r="L652" s="54">
        <f>IF(OR(A652="",C652="",D652=""),"",IF(COUNTIFS($A$5:$A$3004,A652,$C$5:$C$3004,"&lt;"&amp;D652,$D$5:$D$3004,"&gt;"&amp;C652)&gt;1,"⚠️ пересечение",""))</f>
        <v/>
      </c>
      <c r="M652" s="54">
        <f>IF(F652="","",IF(J652="✅ Сделано","✔ ",IF(J652="❌ Пропущено","✖ ","⏰ "))&amp;IF(C652="","",RIGHT("0"&amp;HOUR(C652),2)&amp;":"&amp;RIGHT("0"&amp;MINUTE(C652),2)&amp;IF(D652="","","–"&amp;RIGHT("0"&amp;HOUR(D652),2)&amp;":"&amp;RIGHT("0"&amp;MINUTE(D652),2))&amp;" ")&amp;F652)</f>
        <v/>
      </c>
      <c r="N652" s="54">
        <f>IF(OR(A652="",F652=""),"",A652&amp;"#"&amp;(COUNTIFS($A$5:$A$3004,A652,$F$5:$F$3004,"?*",$O$5:$O$3004,"&lt;"&amp;O652)+COUNTIFS($A$5:A652,A652,$F$5:F652,"?*",$O$5:O652,O652)))</f>
        <v/>
      </c>
      <c r="O652" s="54">
        <f>IF(A652="","",IF(C652="",0,C652))</f>
        <v/>
      </c>
    </row>
    <row r="653">
      <c r="A653" s="58" t="n"/>
      <c r="B653" s="49">
        <f>IF(A653="","",CHOOSE(WEEKDAY(A653,2),"Пн","Вт","Ср","Чт","Пт","Сб","Вс"))</f>
        <v/>
      </c>
      <c r="C653" s="59" t="n"/>
      <c r="D653" s="59" t="n"/>
      <c r="E653" s="60">
        <f>IF(OR(C653="",D653=""),"",MOD(D653-C653,1)*24)</f>
        <v/>
      </c>
      <c r="F653" s="50" t="n"/>
      <c r="G653" s="51" t="n"/>
      <c r="H653" s="51" t="n"/>
      <c r="I653" s="51" t="n"/>
      <c r="J653" s="51" t="n"/>
      <c r="K653" s="51" t="n"/>
      <c r="L653" s="54">
        <f>IF(OR(A653="",C653="",D653=""),"",IF(COUNTIFS($A$5:$A$3004,A653,$C$5:$C$3004,"&lt;"&amp;D653,$D$5:$D$3004,"&gt;"&amp;C653)&gt;1,"⚠️ пересечение",""))</f>
        <v/>
      </c>
      <c r="M653" s="54">
        <f>IF(F653="","",IF(J653="✅ Сделано","✔ ",IF(J653="❌ Пропущено","✖ ","⏰ "))&amp;IF(C653="","",RIGHT("0"&amp;HOUR(C653),2)&amp;":"&amp;RIGHT("0"&amp;MINUTE(C653),2)&amp;IF(D653="","","–"&amp;RIGHT("0"&amp;HOUR(D653),2)&amp;":"&amp;RIGHT("0"&amp;MINUTE(D653),2))&amp;" ")&amp;F653)</f>
        <v/>
      </c>
      <c r="N653" s="54">
        <f>IF(OR(A653="",F653=""),"",A653&amp;"#"&amp;(COUNTIFS($A$5:$A$3004,A653,$F$5:$F$3004,"?*",$O$5:$O$3004,"&lt;"&amp;O653)+COUNTIFS($A$5:A653,A653,$F$5:F653,"?*",$O$5:O653,O653)))</f>
        <v/>
      </c>
      <c r="O653" s="54">
        <f>IF(A653="","",IF(C653="",0,C653))</f>
        <v/>
      </c>
    </row>
    <row r="654">
      <c r="A654" s="58" t="n"/>
      <c r="B654" s="49">
        <f>IF(A654="","",CHOOSE(WEEKDAY(A654,2),"Пн","Вт","Ср","Чт","Пт","Сб","Вс"))</f>
        <v/>
      </c>
      <c r="C654" s="59" t="n"/>
      <c r="D654" s="59" t="n"/>
      <c r="E654" s="60">
        <f>IF(OR(C654="",D654=""),"",MOD(D654-C654,1)*24)</f>
        <v/>
      </c>
      <c r="F654" s="50" t="n"/>
      <c r="G654" s="51" t="n"/>
      <c r="H654" s="51" t="n"/>
      <c r="I654" s="51" t="n"/>
      <c r="J654" s="51" t="n"/>
      <c r="K654" s="51" t="n"/>
      <c r="L654" s="54">
        <f>IF(OR(A654="",C654="",D654=""),"",IF(COUNTIFS($A$5:$A$3004,A654,$C$5:$C$3004,"&lt;"&amp;D654,$D$5:$D$3004,"&gt;"&amp;C654)&gt;1,"⚠️ пересечение",""))</f>
        <v/>
      </c>
      <c r="M654" s="54">
        <f>IF(F654="","",IF(J654="✅ Сделано","✔ ",IF(J654="❌ Пропущено","✖ ","⏰ "))&amp;IF(C654="","",RIGHT("0"&amp;HOUR(C654),2)&amp;":"&amp;RIGHT("0"&amp;MINUTE(C654),2)&amp;IF(D654="","","–"&amp;RIGHT("0"&amp;HOUR(D654),2)&amp;":"&amp;RIGHT("0"&amp;MINUTE(D654),2))&amp;" ")&amp;F654)</f>
        <v/>
      </c>
      <c r="N654" s="54">
        <f>IF(OR(A654="",F654=""),"",A654&amp;"#"&amp;(COUNTIFS($A$5:$A$3004,A654,$F$5:$F$3004,"?*",$O$5:$O$3004,"&lt;"&amp;O654)+COUNTIFS($A$5:A654,A654,$F$5:F654,"?*",$O$5:O654,O654)))</f>
        <v/>
      </c>
      <c r="O654" s="54">
        <f>IF(A654="","",IF(C654="",0,C654))</f>
        <v/>
      </c>
    </row>
    <row r="655">
      <c r="A655" s="58" t="n"/>
      <c r="B655" s="49">
        <f>IF(A655="","",CHOOSE(WEEKDAY(A655,2),"Пн","Вт","Ср","Чт","Пт","Сб","Вс"))</f>
        <v/>
      </c>
      <c r="C655" s="59" t="n"/>
      <c r="D655" s="59" t="n"/>
      <c r="E655" s="60">
        <f>IF(OR(C655="",D655=""),"",MOD(D655-C655,1)*24)</f>
        <v/>
      </c>
      <c r="F655" s="50" t="n"/>
      <c r="G655" s="51" t="n"/>
      <c r="H655" s="51" t="n"/>
      <c r="I655" s="51" t="n"/>
      <c r="J655" s="51" t="n"/>
      <c r="K655" s="51" t="n"/>
      <c r="L655" s="54">
        <f>IF(OR(A655="",C655="",D655=""),"",IF(COUNTIFS($A$5:$A$3004,A655,$C$5:$C$3004,"&lt;"&amp;D655,$D$5:$D$3004,"&gt;"&amp;C655)&gt;1,"⚠️ пересечение",""))</f>
        <v/>
      </c>
      <c r="M655" s="54">
        <f>IF(F655="","",IF(J655="✅ Сделано","✔ ",IF(J655="❌ Пропущено","✖ ","⏰ "))&amp;IF(C655="","",RIGHT("0"&amp;HOUR(C655),2)&amp;":"&amp;RIGHT("0"&amp;MINUTE(C655),2)&amp;IF(D655="","","–"&amp;RIGHT("0"&amp;HOUR(D655),2)&amp;":"&amp;RIGHT("0"&amp;MINUTE(D655),2))&amp;" ")&amp;F655)</f>
        <v/>
      </c>
      <c r="N655" s="54">
        <f>IF(OR(A655="",F655=""),"",A655&amp;"#"&amp;(COUNTIFS($A$5:$A$3004,A655,$F$5:$F$3004,"?*",$O$5:$O$3004,"&lt;"&amp;O655)+COUNTIFS($A$5:A655,A655,$F$5:F655,"?*",$O$5:O655,O655)))</f>
        <v/>
      </c>
      <c r="O655" s="54">
        <f>IF(A655="","",IF(C655="",0,C655))</f>
        <v/>
      </c>
    </row>
    <row r="656">
      <c r="A656" s="58" t="n"/>
      <c r="B656" s="49">
        <f>IF(A656="","",CHOOSE(WEEKDAY(A656,2),"Пн","Вт","Ср","Чт","Пт","Сб","Вс"))</f>
        <v/>
      </c>
      <c r="C656" s="59" t="n"/>
      <c r="D656" s="59" t="n"/>
      <c r="E656" s="60">
        <f>IF(OR(C656="",D656=""),"",MOD(D656-C656,1)*24)</f>
        <v/>
      </c>
      <c r="F656" s="50" t="n"/>
      <c r="G656" s="51" t="n"/>
      <c r="H656" s="51" t="n"/>
      <c r="I656" s="51" t="n"/>
      <c r="J656" s="51" t="n"/>
      <c r="K656" s="51" t="n"/>
      <c r="L656" s="54">
        <f>IF(OR(A656="",C656="",D656=""),"",IF(COUNTIFS($A$5:$A$3004,A656,$C$5:$C$3004,"&lt;"&amp;D656,$D$5:$D$3004,"&gt;"&amp;C656)&gt;1,"⚠️ пересечение",""))</f>
        <v/>
      </c>
      <c r="M656" s="54">
        <f>IF(F656="","",IF(J656="✅ Сделано","✔ ",IF(J656="❌ Пропущено","✖ ","⏰ "))&amp;IF(C656="","",RIGHT("0"&amp;HOUR(C656),2)&amp;":"&amp;RIGHT("0"&amp;MINUTE(C656),2)&amp;IF(D656="","","–"&amp;RIGHT("0"&amp;HOUR(D656),2)&amp;":"&amp;RIGHT("0"&amp;MINUTE(D656),2))&amp;" ")&amp;F656)</f>
        <v/>
      </c>
      <c r="N656" s="54">
        <f>IF(OR(A656="",F656=""),"",A656&amp;"#"&amp;(COUNTIFS($A$5:$A$3004,A656,$F$5:$F$3004,"?*",$O$5:$O$3004,"&lt;"&amp;O656)+COUNTIFS($A$5:A656,A656,$F$5:F656,"?*",$O$5:O656,O656)))</f>
        <v/>
      </c>
      <c r="O656" s="54">
        <f>IF(A656="","",IF(C656="",0,C656))</f>
        <v/>
      </c>
    </row>
    <row r="657">
      <c r="A657" s="58" t="n"/>
      <c r="B657" s="49">
        <f>IF(A657="","",CHOOSE(WEEKDAY(A657,2),"Пн","Вт","Ср","Чт","Пт","Сб","Вс"))</f>
        <v/>
      </c>
      <c r="C657" s="59" t="n"/>
      <c r="D657" s="59" t="n"/>
      <c r="E657" s="60">
        <f>IF(OR(C657="",D657=""),"",MOD(D657-C657,1)*24)</f>
        <v/>
      </c>
      <c r="F657" s="50" t="n"/>
      <c r="G657" s="51" t="n"/>
      <c r="H657" s="51" t="n"/>
      <c r="I657" s="51" t="n"/>
      <c r="J657" s="51" t="n"/>
      <c r="K657" s="51" t="n"/>
      <c r="L657" s="54">
        <f>IF(OR(A657="",C657="",D657=""),"",IF(COUNTIFS($A$5:$A$3004,A657,$C$5:$C$3004,"&lt;"&amp;D657,$D$5:$D$3004,"&gt;"&amp;C657)&gt;1,"⚠️ пересечение",""))</f>
        <v/>
      </c>
      <c r="M657" s="54">
        <f>IF(F657="","",IF(J657="✅ Сделано","✔ ",IF(J657="❌ Пропущено","✖ ","⏰ "))&amp;IF(C657="","",RIGHT("0"&amp;HOUR(C657),2)&amp;":"&amp;RIGHT("0"&amp;MINUTE(C657),2)&amp;IF(D657="","","–"&amp;RIGHT("0"&amp;HOUR(D657),2)&amp;":"&amp;RIGHT("0"&amp;MINUTE(D657),2))&amp;" ")&amp;F657)</f>
        <v/>
      </c>
      <c r="N657" s="54">
        <f>IF(OR(A657="",F657=""),"",A657&amp;"#"&amp;(COUNTIFS($A$5:$A$3004,A657,$F$5:$F$3004,"?*",$O$5:$O$3004,"&lt;"&amp;O657)+COUNTIFS($A$5:A657,A657,$F$5:F657,"?*",$O$5:O657,O657)))</f>
        <v/>
      </c>
      <c r="O657" s="54">
        <f>IF(A657="","",IF(C657="",0,C657))</f>
        <v/>
      </c>
    </row>
    <row r="658">
      <c r="A658" s="58" t="n"/>
      <c r="B658" s="49">
        <f>IF(A658="","",CHOOSE(WEEKDAY(A658,2),"Пн","Вт","Ср","Чт","Пт","Сб","Вс"))</f>
        <v/>
      </c>
      <c r="C658" s="59" t="n"/>
      <c r="D658" s="59" t="n"/>
      <c r="E658" s="60">
        <f>IF(OR(C658="",D658=""),"",MOD(D658-C658,1)*24)</f>
        <v/>
      </c>
      <c r="F658" s="50" t="n"/>
      <c r="G658" s="51" t="n"/>
      <c r="H658" s="51" t="n"/>
      <c r="I658" s="51" t="n"/>
      <c r="J658" s="51" t="n"/>
      <c r="K658" s="51" t="n"/>
      <c r="L658" s="54">
        <f>IF(OR(A658="",C658="",D658=""),"",IF(COUNTIFS($A$5:$A$3004,A658,$C$5:$C$3004,"&lt;"&amp;D658,$D$5:$D$3004,"&gt;"&amp;C658)&gt;1,"⚠️ пересечение",""))</f>
        <v/>
      </c>
      <c r="M658" s="54">
        <f>IF(F658="","",IF(J658="✅ Сделано","✔ ",IF(J658="❌ Пропущено","✖ ","⏰ "))&amp;IF(C658="","",RIGHT("0"&amp;HOUR(C658),2)&amp;":"&amp;RIGHT("0"&amp;MINUTE(C658),2)&amp;IF(D658="","","–"&amp;RIGHT("0"&amp;HOUR(D658),2)&amp;":"&amp;RIGHT("0"&amp;MINUTE(D658),2))&amp;" ")&amp;F658)</f>
        <v/>
      </c>
      <c r="N658" s="54">
        <f>IF(OR(A658="",F658=""),"",A658&amp;"#"&amp;(COUNTIFS($A$5:$A$3004,A658,$F$5:$F$3004,"?*",$O$5:$O$3004,"&lt;"&amp;O658)+COUNTIFS($A$5:A658,A658,$F$5:F658,"?*",$O$5:O658,O658)))</f>
        <v/>
      </c>
      <c r="O658" s="54">
        <f>IF(A658="","",IF(C658="",0,C658))</f>
        <v/>
      </c>
    </row>
    <row r="659">
      <c r="A659" s="58" t="n"/>
      <c r="B659" s="49">
        <f>IF(A659="","",CHOOSE(WEEKDAY(A659,2),"Пн","Вт","Ср","Чт","Пт","Сб","Вс"))</f>
        <v/>
      </c>
      <c r="C659" s="59" t="n"/>
      <c r="D659" s="59" t="n"/>
      <c r="E659" s="60">
        <f>IF(OR(C659="",D659=""),"",MOD(D659-C659,1)*24)</f>
        <v/>
      </c>
      <c r="F659" s="50" t="n"/>
      <c r="G659" s="51" t="n"/>
      <c r="H659" s="51" t="n"/>
      <c r="I659" s="51" t="n"/>
      <c r="J659" s="51" t="n"/>
      <c r="K659" s="51" t="n"/>
      <c r="L659" s="54">
        <f>IF(OR(A659="",C659="",D659=""),"",IF(COUNTIFS($A$5:$A$3004,A659,$C$5:$C$3004,"&lt;"&amp;D659,$D$5:$D$3004,"&gt;"&amp;C659)&gt;1,"⚠️ пересечение",""))</f>
        <v/>
      </c>
      <c r="M659" s="54">
        <f>IF(F659="","",IF(J659="✅ Сделано","✔ ",IF(J659="❌ Пропущено","✖ ","⏰ "))&amp;IF(C659="","",RIGHT("0"&amp;HOUR(C659),2)&amp;":"&amp;RIGHT("0"&amp;MINUTE(C659),2)&amp;IF(D659="","","–"&amp;RIGHT("0"&amp;HOUR(D659),2)&amp;":"&amp;RIGHT("0"&amp;MINUTE(D659),2))&amp;" ")&amp;F659)</f>
        <v/>
      </c>
      <c r="N659" s="54">
        <f>IF(OR(A659="",F659=""),"",A659&amp;"#"&amp;(COUNTIFS($A$5:$A$3004,A659,$F$5:$F$3004,"?*",$O$5:$O$3004,"&lt;"&amp;O659)+COUNTIFS($A$5:A659,A659,$F$5:F659,"?*",$O$5:O659,O659)))</f>
        <v/>
      </c>
      <c r="O659" s="54">
        <f>IF(A659="","",IF(C659="",0,C659))</f>
        <v/>
      </c>
    </row>
    <row r="660">
      <c r="A660" s="58" t="n"/>
      <c r="B660" s="49">
        <f>IF(A660="","",CHOOSE(WEEKDAY(A660,2),"Пн","Вт","Ср","Чт","Пт","Сб","Вс"))</f>
        <v/>
      </c>
      <c r="C660" s="59" t="n"/>
      <c r="D660" s="59" t="n"/>
      <c r="E660" s="60">
        <f>IF(OR(C660="",D660=""),"",MOD(D660-C660,1)*24)</f>
        <v/>
      </c>
      <c r="F660" s="50" t="n"/>
      <c r="G660" s="51" t="n"/>
      <c r="H660" s="51" t="n"/>
      <c r="I660" s="51" t="n"/>
      <c r="J660" s="51" t="n"/>
      <c r="K660" s="51" t="n"/>
      <c r="L660" s="54">
        <f>IF(OR(A660="",C660="",D660=""),"",IF(COUNTIFS($A$5:$A$3004,A660,$C$5:$C$3004,"&lt;"&amp;D660,$D$5:$D$3004,"&gt;"&amp;C660)&gt;1,"⚠️ пересечение",""))</f>
        <v/>
      </c>
      <c r="M660" s="54">
        <f>IF(F660="","",IF(J660="✅ Сделано","✔ ",IF(J660="❌ Пропущено","✖ ","⏰ "))&amp;IF(C660="","",RIGHT("0"&amp;HOUR(C660),2)&amp;":"&amp;RIGHT("0"&amp;MINUTE(C660),2)&amp;IF(D660="","","–"&amp;RIGHT("0"&amp;HOUR(D660),2)&amp;":"&amp;RIGHT("0"&amp;MINUTE(D660),2))&amp;" ")&amp;F660)</f>
        <v/>
      </c>
      <c r="N660" s="54">
        <f>IF(OR(A660="",F660=""),"",A660&amp;"#"&amp;(COUNTIFS($A$5:$A$3004,A660,$F$5:$F$3004,"?*",$O$5:$O$3004,"&lt;"&amp;O660)+COUNTIFS($A$5:A660,A660,$F$5:F660,"?*",$O$5:O660,O660)))</f>
        <v/>
      </c>
      <c r="O660" s="54">
        <f>IF(A660="","",IF(C660="",0,C660))</f>
        <v/>
      </c>
    </row>
    <row r="661">
      <c r="A661" s="58" t="n"/>
      <c r="B661" s="49">
        <f>IF(A661="","",CHOOSE(WEEKDAY(A661,2),"Пн","Вт","Ср","Чт","Пт","Сб","Вс"))</f>
        <v/>
      </c>
      <c r="C661" s="59" t="n"/>
      <c r="D661" s="59" t="n"/>
      <c r="E661" s="60">
        <f>IF(OR(C661="",D661=""),"",MOD(D661-C661,1)*24)</f>
        <v/>
      </c>
      <c r="F661" s="50" t="n"/>
      <c r="G661" s="51" t="n"/>
      <c r="H661" s="51" t="n"/>
      <c r="I661" s="51" t="n"/>
      <c r="J661" s="51" t="n"/>
      <c r="K661" s="51" t="n"/>
      <c r="L661" s="54">
        <f>IF(OR(A661="",C661="",D661=""),"",IF(COUNTIFS($A$5:$A$3004,A661,$C$5:$C$3004,"&lt;"&amp;D661,$D$5:$D$3004,"&gt;"&amp;C661)&gt;1,"⚠️ пересечение",""))</f>
        <v/>
      </c>
      <c r="M661" s="54">
        <f>IF(F661="","",IF(J661="✅ Сделано","✔ ",IF(J661="❌ Пропущено","✖ ","⏰ "))&amp;IF(C661="","",RIGHT("0"&amp;HOUR(C661),2)&amp;":"&amp;RIGHT("0"&amp;MINUTE(C661),2)&amp;IF(D661="","","–"&amp;RIGHT("0"&amp;HOUR(D661),2)&amp;":"&amp;RIGHT("0"&amp;MINUTE(D661),2))&amp;" ")&amp;F661)</f>
        <v/>
      </c>
      <c r="N661" s="54">
        <f>IF(OR(A661="",F661=""),"",A661&amp;"#"&amp;(COUNTIFS($A$5:$A$3004,A661,$F$5:$F$3004,"?*",$O$5:$O$3004,"&lt;"&amp;O661)+COUNTIFS($A$5:A661,A661,$F$5:F661,"?*",$O$5:O661,O661)))</f>
        <v/>
      </c>
      <c r="O661" s="54">
        <f>IF(A661="","",IF(C661="",0,C661))</f>
        <v/>
      </c>
    </row>
    <row r="662">
      <c r="A662" s="58" t="n"/>
      <c r="B662" s="49">
        <f>IF(A662="","",CHOOSE(WEEKDAY(A662,2),"Пн","Вт","Ср","Чт","Пт","Сб","Вс"))</f>
        <v/>
      </c>
      <c r="C662" s="59" t="n"/>
      <c r="D662" s="59" t="n"/>
      <c r="E662" s="60">
        <f>IF(OR(C662="",D662=""),"",MOD(D662-C662,1)*24)</f>
        <v/>
      </c>
      <c r="F662" s="50" t="n"/>
      <c r="G662" s="51" t="n"/>
      <c r="H662" s="51" t="n"/>
      <c r="I662" s="51" t="n"/>
      <c r="J662" s="51" t="n"/>
      <c r="K662" s="51" t="n"/>
      <c r="L662" s="54">
        <f>IF(OR(A662="",C662="",D662=""),"",IF(COUNTIFS($A$5:$A$3004,A662,$C$5:$C$3004,"&lt;"&amp;D662,$D$5:$D$3004,"&gt;"&amp;C662)&gt;1,"⚠️ пересечение",""))</f>
        <v/>
      </c>
      <c r="M662" s="54">
        <f>IF(F662="","",IF(J662="✅ Сделано","✔ ",IF(J662="❌ Пропущено","✖ ","⏰ "))&amp;IF(C662="","",RIGHT("0"&amp;HOUR(C662),2)&amp;":"&amp;RIGHT("0"&amp;MINUTE(C662),2)&amp;IF(D662="","","–"&amp;RIGHT("0"&amp;HOUR(D662),2)&amp;":"&amp;RIGHT("0"&amp;MINUTE(D662),2))&amp;" ")&amp;F662)</f>
        <v/>
      </c>
      <c r="N662" s="54">
        <f>IF(OR(A662="",F662=""),"",A662&amp;"#"&amp;(COUNTIFS($A$5:$A$3004,A662,$F$5:$F$3004,"?*",$O$5:$O$3004,"&lt;"&amp;O662)+COUNTIFS($A$5:A662,A662,$F$5:F662,"?*",$O$5:O662,O662)))</f>
        <v/>
      </c>
      <c r="O662" s="54">
        <f>IF(A662="","",IF(C662="",0,C662))</f>
        <v/>
      </c>
    </row>
    <row r="663">
      <c r="A663" s="58" t="n"/>
      <c r="B663" s="49">
        <f>IF(A663="","",CHOOSE(WEEKDAY(A663,2),"Пн","Вт","Ср","Чт","Пт","Сб","Вс"))</f>
        <v/>
      </c>
      <c r="C663" s="59" t="n"/>
      <c r="D663" s="59" t="n"/>
      <c r="E663" s="60">
        <f>IF(OR(C663="",D663=""),"",MOD(D663-C663,1)*24)</f>
        <v/>
      </c>
      <c r="F663" s="50" t="n"/>
      <c r="G663" s="51" t="n"/>
      <c r="H663" s="51" t="n"/>
      <c r="I663" s="51" t="n"/>
      <c r="J663" s="51" t="n"/>
      <c r="K663" s="51" t="n"/>
      <c r="L663" s="54">
        <f>IF(OR(A663="",C663="",D663=""),"",IF(COUNTIFS($A$5:$A$3004,A663,$C$5:$C$3004,"&lt;"&amp;D663,$D$5:$D$3004,"&gt;"&amp;C663)&gt;1,"⚠️ пересечение",""))</f>
        <v/>
      </c>
      <c r="M663" s="54">
        <f>IF(F663="","",IF(J663="✅ Сделано","✔ ",IF(J663="❌ Пропущено","✖ ","⏰ "))&amp;IF(C663="","",RIGHT("0"&amp;HOUR(C663),2)&amp;":"&amp;RIGHT("0"&amp;MINUTE(C663),2)&amp;IF(D663="","","–"&amp;RIGHT("0"&amp;HOUR(D663),2)&amp;":"&amp;RIGHT("0"&amp;MINUTE(D663),2))&amp;" ")&amp;F663)</f>
        <v/>
      </c>
      <c r="N663" s="54">
        <f>IF(OR(A663="",F663=""),"",A663&amp;"#"&amp;(COUNTIFS($A$5:$A$3004,A663,$F$5:$F$3004,"?*",$O$5:$O$3004,"&lt;"&amp;O663)+COUNTIFS($A$5:A663,A663,$F$5:F663,"?*",$O$5:O663,O663)))</f>
        <v/>
      </c>
      <c r="O663" s="54">
        <f>IF(A663="","",IF(C663="",0,C663))</f>
        <v/>
      </c>
    </row>
    <row r="664">
      <c r="A664" s="58" t="n"/>
      <c r="B664" s="49">
        <f>IF(A664="","",CHOOSE(WEEKDAY(A664,2),"Пн","Вт","Ср","Чт","Пт","Сб","Вс"))</f>
        <v/>
      </c>
      <c r="C664" s="59" t="n"/>
      <c r="D664" s="59" t="n"/>
      <c r="E664" s="60">
        <f>IF(OR(C664="",D664=""),"",MOD(D664-C664,1)*24)</f>
        <v/>
      </c>
      <c r="F664" s="50" t="n"/>
      <c r="G664" s="51" t="n"/>
      <c r="H664" s="51" t="n"/>
      <c r="I664" s="51" t="n"/>
      <c r="J664" s="51" t="n"/>
      <c r="K664" s="51" t="n"/>
      <c r="L664" s="54">
        <f>IF(OR(A664="",C664="",D664=""),"",IF(COUNTIFS($A$5:$A$3004,A664,$C$5:$C$3004,"&lt;"&amp;D664,$D$5:$D$3004,"&gt;"&amp;C664)&gt;1,"⚠️ пересечение",""))</f>
        <v/>
      </c>
      <c r="M664" s="54">
        <f>IF(F664="","",IF(J664="✅ Сделано","✔ ",IF(J664="❌ Пропущено","✖ ","⏰ "))&amp;IF(C664="","",RIGHT("0"&amp;HOUR(C664),2)&amp;":"&amp;RIGHT("0"&amp;MINUTE(C664),2)&amp;IF(D664="","","–"&amp;RIGHT("0"&amp;HOUR(D664),2)&amp;":"&amp;RIGHT("0"&amp;MINUTE(D664),2))&amp;" ")&amp;F664)</f>
        <v/>
      </c>
      <c r="N664" s="54">
        <f>IF(OR(A664="",F664=""),"",A664&amp;"#"&amp;(COUNTIFS($A$5:$A$3004,A664,$F$5:$F$3004,"?*",$O$5:$O$3004,"&lt;"&amp;O664)+COUNTIFS($A$5:A664,A664,$F$5:F664,"?*",$O$5:O664,O664)))</f>
        <v/>
      </c>
      <c r="O664" s="54">
        <f>IF(A664="","",IF(C664="",0,C664))</f>
        <v/>
      </c>
    </row>
    <row r="665">
      <c r="A665" s="58" t="n"/>
      <c r="B665" s="49">
        <f>IF(A665="","",CHOOSE(WEEKDAY(A665,2),"Пн","Вт","Ср","Чт","Пт","Сб","Вс"))</f>
        <v/>
      </c>
      <c r="C665" s="59" t="n"/>
      <c r="D665" s="59" t="n"/>
      <c r="E665" s="60">
        <f>IF(OR(C665="",D665=""),"",MOD(D665-C665,1)*24)</f>
        <v/>
      </c>
      <c r="F665" s="50" t="n"/>
      <c r="G665" s="51" t="n"/>
      <c r="H665" s="51" t="n"/>
      <c r="I665" s="51" t="n"/>
      <c r="J665" s="51" t="n"/>
      <c r="K665" s="51" t="n"/>
      <c r="L665" s="54">
        <f>IF(OR(A665="",C665="",D665=""),"",IF(COUNTIFS($A$5:$A$3004,A665,$C$5:$C$3004,"&lt;"&amp;D665,$D$5:$D$3004,"&gt;"&amp;C665)&gt;1,"⚠️ пересечение",""))</f>
        <v/>
      </c>
      <c r="M665" s="54">
        <f>IF(F665="","",IF(J665="✅ Сделано","✔ ",IF(J665="❌ Пропущено","✖ ","⏰ "))&amp;IF(C665="","",RIGHT("0"&amp;HOUR(C665),2)&amp;":"&amp;RIGHT("0"&amp;MINUTE(C665),2)&amp;IF(D665="","","–"&amp;RIGHT("0"&amp;HOUR(D665),2)&amp;":"&amp;RIGHT("0"&amp;MINUTE(D665),2))&amp;" ")&amp;F665)</f>
        <v/>
      </c>
      <c r="N665" s="54">
        <f>IF(OR(A665="",F665=""),"",A665&amp;"#"&amp;(COUNTIFS($A$5:$A$3004,A665,$F$5:$F$3004,"?*",$O$5:$O$3004,"&lt;"&amp;O665)+COUNTIFS($A$5:A665,A665,$F$5:F665,"?*",$O$5:O665,O665)))</f>
        <v/>
      </c>
      <c r="O665" s="54">
        <f>IF(A665="","",IF(C665="",0,C665))</f>
        <v/>
      </c>
    </row>
    <row r="666">
      <c r="A666" s="58" t="n"/>
      <c r="B666" s="49">
        <f>IF(A666="","",CHOOSE(WEEKDAY(A666,2),"Пн","Вт","Ср","Чт","Пт","Сб","Вс"))</f>
        <v/>
      </c>
      <c r="C666" s="59" t="n"/>
      <c r="D666" s="59" t="n"/>
      <c r="E666" s="60">
        <f>IF(OR(C666="",D666=""),"",MOD(D666-C666,1)*24)</f>
        <v/>
      </c>
      <c r="F666" s="50" t="n"/>
      <c r="G666" s="51" t="n"/>
      <c r="H666" s="51" t="n"/>
      <c r="I666" s="51" t="n"/>
      <c r="J666" s="51" t="n"/>
      <c r="K666" s="51" t="n"/>
      <c r="L666" s="54">
        <f>IF(OR(A666="",C666="",D666=""),"",IF(COUNTIFS($A$5:$A$3004,A666,$C$5:$C$3004,"&lt;"&amp;D666,$D$5:$D$3004,"&gt;"&amp;C666)&gt;1,"⚠️ пересечение",""))</f>
        <v/>
      </c>
      <c r="M666" s="54">
        <f>IF(F666="","",IF(J666="✅ Сделано","✔ ",IF(J666="❌ Пропущено","✖ ","⏰ "))&amp;IF(C666="","",RIGHT("0"&amp;HOUR(C666),2)&amp;":"&amp;RIGHT("0"&amp;MINUTE(C666),2)&amp;IF(D666="","","–"&amp;RIGHT("0"&amp;HOUR(D666),2)&amp;":"&amp;RIGHT("0"&amp;MINUTE(D666),2))&amp;" ")&amp;F666)</f>
        <v/>
      </c>
      <c r="N666" s="54">
        <f>IF(OR(A666="",F666=""),"",A666&amp;"#"&amp;(COUNTIFS($A$5:$A$3004,A666,$F$5:$F$3004,"?*",$O$5:$O$3004,"&lt;"&amp;O666)+COUNTIFS($A$5:A666,A666,$F$5:F666,"?*",$O$5:O666,O666)))</f>
        <v/>
      </c>
      <c r="O666" s="54">
        <f>IF(A666="","",IF(C666="",0,C666))</f>
        <v/>
      </c>
    </row>
    <row r="667">
      <c r="A667" s="58" t="n"/>
      <c r="B667" s="49">
        <f>IF(A667="","",CHOOSE(WEEKDAY(A667,2),"Пн","Вт","Ср","Чт","Пт","Сб","Вс"))</f>
        <v/>
      </c>
      <c r="C667" s="59" t="n"/>
      <c r="D667" s="59" t="n"/>
      <c r="E667" s="60">
        <f>IF(OR(C667="",D667=""),"",MOD(D667-C667,1)*24)</f>
        <v/>
      </c>
      <c r="F667" s="50" t="n"/>
      <c r="G667" s="51" t="n"/>
      <c r="H667" s="51" t="n"/>
      <c r="I667" s="51" t="n"/>
      <c r="J667" s="51" t="n"/>
      <c r="K667" s="51" t="n"/>
      <c r="L667" s="54">
        <f>IF(OR(A667="",C667="",D667=""),"",IF(COUNTIFS($A$5:$A$3004,A667,$C$5:$C$3004,"&lt;"&amp;D667,$D$5:$D$3004,"&gt;"&amp;C667)&gt;1,"⚠️ пересечение",""))</f>
        <v/>
      </c>
      <c r="M667" s="54">
        <f>IF(F667="","",IF(J667="✅ Сделано","✔ ",IF(J667="❌ Пропущено","✖ ","⏰ "))&amp;IF(C667="","",RIGHT("0"&amp;HOUR(C667),2)&amp;":"&amp;RIGHT("0"&amp;MINUTE(C667),2)&amp;IF(D667="","","–"&amp;RIGHT("0"&amp;HOUR(D667),2)&amp;":"&amp;RIGHT("0"&amp;MINUTE(D667),2))&amp;" ")&amp;F667)</f>
        <v/>
      </c>
      <c r="N667" s="54">
        <f>IF(OR(A667="",F667=""),"",A667&amp;"#"&amp;(COUNTIFS($A$5:$A$3004,A667,$F$5:$F$3004,"?*",$O$5:$O$3004,"&lt;"&amp;O667)+COUNTIFS($A$5:A667,A667,$F$5:F667,"?*",$O$5:O667,O667)))</f>
        <v/>
      </c>
      <c r="O667" s="54">
        <f>IF(A667="","",IF(C667="",0,C667))</f>
        <v/>
      </c>
    </row>
    <row r="668">
      <c r="A668" s="58" t="n"/>
      <c r="B668" s="49">
        <f>IF(A668="","",CHOOSE(WEEKDAY(A668,2),"Пн","Вт","Ср","Чт","Пт","Сб","Вс"))</f>
        <v/>
      </c>
      <c r="C668" s="59" t="n"/>
      <c r="D668" s="59" t="n"/>
      <c r="E668" s="60">
        <f>IF(OR(C668="",D668=""),"",MOD(D668-C668,1)*24)</f>
        <v/>
      </c>
      <c r="F668" s="50" t="n"/>
      <c r="G668" s="51" t="n"/>
      <c r="H668" s="51" t="n"/>
      <c r="I668" s="51" t="n"/>
      <c r="J668" s="51" t="n"/>
      <c r="K668" s="51" t="n"/>
      <c r="L668" s="54">
        <f>IF(OR(A668="",C668="",D668=""),"",IF(COUNTIFS($A$5:$A$3004,A668,$C$5:$C$3004,"&lt;"&amp;D668,$D$5:$D$3004,"&gt;"&amp;C668)&gt;1,"⚠️ пересечение",""))</f>
        <v/>
      </c>
      <c r="M668" s="54">
        <f>IF(F668="","",IF(J668="✅ Сделано","✔ ",IF(J668="❌ Пропущено","✖ ","⏰ "))&amp;IF(C668="","",RIGHT("0"&amp;HOUR(C668),2)&amp;":"&amp;RIGHT("0"&amp;MINUTE(C668),2)&amp;IF(D668="","","–"&amp;RIGHT("0"&amp;HOUR(D668),2)&amp;":"&amp;RIGHT("0"&amp;MINUTE(D668),2))&amp;" ")&amp;F668)</f>
        <v/>
      </c>
      <c r="N668" s="54">
        <f>IF(OR(A668="",F668=""),"",A668&amp;"#"&amp;(COUNTIFS($A$5:$A$3004,A668,$F$5:$F$3004,"?*",$O$5:$O$3004,"&lt;"&amp;O668)+COUNTIFS($A$5:A668,A668,$F$5:F668,"?*",$O$5:O668,O668)))</f>
        <v/>
      </c>
      <c r="O668" s="54">
        <f>IF(A668="","",IF(C668="",0,C668))</f>
        <v/>
      </c>
    </row>
    <row r="669">
      <c r="A669" s="58" t="n"/>
      <c r="B669" s="49">
        <f>IF(A669="","",CHOOSE(WEEKDAY(A669,2),"Пн","Вт","Ср","Чт","Пт","Сб","Вс"))</f>
        <v/>
      </c>
      <c r="C669" s="59" t="n"/>
      <c r="D669" s="59" t="n"/>
      <c r="E669" s="60">
        <f>IF(OR(C669="",D669=""),"",MOD(D669-C669,1)*24)</f>
        <v/>
      </c>
      <c r="F669" s="50" t="n"/>
      <c r="G669" s="51" t="n"/>
      <c r="H669" s="51" t="n"/>
      <c r="I669" s="51" t="n"/>
      <c r="J669" s="51" t="n"/>
      <c r="K669" s="51" t="n"/>
      <c r="L669" s="54">
        <f>IF(OR(A669="",C669="",D669=""),"",IF(COUNTIFS($A$5:$A$3004,A669,$C$5:$C$3004,"&lt;"&amp;D669,$D$5:$D$3004,"&gt;"&amp;C669)&gt;1,"⚠️ пересечение",""))</f>
        <v/>
      </c>
      <c r="M669" s="54">
        <f>IF(F669="","",IF(J669="✅ Сделано","✔ ",IF(J669="❌ Пропущено","✖ ","⏰ "))&amp;IF(C669="","",RIGHT("0"&amp;HOUR(C669),2)&amp;":"&amp;RIGHT("0"&amp;MINUTE(C669),2)&amp;IF(D669="","","–"&amp;RIGHT("0"&amp;HOUR(D669),2)&amp;":"&amp;RIGHT("0"&amp;MINUTE(D669),2))&amp;" ")&amp;F669)</f>
        <v/>
      </c>
      <c r="N669" s="54">
        <f>IF(OR(A669="",F669=""),"",A669&amp;"#"&amp;(COUNTIFS($A$5:$A$3004,A669,$F$5:$F$3004,"?*",$O$5:$O$3004,"&lt;"&amp;O669)+COUNTIFS($A$5:A669,A669,$F$5:F669,"?*",$O$5:O669,O669)))</f>
        <v/>
      </c>
      <c r="O669" s="54">
        <f>IF(A669="","",IF(C669="",0,C669))</f>
        <v/>
      </c>
    </row>
    <row r="670">
      <c r="A670" s="58" t="n"/>
      <c r="B670" s="49">
        <f>IF(A670="","",CHOOSE(WEEKDAY(A670,2),"Пн","Вт","Ср","Чт","Пт","Сб","Вс"))</f>
        <v/>
      </c>
      <c r="C670" s="59" t="n"/>
      <c r="D670" s="59" t="n"/>
      <c r="E670" s="60">
        <f>IF(OR(C670="",D670=""),"",MOD(D670-C670,1)*24)</f>
        <v/>
      </c>
      <c r="F670" s="50" t="n"/>
      <c r="G670" s="51" t="n"/>
      <c r="H670" s="51" t="n"/>
      <c r="I670" s="51" t="n"/>
      <c r="J670" s="51" t="n"/>
      <c r="K670" s="51" t="n"/>
      <c r="L670" s="54">
        <f>IF(OR(A670="",C670="",D670=""),"",IF(COUNTIFS($A$5:$A$3004,A670,$C$5:$C$3004,"&lt;"&amp;D670,$D$5:$D$3004,"&gt;"&amp;C670)&gt;1,"⚠️ пересечение",""))</f>
        <v/>
      </c>
      <c r="M670" s="54">
        <f>IF(F670="","",IF(J670="✅ Сделано","✔ ",IF(J670="❌ Пропущено","✖ ","⏰ "))&amp;IF(C670="","",RIGHT("0"&amp;HOUR(C670),2)&amp;":"&amp;RIGHT("0"&amp;MINUTE(C670),2)&amp;IF(D670="","","–"&amp;RIGHT("0"&amp;HOUR(D670),2)&amp;":"&amp;RIGHT("0"&amp;MINUTE(D670),2))&amp;" ")&amp;F670)</f>
        <v/>
      </c>
      <c r="N670" s="54">
        <f>IF(OR(A670="",F670=""),"",A670&amp;"#"&amp;(COUNTIFS($A$5:$A$3004,A670,$F$5:$F$3004,"?*",$O$5:$O$3004,"&lt;"&amp;O670)+COUNTIFS($A$5:A670,A670,$F$5:F670,"?*",$O$5:O670,O670)))</f>
        <v/>
      </c>
      <c r="O670" s="54">
        <f>IF(A670="","",IF(C670="",0,C670))</f>
        <v/>
      </c>
    </row>
    <row r="671">
      <c r="A671" s="58" t="n"/>
      <c r="B671" s="49">
        <f>IF(A671="","",CHOOSE(WEEKDAY(A671,2),"Пн","Вт","Ср","Чт","Пт","Сб","Вс"))</f>
        <v/>
      </c>
      <c r="C671" s="59" t="n"/>
      <c r="D671" s="59" t="n"/>
      <c r="E671" s="60">
        <f>IF(OR(C671="",D671=""),"",MOD(D671-C671,1)*24)</f>
        <v/>
      </c>
      <c r="F671" s="50" t="n"/>
      <c r="G671" s="51" t="n"/>
      <c r="H671" s="51" t="n"/>
      <c r="I671" s="51" t="n"/>
      <c r="J671" s="51" t="n"/>
      <c r="K671" s="51" t="n"/>
      <c r="L671" s="54">
        <f>IF(OR(A671="",C671="",D671=""),"",IF(COUNTIFS($A$5:$A$3004,A671,$C$5:$C$3004,"&lt;"&amp;D671,$D$5:$D$3004,"&gt;"&amp;C671)&gt;1,"⚠️ пересечение",""))</f>
        <v/>
      </c>
      <c r="M671" s="54">
        <f>IF(F671="","",IF(J671="✅ Сделано","✔ ",IF(J671="❌ Пропущено","✖ ","⏰ "))&amp;IF(C671="","",RIGHT("0"&amp;HOUR(C671),2)&amp;":"&amp;RIGHT("0"&amp;MINUTE(C671),2)&amp;IF(D671="","","–"&amp;RIGHT("0"&amp;HOUR(D671),2)&amp;":"&amp;RIGHT("0"&amp;MINUTE(D671),2))&amp;" ")&amp;F671)</f>
        <v/>
      </c>
      <c r="N671" s="54">
        <f>IF(OR(A671="",F671=""),"",A671&amp;"#"&amp;(COUNTIFS($A$5:$A$3004,A671,$F$5:$F$3004,"?*",$O$5:$O$3004,"&lt;"&amp;O671)+COUNTIFS($A$5:A671,A671,$F$5:F671,"?*",$O$5:O671,O671)))</f>
        <v/>
      </c>
      <c r="O671" s="54">
        <f>IF(A671="","",IF(C671="",0,C671))</f>
        <v/>
      </c>
    </row>
    <row r="672">
      <c r="A672" s="58" t="n"/>
      <c r="B672" s="49">
        <f>IF(A672="","",CHOOSE(WEEKDAY(A672,2),"Пн","Вт","Ср","Чт","Пт","Сб","Вс"))</f>
        <v/>
      </c>
      <c r="C672" s="59" t="n"/>
      <c r="D672" s="59" t="n"/>
      <c r="E672" s="60">
        <f>IF(OR(C672="",D672=""),"",MOD(D672-C672,1)*24)</f>
        <v/>
      </c>
      <c r="F672" s="50" t="n"/>
      <c r="G672" s="51" t="n"/>
      <c r="H672" s="51" t="n"/>
      <c r="I672" s="51" t="n"/>
      <c r="J672" s="51" t="n"/>
      <c r="K672" s="51" t="n"/>
      <c r="L672" s="54">
        <f>IF(OR(A672="",C672="",D672=""),"",IF(COUNTIFS($A$5:$A$3004,A672,$C$5:$C$3004,"&lt;"&amp;D672,$D$5:$D$3004,"&gt;"&amp;C672)&gt;1,"⚠️ пересечение",""))</f>
        <v/>
      </c>
      <c r="M672" s="54">
        <f>IF(F672="","",IF(J672="✅ Сделано","✔ ",IF(J672="❌ Пропущено","✖ ","⏰ "))&amp;IF(C672="","",RIGHT("0"&amp;HOUR(C672),2)&amp;":"&amp;RIGHT("0"&amp;MINUTE(C672),2)&amp;IF(D672="","","–"&amp;RIGHT("0"&amp;HOUR(D672),2)&amp;":"&amp;RIGHT("0"&amp;MINUTE(D672),2))&amp;" ")&amp;F672)</f>
        <v/>
      </c>
      <c r="N672" s="54">
        <f>IF(OR(A672="",F672=""),"",A672&amp;"#"&amp;(COUNTIFS($A$5:$A$3004,A672,$F$5:$F$3004,"?*",$O$5:$O$3004,"&lt;"&amp;O672)+COUNTIFS($A$5:A672,A672,$F$5:F672,"?*",$O$5:O672,O672)))</f>
        <v/>
      </c>
      <c r="O672" s="54">
        <f>IF(A672="","",IF(C672="",0,C672))</f>
        <v/>
      </c>
    </row>
    <row r="673">
      <c r="A673" s="58" t="n"/>
      <c r="B673" s="49">
        <f>IF(A673="","",CHOOSE(WEEKDAY(A673,2),"Пн","Вт","Ср","Чт","Пт","Сб","Вс"))</f>
        <v/>
      </c>
      <c r="C673" s="59" t="n"/>
      <c r="D673" s="59" t="n"/>
      <c r="E673" s="60">
        <f>IF(OR(C673="",D673=""),"",MOD(D673-C673,1)*24)</f>
        <v/>
      </c>
      <c r="F673" s="50" t="n"/>
      <c r="G673" s="51" t="n"/>
      <c r="H673" s="51" t="n"/>
      <c r="I673" s="51" t="n"/>
      <c r="J673" s="51" t="n"/>
      <c r="K673" s="51" t="n"/>
      <c r="L673" s="54">
        <f>IF(OR(A673="",C673="",D673=""),"",IF(COUNTIFS($A$5:$A$3004,A673,$C$5:$C$3004,"&lt;"&amp;D673,$D$5:$D$3004,"&gt;"&amp;C673)&gt;1,"⚠️ пересечение",""))</f>
        <v/>
      </c>
      <c r="M673" s="54">
        <f>IF(F673="","",IF(J673="✅ Сделано","✔ ",IF(J673="❌ Пропущено","✖ ","⏰ "))&amp;IF(C673="","",RIGHT("0"&amp;HOUR(C673),2)&amp;":"&amp;RIGHT("0"&amp;MINUTE(C673),2)&amp;IF(D673="","","–"&amp;RIGHT("0"&amp;HOUR(D673),2)&amp;":"&amp;RIGHT("0"&amp;MINUTE(D673),2))&amp;" ")&amp;F673)</f>
        <v/>
      </c>
      <c r="N673" s="54">
        <f>IF(OR(A673="",F673=""),"",A673&amp;"#"&amp;(COUNTIFS($A$5:$A$3004,A673,$F$5:$F$3004,"?*",$O$5:$O$3004,"&lt;"&amp;O673)+COUNTIFS($A$5:A673,A673,$F$5:F673,"?*",$O$5:O673,O673)))</f>
        <v/>
      </c>
      <c r="O673" s="54">
        <f>IF(A673="","",IF(C673="",0,C673))</f>
        <v/>
      </c>
    </row>
    <row r="674">
      <c r="A674" s="58" t="n"/>
      <c r="B674" s="49">
        <f>IF(A674="","",CHOOSE(WEEKDAY(A674,2),"Пн","Вт","Ср","Чт","Пт","Сб","Вс"))</f>
        <v/>
      </c>
      <c r="C674" s="59" t="n"/>
      <c r="D674" s="59" t="n"/>
      <c r="E674" s="60">
        <f>IF(OR(C674="",D674=""),"",MOD(D674-C674,1)*24)</f>
        <v/>
      </c>
      <c r="F674" s="50" t="n"/>
      <c r="G674" s="51" t="n"/>
      <c r="H674" s="51" t="n"/>
      <c r="I674" s="51" t="n"/>
      <c r="J674" s="51" t="n"/>
      <c r="K674" s="51" t="n"/>
      <c r="L674" s="54">
        <f>IF(OR(A674="",C674="",D674=""),"",IF(COUNTIFS($A$5:$A$3004,A674,$C$5:$C$3004,"&lt;"&amp;D674,$D$5:$D$3004,"&gt;"&amp;C674)&gt;1,"⚠️ пересечение",""))</f>
        <v/>
      </c>
      <c r="M674" s="54">
        <f>IF(F674="","",IF(J674="✅ Сделано","✔ ",IF(J674="❌ Пропущено","✖ ","⏰ "))&amp;IF(C674="","",RIGHT("0"&amp;HOUR(C674),2)&amp;":"&amp;RIGHT("0"&amp;MINUTE(C674),2)&amp;IF(D674="","","–"&amp;RIGHT("0"&amp;HOUR(D674),2)&amp;":"&amp;RIGHT("0"&amp;MINUTE(D674),2))&amp;" ")&amp;F674)</f>
        <v/>
      </c>
      <c r="N674" s="54">
        <f>IF(OR(A674="",F674=""),"",A674&amp;"#"&amp;(COUNTIFS($A$5:$A$3004,A674,$F$5:$F$3004,"?*",$O$5:$O$3004,"&lt;"&amp;O674)+COUNTIFS($A$5:A674,A674,$F$5:F674,"?*",$O$5:O674,O674)))</f>
        <v/>
      </c>
      <c r="O674" s="54">
        <f>IF(A674="","",IF(C674="",0,C674))</f>
        <v/>
      </c>
    </row>
    <row r="675">
      <c r="A675" s="58" t="n"/>
      <c r="B675" s="49">
        <f>IF(A675="","",CHOOSE(WEEKDAY(A675,2),"Пн","Вт","Ср","Чт","Пт","Сб","Вс"))</f>
        <v/>
      </c>
      <c r="C675" s="59" t="n"/>
      <c r="D675" s="59" t="n"/>
      <c r="E675" s="60">
        <f>IF(OR(C675="",D675=""),"",MOD(D675-C675,1)*24)</f>
        <v/>
      </c>
      <c r="F675" s="50" t="n"/>
      <c r="G675" s="51" t="n"/>
      <c r="H675" s="51" t="n"/>
      <c r="I675" s="51" t="n"/>
      <c r="J675" s="51" t="n"/>
      <c r="K675" s="51" t="n"/>
      <c r="L675" s="54">
        <f>IF(OR(A675="",C675="",D675=""),"",IF(COUNTIFS($A$5:$A$3004,A675,$C$5:$C$3004,"&lt;"&amp;D675,$D$5:$D$3004,"&gt;"&amp;C675)&gt;1,"⚠️ пересечение",""))</f>
        <v/>
      </c>
      <c r="M675" s="54">
        <f>IF(F675="","",IF(J675="✅ Сделано","✔ ",IF(J675="❌ Пропущено","✖ ","⏰ "))&amp;IF(C675="","",RIGHT("0"&amp;HOUR(C675),2)&amp;":"&amp;RIGHT("0"&amp;MINUTE(C675),2)&amp;IF(D675="","","–"&amp;RIGHT("0"&amp;HOUR(D675),2)&amp;":"&amp;RIGHT("0"&amp;MINUTE(D675),2))&amp;" ")&amp;F675)</f>
        <v/>
      </c>
      <c r="N675" s="54">
        <f>IF(OR(A675="",F675=""),"",A675&amp;"#"&amp;(COUNTIFS($A$5:$A$3004,A675,$F$5:$F$3004,"?*",$O$5:$O$3004,"&lt;"&amp;O675)+COUNTIFS($A$5:A675,A675,$F$5:F675,"?*",$O$5:O675,O675)))</f>
        <v/>
      </c>
      <c r="O675" s="54">
        <f>IF(A675="","",IF(C675="",0,C675))</f>
        <v/>
      </c>
    </row>
    <row r="676">
      <c r="A676" s="58" t="n"/>
      <c r="B676" s="49">
        <f>IF(A676="","",CHOOSE(WEEKDAY(A676,2),"Пн","Вт","Ср","Чт","Пт","Сб","Вс"))</f>
        <v/>
      </c>
      <c r="C676" s="59" t="n"/>
      <c r="D676" s="59" t="n"/>
      <c r="E676" s="60">
        <f>IF(OR(C676="",D676=""),"",MOD(D676-C676,1)*24)</f>
        <v/>
      </c>
      <c r="F676" s="50" t="n"/>
      <c r="G676" s="51" t="n"/>
      <c r="H676" s="51" t="n"/>
      <c r="I676" s="51" t="n"/>
      <c r="J676" s="51" t="n"/>
      <c r="K676" s="51" t="n"/>
      <c r="L676" s="54">
        <f>IF(OR(A676="",C676="",D676=""),"",IF(COUNTIFS($A$5:$A$3004,A676,$C$5:$C$3004,"&lt;"&amp;D676,$D$5:$D$3004,"&gt;"&amp;C676)&gt;1,"⚠️ пересечение",""))</f>
        <v/>
      </c>
      <c r="M676" s="54">
        <f>IF(F676="","",IF(J676="✅ Сделано","✔ ",IF(J676="❌ Пропущено","✖ ","⏰ "))&amp;IF(C676="","",RIGHT("0"&amp;HOUR(C676),2)&amp;":"&amp;RIGHT("0"&amp;MINUTE(C676),2)&amp;IF(D676="","","–"&amp;RIGHT("0"&amp;HOUR(D676),2)&amp;":"&amp;RIGHT("0"&amp;MINUTE(D676),2))&amp;" ")&amp;F676)</f>
        <v/>
      </c>
      <c r="N676" s="54">
        <f>IF(OR(A676="",F676=""),"",A676&amp;"#"&amp;(COUNTIFS($A$5:$A$3004,A676,$F$5:$F$3004,"?*",$O$5:$O$3004,"&lt;"&amp;O676)+COUNTIFS($A$5:A676,A676,$F$5:F676,"?*",$O$5:O676,O676)))</f>
        <v/>
      </c>
      <c r="O676" s="54">
        <f>IF(A676="","",IF(C676="",0,C676))</f>
        <v/>
      </c>
    </row>
    <row r="677">
      <c r="A677" s="58" t="n"/>
      <c r="B677" s="49">
        <f>IF(A677="","",CHOOSE(WEEKDAY(A677,2),"Пн","Вт","Ср","Чт","Пт","Сб","Вс"))</f>
        <v/>
      </c>
      <c r="C677" s="59" t="n"/>
      <c r="D677" s="59" t="n"/>
      <c r="E677" s="60">
        <f>IF(OR(C677="",D677=""),"",MOD(D677-C677,1)*24)</f>
        <v/>
      </c>
      <c r="F677" s="50" t="n"/>
      <c r="G677" s="51" t="n"/>
      <c r="H677" s="51" t="n"/>
      <c r="I677" s="51" t="n"/>
      <c r="J677" s="51" t="n"/>
      <c r="K677" s="51" t="n"/>
      <c r="L677" s="54">
        <f>IF(OR(A677="",C677="",D677=""),"",IF(COUNTIFS($A$5:$A$3004,A677,$C$5:$C$3004,"&lt;"&amp;D677,$D$5:$D$3004,"&gt;"&amp;C677)&gt;1,"⚠️ пересечение",""))</f>
        <v/>
      </c>
      <c r="M677" s="54">
        <f>IF(F677="","",IF(J677="✅ Сделано","✔ ",IF(J677="❌ Пропущено","✖ ","⏰ "))&amp;IF(C677="","",RIGHT("0"&amp;HOUR(C677),2)&amp;":"&amp;RIGHT("0"&amp;MINUTE(C677),2)&amp;IF(D677="","","–"&amp;RIGHT("0"&amp;HOUR(D677),2)&amp;":"&amp;RIGHT("0"&amp;MINUTE(D677),2))&amp;" ")&amp;F677)</f>
        <v/>
      </c>
      <c r="N677" s="54">
        <f>IF(OR(A677="",F677=""),"",A677&amp;"#"&amp;(COUNTIFS($A$5:$A$3004,A677,$F$5:$F$3004,"?*",$O$5:$O$3004,"&lt;"&amp;O677)+COUNTIFS($A$5:A677,A677,$F$5:F677,"?*",$O$5:O677,O677)))</f>
        <v/>
      </c>
      <c r="O677" s="54">
        <f>IF(A677="","",IF(C677="",0,C677))</f>
        <v/>
      </c>
    </row>
    <row r="678">
      <c r="A678" s="58" t="n"/>
      <c r="B678" s="49">
        <f>IF(A678="","",CHOOSE(WEEKDAY(A678,2),"Пн","Вт","Ср","Чт","Пт","Сб","Вс"))</f>
        <v/>
      </c>
      <c r="C678" s="59" t="n"/>
      <c r="D678" s="59" t="n"/>
      <c r="E678" s="60">
        <f>IF(OR(C678="",D678=""),"",MOD(D678-C678,1)*24)</f>
        <v/>
      </c>
      <c r="F678" s="50" t="n"/>
      <c r="G678" s="51" t="n"/>
      <c r="H678" s="51" t="n"/>
      <c r="I678" s="51" t="n"/>
      <c r="J678" s="51" t="n"/>
      <c r="K678" s="51" t="n"/>
      <c r="L678" s="54">
        <f>IF(OR(A678="",C678="",D678=""),"",IF(COUNTIFS($A$5:$A$3004,A678,$C$5:$C$3004,"&lt;"&amp;D678,$D$5:$D$3004,"&gt;"&amp;C678)&gt;1,"⚠️ пересечение",""))</f>
        <v/>
      </c>
      <c r="M678" s="54">
        <f>IF(F678="","",IF(J678="✅ Сделано","✔ ",IF(J678="❌ Пропущено","✖ ","⏰ "))&amp;IF(C678="","",RIGHT("0"&amp;HOUR(C678),2)&amp;":"&amp;RIGHT("0"&amp;MINUTE(C678),2)&amp;IF(D678="","","–"&amp;RIGHT("0"&amp;HOUR(D678),2)&amp;":"&amp;RIGHT("0"&amp;MINUTE(D678),2))&amp;" ")&amp;F678)</f>
        <v/>
      </c>
      <c r="N678" s="54">
        <f>IF(OR(A678="",F678=""),"",A678&amp;"#"&amp;(COUNTIFS($A$5:$A$3004,A678,$F$5:$F$3004,"?*",$O$5:$O$3004,"&lt;"&amp;O678)+COUNTIFS($A$5:A678,A678,$F$5:F678,"?*",$O$5:O678,O678)))</f>
        <v/>
      </c>
      <c r="O678" s="54">
        <f>IF(A678="","",IF(C678="",0,C678))</f>
        <v/>
      </c>
    </row>
    <row r="679">
      <c r="A679" s="58" t="n"/>
      <c r="B679" s="49">
        <f>IF(A679="","",CHOOSE(WEEKDAY(A679,2),"Пн","Вт","Ср","Чт","Пт","Сб","Вс"))</f>
        <v/>
      </c>
      <c r="C679" s="59" t="n"/>
      <c r="D679" s="59" t="n"/>
      <c r="E679" s="60">
        <f>IF(OR(C679="",D679=""),"",MOD(D679-C679,1)*24)</f>
        <v/>
      </c>
      <c r="F679" s="50" t="n"/>
      <c r="G679" s="51" t="n"/>
      <c r="H679" s="51" t="n"/>
      <c r="I679" s="51" t="n"/>
      <c r="J679" s="51" t="n"/>
      <c r="K679" s="51" t="n"/>
      <c r="L679" s="54">
        <f>IF(OR(A679="",C679="",D679=""),"",IF(COUNTIFS($A$5:$A$3004,A679,$C$5:$C$3004,"&lt;"&amp;D679,$D$5:$D$3004,"&gt;"&amp;C679)&gt;1,"⚠️ пересечение",""))</f>
        <v/>
      </c>
      <c r="M679" s="54">
        <f>IF(F679="","",IF(J679="✅ Сделано","✔ ",IF(J679="❌ Пропущено","✖ ","⏰ "))&amp;IF(C679="","",RIGHT("0"&amp;HOUR(C679),2)&amp;":"&amp;RIGHT("0"&amp;MINUTE(C679),2)&amp;IF(D679="","","–"&amp;RIGHT("0"&amp;HOUR(D679),2)&amp;":"&amp;RIGHT("0"&amp;MINUTE(D679),2))&amp;" ")&amp;F679)</f>
        <v/>
      </c>
      <c r="N679" s="54">
        <f>IF(OR(A679="",F679=""),"",A679&amp;"#"&amp;(COUNTIFS($A$5:$A$3004,A679,$F$5:$F$3004,"?*",$O$5:$O$3004,"&lt;"&amp;O679)+COUNTIFS($A$5:A679,A679,$F$5:F679,"?*",$O$5:O679,O679)))</f>
        <v/>
      </c>
      <c r="O679" s="54">
        <f>IF(A679="","",IF(C679="",0,C679))</f>
        <v/>
      </c>
    </row>
    <row r="680">
      <c r="A680" s="58" t="n"/>
      <c r="B680" s="49">
        <f>IF(A680="","",CHOOSE(WEEKDAY(A680,2),"Пн","Вт","Ср","Чт","Пт","Сб","Вс"))</f>
        <v/>
      </c>
      <c r="C680" s="59" t="n"/>
      <c r="D680" s="59" t="n"/>
      <c r="E680" s="60">
        <f>IF(OR(C680="",D680=""),"",MOD(D680-C680,1)*24)</f>
        <v/>
      </c>
      <c r="F680" s="50" t="n"/>
      <c r="G680" s="51" t="n"/>
      <c r="H680" s="51" t="n"/>
      <c r="I680" s="51" t="n"/>
      <c r="J680" s="51" t="n"/>
      <c r="K680" s="51" t="n"/>
      <c r="L680" s="54">
        <f>IF(OR(A680="",C680="",D680=""),"",IF(COUNTIFS($A$5:$A$3004,A680,$C$5:$C$3004,"&lt;"&amp;D680,$D$5:$D$3004,"&gt;"&amp;C680)&gt;1,"⚠️ пересечение",""))</f>
        <v/>
      </c>
      <c r="M680" s="54">
        <f>IF(F680="","",IF(J680="✅ Сделано","✔ ",IF(J680="❌ Пропущено","✖ ","⏰ "))&amp;IF(C680="","",RIGHT("0"&amp;HOUR(C680),2)&amp;":"&amp;RIGHT("0"&amp;MINUTE(C680),2)&amp;IF(D680="","","–"&amp;RIGHT("0"&amp;HOUR(D680),2)&amp;":"&amp;RIGHT("0"&amp;MINUTE(D680),2))&amp;" ")&amp;F680)</f>
        <v/>
      </c>
      <c r="N680" s="54">
        <f>IF(OR(A680="",F680=""),"",A680&amp;"#"&amp;(COUNTIFS($A$5:$A$3004,A680,$F$5:$F$3004,"?*",$O$5:$O$3004,"&lt;"&amp;O680)+COUNTIFS($A$5:A680,A680,$F$5:F680,"?*",$O$5:O680,O680)))</f>
        <v/>
      </c>
      <c r="O680" s="54">
        <f>IF(A680="","",IF(C680="",0,C680))</f>
        <v/>
      </c>
    </row>
    <row r="681">
      <c r="A681" s="58" t="n"/>
      <c r="B681" s="49">
        <f>IF(A681="","",CHOOSE(WEEKDAY(A681,2),"Пн","Вт","Ср","Чт","Пт","Сб","Вс"))</f>
        <v/>
      </c>
      <c r="C681" s="59" t="n"/>
      <c r="D681" s="59" t="n"/>
      <c r="E681" s="60">
        <f>IF(OR(C681="",D681=""),"",MOD(D681-C681,1)*24)</f>
        <v/>
      </c>
      <c r="F681" s="50" t="n"/>
      <c r="G681" s="51" t="n"/>
      <c r="H681" s="51" t="n"/>
      <c r="I681" s="51" t="n"/>
      <c r="J681" s="51" t="n"/>
      <c r="K681" s="51" t="n"/>
      <c r="L681" s="54">
        <f>IF(OR(A681="",C681="",D681=""),"",IF(COUNTIFS($A$5:$A$3004,A681,$C$5:$C$3004,"&lt;"&amp;D681,$D$5:$D$3004,"&gt;"&amp;C681)&gt;1,"⚠️ пересечение",""))</f>
        <v/>
      </c>
      <c r="M681" s="54">
        <f>IF(F681="","",IF(J681="✅ Сделано","✔ ",IF(J681="❌ Пропущено","✖ ","⏰ "))&amp;IF(C681="","",RIGHT("0"&amp;HOUR(C681),2)&amp;":"&amp;RIGHT("0"&amp;MINUTE(C681),2)&amp;IF(D681="","","–"&amp;RIGHT("0"&amp;HOUR(D681),2)&amp;":"&amp;RIGHT("0"&amp;MINUTE(D681),2))&amp;" ")&amp;F681)</f>
        <v/>
      </c>
      <c r="N681" s="54">
        <f>IF(OR(A681="",F681=""),"",A681&amp;"#"&amp;(COUNTIFS($A$5:$A$3004,A681,$F$5:$F$3004,"?*",$O$5:$O$3004,"&lt;"&amp;O681)+COUNTIFS($A$5:A681,A681,$F$5:F681,"?*",$O$5:O681,O681)))</f>
        <v/>
      </c>
      <c r="O681" s="54">
        <f>IF(A681="","",IF(C681="",0,C681))</f>
        <v/>
      </c>
    </row>
    <row r="682">
      <c r="A682" s="58" t="n"/>
      <c r="B682" s="49">
        <f>IF(A682="","",CHOOSE(WEEKDAY(A682,2),"Пн","Вт","Ср","Чт","Пт","Сб","Вс"))</f>
        <v/>
      </c>
      <c r="C682" s="59" t="n"/>
      <c r="D682" s="59" t="n"/>
      <c r="E682" s="60">
        <f>IF(OR(C682="",D682=""),"",MOD(D682-C682,1)*24)</f>
        <v/>
      </c>
      <c r="F682" s="50" t="n"/>
      <c r="G682" s="51" t="n"/>
      <c r="H682" s="51" t="n"/>
      <c r="I682" s="51" t="n"/>
      <c r="J682" s="51" t="n"/>
      <c r="K682" s="51" t="n"/>
      <c r="L682" s="54">
        <f>IF(OR(A682="",C682="",D682=""),"",IF(COUNTIFS($A$5:$A$3004,A682,$C$5:$C$3004,"&lt;"&amp;D682,$D$5:$D$3004,"&gt;"&amp;C682)&gt;1,"⚠️ пересечение",""))</f>
        <v/>
      </c>
      <c r="M682" s="54">
        <f>IF(F682="","",IF(J682="✅ Сделано","✔ ",IF(J682="❌ Пропущено","✖ ","⏰ "))&amp;IF(C682="","",RIGHT("0"&amp;HOUR(C682),2)&amp;":"&amp;RIGHT("0"&amp;MINUTE(C682),2)&amp;IF(D682="","","–"&amp;RIGHT("0"&amp;HOUR(D682),2)&amp;":"&amp;RIGHT("0"&amp;MINUTE(D682),2))&amp;" ")&amp;F682)</f>
        <v/>
      </c>
      <c r="N682" s="54">
        <f>IF(OR(A682="",F682=""),"",A682&amp;"#"&amp;(COUNTIFS($A$5:$A$3004,A682,$F$5:$F$3004,"?*",$O$5:$O$3004,"&lt;"&amp;O682)+COUNTIFS($A$5:A682,A682,$F$5:F682,"?*",$O$5:O682,O682)))</f>
        <v/>
      </c>
      <c r="O682" s="54">
        <f>IF(A682="","",IF(C682="",0,C682))</f>
        <v/>
      </c>
    </row>
    <row r="683">
      <c r="A683" s="58" t="n"/>
      <c r="B683" s="49">
        <f>IF(A683="","",CHOOSE(WEEKDAY(A683,2),"Пн","Вт","Ср","Чт","Пт","Сб","Вс"))</f>
        <v/>
      </c>
      <c r="C683" s="59" t="n"/>
      <c r="D683" s="59" t="n"/>
      <c r="E683" s="60">
        <f>IF(OR(C683="",D683=""),"",MOD(D683-C683,1)*24)</f>
        <v/>
      </c>
      <c r="F683" s="50" t="n"/>
      <c r="G683" s="51" t="n"/>
      <c r="H683" s="51" t="n"/>
      <c r="I683" s="51" t="n"/>
      <c r="J683" s="51" t="n"/>
      <c r="K683" s="51" t="n"/>
      <c r="L683" s="54">
        <f>IF(OR(A683="",C683="",D683=""),"",IF(COUNTIFS($A$5:$A$3004,A683,$C$5:$C$3004,"&lt;"&amp;D683,$D$5:$D$3004,"&gt;"&amp;C683)&gt;1,"⚠️ пересечение",""))</f>
        <v/>
      </c>
      <c r="M683" s="54">
        <f>IF(F683="","",IF(J683="✅ Сделано","✔ ",IF(J683="❌ Пропущено","✖ ","⏰ "))&amp;IF(C683="","",RIGHT("0"&amp;HOUR(C683),2)&amp;":"&amp;RIGHT("0"&amp;MINUTE(C683),2)&amp;IF(D683="","","–"&amp;RIGHT("0"&amp;HOUR(D683),2)&amp;":"&amp;RIGHT("0"&amp;MINUTE(D683),2))&amp;" ")&amp;F683)</f>
        <v/>
      </c>
      <c r="N683" s="54">
        <f>IF(OR(A683="",F683=""),"",A683&amp;"#"&amp;(COUNTIFS($A$5:$A$3004,A683,$F$5:$F$3004,"?*",$O$5:$O$3004,"&lt;"&amp;O683)+COUNTIFS($A$5:A683,A683,$F$5:F683,"?*",$O$5:O683,O683)))</f>
        <v/>
      </c>
      <c r="O683" s="54">
        <f>IF(A683="","",IF(C683="",0,C683))</f>
        <v/>
      </c>
    </row>
    <row r="684">
      <c r="A684" s="58" t="n"/>
      <c r="B684" s="49">
        <f>IF(A684="","",CHOOSE(WEEKDAY(A684,2),"Пн","Вт","Ср","Чт","Пт","Сб","Вс"))</f>
        <v/>
      </c>
      <c r="C684" s="59" t="n"/>
      <c r="D684" s="59" t="n"/>
      <c r="E684" s="60">
        <f>IF(OR(C684="",D684=""),"",MOD(D684-C684,1)*24)</f>
        <v/>
      </c>
      <c r="F684" s="50" t="n"/>
      <c r="G684" s="51" t="n"/>
      <c r="H684" s="51" t="n"/>
      <c r="I684" s="51" t="n"/>
      <c r="J684" s="51" t="n"/>
      <c r="K684" s="51" t="n"/>
      <c r="L684" s="54">
        <f>IF(OR(A684="",C684="",D684=""),"",IF(COUNTIFS($A$5:$A$3004,A684,$C$5:$C$3004,"&lt;"&amp;D684,$D$5:$D$3004,"&gt;"&amp;C684)&gt;1,"⚠️ пересечение",""))</f>
        <v/>
      </c>
      <c r="M684" s="54">
        <f>IF(F684="","",IF(J684="✅ Сделано","✔ ",IF(J684="❌ Пропущено","✖ ","⏰ "))&amp;IF(C684="","",RIGHT("0"&amp;HOUR(C684),2)&amp;":"&amp;RIGHT("0"&amp;MINUTE(C684),2)&amp;IF(D684="","","–"&amp;RIGHT("0"&amp;HOUR(D684),2)&amp;":"&amp;RIGHT("0"&amp;MINUTE(D684),2))&amp;" ")&amp;F684)</f>
        <v/>
      </c>
      <c r="N684" s="54">
        <f>IF(OR(A684="",F684=""),"",A684&amp;"#"&amp;(COUNTIFS($A$5:$A$3004,A684,$F$5:$F$3004,"?*",$O$5:$O$3004,"&lt;"&amp;O684)+COUNTIFS($A$5:A684,A684,$F$5:F684,"?*",$O$5:O684,O684)))</f>
        <v/>
      </c>
      <c r="O684" s="54">
        <f>IF(A684="","",IF(C684="",0,C684))</f>
        <v/>
      </c>
    </row>
    <row r="685">
      <c r="A685" s="58" t="n"/>
      <c r="B685" s="49">
        <f>IF(A685="","",CHOOSE(WEEKDAY(A685,2),"Пн","Вт","Ср","Чт","Пт","Сб","Вс"))</f>
        <v/>
      </c>
      <c r="C685" s="59" t="n"/>
      <c r="D685" s="59" t="n"/>
      <c r="E685" s="60">
        <f>IF(OR(C685="",D685=""),"",MOD(D685-C685,1)*24)</f>
        <v/>
      </c>
      <c r="F685" s="50" t="n"/>
      <c r="G685" s="51" t="n"/>
      <c r="H685" s="51" t="n"/>
      <c r="I685" s="51" t="n"/>
      <c r="J685" s="51" t="n"/>
      <c r="K685" s="51" t="n"/>
      <c r="L685" s="54">
        <f>IF(OR(A685="",C685="",D685=""),"",IF(COUNTIFS($A$5:$A$3004,A685,$C$5:$C$3004,"&lt;"&amp;D685,$D$5:$D$3004,"&gt;"&amp;C685)&gt;1,"⚠️ пересечение",""))</f>
        <v/>
      </c>
      <c r="M685" s="54">
        <f>IF(F685="","",IF(J685="✅ Сделано","✔ ",IF(J685="❌ Пропущено","✖ ","⏰ "))&amp;IF(C685="","",RIGHT("0"&amp;HOUR(C685),2)&amp;":"&amp;RIGHT("0"&amp;MINUTE(C685),2)&amp;IF(D685="","","–"&amp;RIGHT("0"&amp;HOUR(D685),2)&amp;":"&amp;RIGHT("0"&amp;MINUTE(D685),2))&amp;" ")&amp;F685)</f>
        <v/>
      </c>
      <c r="N685" s="54">
        <f>IF(OR(A685="",F685=""),"",A685&amp;"#"&amp;(COUNTIFS($A$5:$A$3004,A685,$F$5:$F$3004,"?*",$O$5:$O$3004,"&lt;"&amp;O685)+COUNTIFS($A$5:A685,A685,$F$5:F685,"?*",$O$5:O685,O685)))</f>
        <v/>
      </c>
      <c r="O685" s="54">
        <f>IF(A685="","",IF(C685="",0,C685))</f>
        <v/>
      </c>
    </row>
    <row r="686">
      <c r="A686" s="58" t="n"/>
      <c r="B686" s="49">
        <f>IF(A686="","",CHOOSE(WEEKDAY(A686,2),"Пн","Вт","Ср","Чт","Пт","Сб","Вс"))</f>
        <v/>
      </c>
      <c r="C686" s="59" t="n"/>
      <c r="D686" s="59" t="n"/>
      <c r="E686" s="60">
        <f>IF(OR(C686="",D686=""),"",MOD(D686-C686,1)*24)</f>
        <v/>
      </c>
      <c r="F686" s="50" t="n"/>
      <c r="G686" s="51" t="n"/>
      <c r="H686" s="51" t="n"/>
      <c r="I686" s="51" t="n"/>
      <c r="J686" s="51" t="n"/>
      <c r="K686" s="51" t="n"/>
      <c r="L686" s="54">
        <f>IF(OR(A686="",C686="",D686=""),"",IF(COUNTIFS($A$5:$A$3004,A686,$C$5:$C$3004,"&lt;"&amp;D686,$D$5:$D$3004,"&gt;"&amp;C686)&gt;1,"⚠️ пересечение",""))</f>
        <v/>
      </c>
      <c r="M686" s="54">
        <f>IF(F686="","",IF(J686="✅ Сделано","✔ ",IF(J686="❌ Пропущено","✖ ","⏰ "))&amp;IF(C686="","",RIGHT("0"&amp;HOUR(C686),2)&amp;":"&amp;RIGHT("0"&amp;MINUTE(C686),2)&amp;IF(D686="","","–"&amp;RIGHT("0"&amp;HOUR(D686),2)&amp;":"&amp;RIGHT("0"&amp;MINUTE(D686),2))&amp;" ")&amp;F686)</f>
        <v/>
      </c>
      <c r="N686" s="54">
        <f>IF(OR(A686="",F686=""),"",A686&amp;"#"&amp;(COUNTIFS($A$5:$A$3004,A686,$F$5:$F$3004,"?*",$O$5:$O$3004,"&lt;"&amp;O686)+COUNTIFS($A$5:A686,A686,$F$5:F686,"?*",$O$5:O686,O686)))</f>
        <v/>
      </c>
      <c r="O686" s="54">
        <f>IF(A686="","",IF(C686="",0,C686))</f>
        <v/>
      </c>
    </row>
    <row r="687">
      <c r="A687" s="58" t="n"/>
      <c r="B687" s="49">
        <f>IF(A687="","",CHOOSE(WEEKDAY(A687,2),"Пн","Вт","Ср","Чт","Пт","Сб","Вс"))</f>
        <v/>
      </c>
      <c r="C687" s="59" t="n"/>
      <c r="D687" s="59" t="n"/>
      <c r="E687" s="60">
        <f>IF(OR(C687="",D687=""),"",MOD(D687-C687,1)*24)</f>
        <v/>
      </c>
      <c r="F687" s="50" t="n"/>
      <c r="G687" s="51" t="n"/>
      <c r="H687" s="51" t="n"/>
      <c r="I687" s="51" t="n"/>
      <c r="J687" s="51" t="n"/>
      <c r="K687" s="51" t="n"/>
      <c r="L687" s="54">
        <f>IF(OR(A687="",C687="",D687=""),"",IF(COUNTIFS($A$5:$A$3004,A687,$C$5:$C$3004,"&lt;"&amp;D687,$D$5:$D$3004,"&gt;"&amp;C687)&gt;1,"⚠️ пересечение",""))</f>
        <v/>
      </c>
      <c r="M687" s="54">
        <f>IF(F687="","",IF(J687="✅ Сделано","✔ ",IF(J687="❌ Пропущено","✖ ","⏰ "))&amp;IF(C687="","",RIGHT("0"&amp;HOUR(C687),2)&amp;":"&amp;RIGHT("0"&amp;MINUTE(C687),2)&amp;IF(D687="","","–"&amp;RIGHT("0"&amp;HOUR(D687),2)&amp;":"&amp;RIGHT("0"&amp;MINUTE(D687),2))&amp;" ")&amp;F687)</f>
        <v/>
      </c>
      <c r="N687" s="54">
        <f>IF(OR(A687="",F687=""),"",A687&amp;"#"&amp;(COUNTIFS($A$5:$A$3004,A687,$F$5:$F$3004,"?*",$O$5:$O$3004,"&lt;"&amp;O687)+COUNTIFS($A$5:A687,A687,$F$5:F687,"?*",$O$5:O687,O687)))</f>
        <v/>
      </c>
      <c r="O687" s="54">
        <f>IF(A687="","",IF(C687="",0,C687))</f>
        <v/>
      </c>
    </row>
    <row r="688">
      <c r="A688" s="58" t="n"/>
      <c r="B688" s="49">
        <f>IF(A688="","",CHOOSE(WEEKDAY(A688,2),"Пн","Вт","Ср","Чт","Пт","Сб","Вс"))</f>
        <v/>
      </c>
      <c r="C688" s="59" t="n"/>
      <c r="D688" s="59" t="n"/>
      <c r="E688" s="60">
        <f>IF(OR(C688="",D688=""),"",MOD(D688-C688,1)*24)</f>
        <v/>
      </c>
      <c r="F688" s="50" t="n"/>
      <c r="G688" s="51" t="n"/>
      <c r="H688" s="51" t="n"/>
      <c r="I688" s="51" t="n"/>
      <c r="J688" s="51" t="n"/>
      <c r="K688" s="51" t="n"/>
      <c r="L688" s="54">
        <f>IF(OR(A688="",C688="",D688=""),"",IF(COUNTIFS($A$5:$A$3004,A688,$C$5:$C$3004,"&lt;"&amp;D688,$D$5:$D$3004,"&gt;"&amp;C688)&gt;1,"⚠️ пересечение",""))</f>
        <v/>
      </c>
      <c r="M688" s="54">
        <f>IF(F688="","",IF(J688="✅ Сделано","✔ ",IF(J688="❌ Пропущено","✖ ","⏰ "))&amp;IF(C688="","",RIGHT("0"&amp;HOUR(C688),2)&amp;":"&amp;RIGHT("0"&amp;MINUTE(C688),2)&amp;IF(D688="","","–"&amp;RIGHT("0"&amp;HOUR(D688),2)&amp;":"&amp;RIGHT("0"&amp;MINUTE(D688),2))&amp;" ")&amp;F688)</f>
        <v/>
      </c>
      <c r="N688" s="54">
        <f>IF(OR(A688="",F688=""),"",A688&amp;"#"&amp;(COUNTIFS($A$5:$A$3004,A688,$F$5:$F$3004,"?*",$O$5:$O$3004,"&lt;"&amp;O688)+COUNTIFS($A$5:A688,A688,$F$5:F688,"?*",$O$5:O688,O688)))</f>
        <v/>
      </c>
      <c r="O688" s="54">
        <f>IF(A688="","",IF(C688="",0,C688))</f>
        <v/>
      </c>
    </row>
    <row r="689">
      <c r="A689" s="58" t="n"/>
      <c r="B689" s="49">
        <f>IF(A689="","",CHOOSE(WEEKDAY(A689,2),"Пн","Вт","Ср","Чт","Пт","Сб","Вс"))</f>
        <v/>
      </c>
      <c r="C689" s="59" t="n"/>
      <c r="D689" s="59" t="n"/>
      <c r="E689" s="60">
        <f>IF(OR(C689="",D689=""),"",MOD(D689-C689,1)*24)</f>
        <v/>
      </c>
      <c r="F689" s="50" t="n"/>
      <c r="G689" s="51" t="n"/>
      <c r="H689" s="51" t="n"/>
      <c r="I689" s="51" t="n"/>
      <c r="J689" s="51" t="n"/>
      <c r="K689" s="51" t="n"/>
      <c r="L689" s="54">
        <f>IF(OR(A689="",C689="",D689=""),"",IF(COUNTIFS($A$5:$A$3004,A689,$C$5:$C$3004,"&lt;"&amp;D689,$D$5:$D$3004,"&gt;"&amp;C689)&gt;1,"⚠️ пересечение",""))</f>
        <v/>
      </c>
      <c r="M689" s="54">
        <f>IF(F689="","",IF(J689="✅ Сделано","✔ ",IF(J689="❌ Пропущено","✖ ","⏰ "))&amp;IF(C689="","",RIGHT("0"&amp;HOUR(C689),2)&amp;":"&amp;RIGHT("0"&amp;MINUTE(C689),2)&amp;IF(D689="","","–"&amp;RIGHT("0"&amp;HOUR(D689),2)&amp;":"&amp;RIGHT("0"&amp;MINUTE(D689),2))&amp;" ")&amp;F689)</f>
        <v/>
      </c>
      <c r="N689" s="54">
        <f>IF(OR(A689="",F689=""),"",A689&amp;"#"&amp;(COUNTIFS($A$5:$A$3004,A689,$F$5:$F$3004,"?*",$O$5:$O$3004,"&lt;"&amp;O689)+COUNTIFS($A$5:A689,A689,$F$5:F689,"?*",$O$5:O689,O689)))</f>
        <v/>
      </c>
      <c r="O689" s="54">
        <f>IF(A689="","",IF(C689="",0,C689))</f>
        <v/>
      </c>
    </row>
    <row r="690">
      <c r="A690" s="58" t="n"/>
      <c r="B690" s="49">
        <f>IF(A690="","",CHOOSE(WEEKDAY(A690,2),"Пн","Вт","Ср","Чт","Пт","Сб","Вс"))</f>
        <v/>
      </c>
      <c r="C690" s="59" t="n"/>
      <c r="D690" s="59" t="n"/>
      <c r="E690" s="60">
        <f>IF(OR(C690="",D690=""),"",MOD(D690-C690,1)*24)</f>
        <v/>
      </c>
      <c r="F690" s="50" t="n"/>
      <c r="G690" s="51" t="n"/>
      <c r="H690" s="51" t="n"/>
      <c r="I690" s="51" t="n"/>
      <c r="J690" s="51" t="n"/>
      <c r="K690" s="51" t="n"/>
      <c r="L690" s="54">
        <f>IF(OR(A690="",C690="",D690=""),"",IF(COUNTIFS($A$5:$A$3004,A690,$C$5:$C$3004,"&lt;"&amp;D690,$D$5:$D$3004,"&gt;"&amp;C690)&gt;1,"⚠️ пересечение",""))</f>
        <v/>
      </c>
      <c r="M690" s="54">
        <f>IF(F690="","",IF(J690="✅ Сделано","✔ ",IF(J690="❌ Пропущено","✖ ","⏰ "))&amp;IF(C690="","",RIGHT("0"&amp;HOUR(C690),2)&amp;":"&amp;RIGHT("0"&amp;MINUTE(C690),2)&amp;IF(D690="","","–"&amp;RIGHT("0"&amp;HOUR(D690),2)&amp;":"&amp;RIGHT("0"&amp;MINUTE(D690),2))&amp;" ")&amp;F690)</f>
        <v/>
      </c>
      <c r="N690" s="54">
        <f>IF(OR(A690="",F690=""),"",A690&amp;"#"&amp;(COUNTIFS($A$5:$A$3004,A690,$F$5:$F$3004,"?*",$O$5:$O$3004,"&lt;"&amp;O690)+COUNTIFS($A$5:A690,A690,$F$5:F690,"?*",$O$5:O690,O690)))</f>
        <v/>
      </c>
      <c r="O690" s="54">
        <f>IF(A690="","",IF(C690="",0,C690))</f>
        <v/>
      </c>
    </row>
    <row r="691">
      <c r="A691" s="58" t="n"/>
      <c r="B691" s="49">
        <f>IF(A691="","",CHOOSE(WEEKDAY(A691,2),"Пн","Вт","Ср","Чт","Пт","Сб","Вс"))</f>
        <v/>
      </c>
      <c r="C691" s="59" t="n"/>
      <c r="D691" s="59" t="n"/>
      <c r="E691" s="60">
        <f>IF(OR(C691="",D691=""),"",MOD(D691-C691,1)*24)</f>
        <v/>
      </c>
      <c r="F691" s="50" t="n"/>
      <c r="G691" s="51" t="n"/>
      <c r="H691" s="51" t="n"/>
      <c r="I691" s="51" t="n"/>
      <c r="J691" s="51" t="n"/>
      <c r="K691" s="51" t="n"/>
      <c r="L691" s="54">
        <f>IF(OR(A691="",C691="",D691=""),"",IF(COUNTIFS($A$5:$A$3004,A691,$C$5:$C$3004,"&lt;"&amp;D691,$D$5:$D$3004,"&gt;"&amp;C691)&gt;1,"⚠️ пересечение",""))</f>
        <v/>
      </c>
      <c r="M691" s="54">
        <f>IF(F691="","",IF(J691="✅ Сделано","✔ ",IF(J691="❌ Пропущено","✖ ","⏰ "))&amp;IF(C691="","",RIGHT("0"&amp;HOUR(C691),2)&amp;":"&amp;RIGHT("0"&amp;MINUTE(C691),2)&amp;IF(D691="","","–"&amp;RIGHT("0"&amp;HOUR(D691),2)&amp;":"&amp;RIGHT("0"&amp;MINUTE(D691),2))&amp;" ")&amp;F691)</f>
        <v/>
      </c>
      <c r="N691" s="54">
        <f>IF(OR(A691="",F691=""),"",A691&amp;"#"&amp;(COUNTIFS($A$5:$A$3004,A691,$F$5:$F$3004,"?*",$O$5:$O$3004,"&lt;"&amp;O691)+COUNTIFS($A$5:A691,A691,$F$5:F691,"?*",$O$5:O691,O691)))</f>
        <v/>
      </c>
      <c r="O691" s="54">
        <f>IF(A691="","",IF(C691="",0,C691))</f>
        <v/>
      </c>
    </row>
    <row r="692">
      <c r="A692" s="58" t="n"/>
      <c r="B692" s="49">
        <f>IF(A692="","",CHOOSE(WEEKDAY(A692,2),"Пн","Вт","Ср","Чт","Пт","Сб","Вс"))</f>
        <v/>
      </c>
      <c r="C692" s="59" t="n"/>
      <c r="D692" s="59" t="n"/>
      <c r="E692" s="60">
        <f>IF(OR(C692="",D692=""),"",MOD(D692-C692,1)*24)</f>
        <v/>
      </c>
      <c r="F692" s="50" t="n"/>
      <c r="G692" s="51" t="n"/>
      <c r="H692" s="51" t="n"/>
      <c r="I692" s="51" t="n"/>
      <c r="J692" s="51" t="n"/>
      <c r="K692" s="51" t="n"/>
      <c r="L692" s="54">
        <f>IF(OR(A692="",C692="",D692=""),"",IF(COUNTIFS($A$5:$A$3004,A692,$C$5:$C$3004,"&lt;"&amp;D692,$D$5:$D$3004,"&gt;"&amp;C692)&gt;1,"⚠️ пересечение",""))</f>
        <v/>
      </c>
      <c r="M692" s="54">
        <f>IF(F692="","",IF(J692="✅ Сделано","✔ ",IF(J692="❌ Пропущено","✖ ","⏰ "))&amp;IF(C692="","",RIGHT("0"&amp;HOUR(C692),2)&amp;":"&amp;RIGHT("0"&amp;MINUTE(C692),2)&amp;IF(D692="","","–"&amp;RIGHT("0"&amp;HOUR(D692),2)&amp;":"&amp;RIGHT("0"&amp;MINUTE(D692),2))&amp;" ")&amp;F692)</f>
        <v/>
      </c>
      <c r="N692" s="54">
        <f>IF(OR(A692="",F692=""),"",A692&amp;"#"&amp;(COUNTIFS($A$5:$A$3004,A692,$F$5:$F$3004,"?*",$O$5:$O$3004,"&lt;"&amp;O692)+COUNTIFS($A$5:A692,A692,$F$5:F692,"?*",$O$5:O692,O692)))</f>
        <v/>
      </c>
      <c r="O692" s="54">
        <f>IF(A692="","",IF(C692="",0,C692))</f>
        <v/>
      </c>
    </row>
    <row r="693">
      <c r="A693" s="58" t="n"/>
      <c r="B693" s="49">
        <f>IF(A693="","",CHOOSE(WEEKDAY(A693,2),"Пн","Вт","Ср","Чт","Пт","Сб","Вс"))</f>
        <v/>
      </c>
      <c r="C693" s="59" t="n"/>
      <c r="D693" s="59" t="n"/>
      <c r="E693" s="60">
        <f>IF(OR(C693="",D693=""),"",MOD(D693-C693,1)*24)</f>
        <v/>
      </c>
      <c r="F693" s="50" t="n"/>
      <c r="G693" s="51" t="n"/>
      <c r="H693" s="51" t="n"/>
      <c r="I693" s="51" t="n"/>
      <c r="J693" s="51" t="n"/>
      <c r="K693" s="51" t="n"/>
      <c r="L693" s="54">
        <f>IF(OR(A693="",C693="",D693=""),"",IF(COUNTIFS($A$5:$A$3004,A693,$C$5:$C$3004,"&lt;"&amp;D693,$D$5:$D$3004,"&gt;"&amp;C693)&gt;1,"⚠️ пересечение",""))</f>
        <v/>
      </c>
      <c r="M693" s="54">
        <f>IF(F693="","",IF(J693="✅ Сделано","✔ ",IF(J693="❌ Пропущено","✖ ","⏰ "))&amp;IF(C693="","",RIGHT("0"&amp;HOUR(C693),2)&amp;":"&amp;RIGHT("0"&amp;MINUTE(C693),2)&amp;IF(D693="","","–"&amp;RIGHT("0"&amp;HOUR(D693),2)&amp;":"&amp;RIGHT("0"&amp;MINUTE(D693),2))&amp;" ")&amp;F693)</f>
        <v/>
      </c>
      <c r="N693" s="54">
        <f>IF(OR(A693="",F693=""),"",A693&amp;"#"&amp;(COUNTIFS($A$5:$A$3004,A693,$F$5:$F$3004,"?*",$O$5:$O$3004,"&lt;"&amp;O693)+COUNTIFS($A$5:A693,A693,$F$5:F693,"?*",$O$5:O693,O693)))</f>
        <v/>
      </c>
      <c r="O693" s="54">
        <f>IF(A693="","",IF(C693="",0,C693))</f>
        <v/>
      </c>
    </row>
    <row r="694">
      <c r="A694" s="58" t="n"/>
      <c r="B694" s="49">
        <f>IF(A694="","",CHOOSE(WEEKDAY(A694,2),"Пн","Вт","Ср","Чт","Пт","Сб","Вс"))</f>
        <v/>
      </c>
      <c r="C694" s="59" t="n"/>
      <c r="D694" s="59" t="n"/>
      <c r="E694" s="60">
        <f>IF(OR(C694="",D694=""),"",MOD(D694-C694,1)*24)</f>
        <v/>
      </c>
      <c r="F694" s="50" t="n"/>
      <c r="G694" s="51" t="n"/>
      <c r="H694" s="51" t="n"/>
      <c r="I694" s="51" t="n"/>
      <c r="J694" s="51" t="n"/>
      <c r="K694" s="51" t="n"/>
      <c r="L694" s="54">
        <f>IF(OR(A694="",C694="",D694=""),"",IF(COUNTIFS($A$5:$A$3004,A694,$C$5:$C$3004,"&lt;"&amp;D694,$D$5:$D$3004,"&gt;"&amp;C694)&gt;1,"⚠️ пересечение",""))</f>
        <v/>
      </c>
      <c r="M694" s="54">
        <f>IF(F694="","",IF(J694="✅ Сделано","✔ ",IF(J694="❌ Пропущено","✖ ","⏰ "))&amp;IF(C694="","",RIGHT("0"&amp;HOUR(C694),2)&amp;":"&amp;RIGHT("0"&amp;MINUTE(C694),2)&amp;IF(D694="","","–"&amp;RIGHT("0"&amp;HOUR(D694),2)&amp;":"&amp;RIGHT("0"&amp;MINUTE(D694),2))&amp;" ")&amp;F694)</f>
        <v/>
      </c>
      <c r="N694" s="54">
        <f>IF(OR(A694="",F694=""),"",A694&amp;"#"&amp;(COUNTIFS($A$5:$A$3004,A694,$F$5:$F$3004,"?*",$O$5:$O$3004,"&lt;"&amp;O694)+COUNTIFS($A$5:A694,A694,$F$5:F694,"?*",$O$5:O694,O694)))</f>
        <v/>
      </c>
      <c r="O694" s="54">
        <f>IF(A694="","",IF(C694="",0,C694))</f>
        <v/>
      </c>
    </row>
    <row r="695">
      <c r="A695" s="58" t="n"/>
      <c r="B695" s="49">
        <f>IF(A695="","",CHOOSE(WEEKDAY(A695,2),"Пн","Вт","Ср","Чт","Пт","Сб","Вс"))</f>
        <v/>
      </c>
      <c r="C695" s="59" t="n"/>
      <c r="D695" s="59" t="n"/>
      <c r="E695" s="60">
        <f>IF(OR(C695="",D695=""),"",MOD(D695-C695,1)*24)</f>
        <v/>
      </c>
      <c r="F695" s="50" t="n"/>
      <c r="G695" s="51" t="n"/>
      <c r="H695" s="51" t="n"/>
      <c r="I695" s="51" t="n"/>
      <c r="J695" s="51" t="n"/>
      <c r="K695" s="51" t="n"/>
      <c r="L695" s="54">
        <f>IF(OR(A695="",C695="",D695=""),"",IF(COUNTIFS($A$5:$A$3004,A695,$C$5:$C$3004,"&lt;"&amp;D695,$D$5:$D$3004,"&gt;"&amp;C695)&gt;1,"⚠️ пересечение",""))</f>
        <v/>
      </c>
      <c r="M695" s="54">
        <f>IF(F695="","",IF(J695="✅ Сделано","✔ ",IF(J695="❌ Пропущено","✖ ","⏰ "))&amp;IF(C695="","",RIGHT("0"&amp;HOUR(C695),2)&amp;":"&amp;RIGHT("0"&amp;MINUTE(C695),2)&amp;IF(D695="","","–"&amp;RIGHT("0"&amp;HOUR(D695),2)&amp;":"&amp;RIGHT("0"&amp;MINUTE(D695),2))&amp;" ")&amp;F695)</f>
        <v/>
      </c>
      <c r="N695" s="54">
        <f>IF(OR(A695="",F695=""),"",A695&amp;"#"&amp;(COUNTIFS($A$5:$A$3004,A695,$F$5:$F$3004,"?*",$O$5:$O$3004,"&lt;"&amp;O695)+COUNTIFS($A$5:A695,A695,$F$5:F695,"?*",$O$5:O695,O695)))</f>
        <v/>
      </c>
      <c r="O695" s="54">
        <f>IF(A695="","",IF(C695="",0,C695))</f>
        <v/>
      </c>
    </row>
    <row r="696">
      <c r="A696" s="58" t="n"/>
      <c r="B696" s="49">
        <f>IF(A696="","",CHOOSE(WEEKDAY(A696,2),"Пн","Вт","Ср","Чт","Пт","Сб","Вс"))</f>
        <v/>
      </c>
      <c r="C696" s="59" t="n"/>
      <c r="D696" s="59" t="n"/>
      <c r="E696" s="60">
        <f>IF(OR(C696="",D696=""),"",MOD(D696-C696,1)*24)</f>
        <v/>
      </c>
      <c r="F696" s="50" t="n"/>
      <c r="G696" s="51" t="n"/>
      <c r="H696" s="51" t="n"/>
      <c r="I696" s="51" t="n"/>
      <c r="J696" s="51" t="n"/>
      <c r="K696" s="51" t="n"/>
      <c r="L696" s="54">
        <f>IF(OR(A696="",C696="",D696=""),"",IF(COUNTIFS($A$5:$A$3004,A696,$C$5:$C$3004,"&lt;"&amp;D696,$D$5:$D$3004,"&gt;"&amp;C696)&gt;1,"⚠️ пересечение",""))</f>
        <v/>
      </c>
      <c r="M696" s="54">
        <f>IF(F696="","",IF(J696="✅ Сделано","✔ ",IF(J696="❌ Пропущено","✖ ","⏰ "))&amp;IF(C696="","",RIGHT("0"&amp;HOUR(C696),2)&amp;":"&amp;RIGHT("0"&amp;MINUTE(C696),2)&amp;IF(D696="","","–"&amp;RIGHT("0"&amp;HOUR(D696),2)&amp;":"&amp;RIGHT("0"&amp;MINUTE(D696),2))&amp;" ")&amp;F696)</f>
        <v/>
      </c>
      <c r="N696" s="54">
        <f>IF(OR(A696="",F696=""),"",A696&amp;"#"&amp;(COUNTIFS($A$5:$A$3004,A696,$F$5:$F$3004,"?*",$O$5:$O$3004,"&lt;"&amp;O696)+COUNTIFS($A$5:A696,A696,$F$5:F696,"?*",$O$5:O696,O696)))</f>
        <v/>
      </c>
      <c r="O696" s="54">
        <f>IF(A696="","",IF(C696="",0,C696))</f>
        <v/>
      </c>
    </row>
    <row r="697">
      <c r="A697" s="58" t="n"/>
      <c r="B697" s="49">
        <f>IF(A697="","",CHOOSE(WEEKDAY(A697,2),"Пн","Вт","Ср","Чт","Пт","Сб","Вс"))</f>
        <v/>
      </c>
      <c r="C697" s="59" t="n"/>
      <c r="D697" s="59" t="n"/>
      <c r="E697" s="60">
        <f>IF(OR(C697="",D697=""),"",MOD(D697-C697,1)*24)</f>
        <v/>
      </c>
      <c r="F697" s="50" t="n"/>
      <c r="G697" s="51" t="n"/>
      <c r="H697" s="51" t="n"/>
      <c r="I697" s="51" t="n"/>
      <c r="J697" s="51" t="n"/>
      <c r="K697" s="51" t="n"/>
      <c r="L697" s="54">
        <f>IF(OR(A697="",C697="",D697=""),"",IF(COUNTIFS($A$5:$A$3004,A697,$C$5:$C$3004,"&lt;"&amp;D697,$D$5:$D$3004,"&gt;"&amp;C697)&gt;1,"⚠️ пересечение",""))</f>
        <v/>
      </c>
      <c r="M697" s="54">
        <f>IF(F697="","",IF(J697="✅ Сделано","✔ ",IF(J697="❌ Пропущено","✖ ","⏰ "))&amp;IF(C697="","",RIGHT("0"&amp;HOUR(C697),2)&amp;":"&amp;RIGHT("0"&amp;MINUTE(C697),2)&amp;IF(D697="","","–"&amp;RIGHT("0"&amp;HOUR(D697),2)&amp;":"&amp;RIGHT("0"&amp;MINUTE(D697),2))&amp;" ")&amp;F697)</f>
        <v/>
      </c>
      <c r="N697" s="54">
        <f>IF(OR(A697="",F697=""),"",A697&amp;"#"&amp;(COUNTIFS($A$5:$A$3004,A697,$F$5:$F$3004,"?*",$O$5:$O$3004,"&lt;"&amp;O697)+COUNTIFS($A$5:A697,A697,$F$5:F697,"?*",$O$5:O697,O697)))</f>
        <v/>
      </c>
      <c r="O697" s="54">
        <f>IF(A697="","",IF(C697="",0,C697))</f>
        <v/>
      </c>
    </row>
    <row r="698">
      <c r="A698" s="58" t="n"/>
      <c r="B698" s="49">
        <f>IF(A698="","",CHOOSE(WEEKDAY(A698,2),"Пн","Вт","Ср","Чт","Пт","Сб","Вс"))</f>
        <v/>
      </c>
      <c r="C698" s="59" t="n"/>
      <c r="D698" s="59" t="n"/>
      <c r="E698" s="60">
        <f>IF(OR(C698="",D698=""),"",MOD(D698-C698,1)*24)</f>
        <v/>
      </c>
      <c r="F698" s="50" t="n"/>
      <c r="G698" s="51" t="n"/>
      <c r="H698" s="51" t="n"/>
      <c r="I698" s="51" t="n"/>
      <c r="J698" s="51" t="n"/>
      <c r="K698" s="51" t="n"/>
      <c r="L698" s="54">
        <f>IF(OR(A698="",C698="",D698=""),"",IF(COUNTIFS($A$5:$A$3004,A698,$C$5:$C$3004,"&lt;"&amp;D698,$D$5:$D$3004,"&gt;"&amp;C698)&gt;1,"⚠️ пересечение",""))</f>
        <v/>
      </c>
      <c r="M698" s="54">
        <f>IF(F698="","",IF(J698="✅ Сделано","✔ ",IF(J698="❌ Пропущено","✖ ","⏰ "))&amp;IF(C698="","",RIGHT("0"&amp;HOUR(C698),2)&amp;":"&amp;RIGHT("0"&amp;MINUTE(C698),2)&amp;IF(D698="","","–"&amp;RIGHT("0"&amp;HOUR(D698),2)&amp;":"&amp;RIGHT("0"&amp;MINUTE(D698),2))&amp;" ")&amp;F698)</f>
        <v/>
      </c>
      <c r="N698" s="54">
        <f>IF(OR(A698="",F698=""),"",A698&amp;"#"&amp;(COUNTIFS($A$5:$A$3004,A698,$F$5:$F$3004,"?*",$O$5:$O$3004,"&lt;"&amp;O698)+COUNTIFS($A$5:A698,A698,$F$5:F698,"?*",$O$5:O698,O698)))</f>
        <v/>
      </c>
      <c r="O698" s="54">
        <f>IF(A698="","",IF(C698="",0,C698))</f>
        <v/>
      </c>
    </row>
    <row r="699">
      <c r="A699" s="58" t="n"/>
      <c r="B699" s="49">
        <f>IF(A699="","",CHOOSE(WEEKDAY(A699,2),"Пн","Вт","Ср","Чт","Пт","Сб","Вс"))</f>
        <v/>
      </c>
      <c r="C699" s="59" t="n"/>
      <c r="D699" s="59" t="n"/>
      <c r="E699" s="60">
        <f>IF(OR(C699="",D699=""),"",MOD(D699-C699,1)*24)</f>
        <v/>
      </c>
      <c r="F699" s="50" t="n"/>
      <c r="G699" s="51" t="n"/>
      <c r="H699" s="51" t="n"/>
      <c r="I699" s="51" t="n"/>
      <c r="J699" s="51" t="n"/>
      <c r="K699" s="51" t="n"/>
      <c r="L699" s="54">
        <f>IF(OR(A699="",C699="",D699=""),"",IF(COUNTIFS($A$5:$A$3004,A699,$C$5:$C$3004,"&lt;"&amp;D699,$D$5:$D$3004,"&gt;"&amp;C699)&gt;1,"⚠️ пересечение",""))</f>
        <v/>
      </c>
      <c r="M699" s="54">
        <f>IF(F699="","",IF(J699="✅ Сделано","✔ ",IF(J699="❌ Пропущено","✖ ","⏰ "))&amp;IF(C699="","",RIGHT("0"&amp;HOUR(C699),2)&amp;":"&amp;RIGHT("0"&amp;MINUTE(C699),2)&amp;IF(D699="","","–"&amp;RIGHT("0"&amp;HOUR(D699),2)&amp;":"&amp;RIGHT("0"&amp;MINUTE(D699),2))&amp;" ")&amp;F699)</f>
        <v/>
      </c>
      <c r="N699" s="54">
        <f>IF(OR(A699="",F699=""),"",A699&amp;"#"&amp;(COUNTIFS($A$5:$A$3004,A699,$F$5:$F$3004,"?*",$O$5:$O$3004,"&lt;"&amp;O699)+COUNTIFS($A$5:A699,A699,$F$5:F699,"?*",$O$5:O699,O699)))</f>
        <v/>
      </c>
      <c r="O699" s="54">
        <f>IF(A699="","",IF(C699="",0,C699))</f>
        <v/>
      </c>
    </row>
    <row r="700">
      <c r="A700" s="58" t="n"/>
      <c r="B700" s="49">
        <f>IF(A700="","",CHOOSE(WEEKDAY(A700,2),"Пн","Вт","Ср","Чт","Пт","Сб","Вс"))</f>
        <v/>
      </c>
      <c r="C700" s="59" t="n"/>
      <c r="D700" s="59" t="n"/>
      <c r="E700" s="60">
        <f>IF(OR(C700="",D700=""),"",MOD(D700-C700,1)*24)</f>
        <v/>
      </c>
      <c r="F700" s="50" t="n"/>
      <c r="G700" s="51" t="n"/>
      <c r="H700" s="51" t="n"/>
      <c r="I700" s="51" t="n"/>
      <c r="J700" s="51" t="n"/>
      <c r="K700" s="51" t="n"/>
      <c r="L700" s="54">
        <f>IF(OR(A700="",C700="",D700=""),"",IF(COUNTIFS($A$5:$A$3004,A700,$C$5:$C$3004,"&lt;"&amp;D700,$D$5:$D$3004,"&gt;"&amp;C700)&gt;1,"⚠️ пересечение",""))</f>
        <v/>
      </c>
      <c r="M700" s="54">
        <f>IF(F700="","",IF(J700="✅ Сделано","✔ ",IF(J700="❌ Пропущено","✖ ","⏰ "))&amp;IF(C700="","",RIGHT("0"&amp;HOUR(C700),2)&amp;":"&amp;RIGHT("0"&amp;MINUTE(C700),2)&amp;IF(D700="","","–"&amp;RIGHT("0"&amp;HOUR(D700),2)&amp;":"&amp;RIGHT("0"&amp;MINUTE(D700),2))&amp;" ")&amp;F700)</f>
        <v/>
      </c>
      <c r="N700" s="54">
        <f>IF(OR(A700="",F700=""),"",A700&amp;"#"&amp;(COUNTIFS($A$5:$A$3004,A700,$F$5:$F$3004,"?*",$O$5:$O$3004,"&lt;"&amp;O700)+COUNTIFS($A$5:A700,A700,$F$5:F700,"?*",$O$5:O700,O700)))</f>
        <v/>
      </c>
      <c r="O700" s="54">
        <f>IF(A700="","",IF(C700="",0,C700))</f>
        <v/>
      </c>
    </row>
    <row r="701">
      <c r="A701" s="58" t="n"/>
      <c r="B701" s="49">
        <f>IF(A701="","",CHOOSE(WEEKDAY(A701,2),"Пн","Вт","Ср","Чт","Пт","Сб","Вс"))</f>
        <v/>
      </c>
      <c r="C701" s="59" t="n"/>
      <c r="D701" s="59" t="n"/>
      <c r="E701" s="60">
        <f>IF(OR(C701="",D701=""),"",MOD(D701-C701,1)*24)</f>
        <v/>
      </c>
      <c r="F701" s="50" t="n"/>
      <c r="G701" s="51" t="n"/>
      <c r="H701" s="51" t="n"/>
      <c r="I701" s="51" t="n"/>
      <c r="J701" s="51" t="n"/>
      <c r="K701" s="51" t="n"/>
      <c r="L701" s="54">
        <f>IF(OR(A701="",C701="",D701=""),"",IF(COUNTIFS($A$5:$A$3004,A701,$C$5:$C$3004,"&lt;"&amp;D701,$D$5:$D$3004,"&gt;"&amp;C701)&gt;1,"⚠️ пересечение",""))</f>
        <v/>
      </c>
      <c r="M701" s="54">
        <f>IF(F701="","",IF(J701="✅ Сделано","✔ ",IF(J701="❌ Пропущено","✖ ","⏰ "))&amp;IF(C701="","",RIGHT("0"&amp;HOUR(C701),2)&amp;":"&amp;RIGHT("0"&amp;MINUTE(C701),2)&amp;IF(D701="","","–"&amp;RIGHT("0"&amp;HOUR(D701),2)&amp;":"&amp;RIGHT("0"&amp;MINUTE(D701),2))&amp;" ")&amp;F701)</f>
        <v/>
      </c>
      <c r="N701" s="54">
        <f>IF(OR(A701="",F701=""),"",A701&amp;"#"&amp;(COUNTIFS($A$5:$A$3004,A701,$F$5:$F$3004,"?*",$O$5:$O$3004,"&lt;"&amp;O701)+COUNTIFS($A$5:A701,A701,$F$5:F701,"?*",$O$5:O701,O701)))</f>
        <v/>
      </c>
      <c r="O701" s="54">
        <f>IF(A701="","",IF(C701="",0,C701))</f>
        <v/>
      </c>
    </row>
    <row r="702">
      <c r="A702" s="58" t="n"/>
      <c r="B702" s="49">
        <f>IF(A702="","",CHOOSE(WEEKDAY(A702,2),"Пн","Вт","Ср","Чт","Пт","Сб","Вс"))</f>
        <v/>
      </c>
      <c r="C702" s="59" t="n"/>
      <c r="D702" s="59" t="n"/>
      <c r="E702" s="60">
        <f>IF(OR(C702="",D702=""),"",MOD(D702-C702,1)*24)</f>
        <v/>
      </c>
      <c r="F702" s="50" t="n"/>
      <c r="G702" s="51" t="n"/>
      <c r="H702" s="51" t="n"/>
      <c r="I702" s="51" t="n"/>
      <c r="J702" s="51" t="n"/>
      <c r="K702" s="51" t="n"/>
      <c r="L702" s="54">
        <f>IF(OR(A702="",C702="",D702=""),"",IF(COUNTIFS($A$5:$A$3004,A702,$C$5:$C$3004,"&lt;"&amp;D702,$D$5:$D$3004,"&gt;"&amp;C702)&gt;1,"⚠️ пересечение",""))</f>
        <v/>
      </c>
      <c r="M702" s="54">
        <f>IF(F702="","",IF(J702="✅ Сделано","✔ ",IF(J702="❌ Пропущено","✖ ","⏰ "))&amp;IF(C702="","",RIGHT("0"&amp;HOUR(C702),2)&amp;":"&amp;RIGHT("0"&amp;MINUTE(C702),2)&amp;IF(D702="","","–"&amp;RIGHT("0"&amp;HOUR(D702),2)&amp;":"&amp;RIGHT("0"&amp;MINUTE(D702),2))&amp;" ")&amp;F702)</f>
        <v/>
      </c>
      <c r="N702" s="54">
        <f>IF(OR(A702="",F702=""),"",A702&amp;"#"&amp;(COUNTIFS($A$5:$A$3004,A702,$F$5:$F$3004,"?*",$O$5:$O$3004,"&lt;"&amp;O702)+COUNTIFS($A$5:A702,A702,$F$5:F702,"?*",$O$5:O702,O702)))</f>
        <v/>
      </c>
      <c r="O702" s="54">
        <f>IF(A702="","",IF(C702="",0,C702))</f>
        <v/>
      </c>
    </row>
    <row r="703">
      <c r="A703" s="58" t="n"/>
      <c r="B703" s="49">
        <f>IF(A703="","",CHOOSE(WEEKDAY(A703,2),"Пн","Вт","Ср","Чт","Пт","Сб","Вс"))</f>
        <v/>
      </c>
      <c r="C703" s="59" t="n"/>
      <c r="D703" s="59" t="n"/>
      <c r="E703" s="60">
        <f>IF(OR(C703="",D703=""),"",MOD(D703-C703,1)*24)</f>
        <v/>
      </c>
      <c r="F703" s="50" t="n"/>
      <c r="G703" s="51" t="n"/>
      <c r="H703" s="51" t="n"/>
      <c r="I703" s="51" t="n"/>
      <c r="J703" s="51" t="n"/>
      <c r="K703" s="51" t="n"/>
      <c r="L703" s="54">
        <f>IF(OR(A703="",C703="",D703=""),"",IF(COUNTIFS($A$5:$A$3004,A703,$C$5:$C$3004,"&lt;"&amp;D703,$D$5:$D$3004,"&gt;"&amp;C703)&gt;1,"⚠️ пересечение",""))</f>
        <v/>
      </c>
      <c r="M703" s="54">
        <f>IF(F703="","",IF(J703="✅ Сделано","✔ ",IF(J703="❌ Пропущено","✖ ","⏰ "))&amp;IF(C703="","",RIGHT("0"&amp;HOUR(C703),2)&amp;":"&amp;RIGHT("0"&amp;MINUTE(C703),2)&amp;IF(D703="","","–"&amp;RIGHT("0"&amp;HOUR(D703),2)&amp;":"&amp;RIGHT("0"&amp;MINUTE(D703),2))&amp;" ")&amp;F703)</f>
        <v/>
      </c>
      <c r="N703" s="54">
        <f>IF(OR(A703="",F703=""),"",A703&amp;"#"&amp;(COUNTIFS($A$5:$A$3004,A703,$F$5:$F$3004,"?*",$O$5:$O$3004,"&lt;"&amp;O703)+COUNTIFS($A$5:A703,A703,$F$5:F703,"?*",$O$5:O703,O703)))</f>
        <v/>
      </c>
      <c r="O703" s="54">
        <f>IF(A703="","",IF(C703="",0,C703))</f>
        <v/>
      </c>
    </row>
    <row r="704">
      <c r="A704" s="58" t="n"/>
      <c r="B704" s="49">
        <f>IF(A704="","",CHOOSE(WEEKDAY(A704,2),"Пн","Вт","Ср","Чт","Пт","Сб","Вс"))</f>
        <v/>
      </c>
      <c r="C704" s="59" t="n"/>
      <c r="D704" s="59" t="n"/>
      <c r="E704" s="60">
        <f>IF(OR(C704="",D704=""),"",MOD(D704-C704,1)*24)</f>
        <v/>
      </c>
      <c r="F704" s="50" t="n"/>
      <c r="G704" s="51" t="n"/>
      <c r="H704" s="51" t="n"/>
      <c r="I704" s="51" t="n"/>
      <c r="J704" s="51" t="n"/>
      <c r="K704" s="51" t="n"/>
      <c r="L704" s="54">
        <f>IF(OR(A704="",C704="",D704=""),"",IF(COUNTIFS($A$5:$A$3004,A704,$C$5:$C$3004,"&lt;"&amp;D704,$D$5:$D$3004,"&gt;"&amp;C704)&gt;1,"⚠️ пересечение",""))</f>
        <v/>
      </c>
      <c r="M704" s="54">
        <f>IF(F704="","",IF(J704="✅ Сделано","✔ ",IF(J704="❌ Пропущено","✖ ","⏰ "))&amp;IF(C704="","",RIGHT("0"&amp;HOUR(C704),2)&amp;":"&amp;RIGHT("0"&amp;MINUTE(C704),2)&amp;IF(D704="","","–"&amp;RIGHT("0"&amp;HOUR(D704),2)&amp;":"&amp;RIGHT("0"&amp;MINUTE(D704),2))&amp;" ")&amp;F704)</f>
        <v/>
      </c>
      <c r="N704" s="54">
        <f>IF(OR(A704="",F704=""),"",A704&amp;"#"&amp;(COUNTIFS($A$5:$A$3004,A704,$F$5:$F$3004,"?*",$O$5:$O$3004,"&lt;"&amp;O704)+COUNTIFS($A$5:A704,A704,$F$5:F704,"?*",$O$5:O704,O704)))</f>
        <v/>
      </c>
      <c r="O704" s="54">
        <f>IF(A704="","",IF(C704="",0,C704))</f>
        <v/>
      </c>
    </row>
    <row r="705">
      <c r="A705" s="58" t="n"/>
      <c r="B705" s="49">
        <f>IF(A705="","",CHOOSE(WEEKDAY(A705,2),"Пн","Вт","Ср","Чт","Пт","Сб","Вс"))</f>
        <v/>
      </c>
      <c r="C705" s="59" t="n"/>
      <c r="D705" s="59" t="n"/>
      <c r="E705" s="60">
        <f>IF(OR(C705="",D705=""),"",MOD(D705-C705,1)*24)</f>
        <v/>
      </c>
      <c r="F705" s="50" t="n"/>
      <c r="G705" s="51" t="n"/>
      <c r="H705" s="51" t="n"/>
      <c r="I705" s="51" t="n"/>
      <c r="J705" s="51" t="n"/>
      <c r="K705" s="51" t="n"/>
      <c r="L705" s="54">
        <f>IF(OR(A705="",C705="",D705=""),"",IF(COUNTIFS($A$5:$A$3004,A705,$C$5:$C$3004,"&lt;"&amp;D705,$D$5:$D$3004,"&gt;"&amp;C705)&gt;1,"⚠️ пересечение",""))</f>
        <v/>
      </c>
      <c r="M705" s="54">
        <f>IF(F705="","",IF(J705="✅ Сделано","✔ ",IF(J705="❌ Пропущено","✖ ","⏰ "))&amp;IF(C705="","",RIGHT("0"&amp;HOUR(C705),2)&amp;":"&amp;RIGHT("0"&amp;MINUTE(C705),2)&amp;IF(D705="","","–"&amp;RIGHT("0"&amp;HOUR(D705),2)&amp;":"&amp;RIGHT("0"&amp;MINUTE(D705),2))&amp;" ")&amp;F705)</f>
        <v/>
      </c>
      <c r="N705" s="54">
        <f>IF(OR(A705="",F705=""),"",A705&amp;"#"&amp;(COUNTIFS($A$5:$A$3004,A705,$F$5:$F$3004,"?*",$O$5:$O$3004,"&lt;"&amp;O705)+COUNTIFS($A$5:A705,A705,$F$5:F705,"?*",$O$5:O705,O705)))</f>
        <v/>
      </c>
      <c r="O705" s="54">
        <f>IF(A705="","",IF(C705="",0,C705))</f>
        <v/>
      </c>
    </row>
    <row r="706">
      <c r="A706" s="58" t="n"/>
      <c r="B706" s="49">
        <f>IF(A706="","",CHOOSE(WEEKDAY(A706,2),"Пн","Вт","Ср","Чт","Пт","Сб","Вс"))</f>
        <v/>
      </c>
      <c r="C706" s="59" t="n"/>
      <c r="D706" s="59" t="n"/>
      <c r="E706" s="60">
        <f>IF(OR(C706="",D706=""),"",MOD(D706-C706,1)*24)</f>
        <v/>
      </c>
      <c r="F706" s="50" t="n"/>
      <c r="G706" s="51" t="n"/>
      <c r="H706" s="51" t="n"/>
      <c r="I706" s="51" t="n"/>
      <c r="J706" s="51" t="n"/>
      <c r="K706" s="51" t="n"/>
      <c r="L706" s="54">
        <f>IF(OR(A706="",C706="",D706=""),"",IF(COUNTIFS($A$5:$A$3004,A706,$C$5:$C$3004,"&lt;"&amp;D706,$D$5:$D$3004,"&gt;"&amp;C706)&gt;1,"⚠️ пересечение",""))</f>
        <v/>
      </c>
      <c r="M706" s="54">
        <f>IF(F706="","",IF(J706="✅ Сделано","✔ ",IF(J706="❌ Пропущено","✖ ","⏰ "))&amp;IF(C706="","",RIGHT("0"&amp;HOUR(C706),2)&amp;":"&amp;RIGHT("0"&amp;MINUTE(C706),2)&amp;IF(D706="","","–"&amp;RIGHT("0"&amp;HOUR(D706),2)&amp;":"&amp;RIGHT("0"&amp;MINUTE(D706),2))&amp;" ")&amp;F706)</f>
        <v/>
      </c>
      <c r="N706" s="54">
        <f>IF(OR(A706="",F706=""),"",A706&amp;"#"&amp;(COUNTIFS($A$5:$A$3004,A706,$F$5:$F$3004,"?*",$O$5:$O$3004,"&lt;"&amp;O706)+COUNTIFS($A$5:A706,A706,$F$5:F706,"?*",$O$5:O706,O706)))</f>
        <v/>
      </c>
      <c r="O706" s="54">
        <f>IF(A706="","",IF(C706="",0,C706))</f>
        <v/>
      </c>
    </row>
    <row r="707">
      <c r="A707" s="58" t="n"/>
      <c r="B707" s="49">
        <f>IF(A707="","",CHOOSE(WEEKDAY(A707,2),"Пн","Вт","Ср","Чт","Пт","Сб","Вс"))</f>
        <v/>
      </c>
      <c r="C707" s="59" t="n"/>
      <c r="D707" s="59" t="n"/>
      <c r="E707" s="60">
        <f>IF(OR(C707="",D707=""),"",MOD(D707-C707,1)*24)</f>
        <v/>
      </c>
      <c r="F707" s="50" t="n"/>
      <c r="G707" s="51" t="n"/>
      <c r="H707" s="51" t="n"/>
      <c r="I707" s="51" t="n"/>
      <c r="J707" s="51" t="n"/>
      <c r="K707" s="51" t="n"/>
      <c r="L707" s="54">
        <f>IF(OR(A707="",C707="",D707=""),"",IF(COUNTIFS($A$5:$A$3004,A707,$C$5:$C$3004,"&lt;"&amp;D707,$D$5:$D$3004,"&gt;"&amp;C707)&gt;1,"⚠️ пересечение",""))</f>
        <v/>
      </c>
      <c r="M707" s="54">
        <f>IF(F707="","",IF(J707="✅ Сделано","✔ ",IF(J707="❌ Пропущено","✖ ","⏰ "))&amp;IF(C707="","",RIGHT("0"&amp;HOUR(C707),2)&amp;":"&amp;RIGHT("0"&amp;MINUTE(C707),2)&amp;IF(D707="","","–"&amp;RIGHT("0"&amp;HOUR(D707),2)&amp;":"&amp;RIGHT("0"&amp;MINUTE(D707),2))&amp;" ")&amp;F707)</f>
        <v/>
      </c>
      <c r="N707" s="54">
        <f>IF(OR(A707="",F707=""),"",A707&amp;"#"&amp;(COUNTIFS($A$5:$A$3004,A707,$F$5:$F$3004,"?*",$O$5:$O$3004,"&lt;"&amp;O707)+COUNTIFS($A$5:A707,A707,$F$5:F707,"?*",$O$5:O707,O707)))</f>
        <v/>
      </c>
      <c r="O707" s="54">
        <f>IF(A707="","",IF(C707="",0,C707))</f>
        <v/>
      </c>
    </row>
    <row r="708">
      <c r="A708" s="58" t="n"/>
      <c r="B708" s="49">
        <f>IF(A708="","",CHOOSE(WEEKDAY(A708,2),"Пн","Вт","Ср","Чт","Пт","Сб","Вс"))</f>
        <v/>
      </c>
      <c r="C708" s="59" t="n"/>
      <c r="D708" s="59" t="n"/>
      <c r="E708" s="60">
        <f>IF(OR(C708="",D708=""),"",MOD(D708-C708,1)*24)</f>
        <v/>
      </c>
      <c r="F708" s="50" t="n"/>
      <c r="G708" s="51" t="n"/>
      <c r="H708" s="51" t="n"/>
      <c r="I708" s="51" t="n"/>
      <c r="J708" s="51" t="n"/>
      <c r="K708" s="51" t="n"/>
      <c r="L708" s="54">
        <f>IF(OR(A708="",C708="",D708=""),"",IF(COUNTIFS($A$5:$A$3004,A708,$C$5:$C$3004,"&lt;"&amp;D708,$D$5:$D$3004,"&gt;"&amp;C708)&gt;1,"⚠️ пересечение",""))</f>
        <v/>
      </c>
      <c r="M708" s="54">
        <f>IF(F708="","",IF(J708="✅ Сделано","✔ ",IF(J708="❌ Пропущено","✖ ","⏰ "))&amp;IF(C708="","",RIGHT("0"&amp;HOUR(C708),2)&amp;":"&amp;RIGHT("0"&amp;MINUTE(C708),2)&amp;IF(D708="","","–"&amp;RIGHT("0"&amp;HOUR(D708),2)&amp;":"&amp;RIGHT("0"&amp;MINUTE(D708),2))&amp;" ")&amp;F708)</f>
        <v/>
      </c>
      <c r="N708" s="54">
        <f>IF(OR(A708="",F708=""),"",A708&amp;"#"&amp;(COUNTIFS($A$5:$A$3004,A708,$F$5:$F$3004,"?*",$O$5:$O$3004,"&lt;"&amp;O708)+COUNTIFS($A$5:A708,A708,$F$5:F708,"?*",$O$5:O708,O708)))</f>
        <v/>
      </c>
      <c r="O708" s="54">
        <f>IF(A708="","",IF(C708="",0,C708))</f>
        <v/>
      </c>
    </row>
    <row r="709">
      <c r="A709" s="58" t="n"/>
      <c r="B709" s="49">
        <f>IF(A709="","",CHOOSE(WEEKDAY(A709,2),"Пн","Вт","Ср","Чт","Пт","Сб","Вс"))</f>
        <v/>
      </c>
      <c r="C709" s="59" t="n"/>
      <c r="D709" s="59" t="n"/>
      <c r="E709" s="60">
        <f>IF(OR(C709="",D709=""),"",MOD(D709-C709,1)*24)</f>
        <v/>
      </c>
      <c r="F709" s="50" t="n"/>
      <c r="G709" s="51" t="n"/>
      <c r="H709" s="51" t="n"/>
      <c r="I709" s="51" t="n"/>
      <c r="J709" s="51" t="n"/>
      <c r="K709" s="51" t="n"/>
      <c r="L709" s="54">
        <f>IF(OR(A709="",C709="",D709=""),"",IF(COUNTIFS($A$5:$A$3004,A709,$C$5:$C$3004,"&lt;"&amp;D709,$D$5:$D$3004,"&gt;"&amp;C709)&gt;1,"⚠️ пересечение",""))</f>
        <v/>
      </c>
      <c r="M709" s="54">
        <f>IF(F709="","",IF(J709="✅ Сделано","✔ ",IF(J709="❌ Пропущено","✖ ","⏰ "))&amp;IF(C709="","",RIGHT("0"&amp;HOUR(C709),2)&amp;":"&amp;RIGHT("0"&amp;MINUTE(C709),2)&amp;IF(D709="","","–"&amp;RIGHT("0"&amp;HOUR(D709),2)&amp;":"&amp;RIGHT("0"&amp;MINUTE(D709),2))&amp;" ")&amp;F709)</f>
        <v/>
      </c>
      <c r="N709" s="54">
        <f>IF(OR(A709="",F709=""),"",A709&amp;"#"&amp;(COUNTIFS($A$5:$A$3004,A709,$F$5:$F$3004,"?*",$O$5:$O$3004,"&lt;"&amp;O709)+COUNTIFS($A$5:A709,A709,$F$5:F709,"?*",$O$5:O709,O709)))</f>
        <v/>
      </c>
      <c r="O709" s="54">
        <f>IF(A709="","",IF(C709="",0,C709))</f>
        <v/>
      </c>
    </row>
    <row r="710">
      <c r="A710" s="58" t="n"/>
      <c r="B710" s="49">
        <f>IF(A710="","",CHOOSE(WEEKDAY(A710,2),"Пн","Вт","Ср","Чт","Пт","Сб","Вс"))</f>
        <v/>
      </c>
      <c r="C710" s="59" t="n"/>
      <c r="D710" s="59" t="n"/>
      <c r="E710" s="60">
        <f>IF(OR(C710="",D710=""),"",MOD(D710-C710,1)*24)</f>
        <v/>
      </c>
      <c r="F710" s="50" t="n"/>
      <c r="G710" s="51" t="n"/>
      <c r="H710" s="51" t="n"/>
      <c r="I710" s="51" t="n"/>
      <c r="J710" s="51" t="n"/>
      <c r="K710" s="51" t="n"/>
      <c r="L710" s="54">
        <f>IF(OR(A710="",C710="",D710=""),"",IF(COUNTIFS($A$5:$A$3004,A710,$C$5:$C$3004,"&lt;"&amp;D710,$D$5:$D$3004,"&gt;"&amp;C710)&gt;1,"⚠️ пересечение",""))</f>
        <v/>
      </c>
      <c r="M710" s="54">
        <f>IF(F710="","",IF(J710="✅ Сделано","✔ ",IF(J710="❌ Пропущено","✖ ","⏰ "))&amp;IF(C710="","",RIGHT("0"&amp;HOUR(C710),2)&amp;":"&amp;RIGHT("0"&amp;MINUTE(C710),2)&amp;IF(D710="","","–"&amp;RIGHT("0"&amp;HOUR(D710),2)&amp;":"&amp;RIGHT("0"&amp;MINUTE(D710),2))&amp;" ")&amp;F710)</f>
        <v/>
      </c>
      <c r="N710" s="54">
        <f>IF(OR(A710="",F710=""),"",A710&amp;"#"&amp;(COUNTIFS($A$5:$A$3004,A710,$F$5:$F$3004,"?*",$O$5:$O$3004,"&lt;"&amp;O710)+COUNTIFS($A$5:A710,A710,$F$5:F710,"?*",$O$5:O710,O710)))</f>
        <v/>
      </c>
      <c r="O710" s="54">
        <f>IF(A710="","",IF(C710="",0,C710))</f>
        <v/>
      </c>
    </row>
    <row r="711">
      <c r="A711" s="58" t="n"/>
      <c r="B711" s="49">
        <f>IF(A711="","",CHOOSE(WEEKDAY(A711,2),"Пн","Вт","Ср","Чт","Пт","Сб","Вс"))</f>
        <v/>
      </c>
      <c r="C711" s="59" t="n"/>
      <c r="D711" s="59" t="n"/>
      <c r="E711" s="60">
        <f>IF(OR(C711="",D711=""),"",MOD(D711-C711,1)*24)</f>
        <v/>
      </c>
      <c r="F711" s="50" t="n"/>
      <c r="G711" s="51" t="n"/>
      <c r="H711" s="51" t="n"/>
      <c r="I711" s="51" t="n"/>
      <c r="J711" s="51" t="n"/>
      <c r="K711" s="51" t="n"/>
      <c r="L711" s="54">
        <f>IF(OR(A711="",C711="",D711=""),"",IF(COUNTIFS($A$5:$A$3004,A711,$C$5:$C$3004,"&lt;"&amp;D711,$D$5:$D$3004,"&gt;"&amp;C711)&gt;1,"⚠️ пересечение",""))</f>
        <v/>
      </c>
      <c r="M711" s="54">
        <f>IF(F711="","",IF(J711="✅ Сделано","✔ ",IF(J711="❌ Пропущено","✖ ","⏰ "))&amp;IF(C711="","",RIGHT("0"&amp;HOUR(C711),2)&amp;":"&amp;RIGHT("0"&amp;MINUTE(C711),2)&amp;IF(D711="","","–"&amp;RIGHT("0"&amp;HOUR(D711),2)&amp;":"&amp;RIGHT("0"&amp;MINUTE(D711),2))&amp;" ")&amp;F711)</f>
        <v/>
      </c>
      <c r="N711" s="54">
        <f>IF(OR(A711="",F711=""),"",A711&amp;"#"&amp;(COUNTIFS($A$5:$A$3004,A711,$F$5:$F$3004,"?*",$O$5:$O$3004,"&lt;"&amp;O711)+COUNTIFS($A$5:A711,A711,$F$5:F711,"?*",$O$5:O711,O711)))</f>
        <v/>
      </c>
      <c r="O711" s="54">
        <f>IF(A711="","",IF(C711="",0,C711))</f>
        <v/>
      </c>
    </row>
    <row r="712">
      <c r="A712" s="58" t="n"/>
      <c r="B712" s="49">
        <f>IF(A712="","",CHOOSE(WEEKDAY(A712,2),"Пн","Вт","Ср","Чт","Пт","Сб","Вс"))</f>
        <v/>
      </c>
      <c r="C712" s="59" t="n"/>
      <c r="D712" s="59" t="n"/>
      <c r="E712" s="60">
        <f>IF(OR(C712="",D712=""),"",MOD(D712-C712,1)*24)</f>
        <v/>
      </c>
      <c r="F712" s="50" t="n"/>
      <c r="G712" s="51" t="n"/>
      <c r="H712" s="51" t="n"/>
      <c r="I712" s="51" t="n"/>
      <c r="J712" s="51" t="n"/>
      <c r="K712" s="51" t="n"/>
      <c r="L712" s="54">
        <f>IF(OR(A712="",C712="",D712=""),"",IF(COUNTIFS($A$5:$A$3004,A712,$C$5:$C$3004,"&lt;"&amp;D712,$D$5:$D$3004,"&gt;"&amp;C712)&gt;1,"⚠️ пересечение",""))</f>
        <v/>
      </c>
      <c r="M712" s="54">
        <f>IF(F712="","",IF(J712="✅ Сделано","✔ ",IF(J712="❌ Пропущено","✖ ","⏰ "))&amp;IF(C712="","",RIGHT("0"&amp;HOUR(C712),2)&amp;":"&amp;RIGHT("0"&amp;MINUTE(C712),2)&amp;IF(D712="","","–"&amp;RIGHT("0"&amp;HOUR(D712),2)&amp;":"&amp;RIGHT("0"&amp;MINUTE(D712),2))&amp;" ")&amp;F712)</f>
        <v/>
      </c>
      <c r="N712" s="54">
        <f>IF(OR(A712="",F712=""),"",A712&amp;"#"&amp;(COUNTIFS($A$5:$A$3004,A712,$F$5:$F$3004,"?*",$O$5:$O$3004,"&lt;"&amp;O712)+COUNTIFS($A$5:A712,A712,$F$5:F712,"?*",$O$5:O712,O712)))</f>
        <v/>
      </c>
      <c r="O712" s="54">
        <f>IF(A712="","",IF(C712="",0,C712))</f>
        <v/>
      </c>
    </row>
    <row r="713">
      <c r="A713" s="58" t="n"/>
      <c r="B713" s="49">
        <f>IF(A713="","",CHOOSE(WEEKDAY(A713,2),"Пн","Вт","Ср","Чт","Пт","Сб","Вс"))</f>
        <v/>
      </c>
      <c r="C713" s="59" t="n"/>
      <c r="D713" s="59" t="n"/>
      <c r="E713" s="60">
        <f>IF(OR(C713="",D713=""),"",MOD(D713-C713,1)*24)</f>
        <v/>
      </c>
      <c r="F713" s="50" t="n"/>
      <c r="G713" s="51" t="n"/>
      <c r="H713" s="51" t="n"/>
      <c r="I713" s="51" t="n"/>
      <c r="J713" s="51" t="n"/>
      <c r="K713" s="51" t="n"/>
      <c r="L713" s="54">
        <f>IF(OR(A713="",C713="",D713=""),"",IF(COUNTIFS($A$5:$A$3004,A713,$C$5:$C$3004,"&lt;"&amp;D713,$D$5:$D$3004,"&gt;"&amp;C713)&gt;1,"⚠️ пересечение",""))</f>
        <v/>
      </c>
      <c r="M713" s="54">
        <f>IF(F713="","",IF(J713="✅ Сделано","✔ ",IF(J713="❌ Пропущено","✖ ","⏰ "))&amp;IF(C713="","",RIGHT("0"&amp;HOUR(C713),2)&amp;":"&amp;RIGHT("0"&amp;MINUTE(C713),2)&amp;IF(D713="","","–"&amp;RIGHT("0"&amp;HOUR(D713),2)&amp;":"&amp;RIGHT("0"&amp;MINUTE(D713),2))&amp;" ")&amp;F713)</f>
        <v/>
      </c>
      <c r="N713" s="54">
        <f>IF(OR(A713="",F713=""),"",A713&amp;"#"&amp;(COUNTIFS($A$5:$A$3004,A713,$F$5:$F$3004,"?*",$O$5:$O$3004,"&lt;"&amp;O713)+COUNTIFS($A$5:A713,A713,$F$5:F713,"?*",$O$5:O713,O713)))</f>
        <v/>
      </c>
      <c r="O713" s="54">
        <f>IF(A713="","",IF(C713="",0,C713))</f>
        <v/>
      </c>
    </row>
    <row r="714">
      <c r="A714" s="58" t="n"/>
      <c r="B714" s="49">
        <f>IF(A714="","",CHOOSE(WEEKDAY(A714,2),"Пн","Вт","Ср","Чт","Пт","Сб","Вс"))</f>
        <v/>
      </c>
      <c r="C714" s="59" t="n"/>
      <c r="D714" s="59" t="n"/>
      <c r="E714" s="60">
        <f>IF(OR(C714="",D714=""),"",MOD(D714-C714,1)*24)</f>
        <v/>
      </c>
      <c r="F714" s="50" t="n"/>
      <c r="G714" s="51" t="n"/>
      <c r="H714" s="51" t="n"/>
      <c r="I714" s="51" t="n"/>
      <c r="J714" s="51" t="n"/>
      <c r="K714" s="51" t="n"/>
      <c r="L714" s="54">
        <f>IF(OR(A714="",C714="",D714=""),"",IF(COUNTIFS($A$5:$A$3004,A714,$C$5:$C$3004,"&lt;"&amp;D714,$D$5:$D$3004,"&gt;"&amp;C714)&gt;1,"⚠️ пересечение",""))</f>
        <v/>
      </c>
      <c r="M714" s="54">
        <f>IF(F714="","",IF(J714="✅ Сделано","✔ ",IF(J714="❌ Пропущено","✖ ","⏰ "))&amp;IF(C714="","",RIGHT("0"&amp;HOUR(C714),2)&amp;":"&amp;RIGHT("0"&amp;MINUTE(C714),2)&amp;IF(D714="","","–"&amp;RIGHT("0"&amp;HOUR(D714),2)&amp;":"&amp;RIGHT("0"&amp;MINUTE(D714),2))&amp;" ")&amp;F714)</f>
        <v/>
      </c>
      <c r="N714" s="54">
        <f>IF(OR(A714="",F714=""),"",A714&amp;"#"&amp;(COUNTIFS($A$5:$A$3004,A714,$F$5:$F$3004,"?*",$O$5:$O$3004,"&lt;"&amp;O714)+COUNTIFS($A$5:A714,A714,$F$5:F714,"?*",$O$5:O714,O714)))</f>
        <v/>
      </c>
      <c r="O714" s="54">
        <f>IF(A714="","",IF(C714="",0,C714))</f>
        <v/>
      </c>
    </row>
    <row r="715">
      <c r="A715" s="58" t="n"/>
      <c r="B715" s="49">
        <f>IF(A715="","",CHOOSE(WEEKDAY(A715,2),"Пн","Вт","Ср","Чт","Пт","Сб","Вс"))</f>
        <v/>
      </c>
      <c r="C715" s="59" t="n"/>
      <c r="D715" s="59" t="n"/>
      <c r="E715" s="60">
        <f>IF(OR(C715="",D715=""),"",MOD(D715-C715,1)*24)</f>
        <v/>
      </c>
      <c r="F715" s="50" t="n"/>
      <c r="G715" s="51" t="n"/>
      <c r="H715" s="51" t="n"/>
      <c r="I715" s="51" t="n"/>
      <c r="J715" s="51" t="n"/>
      <c r="K715" s="51" t="n"/>
      <c r="L715" s="54">
        <f>IF(OR(A715="",C715="",D715=""),"",IF(COUNTIFS($A$5:$A$3004,A715,$C$5:$C$3004,"&lt;"&amp;D715,$D$5:$D$3004,"&gt;"&amp;C715)&gt;1,"⚠️ пересечение",""))</f>
        <v/>
      </c>
      <c r="M715" s="54">
        <f>IF(F715="","",IF(J715="✅ Сделано","✔ ",IF(J715="❌ Пропущено","✖ ","⏰ "))&amp;IF(C715="","",RIGHT("0"&amp;HOUR(C715),2)&amp;":"&amp;RIGHT("0"&amp;MINUTE(C715),2)&amp;IF(D715="","","–"&amp;RIGHT("0"&amp;HOUR(D715),2)&amp;":"&amp;RIGHT("0"&amp;MINUTE(D715),2))&amp;" ")&amp;F715)</f>
        <v/>
      </c>
      <c r="N715" s="54">
        <f>IF(OR(A715="",F715=""),"",A715&amp;"#"&amp;(COUNTIFS($A$5:$A$3004,A715,$F$5:$F$3004,"?*",$O$5:$O$3004,"&lt;"&amp;O715)+COUNTIFS($A$5:A715,A715,$F$5:F715,"?*",$O$5:O715,O715)))</f>
        <v/>
      </c>
      <c r="O715" s="54">
        <f>IF(A715="","",IF(C715="",0,C715))</f>
        <v/>
      </c>
    </row>
    <row r="716">
      <c r="A716" s="58" t="n"/>
      <c r="B716" s="49">
        <f>IF(A716="","",CHOOSE(WEEKDAY(A716,2),"Пн","Вт","Ср","Чт","Пт","Сб","Вс"))</f>
        <v/>
      </c>
      <c r="C716" s="59" t="n"/>
      <c r="D716" s="59" t="n"/>
      <c r="E716" s="60">
        <f>IF(OR(C716="",D716=""),"",MOD(D716-C716,1)*24)</f>
        <v/>
      </c>
      <c r="F716" s="50" t="n"/>
      <c r="G716" s="51" t="n"/>
      <c r="H716" s="51" t="n"/>
      <c r="I716" s="51" t="n"/>
      <c r="J716" s="51" t="n"/>
      <c r="K716" s="51" t="n"/>
      <c r="L716" s="54">
        <f>IF(OR(A716="",C716="",D716=""),"",IF(COUNTIFS($A$5:$A$3004,A716,$C$5:$C$3004,"&lt;"&amp;D716,$D$5:$D$3004,"&gt;"&amp;C716)&gt;1,"⚠️ пересечение",""))</f>
        <v/>
      </c>
      <c r="M716" s="54">
        <f>IF(F716="","",IF(J716="✅ Сделано","✔ ",IF(J716="❌ Пропущено","✖ ","⏰ "))&amp;IF(C716="","",RIGHT("0"&amp;HOUR(C716),2)&amp;":"&amp;RIGHT("0"&amp;MINUTE(C716),2)&amp;IF(D716="","","–"&amp;RIGHT("0"&amp;HOUR(D716),2)&amp;":"&amp;RIGHT("0"&amp;MINUTE(D716),2))&amp;" ")&amp;F716)</f>
        <v/>
      </c>
      <c r="N716" s="54">
        <f>IF(OR(A716="",F716=""),"",A716&amp;"#"&amp;(COUNTIFS($A$5:$A$3004,A716,$F$5:$F$3004,"?*",$O$5:$O$3004,"&lt;"&amp;O716)+COUNTIFS($A$5:A716,A716,$F$5:F716,"?*",$O$5:O716,O716)))</f>
        <v/>
      </c>
      <c r="O716" s="54">
        <f>IF(A716="","",IF(C716="",0,C716))</f>
        <v/>
      </c>
    </row>
    <row r="717">
      <c r="A717" s="58" t="n"/>
      <c r="B717" s="49">
        <f>IF(A717="","",CHOOSE(WEEKDAY(A717,2),"Пн","Вт","Ср","Чт","Пт","Сб","Вс"))</f>
        <v/>
      </c>
      <c r="C717" s="59" t="n"/>
      <c r="D717" s="59" t="n"/>
      <c r="E717" s="60">
        <f>IF(OR(C717="",D717=""),"",MOD(D717-C717,1)*24)</f>
        <v/>
      </c>
      <c r="F717" s="50" t="n"/>
      <c r="G717" s="51" t="n"/>
      <c r="H717" s="51" t="n"/>
      <c r="I717" s="51" t="n"/>
      <c r="J717" s="51" t="n"/>
      <c r="K717" s="51" t="n"/>
      <c r="L717" s="54">
        <f>IF(OR(A717="",C717="",D717=""),"",IF(COUNTIFS($A$5:$A$3004,A717,$C$5:$C$3004,"&lt;"&amp;D717,$D$5:$D$3004,"&gt;"&amp;C717)&gt;1,"⚠️ пересечение",""))</f>
        <v/>
      </c>
      <c r="M717" s="54">
        <f>IF(F717="","",IF(J717="✅ Сделано","✔ ",IF(J717="❌ Пропущено","✖ ","⏰ "))&amp;IF(C717="","",RIGHT("0"&amp;HOUR(C717),2)&amp;":"&amp;RIGHT("0"&amp;MINUTE(C717),2)&amp;IF(D717="","","–"&amp;RIGHT("0"&amp;HOUR(D717),2)&amp;":"&amp;RIGHT("0"&amp;MINUTE(D717),2))&amp;" ")&amp;F717)</f>
        <v/>
      </c>
      <c r="N717" s="54">
        <f>IF(OR(A717="",F717=""),"",A717&amp;"#"&amp;(COUNTIFS($A$5:$A$3004,A717,$F$5:$F$3004,"?*",$O$5:$O$3004,"&lt;"&amp;O717)+COUNTIFS($A$5:A717,A717,$F$5:F717,"?*",$O$5:O717,O717)))</f>
        <v/>
      </c>
      <c r="O717" s="54">
        <f>IF(A717="","",IF(C717="",0,C717))</f>
        <v/>
      </c>
    </row>
    <row r="718">
      <c r="A718" s="58" t="n"/>
      <c r="B718" s="49">
        <f>IF(A718="","",CHOOSE(WEEKDAY(A718,2),"Пн","Вт","Ср","Чт","Пт","Сб","Вс"))</f>
        <v/>
      </c>
      <c r="C718" s="59" t="n"/>
      <c r="D718" s="59" t="n"/>
      <c r="E718" s="60">
        <f>IF(OR(C718="",D718=""),"",MOD(D718-C718,1)*24)</f>
        <v/>
      </c>
      <c r="F718" s="50" t="n"/>
      <c r="G718" s="51" t="n"/>
      <c r="H718" s="51" t="n"/>
      <c r="I718" s="51" t="n"/>
      <c r="J718" s="51" t="n"/>
      <c r="K718" s="51" t="n"/>
      <c r="L718" s="54">
        <f>IF(OR(A718="",C718="",D718=""),"",IF(COUNTIFS($A$5:$A$3004,A718,$C$5:$C$3004,"&lt;"&amp;D718,$D$5:$D$3004,"&gt;"&amp;C718)&gt;1,"⚠️ пересечение",""))</f>
        <v/>
      </c>
      <c r="M718" s="54">
        <f>IF(F718="","",IF(J718="✅ Сделано","✔ ",IF(J718="❌ Пропущено","✖ ","⏰ "))&amp;IF(C718="","",RIGHT("0"&amp;HOUR(C718),2)&amp;":"&amp;RIGHT("0"&amp;MINUTE(C718),2)&amp;IF(D718="","","–"&amp;RIGHT("0"&amp;HOUR(D718),2)&amp;":"&amp;RIGHT("0"&amp;MINUTE(D718),2))&amp;" ")&amp;F718)</f>
        <v/>
      </c>
      <c r="N718" s="54">
        <f>IF(OR(A718="",F718=""),"",A718&amp;"#"&amp;(COUNTIFS($A$5:$A$3004,A718,$F$5:$F$3004,"?*",$O$5:$O$3004,"&lt;"&amp;O718)+COUNTIFS($A$5:A718,A718,$F$5:F718,"?*",$O$5:O718,O718)))</f>
        <v/>
      </c>
      <c r="O718" s="54">
        <f>IF(A718="","",IF(C718="",0,C718))</f>
        <v/>
      </c>
    </row>
    <row r="719">
      <c r="A719" s="58" t="n"/>
      <c r="B719" s="49">
        <f>IF(A719="","",CHOOSE(WEEKDAY(A719,2),"Пн","Вт","Ср","Чт","Пт","Сб","Вс"))</f>
        <v/>
      </c>
      <c r="C719" s="59" t="n"/>
      <c r="D719" s="59" t="n"/>
      <c r="E719" s="60">
        <f>IF(OR(C719="",D719=""),"",MOD(D719-C719,1)*24)</f>
        <v/>
      </c>
      <c r="F719" s="50" t="n"/>
      <c r="G719" s="51" t="n"/>
      <c r="H719" s="51" t="n"/>
      <c r="I719" s="51" t="n"/>
      <c r="J719" s="51" t="n"/>
      <c r="K719" s="51" t="n"/>
      <c r="L719" s="54">
        <f>IF(OR(A719="",C719="",D719=""),"",IF(COUNTIFS($A$5:$A$3004,A719,$C$5:$C$3004,"&lt;"&amp;D719,$D$5:$D$3004,"&gt;"&amp;C719)&gt;1,"⚠️ пересечение",""))</f>
        <v/>
      </c>
      <c r="M719" s="54">
        <f>IF(F719="","",IF(J719="✅ Сделано","✔ ",IF(J719="❌ Пропущено","✖ ","⏰ "))&amp;IF(C719="","",RIGHT("0"&amp;HOUR(C719),2)&amp;":"&amp;RIGHT("0"&amp;MINUTE(C719),2)&amp;IF(D719="","","–"&amp;RIGHT("0"&amp;HOUR(D719),2)&amp;":"&amp;RIGHT("0"&amp;MINUTE(D719),2))&amp;" ")&amp;F719)</f>
        <v/>
      </c>
      <c r="N719" s="54">
        <f>IF(OR(A719="",F719=""),"",A719&amp;"#"&amp;(COUNTIFS($A$5:$A$3004,A719,$F$5:$F$3004,"?*",$O$5:$O$3004,"&lt;"&amp;O719)+COUNTIFS($A$5:A719,A719,$F$5:F719,"?*",$O$5:O719,O719)))</f>
        <v/>
      </c>
      <c r="O719" s="54">
        <f>IF(A719="","",IF(C719="",0,C719))</f>
        <v/>
      </c>
    </row>
    <row r="720">
      <c r="A720" s="58" t="n"/>
      <c r="B720" s="49">
        <f>IF(A720="","",CHOOSE(WEEKDAY(A720,2),"Пн","Вт","Ср","Чт","Пт","Сб","Вс"))</f>
        <v/>
      </c>
      <c r="C720" s="59" t="n"/>
      <c r="D720" s="59" t="n"/>
      <c r="E720" s="60">
        <f>IF(OR(C720="",D720=""),"",MOD(D720-C720,1)*24)</f>
        <v/>
      </c>
      <c r="F720" s="50" t="n"/>
      <c r="G720" s="51" t="n"/>
      <c r="H720" s="51" t="n"/>
      <c r="I720" s="51" t="n"/>
      <c r="J720" s="51" t="n"/>
      <c r="K720" s="51" t="n"/>
      <c r="L720" s="54">
        <f>IF(OR(A720="",C720="",D720=""),"",IF(COUNTIFS($A$5:$A$3004,A720,$C$5:$C$3004,"&lt;"&amp;D720,$D$5:$D$3004,"&gt;"&amp;C720)&gt;1,"⚠️ пересечение",""))</f>
        <v/>
      </c>
      <c r="M720" s="54">
        <f>IF(F720="","",IF(J720="✅ Сделано","✔ ",IF(J720="❌ Пропущено","✖ ","⏰ "))&amp;IF(C720="","",RIGHT("0"&amp;HOUR(C720),2)&amp;":"&amp;RIGHT("0"&amp;MINUTE(C720),2)&amp;IF(D720="","","–"&amp;RIGHT("0"&amp;HOUR(D720),2)&amp;":"&amp;RIGHT("0"&amp;MINUTE(D720),2))&amp;" ")&amp;F720)</f>
        <v/>
      </c>
      <c r="N720" s="54">
        <f>IF(OR(A720="",F720=""),"",A720&amp;"#"&amp;(COUNTIFS($A$5:$A$3004,A720,$F$5:$F$3004,"?*",$O$5:$O$3004,"&lt;"&amp;O720)+COUNTIFS($A$5:A720,A720,$F$5:F720,"?*",$O$5:O720,O720)))</f>
        <v/>
      </c>
      <c r="O720" s="54">
        <f>IF(A720="","",IF(C720="",0,C720))</f>
        <v/>
      </c>
    </row>
    <row r="721">
      <c r="A721" s="58" t="n"/>
      <c r="B721" s="49">
        <f>IF(A721="","",CHOOSE(WEEKDAY(A721,2),"Пн","Вт","Ср","Чт","Пт","Сб","Вс"))</f>
        <v/>
      </c>
      <c r="C721" s="59" t="n"/>
      <c r="D721" s="59" t="n"/>
      <c r="E721" s="60">
        <f>IF(OR(C721="",D721=""),"",MOD(D721-C721,1)*24)</f>
        <v/>
      </c>
      <c r="F721" s="50" t="n"/>
      <c r="G721" s="51" t="n"/>
      <c r="H721" s="51" t="n"/>
      <c r="I721" s="51" t="n"/>
      <c r="J721" s="51" t="n"/>
      <c r="K721" s="51" t="n"/>
      <c r="L721" s="54">
        <f>IF(OR(A721="",C721="",D721=""),"",IF(COUNTIFS($A$5:$A$3004,A721,$C$5:$C$3004,"&lt;"&amp;D721,$D$5:$D$3004,"&gt;"&amp;C721)&gt;1,"⚠️ пересечение",""))</f>
        <v/>
      </c>
      <c r="M721" s="54">
        <f>IF(F721="","",IF(J721="✅ Сделано","✔ ",IF(J721="❌ Пропущено","✖ ","⏰ "))&amp;IF(C721="","",RIGHT("0"&amp;HOUR(C721),2)&amp;":"&amp;RIGHT("0"&amp;MINUTE(C721),2)&amp;IF(D721="","","–"&amp;RIGHT("0"&amp;HOUR(D721),2)&amp;":"&amp;RIGHT("0"&amp;MINUTE(D721),2))&amp;" ")&amp;F721)</f>
        <v/>
      </c>
      <c r="N721" s="54">
        <f>IF(OR(A721="",F721=""),"",A721&amp;"#"&amp;(COUNTIFS($A$5:$A$3004,A721,$F$5:$F$3004,"?*",$O$5:$O$3004,"&lt;"&amp;O721)+COUNTIFS($A$5:A721,A721,$F$5:F721,"?*",$O$5:O721,O721)))</f>
        <v/>
      </c>
      <c r="O721" s="54">
        <f>IF(A721="","",IF(C721="",0,C721))</f>
        <v/>
      </c>
    </row>
    <row r="722">
      <c r="A722" s="58" t="n"/>
      <c r="B722" s="49">
        <f>IF(A722="","",CHOOSE(WEEKDAY(A722,2),"Пн","Вт","Ср","Чт","Пт","Сб","Вс"))</f>
        <v/>
      </c>
      <c r="C722" s="59" t="n"/>
      <c r="D722" s="59" t="n"/>
      <c r="E722" s="60">
        <f>IF(OR(C722="",D722=""),"",MOD(D722-C722,1)*24)</f>
        <v/>
      </c>
      <c r="F722" s="50" t="n"/>
      <c r="G722" s="51" t="n"/>
      <c r="H722" s="51" t="n"/>
      <c r="I722" s="51" t="n"/>
      <c r="J722" s="51" t="n"/>
      <c r="K722" s="51" t="n"/>
      <c r="L722" s="54">
        <f>IF(OR(A722="",C722="",D722=""),"",IF(COUNTIFS($A$5:$A$3004,A722,$C$5:$C$3004,"&lt;"&amp;D722,$D$5:$D$3004,"&gt;"&amp;C722)&gt;1,"⚠️ пересечение",""))</f>
        <v/>
      </c>
      <c r="M722" s="54">
        <f>IF(F722="","",IF(J722="✅ Сделано","✔ ",IF(J722="❌ Пропущено","✖ ","⏰ "))&amp;IF(C722="","",RIGHT("0"&amp;HOUR(C722),2)&amp;":"&amp;RIGHT("0"&amp;MINUTE(C722),2)&amp;IF(D722="","","–"&amp;RIGHT("0"&amp;HOUR(D722),2)&amp;":"&amp;RIGHT("0"&amp;MINUTE(D722),2))&amp;" ")&amp;F722)</f>
        <v/>
      </c>
      <c r="N722" s="54">
        <f>IF(OR(A722="",F722=""),"",A722&amp;"#"&amp;(COUNTIFS($A$5:$A$3004,A722,$F$5:$F$3004,"?*",$O$5:$O$3004,"&lt;"&amp;O722)+COUNTIFS($A$5:A722,A722,$F$5:F722,"?*",$O$5:O722,O722)))</f>
        <v/>
      </c>
      <c r="O722" s="54">
        <f>IF(A722="","",IF(C722="",0,C722))</f>
        <v/>
      </c>
    </row>
    <row r="723">
      <c r="A723" s="58" t="n"/>
      <c r="B723" s="49">
        <f>IF(A723="","",CHOOSE(WEEKDAY(A723,2),"Пн","Вт","Ср","Чт","Пт","Сб","Вс"))</f>
        <v/>
      </c>
      <c r="C723" s="59" t="n"/>
      <c r="D723" s="59" t="n"/>
      <c r="E723" s="60">
        <f>IF(OR(C723="",D723=""),"",MOD(D723-C723,1)*24)</f>
        <v/>
      </c>
      <c r="F723" s="50" t="n"/>
      <c r="G723" s="51" t="n"/>
      <c r="H723" s="51" t="n"/>
      <c r="I723" s="51" t="n"/>
      <c r="J723" s="51" t="n"/>
      <c r="K723" s="51" t="n"/>
      <c r="L723" s="54">
        <f>IF(OR(A723="",C723="",D723=""),"",IF(COUNTIFS($A$5:$A$3004,A723,$C$5:$C$3004,"&lt;"&amp;D723,$D$5:$D$3004,"&gt;"&amp;C723)&gt;1,"⚠️ пересечение",""))</f>
        <v/>
      </c>
      <c r="M723" s="54">
        <f>IF(F723="","",IF(J723="✅ Сделано","✔ ",IF(J723="❌ Пропущено","✖ ","⏰ "))&amp;IF(C723="","",RIGHT("0"&amp;HOUR(C723),2)&amp;":"&amp;RIGHT("0"&amp;MINUTE(C723),2)&amp;IF(D723="","","–"&amp;RIGHT("0"&amp;HOUR(D723),2)&amp;":"&amp;RIGHT("0"&amp;MINUTE(D723),2))&amp;" ")&amp;F723)</f>
        <v/>
      </c>
      <c r="N723" s="54">
        <f>IF(OR(A723="",F723=""),"",A723&amp;"#"&amp;(COUNTIFS($A$5:$A$3004,A723,$F$5:$F$3004,"?*",$O$5:$O$3004,"&lt;"&amp;O723)+COUNTIFS($A$5:A723,A723,$F$5:F723,"?*",$O$5:O723,O723)))</f>
        <v/>
      </c>
      <c r="O723" s="54">
        <f>IF(A723="","",IF(C723="",0,C723))</f>
        <v/>
      </c>
    </row>
    <row r="724">
      <c r="A724" s="58" t="n"/>
      <c r="B724" s="49">
        <f>IF(A724="","",CHOOSE(WEEKDAY(A724,2),"Пн","Вт","Ср","Чт","Пт","Сб","Вс"))</f>
        <v/>
      </c>
      <c r="C724" s="59" t="n"/>
      <c r="D724" s="59" t="n"/>
      <c r="E724" s="60">
        <f>IF(OR(C724="",D724=""),"",MOD(D724-C724,1)*24)</f>
        <v/>
      </c>
      <c r="F724" s="50" t="n"/>
      <c r="G724" s="51" t="n"/>
      <c r="H724" s="51" t="n"/>
      <c r="I724" s="51" t="n"/>
      <c r="J724" s="51" t="n"/>
      <c r="K724" s="51" t="n"/>
      <c r="L724" s="54">
        <f>IF(OR(A724="",C724="",D724=""),"",IF(COUNTIFS($A$5:$A$3004,A724,$C$5:$C$3004,"&lt;"&amp;D724,$D$5:$D$3004,"&gt;"&amp;C724)&gt;1,"⚠️ пересечение",""))</f>
        <v/>
      </c>
      <c r="M724" s="54">
        <f>IF(F724="","",IF(J724="✅ Сделано","✔ ",IF(J724="❌ Пропущено","✖ ","⏰ "))&amp;IF(C724="","",RIGHT("0"&amp;HOUR(C724),2)&amp;":"&amp;RIGHT("0"&amp;MINUTE(C724),2)&amp;IF(D724="","","–"&amp;RIGHT("0"&amp;HOUR(D724),2)&amp;":"&amp;RIGHT("0"&amp;MINUTE(D724),2))&amp;" ")&amp;F724)</f>
        <v/>
      </c>
      <c r="N724" s="54">
        <f>IF(OR(A724="",F724=""),"",A724&amp;"#"&amp;(COUNTIFS($A$5:$A$3004,A724,$F$5:$F$3004,"?*",$O$5:$O$3004,"&lt;"&amp;O724)+COUNTIFS($A$5:A724,A724,$F$5:F724,"?*",$O$5:O724,O724)))</f>
        <v/>
      </c>
      <c r="O724" s="54">
        <f>IF(A724="","",IF(C724="",0,C724))</f>
        <v/>
      </c>
    </row>
    <row r="725">
      <c r="A725" s="58" t="n"/>
      <c r="B725" s="49">
        <f>IF(A725="","",CHOOSE(WEEKDAY(A725,2),"Пн","Вт","Ср","Чт","Пт","Сб","Вс"))</f>
        <v/>
      </c>
      <c r="C725" s="59" t="n"/>
      <c r="D725" s="59" t="n"/>
      <c r="E725" s="60">
        <f>IF(OR(C725="",D725=""),"",MOD(D725-C725,1)*24)</f>
        <v/>
      </c>
      <c r="F725" s="50" t="n"/>
      <c r="G725" s="51" t="n"/>
      <c r="H725" s="51" t="n"/>
      <c r="I725" s="51" t="n"/>
      <c r="J725" s="51" t="n"/>
      <c r="K725" s="51" t="n"/>
      <c r="L725" s="54">
        <f>IF(OR(A725="",C725="",D725=""),"",IF(COUNTIFS($A$5:$A$3004,A725,$C$5:$C$3004,"&lt;"&amp;D725,$D$5:$D$3004,"&gt;"&amp;C725)&gt;1,"⚠️ пересечение",""))</f>
        <v/>
      </c>
      <c r="M725" s="54">
        <f>IF(F725="","",IF(J725="✅ Сделано","✔ ",IF(J725="❌ Пропущено","✖ ","⏰ "))&amp;IF(C725="","",RIGHT("0"&amp;HOUR(C725),2)&amp;":"&amp;RIGHT("0"&amp;MINUTE(C725),2)&amp;IF(D725="","","–"&amp;RIGHT("0"&amp;HOUR(D725),2)&amp;":"&amp;RIGHT("0"&amp;MINUTE(D725),2))&amp;" ")&amp;F725)</f>
        <v/>
      </c>
      <c r="N725" s="54">
        <f>IF(OR(A725="",F725=""),"",A725&amp;"#"&amp;(COUNTIFS($A$5:$A$3004,A725,$F$5:$F$3004,"?*",$O$5:$O$3004,"&lt;"&amp;O725)+COUNTIFS($A$5:A725,A725,$F$5:F725,"?*",$O$5:O725,O725)))</f>
        <v/>
      </c>
      <c r="O725" s="54">
        <f>IF(A725="","",IF(C725="",0,C725))</f>
        <v/>
      </c>
    </row>
    <row r="726">
      <c r="A726" s="58" t="n"/>
      <c r="B726" s="49">
        <f>IF(A726="","",CHOOSE(WEEKDAY(A726,2),"Пн","Вт","Ср","Чт","Пт","Сб","Вс"))</f>
        <v/>
      </c>
      <c r="C726" s="59" t="n"/>
      <c r="D726" s="59" t="n"/>
      <c r="E726" s="60">
        <f>IF(OR(C726="",D726=""),"",MOD(D726-C726,1)*24)</f>
        <v/>
      </c>
      <c r="F726" s="50" t="n"/>
      <c r="G726" s="51" t="n"/>
      <c r="H726" s="51" t="n"/>
      <c r="I726" s="51" t="n"/>
      <c r="J726" s="51" t="n"/>
      <c r="K726" s="51" t="n"/>
      <c r="L726" s="54">
        <f>IF(OR(A726="",C726="",D726=""),"",IF(COUNTIFS($A$5:$A$3004,A726,$C$5:$C$3004,"&lt;"&amp;D726,$D$5:$D$3004,"&gt;"&amp;C726)&gt;1,"⚠️ пересечение",""))</f>
        <v/>
      </c>
      <c r="M726" s="54">
        <f>IF(F726="","",IF(J726="✅ Сделано","✔ ",IF(J726="❌ Пропущено","✖ ","⏰ "))&amp;IF(C726="","",RIGHT("0"&amp;HOUR(C726),2)&amp;":"&amp;RIGHT("0"&amp;MINUTE(C726),2)&amp;IF(D726="","","–"&amp;RIGHT("0"&amp;HOUR(D726),2)&amp;":"&amp;RIGHT("0"&amp;MINUTE(D726),2))&amp;" ")&amp;F726)</f>
        <v/>
      </c>
      <c r="N726" s="54">
        <f>IF(OR(A726="",F726=""),"",A726&amp;"#"&amp;(COUNTIFS($A$5:$A$3004,A726,$F$5:$F$3004,"?*",$O$5:$O$3004,"&lt;"&amp;O726)+COUNTIFS($A$5:A726,A726,$F$5:F726,"?*",$O$5:O726,O726)))</f>
        <v/>
      </c>
      <c r="O726" s="54">
        <f>IF(A726="","",IF(C726="",0,C726))</f>
        <v/>
      </c>
    </row>
    <row r="727">
      <c r="A727" s="58" t="n"/>
      <c r="B727" s="49">
        <f>IF(A727="","",CHOOSE(WEEKDAY(A727,2),"Пн","Вт","Ср","Чт","Пт","Сб","Вс"))</f>
        <v/>
      </c>
      <c r="C727" s="59" t="n"/>
      <c r="D727" s="59" t="n"/>
      <c r="E727" s="60">
        <f>IF(OR(C727="",D727=""),"",MOD(D727-C727,1)*24)</f>
        <v/>
      </c>
      <c r="F727" s="50" t="n"/>
      <c r="G727" s="51" t="n"/>
      <c r="H727" s="51" t="n"/>
      <c r="I727" s="51" t="n"/>
      <c r="J727" s="51" t="n"/>
      <c r="K727" s="51" t="n"/>
      <c r="L727" s="54">
        <f>IF(OR(A727="",C727="",D727=""),"",IF(COUNTIFS($A$5:$A$3004,A727,$C$5:$C$3004,"&lt;"&amp;D727,$D$5:$D$3004,"&gt;"&amp;C727)&gt;1,"⚠️ пересечение",""))</f>
        <v/>
      </c>
      <c r="M727" s="54">
        <f>IF(F727="","",IF(J727="✅ Сделано","✔ ",IF(J727="❌ Пропущено","✖ ","⏰ "))&amp;IF(C727="","",RIGHT("0"&amp;HOUR(C727),2)&amp;":"&amp;RIGHT("0"&amp;MINUTE(C727),2)&amp;IF(D727="","","–"&amp;RIGHT("0"&amp;HOUR(D727),2)&amp;":"&amp;RIGHT("0"&amp;MINUTE(D727),2))&amp;" ")&amp;F727)</f>
        <v/>
      </c>
      <c r="N727" s="54">
        <f>IF(OR(A727="",F727=""),"",A727&amp;"#"&amp;(COUNTIFS($A$5:$A$3004,A727,$F$5:$F$3004,"?*",$O$5:$O$3004,"&lt;"&amp;O727)+COUNTIFS($A$5:A727,A727,$F$5:F727,"?*",$O$5:O727,O727)))</f>
        <v/>
      </c>
      <c r="O727" s="54">
        <f>IF(A727="","",IF(C727="",0,C727))</f>
        <v/>
      </c>
    </row>
    <row r="728">
      <c r="A728" s="58" t="n"/>
      <c r="B728" s="49">
        <f>IF(A728="","",CHOOSE(WEEKDAY(A728,2),"Пн","Вт","Ср","Чт","Пт","Сб","Вс"))</f>
        <v/>
      </c>
      <c r="C728" s="59" t="n"/>
      <c r="D728" s="59" t="n"/>
      <c r="E728" s="60">
        <f>IF(OR(C728="",D728=""),"",MOD(D728-C728,1)*24)</f>
        <v/>
      </c>
      <c r="F728" s="50" t="n"/>
      <c r="G728" s="51" t="n"/>
      <c r="H728" s="51" t="n"/>
      <c r="I728" s="51" t="n"/>
      <c r="J728" s="51" t="n"/>
      <c r="K728" s="51" t="n"/>
      <c r="L728" s="54">
        <f>IF(OR(A728="",C728="",D728=""),"",IF(COUNTIFS($A$5:$A$3004,A728,$C$5:$C$3004,"&lt;"&amp;D728,$D$5:$D$3004,"&gt;"&amp;C728)&gt;1,"⚠️ пересечение",""))</f>
        <v/>
      </c>
      <c r="M728" s="54">
        <f>IF(F728="","",IF(J728="✅ Сделано","✔ ",IF(J728="❌ Пропущено","✖ ","⏰ "))&amp;IF(C728="","",RIGHT("0"&amp;HOUR(C728),2)&amp;":"&amp;RIGHT("0"&amp;MINUTE(C728),2)&amp;IF(D728="","","–"&amp;RIGHT("0"&amp;HOUR(D728),2)&amp;":"&amp;RIGHT("0"&amp;MINUTE(D728),2))&amp;" ")&amp;F728)</f>
        <v/>
      </c>
      <c r="N728" s="54">
        <f>IF(OR(A728="",F728=""),"",A728&amp;"#"&amp;(COUNTIFS($A$5:$A$3004,A728,$F$5:$F$3004,"?*",$O$5:$O$3004,"&lt;"&amp;O728)+COUNTIFS($A$5:A728,A728,$F$5:F728,"?*",$O$5:O728,O728)))</f>
        <v/>
      </c>
      <c r="O728" s="54">
        <f>IF(A728="","",IF(C728="",0,C728))</f>
        <v/>
      </c>
    </row>
    <row r="729">
      <c r="A729" s="58" t="n"/>
      <c r="B729" s="49">
        <f>IF(A729="","",CHOOSE(WEEKDAY(A729,2),"Пн","Вт","Ср","Чт","Пт","Сб","Вс"))</f>
        <v/>
      </c>
      <c r="C729" s="59" t="n"/>
      <c r="D729" s="59" t="n"/>
      <c r="E729" s="60">
        <f>IF(OR(C729="",D729=""),"",MOD(D729-C729,1)*24)</f>
        <v/>
      </c>
      <c r="F729" s="50" t="n"/>
      <c r="G729" s="51" t="n"/>
      <c r="H729" s="51" t="n"/>
      <c r="I729" s="51" t="n"/>
      <c r="J729" s="51" t="n"/>
      <c r="K729" s="51" t="n"/>
      <c r="L729" s="54">
        <f>IF(OR(A729="",C729="",D729=""),"",IF(COUNTIFS($A$5:$A$3004,A729,$C$5:$C$3004,"&lt;"&amp;D729,$D$5:$D$3004,"&gt;"&amp;C729)&gt;1,"⚠️ пересечение",""))</f>
        <v/>
      </c>
      <c r="M729" s="54">
        <f>IF(F729="","",IF(J729="✅ Сделано","✔ ",IF(J729="❌ Пропущено","✖ ","⏰ "))&amp;IF(C729="","",RIGHT("0"&amp;HOUR(C729),2)&amp;":"&amp;RIGHT("0"&amp;MINUTE(C729),2)&amp;IF(D729="","","–"&amp;RIGHT("0"&amp;HOUR(D729),2)&amp;":"&amp;RIGHT("0"&amp;MINUTE(D729),2))&amp;" ")&amp;F729)</f>
        <v/>
      </c>
      <c r="N729" s="54">
        <f>IF(OR(A729="",F729=""),"",A729&amp;"#"&amp;(COUNTIFS($A$5:$A$3004,A729,$F$5:$F$3004,"?*",$O$5:$O$3004,"&lt;"&amp;O729)+COUNTIFS($A$5:A729,A729,$F$5:F729,"?*",$O$5:O729,O729)))</f>
        <v/>
      </c>
      <c r="O729" s="54">
        <f>IF(A729="","",IF(C729="",0,C729))</f>
        <v/>
      </c>
    </row>
    <row r="730">
      <c r="A730" s="58" t="n"/>
      <c r="B730" s="49">
        <f>IF(A730="","",CHOOSE(WEEKDAY(A730,2),"Пн","Вт","Ср","Чт","Пт","Сб","Вс"))</f>
        <v/>
      </c>
      <c r="C730" s="59" t="n"/>
      <c r="D730" s="59" t="n"/>
      <c r="E730" s="60">
        <f>IF(OR(C730="",D730=""),"",MOD(D730-C730,1)*24)</f>
        <v/>
      </c>
      <c r="F730" s="50" t="n"/>
      <c r="G730" s="51" t="n"/>
      <c r="H730" s="51" t="n"/>
      <c r="I730" s="51" t="n"/>
      <c r="J730" s="51" t="n"/>
      <c r="K730" s="51" t="n"/>
      <c r="L730" s="54">
        <f>IF(OR(A730="",C730="",D730=""),"",IF(COUNTIFS($A$5:$A$3004,A730,$C$5:$C$3004,"&lt;"&amp;D730,$D$5:$D$3004,"&gt;"&amp;C730)&gt;1,"⚠️ пересечение",""))</f>
        <v/>
      </c>
      <c r="M730" s="54">
        <f>IF(F730="","",IF(J730="✅ Сделано","✔ ",IF(J730="❌ Пропущено","✖ ","⏰ "))&amp;IF(C730="","",RIGHT("0"&amp;HOUR(C730),2)&amp;":"&amp;RIGHT("0"&amp;MINUTE(C730),2)&amp;IF(D730="","","–"&amp;RIGHT("0"&amp;HOUR(D730),2)&amp;":"&amp;RIGHT("0"&amp;MINUTE(D730),2))&amp;" ")&amp;F730)</f>
        <v/>
      </c>
      <c r="N730" s="54">
        <f>IF(OR(A730="",F730=""),"",A730&amp;"#"&amp;(COUNTIFS($A$5:$A$3004,A730,$F$5:$F$3004,"?*",$O$5:$O$3004,"&lt;"&amp;O730)+COUNTIFS($A$5:A730,A730,$F$5:F730,"?*",$O$5:O730,O730)))</f>
        <v/>
      </c>
      <c r="O730" s="54">
        <f>IF(A730="","",IF(C730="",0,C730))</f>
        <v/>
      </c>
    </row>
    <row r="731">
      <c r="A731" s="58" t="n"/>
      <c r="B731" s="49">
        <f>IF(A731="","",CHOOSE(WEEKDAY(A731,2),"Пн","Вт","Ср","Чт","Пт","Сб","Вс"))</f>
        <v/>
      </c>
      <c r="C731" s="59" t="n"/>
      <c r="D731" s="59" t="n"/>
      <c r="E731" s="60">
        <f>IF(OR(C731="",D731=""),"",MOD(D731-C731,1)*24)</f>
        <v/>
      </c>
      <c r="F731" s="50" t="n"/>
      <c r="G731" s="51" t="n"/>
      <c r="H731" s="51" t="n"/>
      <c r="I731" s="51" t="n"/>
      <c r="J731" s="51" t="n"/>
      <c r="K731" s="51" t="n"/>
      <c r="L731" s="54">
        <f>IF(OR(A731="",C731="",D731=""),"",IF(COUNTIFS($A$5:$A$3004,A731,$C$5:$C$3004,"&lt;"&amp;D731,$D$5:$D$3004,"&gt;"&amp;C731)&gt;1,"⚠️ пересечение",""))</f>
        <v/>
      </c>
      <c r="M731" s="54">
        <f>IF(F731="","",IF(J731="✅ Сделано","✔ ",IF(J731="❌ Пропущено","✖ ","⏰ "))&amp;IF(C731="","",RIGHT("0"&amp;HOUR(C731),2)&amp;":"&amp;RIGHT("0"&amp;MINUTE(C731),2)&amp;IF(D731="","","–"&amp;RIGHT("0"&amp;HOUR(D731),2)&amp;":"&amp;RIGHT("0"&amp;MINUTE(D731),2))&amp;" ")&amp;F731)</f>
        <v/>
      </c>
      <c r="N731" s="54">
        <f>IF(OR(A731="",F731=""),"",A731&amp;"#"&amp;(COUNTIFS($A$5:$A$3004,A731,$F$5:$F$3004,"?*",$O$5:$O$3004,"&lt;"&amp;O731)+COUNTIFS($A$5:A731,A731,$F$5:F731,"?*",$O$5:O731,O731)))</f>
        <v/>
      </c>
      <c r="O731" s="54">
        <f>IF(A731="","",IF(C731="",0,C731))</f>
        <v/>
      </c>
    </row>
    <row r="732">
      <c r="A732" s="58" t="n"/>
      <c r="B732" s="49">
        <f>IF(A732="","",CHOOSE(WEEKDAY(A732,2),"Пн","Вт","Ср","Чт","Пт","Сб","Вс"))</f>
        <v/>
      </c>
      <c r="C732" s="59" t="n"/>
      <c r="D732" s="59" t="n"/>
      <c r="E732" s="60">
        <f>IF(OR(C732="",D732=""),"",MOD(D732-C732,1)*24)</f>
        <v/>
      </c>
      <c r="F732" s="50" t="n"/>
      <c r="G732" s="51" t="n"/>
      <c r="H732" s="51" t="n"/>
      <c r="I732" s="51" t="n"/>
      <c r="J732" s="51" t="n"/>
      <c r="K732" s="51" t="n"/>
      <c r="L732" s="54">
        <f>IF(OR(A732="",C732="",D732=""),"",IF(COUNTIFS($A$5:$A$3004,A732,$C$5:$C$3004,"&lt;"&amp;D732,$D$5:$D$3004,"&gt;"&amp;C732)&gt;1,"⚠️ пересечение",""))</f>
        <v/>
      </c>
      <c r="M732" s="54">
        <f>IF(F732="","",IF(J732="✅ Сделано","✔ ",IF(J732="❌ Пропущено","✖ ","⏰ "))&amp;IF(C732="","",RIGHT("0"&amp;HOUR(C732),2)&amp;":"&amp;RIGHT("0"&amp;MINUTE(C732),2)&amp;IF(D732="","","–"&amp;RIGHT("0"&amp;HOUR(D732),2)&amp;":"&amp;RIGHT("0"&amp;MINUTE(D732),2))&amp;" ")&amp;F732)</f>
        <v/>
      </c>
      <c r="N732" s="54">
        <f>IF(OR(A732="",F732=""),"",A732&amp;"#"&amp;(COUNTIFS($A$5:$A$3004,A732,$F$5:$F$3004,"?*",$O$5:$O$3004,"&lt;"&amp;O732)+COUNTIFS($A$5:A732,A732,$F$5:F732,"?*",$O$5:O732,O732)))</f>
        <v/>
      </c>
      <c r="O732" s="54">
        <f>IF(A732="","",IF(C732="",0,C732))</f>
        <v/>
      </c>
    </row>
    <row r="733">
      <c r="A733" s="58" t="n"/>
      <c r="B733" s="49">
        <f>IF(A733="","",CHOOSE(WEEKDAY(A733,2),"Пн","Вт","Ср","Чт","Пт","Сб","Вс"))</f>
        <v/>
      </c>
      <c r="C733" s="59" t="n"/>
      <c r="D733" s="59" t="n"/>
      <c r="E733" s="60">
        <f>IF(OR(C733="",D733=""),"",MOD(D733-C733,1)*24)</f>
        <v/>
      </c>
      <c r="F733" s="50" t="n"/>
      <c r="G733" s="51" t="n"/>
      <c r="H733" s="51" t="n"/>
      <c r="I733" s="51" t="n"/>
      <c r="J733" s="51" t="n"/>
      <c r="K733" s="51" t="n"/>
      <c r="L733" s="54">
        <f>IF(OR(A733="",C733="",D733=""),"",IF(COUNTIFS($A$5:$A$3004,A733,$C$5:$C$3004,"&lt;"&amp;D733,$D$5:$D$3004,"&gt;"&amp;C733)&gt;1,"⚠️ пересечение",""))</f>
        <v/>
      </c>
      <c r="M733" s="54">
        <f>IF(F733="","",IF(J733="✅ Сделано","✔ ",IF(J733="❌ Пропущено","✖ ","⏰ "))&amp;IF(C733="","",RIGHT("0"&amp;HOUR(C733),2)&amp;":"&amp;RIGHT("0"&amp;MINUTE(C733),2)&amp;IF(D733="","","–"&amp;RIGHT("0"&amp;HOUR(D733),2)&amp;":"&amp;RIGHT("0"&amp;MINUTE(D733),2))&amp;" ")&amp;F733)</f>
        <v/>
      </c>
      <c r="N733" s="54">
        <f>IF(OR(A733="",F733=""),"",A733&amp;"#"&amp;(COUNTIFS($A$5:$A$3004,A733,$F$5:$F$3004,"?*",$O$5:$O$3004,"&lt;"&amp;O733)+COUNTIFS($A$5:A733,A733,$F$5:F733,"?*",$O$5:O733,O733)))</f>
        <v/>
      </c>
      <c r="O733" s="54">
        <f>IF(A733="","",IF(C733="",0,C733))</f>
        <v/>
      </c>
    </row>
    <row r="734">
      <c r="A734" s="58" t="n"/>
      <c r="B734" s="49">
        <f>IF(A734="","",CHOOSE(WEEKDAY(A734,2),"Пн","Вт","Ср","Чт","Пт","Сб","Вс"))</f>
        <v/>
      </c>
      <c r="C734" s="59" t="n"/>
      <c r="D734" s="59" t="n"/>
      <c r="E734" s="60">
        <f>IF(OR(C734="",D734=""),"",MOD(D734-C734,1)*24)</f>
        <v/>
      </c>
      <c r="F734" s="50" t="n"/>
      <c r="G734" s="51" t="n"/>
      <c r="H734" s="51" t="n"/>
      <c r="I734" s="51" t="n"/>
      <c r="J734" s="51" t="n"/>
      <c r="K734" s="51" t="n"/>
      <c r="L734" s="54">
        <f>IF(OR(A734="",C734="",D734=""),"",IF(COUNTIFS($A$5:$A$3004,A734,$C$5:$C$3004,"&lt;"&amp;D734,$D$5:$D$3004,"&gt;"&amp;C734)&gt;1,"⚠️ пересечение",""))</f>
        <v/>
      </c>
      <c r="M734" s="54">
        <f>IF(F734="","",IF(J734="✅ Сделано","✔ ",IF(J734="❌ Пропущено","✖ ","⏰ "))&amp;IF(C734="","",RIGHT("0"&amp;HOUR(C734),2)&amp;":"&amp;RIGHT("0"&amp;MINUTE(C734),2)&amp;IF(D734="","","–"&amp;RIGHT("0"&amp;HOUR(D734),2)&amp;":"&amp;RIGHT("0"&amp;MINUTE(D734),2))&amp;" ")&amp;F734)</f>
        <v/>
      </c>
      <c r="N734" s="54">
        <f>IF(OR(A734="",F734=""),"",A734&amp;"#"&amp;(COUNTIFS($A$5:$A$3004,A734,$F$5:$F$3004,"?*",$O$5:$O$3004,"&lt;"&amp;O734)+COUNTIFS($A$5:A734,A734,$F$5:F734,"?*",$O$5:O734,O734)))</f>
        <v/>
      </c>
      <c r="O734" s="54">
        <f>IF(A734="","",IF(C734="",0,C734))</f>
        <v/>
      </c>
    </row>
    <row r="735">
      <c r="A735" s="58" t="n"/>
      <c r="B735" s="49">
        <f>IF(A735="","",CHOOSE(WEEKDAY(A735,2),"Пн","Вт","Ср","Чт","Пт","Сб","Вс"))</f>
        <v/>
      </c>
      <c r="C735" s="59" t="n"/>
      <c r="D735" s="59" t="n"/>
      <c r="E735" s="60">
        <f>IF(OR(C735="",D735=""),"",MOD(D735-C735,1)*24)</f>
        <v/>
      </c>
      <c r="F735" s="50" t="n"/>
      <c r="G735" s="51" t="n"/>
      <c r="H735" s="51" t="n"/>
      <c r="I735" s="51" t="n"/>
      <c r="J735" s="51" t="n"/>
      <c r="K735" s="51" t="n"/>
      <c r="L735" s="54">
        <f>IF(OR(A735="",C735="",D735=""),"",IF(COUNTIFS($A$5:$A$3004,A735,$C$5:$C$3004,"&lt;"&amp;D735,$D$5:$D$3004,"&gt;"&amp;C735)&gt;1,"⚠️ пересечение",""))</f>
        <v/>
      </c>
      <c r="M735" s="54">
        <f>IF(F735="","",IF(J735="✅ Сделано","✔ ",IF(J735="❌ Пропущено","✖ ","⏰ "))&amp;IF(C735="","",RIGHT("0"&amp;HOUR(C735),2)&amp;":"&amp;RIGHT("0"&amp;MINUTE(C735),2)&amp;IF(D735="","","–"&amp;RIGHT("0"&amp;HOUR(D735),2)&amp;":"&amp;RIGHT("0"&amp;MINUTE(D735),2))&amp;" ")&amp;F735)</f>
        <v/>
      </c>
      <c r="N735" s="54">
        <f>IF(OR(A735="",F735=""),"",A735&amp;"#"&amp;(COUNTIFS($A$5:$A$3004,A735,$F$5:$F$3004,"?*",$O$5:$O$3004,"&lt;"&amp;O735)+COUNTIFS($A$5:A735,A735,$F$5:F735,"?*",$O$5:O735,O735)))</f>
        <v/>
      </c>
      <c r="O735" s="54">
        <f>IF(A735="","",IF(C735="",0,C735))</f>
        <v/>
      </c>
    </row>
    <row r="736">
      <c r="A736" s="58" t="n"/>
      <c r="B736" s="49">
        <f>IF(A736="","",CHOOSE(WEEKDAY(A736,2),"Пн","Вт","Ср","Чт","Пт","Сб","Вс"))</f>
        <v/>
      </c>
      <c r="C736" s="59" t="n"/>
      <c r="D736" s="59" t="n"/>
      <c r="E736" s="60">
        <f>IF(OR(C736="",D736=""),"",MOD(D736-C736,1)*24)</f>
        <v/>
      </c>
      <c r="F736" s="50" t="n"/>
      <c r="G736" s="51" t="n"/>
      <c r="H736" s="51" t="n"/>
      <c r="I736" s="51" t="n"/>
      <c r="J736" s="51" t="n"/>
      <c r="K736" s="51" t="n"/>
      <c r="L736" s="54">
        <f>IF(OR(A736="",C736="",D736=""),"",IF(COUNTIFS($A$5:$A$3004,A736,$C$5:$C$3004,"&lt;"&amp;D736,$D$5:$D$3004,"&gt;"&amp;C736)&gt;1,"⚠️ пересечение",""))</f>
        <v/>
      </c>
      <c r="M736" s="54">
        <f>IF(F736="","",IF(J736="✅ Сделано","✔ ",IF(J736="❌ Пропущено","✖ ","⏰ "))&amp;IF(C736="","",RIGHT("0"&amp;HOUR(C736),2)&amp;":"&amp;RIGHT("0"&amp;MINUTE(C736),2)&amp;IF(D736="","","–"&amp;RIGHT("0"&amp;HOUR(D736),2)&amp;":"&amp;RIGHT("0"&amp;MINUTE(D736),2))&amp;" ")&amp;F736)</f>
        <v/>
      </c>
      <c r="N736" s="54">
        <f>IF(OR(A736="",F736=""),"",A736&amp;"#"&amp;(COUNTIFS($A$5:$A$3004,A736,$F$5:$F$3004,"?*",$O$5:$O$3004,"&lt;"&amp;O736)+COUNTIFS($A$5:A736,A736,$F$5:F736,"?*",$O$5:O736,O736)))</f>
        <v/>
      </c>
      <c r="O736" s="54">
        <f>IF(A736="","",IF(C736="",0,C736))</f>
        <v/>
      </c>
    </row>
    <row r="737">
      <c r="A737" s="58" t="n"/>
      <c r="B737" s="49">
        <f>IF(A737="","",CHOOSE(WEEKDAY(A737,2),"Пн","Вт","Ср","Чт","Пт","Сб","Вс"))</f>
        <v/>
      </c>
      <c r="C737" s="59" t="n"/>
      <c r="D737" s="59" t="n"/>
      <c r="E737" s="60">
        <f>IF(OR(C737="",D737=""),"",MOD(D737-C737,1)*24)</f>
        <v/>
      </c>
      <c r="F737" s="50" t="n"/>
      <c r="G737" s="51" t="n"/>
      <c r="H737" s="51" t="n"/>
      <c r="I737" s="51" t="n"/>
      <c r="J737" s="51" t="n"/>
      <c r="K737" s="51" t="n"/>
      <c r="L737" s="54">
        <f>IF(OR(A737="",C737="",D737=""),"",IF(COUNTIFS($A$5:$A$3004,A737,$C$5:$C$3004,"&lt;"&amp;D737,$D$5:$D$3004,"&gt;"&amp;C737)&gt;1,"⚠️ пересечение",""))</f>
        <v/>
      </c>
      <c r="M737" s="54">
        <f>IF(F737="","",IF(J737="✅ Сделано","✔ ",IF(J737="❌ Пропущено","✖ ","⏰ "))&amp;IF(C737="","",RIGHT("0"&amp;HOUR(C737),2)&amp;":"&amp;RIGHT("0"&amp;MINUTE(C737),2)&amp;IF(D737="","","–"&amp;RIGHT("0"&amp;HOUR(D737),2)&amp;":"&amp;RIGHT("0"&amp;MINUTE(D737),2))&amp;" ")&amp;F737)</f>
        <v/>
      </c>
      <c r="N737" s="54">
        <f>IF(OR(A737="",F737=""),"",A737&amp;"#"&amp;(COUNTIFS($A$5:$A$3004,A737,$F$5:$F$3004,"?*",$O$5:$O$3004,"&lt;"&amp;O737)+COUNTIFS($A$5:A737,A737,$F$5:F737,"?*",$O$5:O737,O737)))</f>
        <v/>
      </c>
      <c r="O737" s="54">
        <f>IF(A737="","",IF(C737="",0,C737))</f>
        <v/>
      </c>
    </row>
    <row r="738">
      <c r="A738" s="58" t="n"/>
      <c r="B738" s="49">
        <f>IF(A738="","",CHOOSE(WEEKDAY(A738,2),"Пн","Вт","Ср","Чт","Пт","Сб","Вс"))</f>
        <v/>
      </c>
      <c r="C738" s="59" t="n"/>
      <c r="D738" s="59" t="n"/>
      <c r="E738" s="60">
        <f>IF(OR(C738="",D738=""),"",MOD(D738-C738,1)*24)</f>
        <v/>
      </c>
      <c r="F738" s="50" t="n"/>
      <c r="G738" s="51" t="n"/>
      <c r="H738" s="51" t="n"/>
      <c r="I738" s="51" t="n"/>
      <c r="J738" s="51" t="n"/>
      <c r="K738" s="51" t="n"/>
      <c r="L738" s="54">
        <f>IF(OR(A738="",C738="",D738=""),"",IF(COUNTIFS($A$5:$A$3004,A738,$C$5:$C$3004,"&lt;"&amp;D738,$D$5:$D$3004,"&gt;"&amp;C738)&gt;1,"⚠️ пересечение",""))</f>
        <v/>
      </c>
      <c r="M738" s="54">
        <f>IF(F738="","",IF(J738="✅ Сделано","✔ ",IF(J738="❌ Пропущено","✖ ","⏰ "))&amp;IF(C738="","",RIGHT("0"&amp;HOUR(C738),2)&amp;":"&amp;RIGHT("0"&amp;MINUTE(C738),2)&amp;IF(D738="","","–"&amp;RIGHT("0"&amp;HOUR(D738),2)&amp;":"&amp;RIGHT("0"&amp;MINUTE(D738),2))&amp;" ")&amp;F738)</f>
        <v/>
      </c>
      <c r="N738" s="54">
        <f>IF(OR(A738="",F738=""),"",A738&amp;"#"&amp;(COUNTIFS($A$5:$A$3004,A738,$F$5:$F$3004,"?*",$O$5:$O$3004,"&lt;"&amp;O738)+COUNTIFS($A$5:A738,A738,$F$5:F738,"?*",$O$5:O738,O738)))</f>
        <v/>
      </c>
      <c r="O738" s="54">
        <f>IF(A738="","",IF(C738="",0,C738))</f>
        <v/>
      </c>
    </row>
    <row r="739">
      <c r="A739" s="58" t="n"/>
      <c r="B739" s="49">
        <f>IF(A739="","",CHOOSE(WEEKDAY(A739,2),"Пн","Вт","Ср","Чт","Пт","Сб","Вс"))</f>
        <v/>
      </c>
      <c r="C739" s="59" t="n"/>
      <c r="D739" s="59" t="n"/>
      <c r="E739" s="60">
        <f>IF(OR(C739="",D739=""),"",MOD(D739-C739,1)*24)</f>
        <v/>
      </c>
      <c r="F739" s="50" t="n"/>
      <c r="G739" s="51" t="n"/>
      <c r="H739" s="51" t="n"/>
      <c r="I739" s="51" t="n"/>
      <c r="J739" s="51" t="n"/>
      <c r="K739" s="51" t="n"/>
      <c r="L739" s="54">
        <f>IF(OR(A739="",C739="",D739=""),"",IF(COUNTIFS($A$5:$A$3004,A739,$C$5:$C$3004,"&lt;"&amp;D739,$D$5:$D$3004,"&gt;"&amp;C739)&gt;1,"⚠️ пересечение",""))</f>
        <v/>
      </c>
      <c r="M739" s="54">
        <f>IF(F739="","",IF(J739="✅ Сделано","✔ ",IF(J739="❌ Пропущено","✖ ","⏰ "))&amp;IF(C739="","",RIGHT("0"&amp;HOUR(C739),2)&amp;":"&amp;RIGHT("0"&amp;MINUTE(C739),2)&amp;IF(D739="","","–"&amp;RIGHT("0"&amp;HOUR(D739),2)&amp;":"&amp;RIGHT("0"&amp;MINUTE(D739),2))&amp;" ")&amp;F739)</f>
        <v/>
      </c>
      <c r="N739" s="54">
        <f>IF(OR(A739="",F739=""),"",A739&amp;"#"&amp;(COUNTIFS($A$5:$A$3004,A739,$F$5:$F$3004,"?*",$O$5:$O$3004,"&lt;"&amp;O739)+COUNTIFS($A$5:A739,A739,$F$5:F739,"?*",$O$5:O739,O739)))</f>
        <v/>
      </c>
      <c r="O739" s="54">
        <f>IF(A739="","",IF(C739="",0,C739))</f>
        <v/>
      </c>
    </row>
    <row r="740">
      <c r="A740" s="58" t="n"/>
      <c r="B740" s="49">
        <f>IF(A740="","",CHOOSE(WEEKDAY(A740,2),"Пн","Вт","Ср","Чт","Пт","Сб","Вс"))</f>
        <v/>
      </c>
      <c r="C740" s="59" t="n"/>
      <c r="D740" s="59" t="n"/>
      <c r="E740" s="60">
        <f>IF(OR(C740="",D740=""),"",MOD(D740-C740,1)*24)</f>
        <v/>
      </c>
      <c r="F740" s="50" t="n"/>
      <c r="G740" s="51" t="n"/>
      <c r="H740" s="51" t="n"/>
      <c r="I740" s="51" t="n"/>
      <c r="J740" s="51" t="n"/>
      <c r="K740" s="51" t="n"/>
      <c r="L740" s="54">
        <f>IF(OR(A740="",C740="",D740=""),"",IF(COUNTIFS($A$5:$A$3004,A740,$C$5:$C$3004,"&lt;"&amp;D740,$D$5:$D$3004,"&gt;"&amp;C740)&gt;1,"⚠️ пересечение",""))</f>
        <v/>
      </c>
      <c r="M740" s="54">
        <f>IF(F740="","",IF(J740="✅ Сделано","✔ ",IF(J740="❌ Пропущено","✖ ","⏰ "))&amp;IF(C740="","",RIGHT("0"&amp;HOUR(C740),2)&amp;":"&amp;RIGHT("0"&amp;MINUTE(C740),2)&amp;IF(D740="","","–"&amp;RIGHT("0"&amp;HOUR(D740),2)&amp;":"&amp;RIGHT("0"&amp;MINUTE(D740),2))&amp;" ")&amp;F740)</f>
        <v/>
      </c>
      <c r="N740" s="54">
        <f>IF(OR(A740="",F740=""),"",A740&amp;"#"&amp;(COUNTIFS($A$5:$A$3004,A740,$F$5:$F$3004,"?*",$O$5:$O$3004,"&lt;"&amp;O740)+COUNTIFS($A$5:A740,A740,$F$5:F740,"?*",$O$5:O740,O740)))</f>
        <v/>
      </c>
      <c r="O740" s="54">
        <f>IF(A740="","",IF(C740="",0,C740))</f>
        <v/>
      </c>
    </row>
    <row r="741">
      <c r="A741" s="58" t="n"/>
      <c r="B741" s="49">
        <f>IF(A741="","",CHOOSE(WEEKDAY(A741,2),"Пн","Вт","Ср","Чт","Пт","Сб","Вс"))</f>
        <v/>
      </c>
      <c r="C741" s="59" t="n"/>
      <c r="D741" s="59" t="n"/>
      <c r="E741" s="60">
        <f>IF(OR(C741="",D741=""),"",MOD(D741-C741,1)*24)</f>
        <v/>
      </c>
      <c r="F741" s="50" t="n"/>
      <c r="G741" s="51" t="n"/>
      <c r="H741" s="51" t="n"/>
      <c r="I741" s="51" t="n"/>
      <c r="J741" s="51" t="n"/>
      <c r="K741" s="51" t="n"/>
      <c r="L741" s="54">
        <f>IF(OR(A741="",C741="",D741=""),"",IF(COUNTIFS($A$5:$A$3004,A741,$C$5:$C$3004,"&lt;"&amp;D741,$D$5:$D$3004,"&gt;"&amp;C741)&gt;1,"⚠️ пересечение",""))</f>
        <v/>
      </c>
      <c r="M741" s="54">
        <f>IF(F741="","",IF(J741="✅ Сделано","✔ ",IF(J741="❌ Пропущено","✖ ","⏰ "))&amp;IF(C741="","",RIGHT("0"&amp;HOUR(C741),2)&amp;":"&amp;RIGHT("0"&amp;MINUTE(C741),2)&amp;IF(D741="","","–"&amp;RIGHT("0"&amp;HOUR(D741),2)&amp;":"&amp;RIGHT("0"&amp;MINUTE(D741),2))&amp;" ")&amp;F741)</f>
        <v/>
      </c>
      <c r="N741" s="54">
        <f>IF(OR(A741="",F741=""),"",A741&amp;"#"&amp;(COUNTIFS($A$5:$A$3004,A741,$F$5:$F$3004,"?*",$O$5:$O$3004,"&lt;"&amp;O741)+COUNTIFS($A$5:A741,A741,$F$5:F741,"?*",$O$5:O741,O741)))</f>
        <v/>
      </c>
      <c r="O741" s="54">
        <f>IF(A741="","",IF(C741="",0,C741))</f>
        <v/>
      </c>
    </row>
    <row r="742">
      <c r="A742" s="58" t="n"/>
      <c r="B742" s="49">
        <f>IF(A742="","",CHOOSE(WEEKDAY(A742,2),"Пн","Вт","Ср","Чт","Пт","Сб","Вс"))</f>
        <v/>
      </c>
      <c r="C742" s="59" t="n"/>
      <c r="D742" s="59" t="n"/>
      <c r="E742" s="60">
        <f>IF(OR(C742="",D742=""),"",MOD(D742-C742,1)*24)</f>
        <v/>
      </c>
      <c r="F742" s="50" t="n"/>
      <c r="G742" s="51" t="n"/>
      <c r="H742" s="51" t="n"/>
      <c r="I742" s="51" t="n"/>
      <c r="J742" s="51" t="n"/>
      <c r="K742" s="51" t="n"/>
      <c r="L742" s="54">
        <f>IF(OR(A742="",C742="",D742=""),"",IF(COUNTIFS($A$5:$A$3004,A742,$C$5:$C$3004,"&lt;"&amp;D742,$D$5:$D$3004,"&gt;"&amp;C742)&gt;1,"⚠️ пересечение",""))</f>
        <v/>
      </c>
      <c r="M742" s="54">
        <f>IF(F742="","",IF(J742="✅ Сделано","✔ ",IF(J742="❌ Пропущено","✖ ","⏰ "))&amp;IF(C742="","",RIGHT("0"&amp;HOUR(C742),2)&amp;":"&amp;RIGHT("0"&amp;MINUTE(C742),2)&amp;IF(D742="","","–"&amp;RIGHT("0"&amp;HOUR(D742),2)&amp;":"&amp;RIGHT("0"&amp;MINUTE(D742),2))&amp;" ")&amp;F742)</f>
        <v/>
      </c>
      <c r="N742" s="54">
        <f>IF(OR(A742="",F742=""),"",A742&amp;"#"&amp;(COUNTIFS($A$5:$A$3004,A742,$F$5:$F$3004,"?*",$O$5:$O$3004,"&lt;"&amp;O742)+COUNTIFS($A$5:A742,A742,$F$5:F742,"?*",$O$5:O742,O742)))</f>
        <v/>
      </c>
      <c r="O742" s="54">
        <f>IF(A742="","",IF(C742="",0,C742))</f>
        <v/>
      </c>
    </row>
    <row r="743">
      <c r="A743" s="58" t="n"/>
      <c r="B743" s="49">
        <f>IF(A743="","",CHOOSE(WEEKDAY(A743,2),"Пн","Вт","Ср","Чт","Пт","Сб","Вс"))</f>
        <v/>
      </c>
      <c r="C743" s="59" t="n"/>
      <c r="D743" s="59" t="n"/>
      <c r="E743" s="60">
        <f>IF(OR(C743="",D743=""),"",MOD(D743-C743,1)*24)</f>
        <v/>
      </c>
      <c r="F743" s="50" t="n"/>
      <c r="G743" s="51" t="n"/>
      <c r="H743" s="51" t="n"/>
      <c r="I743" s="51" t="n"/>
      <c r="J743" s="51" t="n"/>
      <c r="K743" s="51" t="n"/>
      <c r="L743" s="54">
        <f>IF(OR(A743="",C743="",D743=""),"",IF(COUNTIFS($A$5:$A$3004,A743,$C$5:$C$3004,"&lt;"&amp;D743,$D$5:$D$3004,"&gt;"&amp;C743)&gt;1,"⚠️ пересечение",""))</f>
        <v/>
      </c>
      <c r="M743" s="54">
        <f>IF(F743="","",IF(J743="✅ Сделано","✔ ",IF(J743="❌ Пропущено","✖ ","⏰ "))&amp;IF(C743="","",RIGHT("0"&amp;HOUR(C743),2)&amp;":"&amp;RIGHT("0"&amp;MINUTE(C743),2)&amp;IF(D743="","","–"&amp;RIGHT("0"&amp;HOUR(D743),2)&amp;":"&amp;RIGHT("0"&amp;MINUTE(D743),2))&amp;" ")&amp;F743)</f>
        <v/>
      </c>
      <c r="N743" s="54">
        <f>IF(OR(A743="",F743=""),"",A743&amp;"#"&amp;(COUNTIFS($A$5:$A$3004,A743,$F$5:$F$3004,"?*",$O$5:$O$3004,"&lt;"&amp;O743)+COUNTIFS($A$5:A743,A743,$F$5:F743,"?*",$O$5:O743,O743)))</f>
        <v/>
      </c>
      <c r="O743" s="54">
        <f>IF(A743="","",IF(C743="",0,C743))</f>
        <v/>
      </c>
    </row>
    <row r="744">
      <c r="A744" s="58" t="n"/>
      <c r="B744" s="49">
        <f>IF(A744="","",CHOOSE(WEEKDAY(A744,2),"Пн","Вт","Ср","Чт","Пт","Сб","Вс"))</f>
        <v/>
      </c>
      <c r="C744" s="59" t="n"/>
      <c r="D744" s="59" t="n"/>
      <c r="E744" s="60">
        <f>IF(OR(C744="",D744=""),"",MOD(D744-C744,1)*24)</f>
        <v/>
      </c>
      <c r="F744" s="50" t="n"/>
      <c r="G744" s="51" t="n"/>
      <c r="H744" s="51" t="n"/>
      <c r="I744" s="51" t="n"/>
      <c r="J744" s="51" t="n"/>
      <c r="K744" s="51" t="n"/>
      <c r="L744" s="54">
        <f>IF(OR(A744="",C744="",D744=""),"",IF(COUNTIFS($A$5:$A$3004,A744,$C$5:$C$3004,"&lt;"&amp;D744,$D$5:$D$3004,"&gt;"&amp;C744)&gt;1,"⚠️ пересечение",""))</f>
        <v/>
      </c>
      <c r="M744" s="54">
        <f>IF(F744="","",IF(J744="✅ Сделано","✔ ",IF(J744="❌ Пропущено","✖ ","⏰ "))&amp;IF(C744="","",RIGHT("0"&amp;HOUR(C744),2)&amp;":"&amp;RIGHT("0"&amp;MINUTE(C744),2)&amp;IF(D744="","","–"&amp;RIGHT("0"&amp;HOUR(D744),2)&amp;":"&amp;RIGHT("0"&amp;MINUTE(D744),2))&amp;" ")&amp;F744)</f>
        <v/>
      </c>
      <c r="N744" s="54">
        <f>IF(OR(A744="",F744=""),"",A744&amp;"#"&amp;(COUNTIFS($A$5:$A$3004,A744,$F$5:$F$3004,"?*",$O$5:$O$3004,"&lt;"&amp;O744)+COUNTIFS($A$5:A744,A744,$F$5:F744,"?*",$O$5:O744,O744)))</f>
        <v/>
      </c>
      <c r="O744" s="54">
        <f>IF(A744="","",IF(C744="",0,C744))</f>
        <v/>
      </c>
    </row>
    <row r="745">
      <c r="A745" s="58" t="n"/>
      <c r="B745" s="49">
        <f>IF(A745="","",CHOOSE(WEEKDAY(A745,2),"Пн","Вт","Ср","Чт","Пт","Сб","Вс"))</f>
        <v/>
      </c>
      <c r="C745" s="59" t="n"/>
      <c r="D745" s="59" t="n"/>
      <c r="E745" s="60">
        <f>IF(OR(C745="",D745=""),"",MOD(D745-C745,1)*24)</f>
        <v/>
      </c>
      <c r="F745" s="50" t="n"/>
      <c r="G745" s="51" t="n"/>
      <c r="H745" s="51" t="n"/>
      <c r="I745" s="51" t="n"/>
      <c r="J745" s="51" t="n"/>
      <c r="K745" s="51" t="n"/>
      <c r="L745" s="54">
        <f>IF(OR(A745="",C745="",D745=""),"",IF(COUNTIFS($A$5:$A$3004,A745,$C$5:$C$3004,"&lt;"&amp;D745,$D$5:$D$3004,"&gt;"&amp;C745)&gt;1,"⚠️ пересечение",""))</f>
        <v/>
      </c>
      <c r="M745" s="54">
        <f>IF(F745="","",IF(J745="✅ Сделано","✔ ",IF(J745="❌ Пропущено","✖ ","⏰ "))&amp;IF(C745="","",RIGHT("0"&amp;HOUR(C745),2)&amp;":"&amp;RIGHT("0"&amp;MINUTE(C745),2)&amp;IF(D745="","","–"&amp;RIGHT("0"&amp;HOUR(D745),2)&amp;":"&amp;RIGHT("0"&amp;MINUTE(D745),2))&amp;" ")&amp;F745)</f>
        <v/>
      </c>
      <c r="N745" s="54">
        <f>IF(OR(A745="",F745=""),"",A745&amp;"#"&amp;(COUNTIFS($A$5:$A$3004,A745,$F$5:$F$3004,"?*",$O$5:$O$3004,"&lt;"&amp;O745)+COUNTIFS($A$5:A745,A745,$F$5:F745,"?*",$O$5:O745,O745)))</f>
        <v/>
      </c>
      <c r="O745" s="54">
        <f>IF(A745="","",IF(C745="",0,C745))</f>
        <v/>
      </c>
    </row>
    <row r="746">
      <c r="A746" s="58" t="n"/>
      <c r="B746" s="49">
        <f>IF(A746="","",CHOOSE(WEEKDAY(A746,2),"Пн","Вт","Ср","Чт","Пт","Сб","Вс"))</f>
        <v/>
      </c>
      <c r="C746" s="59" t="n"/>
      <c r="D746" s="59" t="n"/>
      <c r="E746" s="60">
        <f>IF(OR(C746="",D746=""),"",MOD(D746-C746,1)*24)</f>
        <v/>
      </c>
      <c r="F746" s="50" t="n"/>
      <c r="G746" s="51" t="n"/>
      <c r="H746" s="51" t="n"/>
      <c r="I746" s="51" t="n"/>
      <c r="J746" s="51" t="n"/>
      <c r="K746" s="51" t="n"/>
      <c r="L746" s="54">
        <f>IF(OR(A746="",C746="",D746=""),"",IF(COUNTIFS($A$5:$A$3004,A746,$C$5:$C$3004,"&lt;"&amp;D746,$D$5:$D$3004,"&gt;"&amp;C746)&gt;1,"⚠️ пересечение",""))</f>
        <v/>
      </c>
      <c r="M746" s="54">
        <f>IF(F746="","",IF(J746="✅ Сделано","✔ ",IF(J746="❌ Пропущено","✖ ","⏰ "))&amp;IF(C746="","",RIGHT("0"&amp;HOUR(C746),2)&amp;":"&amp;RIGHT("0"&amp;MINUTE(C746),2)&amp;IF(D746="","","–"&amp;RIGHT("0"&amp;HOUR(D746),2)&amp;":"&amp;RIGHT("0"&amp;MINUTE(D746),2))&amp;" ")&amp;F746)</f>
        <v/>
      </c>
      <c r="N746" s="54">
        <f>IF(OR(A746="",F746=""),"",A746&amp;"#"&amp;(COUNTIFS($A$5:$A$3004,A746,$F$5:$F$3004,"?*",$O$5:$O$3004,"&lt;"&amp;O746)+COUNTIFS($A$5:A746,A746,$F$5:F746,"?*",$O$5:O746,O746)))</f>
        <v/>
      </c>
      <c r="O746" s="54">
        <f>IF(A746="","",IF(C746="",0,C746))</f>
        <v/>
      </c>
    </row>
    <row r="747">
      <c r="A747" s="58" t="n"/>
      <c r="B747" s="49">
        <f>IF(A747="","",CHOOSE(WEEKDAY(A747,2),"Пн","Вт","Ср","Чт","Пт","Сб","Вс"))</f>
        <v/>
      </c>
      <c r="C747" s="59" t="n"/>
      <c r="D747" s="59" t="n"/>
      <c r="E747" s="60">
        <f>IF(OR(C747="",D747=""),"",MOD(D747-C747,1)*24)</f>
        <v/>
      </c>
      <c r="F747" s="50" t="n"/>
      <c r="G747" s="51" t="n"/>
      <c r="H747" s="51" t="n"/>
      <c r="I747" s="51" t="n"/>
      <c r="J747" s="51" t="n"/>
      <c r="K747" s="51" t="n"/>
      <c r="L747" s="54">
        <f>IF(OR(A747="",C747="",D747=""),"",IF(COUNTIFS($A$5:$A$3004,A747,$C$5:$C$3004,"&lt;"&amp;D747,$D$5:$D$3004,"&gt;"&amp;C747)&gt;1,"⚠️ пересечение",""))</f>
        <v/>
      </c>
      <c r="M747" s="54">
        <f>IF(F747="","",IF(J747="✅ Сделано","✔ ",IF(J747="❌ Пропущено","✖ ","⏰ "))&amp;IF(C747="","",RIGHT("0"&amp;HOUR(C747),2)&amp;":"&amp;RIGHT("0"&amp;MINUTE(C747),2)&amp;IF(D747="","","–"&amp;RIGHT("0"&amp;HOUR(D747),2)&amp;":"&amp;RIGHT("0"&amp;MINUTE(D747),2))&amp;" ")&amp;F747)</f>
        <v/>
      </c>
      <c r="N747" s="54">
        <f>IF(OR(A747="",F747=""),"",A747&amp;"#"&amp;(COUNTIFS($A$5:$A$3004,A747,$F$5:$F$3004,"?*",$O$5:$O$3004,"&lt;"&amp;O747)+COUNTIFS($A$5:A747,A747,$F$5:F747,"?*",$O$5:O747,O747)))</f>
        <v/>
      </c>
      <c r="O747" s="54">
        <f>IF(A747="","",IF(C747="",0,C747))</f>
        <v/>
      </c>
    </row>
    <row r="748">
      <c r="A748" s="58" t="n"/>
      <c r="B748" s="49">
        <f>IF(A748="","",CHOOSE(WEEKDAY(A748,2),"Пн","Вт","Ср","Чт","Пт","Сб","Вс"))</f>
        <v/>
      </c>
      <c r="C748" s="59" t="n"/>
      <c r="D748" s="59" t="n"/>
      <c r="E748" s="60">
        <f>IF(OR(C748="",D748=""),"",MOD(D748-C748,1)*24)</f>
        <v/>
      </c>
      <c r="F748" s="50" t="n"/>
      <c r="G748" s="51" t="n"/>
      <c r="H748" s="51" t="n"/>
      <c r="I748" s="51" t="n"/>
      <c r="J748" s="51" t="n"/>
      <c r="K748" s="51" t="n"/>
      <c r="L748" s="54">
        <f>IF(OR(A748="",C748="",D748=""),"",IF(COUNTIFS($A$5:$A$3004,A748,$C$5:$C$3004,"&lt;"&amp;D748,$D$5:$D$3004,"&gt;"&amp;C748)&gt;1,"⚠️ пересечение",""))</f>
        <v/>
      </c>
      <c r="M748" s="54">
        <f>IF(F748="","",IF(J748="✅ Сделано","✔ ",IF(J748="❌ Пропущено","✖ ","⏰ "))&amp;IF(C748="","",RIGHT("0"&amp;HOUR(C748),2)&amp;":"&amp;RIGHT("0"&amp;MINUTE(C748),2)&amp;IF(D748="","","–"&amp;RIGHT("0"&amp;HOUR(D748),2)&amp;":"&amp;RIGHT("0"&amp;MINUTE(D748),2))&amp;" ")&amp;F748)</f>
        <v/>
      </c>
      <c r="N748" s="54">
        <f>IF(OR(A748="",F748=""),"",A748&amp;"#"&amp;(COUNTIFS($A$5:$A$3004,A748,$F$5:$F$3004,"?*",$O$5:$O$3004,"&lt;"&amp;O748)+COUNTIFS($A$5:A748,A748,$F$5:F748,"?*",$O$5:O748,O748)))</f>
        <v/>
      </c>
      <c r="O748" s="54">
        <f>IF(A748="","",IF(C748="",0,C748))</f>
        <v/>
      </c>
    </row>
    <row r="749">
      <c r="A749" s="58" t="n"/>
      <c r="B749" s="49">
        <f>IF(A749="","",CHOOSE(WEEKDAY(A749,2),"Пн","Вт","Ср","Чт","Пт","Сб","Вс"))</f>
        <v/>
      </c>
      <c r="C749" s="59" t="n"/>
      <c r="D749" s="59" t="n"/>
      <c r="E749" s="60">
        <f>IF(OR(C749="",D749=""),"",MOD(D749-C749,1)*24)</f>
        <v/>
      </c>
      <c r="F749" s="50" t="n"/>
      <c r="G749" s="51" t="n"/>
      <c r="H749" s="51" t="n"/>
      <c r="I749" s="51" t="n"/>
      <c r="J749" s="51" t="n"/>
      <c r="K749" s="51" t="n"/>
      <c r="L749" s="54">
        <f>IF(OR(A749="",C749="",D749=""),"",IF(COUNTIFS($A$5:$A$3004,A749,$C$5:$C$3004,"&lt;"&amp;D749,$D$5:$D$3004,"&gt;"&amp;C749)&gt;1,"⚠️ пересечение",""))</f>
        <v/>
      </c>
      <c r="M749" s="54">
        <f>IF(F749="","",IF(J749="✅ Сделано","✔ ",IF(J749="❌ Пропущено","✖ ","⏰ "))&amp;IF(C749="","",RIGHT("0"&amp;HOUR(C749),2)&amp;":"&amp;RIGHT("0"&amp;MINUTE(C749),2)&amp;IF(D749="","","–"&amp;RIGHT("0"&amp;HOUR(D749),2)&amp;":"&amp;RIGHT("0"&amp;MINUTE(D749),2))&amp;" ")&amp;F749)</f>
        <v/>
      </c>
      <c r="N749" s="54">
        <f>IF(OR(A749="",F749=""),"",A749&amp;"#"&amp;(COUNTIFS($A$5:$A$3004,A749,$F$5:$F$3004,"?*",$O$5:$O$3004,"&lt;"&amp;O749)+COUNTIFS($A$5:A749,A749,$F$5:F749,"?*",$O$5:O749,O749)))</f>
        <v/>
      </c>
      <c r="O749" s="54">
        <f>IF(A749="","",IF(C749="",0,C749))</f>
        <v/>
      </c>
    </row>
    <row r="750">
      <c r="A750" s="58" t="n"/>
      <c r="B750" s="49">
        <f>IF(A750="","",CHOOSE(WEEKDAY(A750,2),"Пн","Вт","Ср","Чт","Пт","Сб","Вс"))</f>
        <v/>
      </c>
      <c r="C750" s="59" t="n"/>
      <c r="D750" s="59" t="n"/>
      <c r="E750" s="60">
        <f>IF(OR(C750="",D750=""),"",MOD(D750-C750,1)*24)</f>
        <v/>
      </c>
      <c r="F750" s="50" t="n"/>
      <c r="G750" s="51" t="n"/>
      <c r="H750" s="51" t="n"/>
      <c r="I750" s="51" t="n"/>
      <c r="J750" s="51" t="n"/>
      <c r="K750" s="51" t="n"/>
      <c r="L750" s="54">
        <f>IF(OR(A750="",C750="",D750=""),"",IF(COUNTIFS($A$5:$A$3004,A750,$C$5:$C$3004,"&lt;"&amp;D750,$D$5:$D$3004,"&gt;"&amp;C750)&gt;1,"⚠️ пересечение",""))</f>
        <v/>
      </c>
      <c r="M750" s="54">
        <f>IF(F750="","",IF(J750="✅ Сделано","✔ ",IF(J750="❌ Пропущено","✖ ","⏰ "))&amp;IF(C750="","",RIGHT("0"&amp;HOUR(C750),2)&amp;":"&amp;RIGHT("0"&amp;MINUTE(C750),2)&amp;IF(D750="","","–"&amp;RIGHT("0"&amp;HOUR(D750),2)&amp;":"&amp;RIGHT("0"&amp;MINUTE(D750),2))&amp;" ")&amp;F750)</f>
        <v/>
      </c>
      <c r="N750" s="54">
        <f>IF(OR(A750="",F750=""),"",A750&amp;"#"&amp;(COUNTIFS($A$5:$A$3004,A750,$F$5:$F$3004,"?*",$O$5:$O$3004,"&lt;"&amp;O750)+COUNTIFS($A$5:A750,A750,$F$5:F750,"?*",$O$5:O750,O750)))</f>
        <v/>
      </c>
      <c r="O750" s="54">
        <f>IF(A750="","",IF(C750="",0,C750))</f>
        <v/>
      </c>
    </row>
    <row r="751">
      <c r="A751" s="58" t="n"/>
      <c r="B751" s="49">
        <f>IF(A751="","",CHOOSE(WEEKDAY(A751,2),"Пн","Вт","Ср","Чт","Пт","Сб","Вс"))</f>
        <v/>
      </c>
      <c r="C751" s="59" t="n"/>
      <c r="D751" s="59" t="n"/>
      <c r="E751" s="60">
        <f>IF(OR(C751="",D751=""),"",MOD(D751-C751,1)*24)</f>
        <v/>
      </c>
      <c r="F751" s="50" t="n"/>
      <c r="G751" s="51" t="n"/>
      <c r="H751" s="51" t="n"/>
      <c r="I751" s="51" t="n"/>
      <c r="J751" s="51" t="n"/>
      <c r="K751" s="51" t="n"/>
      <c r="L751" s="54">
        <f>IF(OR(A751="",C751="",D751=""),"",IF(COUNTIFS($A$5:$A$3004,A751,$C$5:$C$3004,"&lt;"&amp;D751,$D$5:$D$3004,"&gt;"&amp;C751)&gt;1,"⚠️ пересечение",""))</f>
        <v/>
      </c>
      <c r="M751" s="54">
        <f>IF(F751="","",IF(J751="✅ Сделано","✔ ",IF(J751="❌ Пропущено","✖ ","⏰ "))&amp;IF(C751="","",RIGHT("0"&amp;HOUR(C751),2)&amp;":"&amp;RIGHT("0"&amp;MINUTE(C751),2)&amp;IF(D751="","","–"&amp;RIGHT("0"&amp;HOUR(D751),2)&amp;":"&amp;RIGHT("0"&amp;MINUTE(D751),2))&amp;" ")&amp;F751)</f>
        <v/>
      </c>
      <c r="N751" s="54">
        <f>IF(OR(A751="",F751=""),"",A751&amp;"#"&amp;(COUNTIFS($A$5:$A$3004,A751,$F$5:$F$3004,"?*",$O$5:$O$3004,"&lt;"&amp;O751)+COUNTIFS($A$5:A751,A751,$F$5:F751,"?*",$O$5:O751,O751)))</f>
        <v/>
      </c>
      <c r="O751" s="54">
        <f>IF(A751="","",IF(C751="",0,C751))</f>
        <v/>
      </c>
    </row>
    <row r="752">
      <c r="A752" s="58" t="n"/>
      <c r="B752" s="49">
        <f>IF(A752="","",CHOOSE(WEEKDAY(A752,2),"Пн","Вт","Ср","Чт","Пт","Сб","Вс"))</f>
        <v/>
      </c>
      <c r="C752" s="59" t="n"/>
      <c r="D752" s="59" t="n"/>
      <c r="E752" s="60">
        <f>IF(OR(C752="",D752=""),"",MOD(D752-C752,1)*24)</f>
        <v/>
      </c>
      <c r="F752" s="50" t="n"/>
      <c r="G752" s="51" t="n"/>
      <c r="H752" s="51" t="n"/>
      <c r="I752" s="51" t="n"/>
      <c r="J752" s="51" t="n"/>
      <c r="K752" s="51" t="n"/>
      <c r="L752" s="54">
        <f>IF(OR(A752="",C752="",D752=""),"",IF(COUNTIFS($A$5:$A$3004,A752,$C$5:$C$3004,"&lt;"&amp;D752,$D$5:$D$3004,"&gt;"&amp;C752)&gt;1,"⚠️ пересечение",""))</f>
        <v/>
      </c>
      <c r="M752" s="54">
        <f>IF(F752="","",IF(J752="✅ Сделано","✔ ",IF(J752="❌ Пропущено","✖ ","⏰ "))&amp;IF(C752="","",RIGHT("0"&amp;HOUR(C752),2)&amp;":"&amp;RIGHT("0"&amp;MINUTE(C752),2)&amp;IF(D752="","","–"&amp;RIGHT("0"&amp;HOUR(D752),2)&amp;":"&amp;RIGHT("0"&amp;MINUTE(D752),2))&amp;" ")&amp;F752)</f>
        <v/>
      </c>
      <c r="N752" s="54">
        <f>IF(OR(A752="",F752=""),"",A752&amp;"#"&amp;(COUNTIFS($A$5:$A$3004,A752,$F$5:$F$3004,"?*",$O$5:$O$3004,"&lt;"&amp;O752)+COUNTIFS($A$5:A752,A752,$F$5:F752,"?*",$O$5:O752,O752)))</f>
        <v/>
      </c>
      <c r="O752" s="54">
        <f>IF(A752="","",IF(C752="",0,C752))</f>
        <v/>
      </c>
    </row>
    <row r="753">
      <c r="A753" s="58" t="n"/>
      <c r="B753" s="49">
        <f>IF(A753="","",CHOOSE(WEEKDAY(A753,2),"Пн","Вт","Ср","Чт","Пт","Сб","Вс"))</f>
        <v/>
      </c>
      <c r="C753" s="59" t="n"/>
      <c r="D753" s="59" t="n"/>
      <c r="E753" s="60">
        <f>IF(OR(C753="",D753=""),"",MOD(D753-C753,1)*24)</f>
        <v/>
      </c>
      <c r="F753" s="50" t="n"/>
      <c r="G753" s="51" t="n"/>
      <c r="H753" s="51" t="n"/>
      <c r="I753" s="51" t="n"/>
      <c r="J753" s="51" t="n"/>
      <c r="K753" s="51" t="n"/>
      <c r="L753" s="54">
        <f>IF(OR(A753="",C753="",D753=""),"",IF(COUNTIFS($A$5:$A$3004,A753,$C$5:$C$3004,"&lt;"&amp;D753,$D$5:$D$3004,"&gt;"&amp;C753)&gt;1,"⚠️ пересечение",""))</f>
        <v/>
      </c>
      <c r="M753" s="54">
        <f>IF(F753="","",IF(J753="✅ Сделано","✔ ",IF(J753="❌ Пропущено","✖ ","⏰ "))&amp;IF(C753="","",RIGHT("0"&amp;HOUR(C753),2)&amp;":"&amp;RIGHT("0"&amp;MINUTE(C753),2)&amp;IF(D753="","","–"&amp;RIGHT("0"&amp;HOUR(D753),2)&amp;":"&amp;RIGHT("0"&amp;MINUTE(D753),2))&amp;" ")&amp;F753)</f>
        <v/>
      </c>
      <c r="N753" s="54">
        <f>IF(OR(A753="",F753=""),"",A753&amp;"#"&amp;(COUNTIFS($A$5:$A$3004,A753,$F$5:$F$3004,"?*",$O$5:$O$3004,"&lt;"&amp;O753)+COUNTIFS($A$5:A753,A753,$F$5:F753,"?*",$O$5:O753,O753)))</f>
        <v/>
      </c>
      <c r="O753" s="54">
        <f>IF(A753="","",IF(C753="",0,C753))</f>
        <v/>
      </c>
    </row>
    <row r="754">
      <c r="A754" s="58" t="n"/>
      <c r="B754" s="49">
        <f>IF(A754="","",CHOOSE(WEEKDAY(A754,2),"Пн","Вт","Ср","Чт","Пт","Сб","Вс"))</f>
        <v/>
      </c>
      <c r="C754" s="59" t="n"/>
      <c r="D754" s="59" t="n"/>
      <c r="E754" s="60">
        <f>IF(OR(C754="",D754=""),"",MOD(D754-C754,1)*24)</f>
        <v/>
      </c>
      <c r="F754" s="50" t="n"/>
      <c r="G754" s="51" t="n"/>
      <c r="H754" s="51" t="n"/>
      <c r="I754" s="51" t="n"/>
      <c r="J754" s="51" t="n"/>
      <c r="K754" s="51" t="n"/>
      <c r="L754" s="54">
        <f>IF(OR(A754="",C754="",D754=""),"",IF(COUNTIFS($A$5:$A$3004,A754,$C$5:$C$3004,"&lt;"&amp;D754,$D$5:$D$3004,"&gt;"&amp;C754)&gt;1,"⚠️ пересечение",""))</f>
        <v/>
      </c>
      <c r="M754" s="54">
        <f>IF(F754="","",IF(J754="✅ Сделано","✔ ",IF(J754="❌ Пропущено","✖ ","⏰ "))&amp;IF(C754="","",RIGHT("0"&amp;HOUR(C754),2)&amp;":"&amp;RIGHT("0"&amp;MINUTE(C754),2)&amp;IF(D754="","","–"&amp;RIGHT("0"&amp;HOUR(D754),2)&amp;":"&amp;RIGHT("0"&amp;MINUTE(D754),2))&amp;" ")&amp;F754)</f>
        <v/>
      </c>
      <c r="N754" s="54">
        <f>IF(OR(A754="",F754=""),"",A754&amp;"#"&amp;(COUNTIFS($A$5:$A$3004,A754,$F$5:$F$3004,"?*",$O$5:$O$3004,"&lt;"&amp;O754)+COUNTIFS($A$5:A754,A754,$F$5:F754,"?*",$O$5:O754,O754)))</f>
        <v/>
      </c>
      <c r="O754" s="54">
        <f>IF(A754="","",IF(C754="",0,C754))</f>
        <v/>
      </c>
    </row>
    <row r="755">
      <c r="A755" s="58" t="n"/>
      <c r="B755" s="49">
        <f>IF(A755="","",CHOOSE(WEEKDAY(A755,2),"Пн","Вт","Ср","Чт","Пт","Сб","Вс"))</f>
        <v/>
      </c>
      <c r="C755" s="59" t="n"/>
      <c r="D755" s="59" t="n"/>
      <c r="E755" s="60">
        <f>IF(OR(C755="",D755=""),"",MOD(D755-C755,1)*24)</f>
        <v/>
      </c>
      <c r="F755" s="50" t="n"/>
      <c r="G755" s="51" t="n"/>
      <c r="H755" s="51" t="n"/>
      <c r="I755" s="51" t="n"/>
      <c r="J755" s="51" t="n"/>
      <c r="K755" s="51" t="n"/>
      <c r="L755" s="54">
        <f>IF(OR(A755="",C755="",D755=""),"",IF(COUNTIFS($A$5:$A$3004,A755,$C$5:$C$3004,"&lt;"&amp;D755,$D$5:$D$3004,"&gt;"&amp;C755)&gt;1,"⚠️ пересечение",""))</f>
        <v/>
      </c>
      <c r="M755" s="54">
        <f>IF(F755="","",IF(J755="✅ Сделано","✔ ",IF(J755="❌ Пропущено","✖ ","⏰ "))&amp;IF(C755="","",RIGHT("0"&amp;HOUR(C755),2)&amp;":"&amp;RIGHT("0"&amp;MINUTE(C755),2)&amp;IF(D755="","","–"&amp;RIGHT("0"&amp;HOUR(D755),2)&amp;":"&amp;RIGHT("0"&amp;MINUTE(D755),2))&amp;" ")&amp;F755)</f>
        <v/>
      </c>
      <c r="N755" s="54">
        <f>IF(OR(A755="",F755=""),"",A755&amp;"#"&amp;(COUNTIFS($A$5:$A$3004,A755,$F$5:$F$3004,"?*",$O$5:$O$3004,"&lt;"&amp;O755)+COUNTIFS($A$5:A755,A755,$F$5:F755,"?*",$O$5:O755,O755)))</f>
        <v/>
      </c>
      <c r="O755" s="54">
        <f>IF(A755="","",IF(C755="",0,C755))</f>
        <v/>
      </c>
    </row>
    <row r="756">
      <c r="A756" s="58" t="n"/>
      <c r="B756" s="49">
        <f>IF(A756="","",CHOOSE(WEEKDAY(A756,2),"Пн","Вт","Ср","Чт","Пт","Сб","Вс"))</f>
        <v/>
      </c>
      <c r="C756" s="59" t="n"/>
      <c r="D756" s="59" t="n"/>
      <c r="E756" s="60">
        <f>IF(OR(C756="",D756=""),"",MOD(D756-C756,1)*24)</f>
        <v/>
      </c>
      <c r="F756" s="50" t="n"/>
      <c r="G756" s="51" t="n"/>
      <c r="H756" s="51" t="n"/>
      <c r="I756" s="51" t="n"/>
      <c r="J756" s="51" t="n"/>
      <c r="K756" s="51" t="n"/>
      <c r="L756" s="54">
        <f>IF(OR(A756="",C756="",D756=""),"",IF(COUNTIFS($A$5:$A$3004,A756,$C$5:$C$3004,"&lt;"&amp;D756,$D$5:$D$3004,"&gt;"&amp;C756)&gt;1,"⚠️ пересечение",""))</f>
        <v/>
      </c>
      <c r="M756" s="54">
        <f>IF(F756="","",IF(J756="✅ Сделано","✔ ",IF(J756="❌ Пропущено","✖ ","⏰ "))&amp;IF(C756="","",RIGHT("0"&amp;HOUR(C756),2)&amp;":"&amp;RIGHT("0"&amp;MINUTE(C756),2)&amp;IF(D756="","","–"&amp;RIGHT("0"&amp;HOUR(D756),2)&amp;":"&amp;RIGHT("0"&amp;MINUTE(D756),2))&amp;" ")&amp;F756)</f>
        <v/>
      </c>
      <c r="N756" s="54">
        <f>IF(OR(A756="",F756=""),"",A756&amp;"#"&amp;(COUNTIFS($A$5:$A$3004,A756,$F$5:$F$3004,"?*",$O$5:$O$3004,"&lt;"&amp;O756)+COUNTIFS($A$5:A756,A756,$F$5:F756,"?*",$O$5:O756,O756)))</f>
        <v/>
      </c>
      <c r="O756" s="54">
        <f>IF(A756="","",IF(C756="",0,C756))</f>
        <v/>
      </c>
    </row>
    <row r="757">
      <c r="A757" s="58" t="n"/>
      <c r="B757" s="49">
        <f>IF(A757="","",CHOOSE(WEEKDAY(A757,2),"Пн","Вт","Ср","Чт","Пт","Сб","Вс"))</f>
        <v/>
      </c>
      <c r="C757" s="59" t="n"/>
      <c r="D757" s="59" t="n"/>
      <c r="E757" s="60">
        <f>IF(OR(C757="",D757=""),"",MOD(D757-C757,1)*24)</f>
        <v/>
      </c>
      <c r="F757" s="50" t="n"/>
      <c r="G757" s="51" t="n"/>
      <c r="H757" s="51" t="n"/>
      <c r="I757" s="51" t="n"/>
      <c r="J757" s="51" t="n"/>
      <c r="K757" s="51" t="n"/>
      <c r="L757" s="54">
        <f>IF(OR(A757="",C757="",D757=""),"",IF(COUNTIFS($A$5:$A$3004,A757,$C$5:$C$3004,"&lt;"&amp;D757,$D$5:$D$3004,"&gt;"&amp;C757)&gt;1,"⚠️ пересечение",""))</f>
        <v/>
      </c>
      <c r="M757" s="54">
        <f>IF(F757="","",IF(J757="✅ Сделано","✔ ",IF(J757="❌ Пропущено","✖ ","⏰ "))&amp;IF(C757="","",RIGHT("0"&amp;HOUR(C757),2)&amp;":"&amp;RIGHT("0"&amp;MINUTE(C757),2)&amp;IF(D757="","","–"&amp;RIGHT("0"&amp;HOUR(D757),2)&amp;":"&amp;RIGHT("0"&amp;MINUTE(D757),2))&amp;" ")&amp;F757)</f>
        <v/>
      </c>
      <c r="N757" s="54">
        <f>IF(OR(A757="",F757=""),"",A757&amp;"#"&amp;(COUNTIFS($A$5:$A$3004,A757,$F$5:$F$3004,"?*",$O$5:$O$3004,"&lt;"&amp;O757)+COUNTIFS($A$5:A757,A757,$F$5:F757,"?*",$O$5:O757,O757)))</f>
        <v/>
      </c>
      <c r="O757" s="54">
        <f>IF(A757="","",IF(C757="",0,C757))</f>
        <v/>
      </c>
    </row>
    <row r="758">
      <c r="A758" s="58" t="n"/>
      <c r="B758" s="49">
        <f>IF(A758="","",CHOOSE(WEEKDAY(A758,2),"Пн","Вт","Ср","Чт","Пт","Сб","Вс"))</f>
        <v/>
      </c>
      <c r="C758" s="59" t="n"/>
      <c r="D758" s="59" t="n"/>
      <c r="E758" s="60">
        <f>IF(OR(C758="",D758=""),"",MOD(D758-C758,1)*24)</f>
        <v/>
      </c>
      <c r="F758" s="50" t="n"/>
      <c r="G758" s="51" t="n"/>
      <c r="H758" s="51" t="n"/>
      <c r="I758" s="51" t="n"/>
      <c r="J758" s="51" t="n"/>
      <c r="K758" s="51" t="n"/>
      <c r="L758" s="54">
        <f>IF(OR(A758="",C758="",D758=""),"",IF(COUNTIFS($A$5:$A$3004,A758,$C$5:$C$3004,"&lt;"&amp;D758,$D$5:$D$3004,"&gt;"&amp;C758)&gt;1,"⚠️ пересечение",""))</f>
        <v/>
      </c>
      <c r="M758" s="54">
        <f>IF(F758="","",IF(J758="✅ Сделано","✔ ",IF(J758="❌ Пропущено","✖ ","⏰ "))&amp;IF(C758="","",RIGHT("0"&amp;HOUR(C758),2)&amp;":"&amp;RIGHT("0"&amp;MINUTE(C758),2)&amp;IF(D758="","","–"&amp;RIGHT("0"&amp;HOUR(D758),2)&amp;":"&amp;RIGHT("0"&amp;MINUTE(D758),2))&amp;" ")&amp;F758)</f>
        <v/>
      </c>
      <c r="N758" s="54">
        <f>IF(OR(A758="",F758=""),"",A758&amp;"#"&amp;(COUNTIFS($A$5:$A$3004,A758,$F$5:$F$3004,"?*",$O$5:$O$3004,"&lt;"&amp;O758)+COUNTIFS($A$5:A758,A758,$F$5:F758,"?*",$O$5:O758,O758)))</f>
        <v/>
      </c>
      <c r="O758" s="54">
        <f>IF(A758="","",IF(C758="",0,C758))</f>
        <v/>
      </c>
    </row>
    <row r="759">
      <c r="A759" s="58" t="n"/>
      <c r="B759" s="49">
        <f>IF(A759="","",CHOOSE(WEEKDAY(A759,2),"Пн","Вт","Ср","Чт","Пт","Сб","Вс"))</f>
        <v/>
      </c>
      <c r="C759" s="59" t="n"/>
      <c r="D759" s="59" t="n"/>
      <c r="E759" s="60">
        <f>IF(OR(C759="",D759=""),"",MOD(D759-C759,1)*24)</f>
        <v/>
      </c>
      <c r="F759" s="50" t="n"/>
      <c r="G759" s="51" t="n"/>
      <c r="H759" s="51" t="n"/>
      <c r="I759" s="51" t="n"/>
      <c r="J759" s="51" t="n"/>
      <c r="K759" s="51" t="n"/>
      <c r="L759" s="54">
        <f>IF(OR(A759="",C759="",D759=""),"",IF(COUNTIFS($A$5:$A$3004,A759,$C$5:$C$3004,"&lt;"&amp;D759,$D$5:$D$3004,"&gt;"&amp;C759)&gt;1,"⚠️ пересечение",""))</f>
        <v/>
      </c>
      <c r="M759" s="54">
        <f>IF(F759="","",IF(J759="✅ Сделано","✔ ",IF(J759="❌ Пропущено","✖ ","⏰ "))&amp;IF(C759="","",RIGHT("0"&amp;HOUR(C759),2)&amp;":"&amp;RIGHT("0"&amp;MINUTE(C759),2)&amp;IF(D759="","","–"&amp;RIGHT("0"&amp;HOUR(D759),2)&amp;":"&amp;RIGHT("0"&amp;MINUTE(D759),2))&amp;" ")&amp;F759)</f>
        <v/>
      </c>
      <c r="N759" s="54">
        <f>IF(OR(A759="",F759=""),"",A759&amp;"#"&amp;(COUNTIFS($A$5:$A$3004,A759,$F$5:$F$3004,"?*",$O$5:$O$3004,"&lt;"&amp;O759)+COUNTIFS($A$5:A759,A759,$F$5:F759,"?*",$O$5:O759,O759)))</f>
        <v/>
      </c>
      <c r="O759" s="54">
        <f>IF(A759="","",IF(C759="",0,C759))</f>
        <v/>
      </c>
    </row>
    <row r="760">
      <c r="A760" s="58" t="n"/>
      <c r="B760" s="49">
        <f>IF(A760="","",CHOOSE(WEEKDAY(A760,2),"Пн","Вт","Ср","Чт","Пт","Сб","Вс"))</f>
        <v/>
      </c>
      <c r="C760" s="59" t="n"/>
      <c r="D760" s="59" t="n"/>
      <c r="E760" s="60">
        <f>IF(OR(C760="",D760=""),"",MOD(D760-C760,1)*24)</f>
        <v/>
      </c>
      <c r="F760" s="50" t="n"/>
      <c r="G760" s="51" t="n"/>
      <c r="H760" s="51" t="n"/>
      <c r="I760" s="51" t="n"/>
      <c r="J760" s="51" t="n"/>
      <c r="K760" s="51" t="n"/>
      <c r="L760" s="54">
        <f>IF(OR(A760="",C760="",D760=""),"",IF(COUNTIFS($A$5:$A$3004,A760,$C$5:$C$3004,"&lt;"&amp;D760,$D$5:$D$3004,"&gt;"&amp;C760)&gt;1,"⚠️ пересечение",""))</f>
        <v/>
      </c>
      <c r="M760" s="54">
        <f>IF(F760="","",IF(J760="✅ Сделано","✔ ",IF(J760="❌ Пропущено","✖ ","⏰ "))&amp;IF(C760="","",RIGHT("0"&amp;HOUR(C760),2)&amp;":"&amp;RIGHT("0"&amp;MINUTE(C760),2)&amp;IF(D760="","","–"&amp;RIGHT("0"&amp;HOUR(D760),2)&amp;":"&amp;RIGHT("0"&amp;MINUTE(D760),2))&amp;" ")&amp;F760)</f>
        <v/>
      </c>
      <c r="N760" s="54">
        <f>IF(OR(A760="",F760=""),"",A760&amp;"#"&amp;(COUNTIFS($A$5:$A$3004,A760,$F$5:$F$3004,"?*",$O$5:$O$3004,"&lt;"&amp;O760)+COUNTIFS($A$5:A760,A760,$F$5:F760,"?*",$O$5:O760,O760)))</f>
        <v/>
      </c>
      <c r="O760" s="54">
        <f>IF(A760="","",IF(C760="",0,C760))</f>
        <v/>
      </c>
    </row>
    <row r="761">
      <c r="A761" s="58" t="n"/>
      <c r="B761" s="49">
        <f>IF(A761="","",CHOOSE(WEEKDAY(A761,2),"Пн","Вт","Ср","Чт","Пт","Сб","Вс"))</f>
        <v/>
      </c>
      <c r="C761" s="59" t="n"/>
      <c r="D761" s="59" t="n"/>
      <c r="E761" s="60">
        <f>IF(OR(C761="",D761=""),"",MOD(D761-C761,1)*24)</f>
        <v/>
      </c>
      <c r="F761" s="50" t="n"/>
      <c r="G761" s="51" t="n"/>
      <c r="H761" s="51" t="n"/>
      <c r="I761" s="51" t="n"/>
      <c r="J761" s="51" t="n"/>
      <c r="K761" s="51" t="n"/>
      <c r="L761" s="54">
        <f>IF(OR(A761="",C761="",D761=""),"",IF(COUNTIFS($A$5:$A$3004,A761,$C$5:$C$3004,"&lt;"&amp;D761,$D$5:$D$3004,"&gt;"&amp;C761)&gt;1,"⚠️ пересечение",""))</f>
        <v/>
      </c>
      <c r="M761" s="54">
        <f>IF(F761="","",IF(J761="✅ Сделано","✔ ",IF(J761="❌ Пропущено","✖ ","⏰ "))&amp;IF(C761="","",RIGHT("0"&amp;HOUR(C761),2)&amp;":"&amp;RIGHT("0"&amp;MINUTE(C761),2)&amp;IF(D761="","","–"&amp;RIGHT("0"&amp;HOUR(D761),2)&amp;":"&amp;RIGHT("0"&amp;MINUTE(D761),2))&amp;" ")&amp;F761)</f>
        <v/>
      </c>
      <c r="N761" s="54">
        <f>IF(OR(A761="",F761=""),"",A761&amp;"#"&amp;(COUNTIFS($A$5:$A$3004,A761,$F$5:$F$3004,"?*",$O$5:$O$3004,"&lt;"&amp;O761)+COUNTIFS($A$5:A761,A761,$F$5:F761,"?*",$O$5:O761,O761)))</f>
        <v/>
      </c>
      <c r="O761" s="54">
        <f>IF(A761="","",IF(C761="",0,C761))</f>
        <v/>
      </c>
    </row>
    <row r="762">
      <c r="A762" s="58" t="n"/>
      <c r="B762" s="49">
        <f>IF(A762="","",CHOOSE(WEEKDAY(A762,2),"Пн","Вт","Ср","Чт","Пт","Сб","Вс"))</f>
        <v/>
      </c>
      <c r="C762" s="59" t="n"/>
      <c r="D762" s="59" t="n"/>
      <c r="E762" s="60">
        <f>IF(OR(C762="",D762=""),"",MOD(D762-C762,1)*24)</f>
        <v/>
      </c>
      <c r="F762" s="50" t="n"/>
      <c r="G762" s="51" t="n"/>
      <c r="H762" s="51" t="n"/>
      <c r="I762" s="51" t="n"/>
      <c r="J762" s="51" t="n"/>
      <c r="K762" s="51" t="n"/>
      <c r="L762" s="54">
        <f>IF(OR(A762="",C762="",D762=""),"",IF(COUNTIFS($A$5:$A$3004,A762,$C$5:$C$3004,"&lt;"&amp;D762,$D$5:$D$3004,"&gt;"&amp;C762)&gt;1,"⚠️ пересечение",""))</f>
        <v/>
      </c>
      <c r="M762" s="54">
        <f>IF(F762="","",IF(J762="✅ Сделано","✔ ",IF(J762="❌ Пропущено","✖ ","⏰ "))&amp;IF(C762="","",RIGHT("0"&amp;HOUR(C762),2)&amp;":"&amp;RIGHT("0"&amp;MINUTE(C762),2)&amp;IF(D762="","","–"&amp;RIGHT("0"&amp;HOUR(D762),2)&amp;":"&amp;RIGHT("0"&amp;MINUTE(D762),2))&amp;" ")&amp;F762)</f>
        <v/>
      </c>
      <c r="N762" s="54">
        <f>IF(OR(A762="",F762=""),"",A762&amp;"#"&amp;(COUNTIFS($A$5:$A$3004,A762,$F$5:$F$3004,"?*",$O$5:$O$3004,"&lt;"&amp;O762)+COUNTIFS($A$5:A762,A762,$F$5:F762,"?*",$O$5:O762,O762)))</f>
        <v/>
      </c>
      <c r="O762" s="54">
        <f>IF(A762="","",IF(C762="",0,C762))</f>
        <v/>
      </c>
    </row>
    <row r="763">
      <c r="A763" s="58" t="n"/>
      <c r="B763" s="49">
        <f>IF(A763="","",CHOOSE(WEEKDAY(A763,2),"Пн","Вт","Ср","Чт","Пт","Сб","Вс"))</f>
        <v/>
      </c>
      <c r="C763" s="59" t="n"/>
      <c r="D763" s="59" t="n"/>
      <c r="E763" s="60">
        <f>IF(OR(C763="",D763=""),"",MOD(D763-C763,1)*24)</f>
        <v/>
      </c>
      <c r="F763" s="50" t="n"/>
      <c r="G763" s="51" t="n"/>
      <c r="H763" s="51" t="n"/>
      <c r="I763" s="51" t="n"/>
      <c r="J763" s="51" t="n"/>
      <c r="K763" s="51" t="n"/>
      <c r="L763" s="54">
        <f>IF(OR(A763="",C763="",D763=""),"",IF(COUNTIFS($A$5:$A$3004,A763,$C$5:$C$3004,"&lt;"&amp;D763,$D$5:$D$3004,"&gt;"&amp;C763)&gt;1,"⚠️ пересечение",""))</f>
        <v/>
      </c>
      <c r="M763" s="54">
        <f>IF(F763="","",IF(J763="✅ Сделано","✔ ",IF(J763="❌ Пропущено","✖ ","⏰ "))&amp;IF(C763="","",RIGHT("0"&amp;HOUR(C763),2)&amp;":"&amp;RIGHT("0"&amp;MINUTE(C763),2)&amp;IF(D763="","","–"&amp;RIGHT("0"&amp;HOUR(D763),2)&amp;":"&amp;RIGHT("0"&amp;MINUTE(D763),2))&amp;" ")&amp;F763)</f>
        <v/>
      </c>
      <c r="N763" s="54">
        <f>IF(OR(A763="",F763=""),"",A763&amp;"#"&amp;(COUNTIFS($A$5:$A$3004,A763,$F$5:$F$3004,"?*",$O$5:$O$3004,"&lt;"&amp;O763)+COUNTIFS($A$5:A763,A763,$F$5:F763,"?*",$O$5:O763,O763)))</f>
        <v/>
      </c>
      <c r="O763" s="54">
        <f>IF(A763="","",IF(C763="",0,C763))</f>
        <v/>
      </c>
    </row>
    <row r="764">
      <c r="A764" s="58" t="n"/>
      <c r="B764" s="49">
        <f>IF(A764="","",CHOOSE(WEEKDAY(A764,2),"Пн","Вт","Ср","Чт","Пт","Сб","Вс"))</f>
        <v/>
      </c>
      <c r="C764" s="59" t="n"/>
      <c r="D764" s="59" t="n"/>
      <c r="E764" s="60">
        <f>IF(OR(C764="",D764=""),"",MOD(D764-C764,1)*24)</f>
        <v/>
      </c>
      <c r="F764" s="50" t="n"/>
      <c r="G764" s="51" t="n"/>
      <c r="H764" s="51" t="n"/>
      <c r="I764" s="51" t="n"/>
      <c r="J764" s="51" t="n"/>
      <c r="K764" s="51" t="n"/>
      <c r="L764" s="54">
        <f>IF(OR(A764="",C764="",D764=""),"",IF(COUNTIFS($A$5:$A$3004,A764,$C$5:$C$3004,"&lt;"&amp;D764,$D$5:$D$3004,"&gt;"&amp;C764)&gt;1,"⚠️ пересечение",""))</f>
        <v/>
      </c>
      <c r="M764" s="54">
        <f>IF(F764="","",IF(J764="✅ Сделано","✔ ",IF(J764="❌ Пропущено","✖ ","⏰ "))&amp;IF(C764="","",RIGHT("0"&amp;HOUR(C764),2)&amp;":"&amp;RIGHT("0"&amp;MINUTE(C764),2)&amp;IF(D764="","","–"&amp;RIGHT("0"&amp;HOUR(D764),2)&amp;":"&amp;RIGHT("0"&amp;MINUTE(D764),2))&amp;" ")&amp;F764)</f>
        <v/>
      </c>
      <c r="N764" s="54">
        <f>IF(OR(A764="",F764=""),"",A764&amp;"#"&amp;(COUNTIFS($A$5:$A$3004,A764,$F$5:$F$3004,"?*",$O$5:$O$3004,"&lt;"&amp;O764)+COUNTIFS($A$5:A764,A764,$F$5:F764,"?*",$O$5:O764,O764)))</f>
        <v/>
      </c>
      <c r="O764" s="54">
        <f>IF(A764="","",IF(C764="",0,C764))</f>
        <v/>
      </c>
    </row>
    <row r="765">
      <c r="A765" s="58" t="n"/>
      <c r="B765" s="49">
        <f>IF(A765="","",CHOOSE(WEEKDAY(A765,2),"Пн","Вт","Ср","Чт","Пт","Сб","Вс"))</f>
        <v/>
      </c>
      <c r="C765" s="59" t="n"/>
      <c r="D765" s="59" t="n"/>
      <c r="E765" s="60">
        <f>IF(OR(C765="",D765=""),"",MOD(D765-C765,1)*24)</f>
        <v/>
      </c>
      <c r="F765" s="50" t="n"/>
      <c r="G765" s="51" t="n"/>
      <c r="H765" s="51" t="n"/>
      <c r="I765" s="51" t="n"/>
      <c r="J765" s="51" t="n"/>
      <c r="K765" s="51" t="n"/>
      <c r="L765" s="54">
        <f>IF(OR(A765="",C765="",D765=""),"",IF(COUNTIFS($A$5:$A$3004,A765,$C$5:$C$3004,"&lt;"&amp;D765,$D$5:$D$3004,"&gt;"&amp;C765)&gt;1,"⚠️ пересечение",""))</f>
        <v/>
      </c>
      <c r="M765" s="54">
        <f>IF(F765="","",IF(J765="✅ Сделано","✔ ",IF(J765="❌ Пропущено","✖ ","⏰ "))&amp;IF(C765="","",RIGHT("0"&amp;HOUR(C765),2)&amp;":"&amp;RIGHT("0"&amp;MINUTE(C765),2)&amp;IF(D765="","","–"&amp;RIGHT("0"&amp;HOUR(D765),2)&amp;":"&amp;RIGHT("0"&amp;MINUTE(D765),2))&amp;" ")&amp;F765)</f>
        <v/>
      </c>
      <c r="N765" s="54">
        <f>IF(OR(A765="",F765=""),"",A765&amp;"#"&amp;(COUNTIFS($A$5:$A$3004,A765,$F$5:$F$3004,"?*",$O$5:$O$3004,"&lt;"&amp;O765)+COUNTIFS($A$5:A765,A765,$F$5:F765,"?*",$O$5:O765,O765)))</f>
        <v/>
      </c>
      <c r="O765" s="54">
        <f>IF(A765="","",IF(C765="",0,C765))</f>
        <v/>
      </c>
    </row>
    <row r="766">
      <c r="A766" s="58" t="n"/>
      <c r="B766" s="49">
        <f>IF(A766="","",CHOOSE(WEEKDAY(A766,2),"Пн","Вт","Ср","Чт","Пт","Сб","Вс"))</f>
        <v/>
      </c>
      <c r="C766" s="59" t="n"/>
      <c r="D766" s="59" t="n"/>
      <c r="E766" s="60">
        <f>IF(OR(C766="",D766=""),"",MOD(D766-C766,1)*24)</f>
        <v/>
      </c>
      <c r="F766" s="50" t="n"/>
      <c r="G766" s="51" t="n"/>
      <c r="H766" s="51" t="n"/>
      <c r="I766" s="51" t="n"/>
      <c r="J766" s="51" t="n"/>
      <c r="K766" s="51" t="n"/>
      <c r="L766" s="54">
        <f>IF(OR(A766="",C766="",D766=""),"",IF(COUNTIFS($A$5:$A$3004,A766,$C$5:$C$3004,"&lt;"&amp;D766,$D$5:$D$3004,"&gt;"&amp;C766)&gt;1,"⚠️ пересечение",""))</f>
        <v/>
      </c>
      <c r="M766" s="54">
        <f>IF(F766="","",IF(J766="✅ Сделано","✔ ",IF(J766="❌ Пропущено","✖ ","⏰ "))&amp;IF(C766="","",RIGHT("0"&amp;HOUR(C766),2)&amp;":"&amp;RIGHT("0"&amp;MINUTE(C766),2)&amp;IF(D766="","","–"&amp;RIGHT("0"&amp;HOUR(D766),2)&amp;":"&amp;RIGHT("0"&amp;MINUTE(D766),2))&amp;" ")&amp;F766)</f>
        <v/>
      </c>
      <c r="N766" s="54">
        <f>IF(OR(A766="",F766=""),"",A766&amp;"#"&amp;(COUNTIFS($A$5:$A$3004,A766,$F$5:$F$3004,"?*",$O$5:$O$3004,"&lt;"&amp;O766)+COUNTIFS($A$5:A766,A766,$F$5:F766,"?*",$O$5:O766,O766)))</f>
        <v/>
      </c>
      <c r="O766" s="54">
        <f>IF(A766="","",IF(C766="",0,C766))</f>
        <v/>
      </c>
    </row>
    <row r="767">
      <c r="A767" s="58" t="n"/>
      <c r="B767" s="49">
        <f>IF(A767="","",CHOOSE(WEEKDAY(A767,2),"Пн","Вт","Ср","Чт","Пт","Сб","Вс"))</f>
        <v/>
      </c>
      <c r="C767" s="59" t="n"/>
      <c r="D767" s="59" t="n"/>
      <c r="E767" s="60">
        <f>IF(OR(C767="",D767=""),"",MOD(D767-C767,1)*24)</f>
        <v/>
      </c>
      <c r="F767" s="50" t="n"/>
      <c r="G767" s="51" t="n"/>
      <c r="H767" s="51" t="n"/>
      <c r="I767" s="51" t="n"/>
      <c r="J767" s="51" t="n"/>
      <c r="K767" s="51" t="n"/>
      <c r="L767" s="54">
        <f>IF(OR(A767="",C767="",D767=""),"",IF(COUNTIFS($A$5:$A$3004,A767,$C$5:$C$3004,"&lt;"&amp;D767,$D$5:$D$3004,"&gt;"&amp;C767)&gt;1,"⚠️ пересечение",""))</f>
        <v/>
      </c>
      <c r="M767" s="54">
        <f>IF(F767="","",IF(J767="✅ Сделано","✔ ",IF(J767="❌ Пропущено","✖ ","⏰ "))&amp;IF(C767="","",RIGHT("0"&amp;HOUR(C767),2)&amp;":"&amp;RIGHT("0"&amp;MINUTE(C767),2)&amp;IF(D767="","","–"&amp;RIGHT("0"&amp;HOUR(D767),2)&amp;":"&amp;RIGHT("0"&amp;MINUTE(D767),2))&amp;" ")&amp;F767)</f>
        <v/>
      </c>
      <c r="N767" s="54">
        <f>IF(OR(A767="",F767=""),"",A767&amp;"#"&amp;(COUNTIFS($A$5:$A$3004,A767,$F$5:$F$3004,"?*",$O$5:$O$3004,"&lt;"&amp;O767)+COUNTIFS($A$5:A767,A767,$F$5:F767,"?*",$O$5:O767,O767)))</f>
        <v/>
      </c>
      <c r="O767" s="54">
        <f>IF(A767="","",IF(C767="",0,C767))</f>
        <v/>
      </c>
    </row>
    <row r="768">
      <c r="A768" s="58" t="n"/>
      <c r="B768" s="49">
        <f>IF(A768="","",CHOOSE(WEEKDAY(A768,2),"Пн","Вт","Ср","Чт","Пт","Сб","Вс"))</f>
        <v/>
      </c>
      <c r="C768" s="59" t="n"/>
      <c r="D768" s="59" t="n"/>
      <c r="E768" s="60">
        <f>IF(OR(C768="",D768=""),"",MOD(D768-C768,1)*24)</f>
        <v/>
      </c>
      <c r="F768" s="50" t="n"/>
      <c r="G768" s="51" t="n"/>
      <c r="H768" s="51" t="n"/>
      <c r="I768" s="51" t="n"/>
      <c r="J768" s="51" t="n"/>
      <c r="K768" s="51" t="n"/>
      <c r="L768" s="54">
        <f>IF(OR(A768="",C768="",D768=""),"",IF(COUNTIFS($A$5:$A$3004,A768,$C$5:$C$3004,"&lt;"&amp;D768,$D$5:$D$3004,"&gt;"&amp;C768)&gt;1,"⚠️ пересечение",""))</f>
        <v/>
      </c>
      <c r="M768" s="54">
        <f>IF(F768="","",IF(J768="✅ Сделано","✔ ",IF(J768="❌ Пропущено","✖ ","⏰ "))&amp;IF(C768="","",RIGHT("0"&amp;HOUR(C768),2)&amp;":"&amp;RIGHT("0"&amp;MINUTE(C768),2)&amp;IF(D768="","","–"&amp;RIGHT("0"&amp;HOUR(D768),2)&amp;":"&amp;RIGHT("0"&amp;MINUTE(D768),2))&amp;" ")&amp;F768)</f>
        <v/>
      </c>
      <c r="N768" s="54">
        <f>IF(OR(A768="",F768=""),"",A768&amp;"#"&amp;(COUNTIFS($A$5:$A$3004,A768,$F$5:$F$3004,"?*",$O$5:$O$3004,"&lt;"&amp;O768)+COUNTIFS($A$5:A768,A768,$F$5:F768,"?*",$O$5:O768,O768)))</f>
        <v/>
      </c>
      <c r="O768" s="54">
        <f>IF(A768="","",IF(C768="",0,C768))</f>
        <v/>
      </c>
    </row>
    <row r="769">
      <c r="A769" s="58" t="n"/>
      <c r="B769" s="49">
        <f>IF(A769="","",CHOOSE(WEEKDAY(A769,2),"Пн","Вт","Ср","Чт","Пт","Сб","Вс"))</f>
        <v/>
      </c>
      <c r="C769" s="59" t="n"/>
      <c r="D769" s="59" t="n"/>
      <c r="E769" s="60">
        <f>IF(OR(C769="",D769=""),"",MOD(D769-C769,1)*24)</f>
        <v/>
      </c>
      <c r="F769" s="50" t="n"/>
      <c r="G769" s="51" t="n"/>
      <c r="H769" s="51" t="n"/>
      <c r="I769" s="51" t="n"/>
      <c r="J769" s="51" t="n"/>
      <c r="K769" s="51" t="n"/>
      <c r="L769" s="54">
        <f>IF(OR(A769="",C769="",D769=""),"",IF(COUNTIFS($A$5:$A$3004,A769,$C$5:$C$3004,"&lt;"&amp;D769,$D$5:$D$3004,"&gt;"&amp;C769)&gt;1,"⚠️ пересечение",""))</f>
        <v/>
      </c>
      <c r="M769" s="54">
        <f>IF(F769="","",IF(J769="✅ Сделано","✔ ",IF(J769="❌ Пропущено","✖ ","⏰ "))&amp;IF(C769="","",RIGHT("0"&amp;HOUR(C769),2)&amp;":"&amp;RIGHT("0"&amp;MINUTE(C769),2)&amp;IF(D769="","","–"&amp;RIGHT("0"&amp;HOUR(D769),2)&amp;":"&amp;RIGHT("0"&amp;MINUTE(D769),2))&amp;" ")&amp;F769)</f>
        <v/>
      </c>
      <c r="N769" s="54">
        <f>IF(OR(A769="",F769=""),"",A769&amp;"#"&amp;(COUNTIFS($A$5:$A$3004,A769,$F$5:$F$3004,"?*",$O$5:$O$3004,"&lt;"&amp;O769)+COUNTIFS($A$5:A769,A769,$F$5:F769,"?*",$O$5:O769,O769)))</f>
        <v/>
      </c>
      <c r="O769" s="54">
        <f>IF(A769="","",IF(C769="",0,C769))</f>
        <v/>
      </c>
    </row>
    <row r="770">
      <c r="A770" s="58" t="n"/>
      <c r="B770" s="49">
        <f>IF(A770="","",CHOOSE(WEEKDAY(A770,2),"Пн","Вт","Ср","Чт","Пт","Сб","Вс"))</f>
        <v/>
      </c>
      <c r="C770" s="59" t="n"/>
      <c r="D770" s="59" t="n"/>
      <c r="E770" s="60">
        <f>IF(OR(C770="",D770=""),"",MOD(D770-C770,1)*24)</f>
        <v/>
      </c>
      <c r="F770" s="50" t="n"/>
      <c r="G770" s="51" t="n"/>
      <c r="H770" s="51" t="n"/>
      <c r="I770" s="51" t="n"/>
      <c r="J770" s="51" t="n"/>
      <c r="K770" s="51" t="n"/>
      <c r="L770" s="54">
        <f>IF(OR(A770="",C770="",D770=""),"",IF(COUNTIFS($A$5:$A$3004,A770,$C$5:$C$3004,"&lt;"&amp;D770,$D$5:$D$3004,"&gt;"&amp;C770)&gt;1,"⚠️ пересечение",""))</f>
        <v/>
      </c>
      <c r="M770" s="54">
        <f>IF(F770="","",IF(J770="✅ Сделано","✔ ",IF(J770="❌ Пропущено","✖ ","⏰ "))&amp;IF(C770="","",RIGHT("0"&amp;HOUR(C770),2)&amp;":"&amp;RIGHT("0"&amp;MINUTE(C770),2)&amp;IF(D770="","","–"&amp;RIGHT("0"&amp;HOUR(D770),2)&amp;":"&amp;RIGHT("0"&amp;MINUTE(D770),2))&amp;" ")&amp;F770)</f>
        <v/>
      </c>
      <c r="N770" s="54">
        <f>IF(OR(A770="",F770=""),"",A770&amp;"#"&amp;(COUNTIFS($A$5:$A$3004,A770,$F$5:$F$3004,"?*",$O$5:$O$3004,"&lt;"&amp;O770)+COUNTIFS($A$5:A770,A770,$F$5:F770,"?*",$O$5:O770,O770)))</f>
        <v/>
      </c>
      <c r="O770" s="54">
        <f>IF(A770="","",IF(C770="",0,C770))</f>
        <v/>
      </c>
    </row>
    <row r="771">
      <c r="A771" s="58" t="n"/>
      <c r="B771" s="49">
        <f>IF(A771="","",CHOOSE(WEEKDAY(A771,2),"Пн","Вт","Ср","Чт","Пт","Сб","Вс"))</f>
        <v/>
      </c>
      <c r="C771" s="59" t="n"/>
      <c r="D771" s="59" t="n"/>
      <c r="E771" s="60">
        <f>IF(OR(C771="",D771=""),"",MOD(D771-C771,1)*24)</f>
        <v/>
      </c>
      <c r="F771" s="50" t="n"/>
      <c r="G771" s="51" t="n"/>
      <c r="H771" s="51" t="n"/>
      <c r="I771" s="51" t="n"/>
      <c r="J771" s="51" t="n"/>
      <c r="K771" s="51" t="n"/>
      <c r="L771" s="54">
        <f>IF(OR(A771="",C771="",D771=""),"",IF(COUNTIFS($A$5:$A$3004,A771,$C$5:$C$3004,"&lt;"&amp;D771,$D$5:$D$3004,"&gt;"&amp;C771)&gt;1,"⚠️ пересечение",""))</f>
        <v/>
      </c>
      <c r="M771" s="54">
        <f>IF(F771="","",IF(J771="✅ Сделано","✔ ",IF(J771="❌ Пропущено","✖ ","⏰ "))&amp;IF(C771="","",RIGHT("0"&amp;HOUR(C771),2)&amp;":"&amp;RIGHT("0"&amp;MINUTE(C771),2)&amp;IF(D771="","","–"&amp;RIGHT("0"&amp;HOUR(D771),2)&amp;":"&amp;RIGHT("0"&amp;MINUTE(D771),2))&amp;" ")&amp;F771)</f>
        <v/>
      </c>
      <c r="N771" s="54">
        <f>IF(OR(A771="",F771=""),"",A771&amp;"#"&amp;(COUNTIFS($A$5:$A$3004,A771,$F$5:$F$3004,"?*",$O$5:$O$3004,"&lt;"&amp;O771)+COUNTIFS($A$5:A771,A771,$F$5:F771,"?*",$O$5:O771,O771)))</f>
        <v/>
      </c>
      <c r="O771" s="54">
        <f>IF(A771="","",IF(C771="",0,C771))</f>
        <v/>
      </c>
    </row>
    <row r="772">
      <c r="A772" s="58" t="n"/>
      <c r="B772" s="49">
        <f>IF(A772="","",CHOOSE(WEEKDAY(A772,2),"Пн","Вт","Ср","Чт","Пт","Сб","Вс"))</f>
        <v/>
      </c>
      <c r="C772" s="59" t="n"/>
      <c r="D772" s="59" t="n"/>
      <c r="E772" s="60">
        <f>IF(OR(C772="",D772=""),"",MOD(D772-C772,1)*24)</f>
        <v/>
      </c>
      <c r="F772" s="50" t="n"/>
      <c r="G772" s="51" t="n"/>
      <c r="H772" s="51" t="n"/>
      <c r="I772" s="51" t="n"/>
      <c r="J772" s="51" t="n"/>
      <c r="K772" s="51" t="n"/>
      <c r="L772" s="54">
        <f>IF(OR(A772="",C772="",D772=""),"",IF(COUNTIFS($A$5:$A$3004,A772,$C$5:$C$3004,"&lt;"&amp;D772,$D$5:$D$3004,"&gt;"&amp;C772)&gt;1,"⚠️ пересечение",""))</f>
        <v/>
      </c>
      <c r="M772" s="54">
        <f>IF(F772="","",IF(J772="✅ Сделано","✔ ",IF(J772="❌ Пропущено","✖ ","⏰ "))&amp;IF(C772="","",RIGHT("0"&amp;HOUR(C772),2)&amp;":"&amp;RIGHT("0"&amp;MINUTE(C772),2)&amp;IF(D772="","","–"&amp;RIGHT("0"&amp;HOUR(D772),2)&amp;":"&amp;RIGHT("0"&amp;MINUTE(D772),2))&amp;" ")&amp;F772)</f>
        <v/>
      </c>
      <c r="N772" s="54">
        <f>IF(OR(A772="",F772=""),"",A772&amp;"#"&amp;(COUNTIFS($A$5:$A$3004,A772,$F$5:$F$3004,"?*",$O$5:$O$3004,"&lt;"&amp;O772)+COUNTIFS($A$5:A772,A772,$F$5:F772,"?*",$O$5:O772,O772)))</f>
        <v/>
      </c>
      <c r="O772" s="54">
        <f>IF(A772="","",IF(C772="",0,C772))</f>
        <v/>
      </c>
    </row>
    <row r="773">
      <c r="A773" s="58" t="n"/>
      <c r="B773" s="49">
        <f>IF(A773="","",CHOOSE(WEEKDAY(A773,2),"Пн","Вт","Ср","Чт","Пт","Сб","Вс"))</f>
        <v/>
      </c>
      <c r="C773" s="59" t="n"/>
      <c r="D773" s="59" t="n"/>
      <c r="E773" s="60">
        <f>IF(OR(C773="",D773=""),"",MOD(D773-C773,1)*24)</f>
        <v/>
      </c>
      <c r="F773" s="50" t="n"/>
      <c r="G773" s="51" t="n"/>
      <c r="H773" s="51" t="n"/>
      <c r="I773" s="51" t="n"/>
      <c r="J773" s="51" t="n"/>
      <c r="K773" s="51" t="n"/>
      <c r="L773" s="54">
        <f>IF(OR(A773="",C773="",D773=""),"",IF(COUNTIFS($A$5:$A$3004,A773,$C$5:$C$3004,"&lt;"&amp;D773,$D$5:$D$3004,"&gt;"&amp;C773)&gt;1,"⚠️ пересечение",""))</f>
        <v/>
      </c>
      <c r="M773" s="54">
        <f>IF(F773="","",IF(J773="✅ Сделано","✔ ",IF(J773="❌ Пропущено","✖ ","⏰ "))&amp;IF(C773="","",RIGHT("0"&amp;HOUR(C773),2)&amp;":"&amp;RIGHT("0"&amp;MINUTE(C773),2)&amp;IF(D773="","","–"&amp;RIGHT("0"&amp;HOUR(D773),2)&amp;":"&amp;RIGHT("0"&amp;MINUTE(D773),2))&amp;" ")&amp;F773)</f>
        <v/>
      </c>
      <c r="N773" s="54">
        <f>IF(OR(A773="",F773=""),"",A773&amp;"#"&amp;(COUNTIFS($A$5:$A$3004,A773,$F$5:$F$3004,"?*",$O$5:$O$3004,"&lt;"&amp;O773)+COUNTIFS($A$5:A773,A773,$F$5:F773,"?*",$O$5:O773,O773)))</f>
        <v/>
      </c>
      <c r="O773" s="54">
        <f>IF(A773="","",IF(C773="",0,C773))</f>
        <v/>
      </c>
    </row>
    <row r="774">
      <c r="A774" s="58" t="n"/>
      <c r="B774" s="49">
        <f>IF(A774="","",CHOOSE(WEEKDAY(A774,2),"Пн","Вт","Ср","Чт","Пт","Сб","Вс"))</f>
        <v/>
      </c>
      <c r="C774" s="59" t="n"/>
      <c r="D774" s="59" t="n"/>
      <c r="E774" s="60">
        <f>IF(OR(C774="",D774=""),"",MOD(D774-C774,1)*24)</f>
        <v/>
      </c>
      <c r="F774" s="50" t="n"/>
      <c r="G774" s="51" t="n"/>
      <c r="H774" s="51" t="n"/>
      <c r="I774" s="51" t="n"/>
      <c r="J774" s="51" t="n"/>
      <c r="K774" s="51" t="n"/>
      <c r="L774" s="54">
        <f>IF(OR(A774="",C774="",D774=""),"",IF(COUNTIFS($A$5:$A$3004,A774,$C$5:$C$3004,"&lt;"&amp;D774,$D$5:$D$3004,"&gt;"&amp;C774)&gt;1,"⚠️ пересечение",""))</f>
        <v/>
      </c>
      <c r="M774" s="54">
        <f>IF(F774="","",IF(J774="✅ Сделано","✔ ",IF(J774="❌ Пропущено","✖ ","⏰ "))&amp;IF(C774="","",RIGHT("0"&amp;HOUR(C774),2)&amp;":"&amp;RIGHT("0"&amp;MINUTE(C774),2)&amp;IF(D774="","","–"&amp;RIGHT("0"&amp;HOUR(D774),2)&amp;":"&amp;RIGHT("0"&amp;MINUTE(D774),2))&amp;" ")&amp;F774)</f>
        <v/>
      </c>
      <c r="N774" s="54">
        <f>IF(OR(A774="",F774=""),"",A774&amp;"#"&amp;(COUNTIFS($A$5:$A$3004,A774,$F$5:$F$3004,"?*",$O$5:$O$3004,"&lt;"&amp;O774)+COUNTIFS($A$5:A774,A774,$F$5:F774,"?*",$O$5:O774,O774)))</f>
        <v/>
      </c>
      <c r="O774" s="54">
        <f>IF(A774="","",IF(C774="",0,C774))</f>
        <v/>
      </c>
    </row>
    <row r="775">
      <c r="A775" s="58" t="n"/>
      <c r="B775" s="49">
        <f>IF(A775="","",CHOOSE(WEEKDAY(A775,2),"Пн","Вт","Ср","Чт","Пт","Сб","Вс"))</f>
        <v/>
      </c>
      <c r="C775" s="59" t="n"/>
      <c r="D775" s="59" t="n"/>
      <c r="E775" s="60">
        <f>IF(OR(C775="",D775=""),"",MOD(D775-C775,1)*24)</f>
        <v/>
      </c>
      <c r="F775" s="50" t="n"/>
      <c r="G775" s="51" t="n"/>
      <c r="H775" s="51" t="n"/>
      <c r="I775" s="51" t="n"/>
      <c r="J775" s="51" t="n"/>
      <c r="K775" s="51" t="n"/>
      <c r="L775" s="54">
        <f>IF(OR(A775="",C775="",D775=""),"",IF(COUNTIFS($A$5:$A$3004,A775,$C$5:$C$3004,"&lt;"&amp;D775,$D$5:$D$3004,"&gt;"&amp;C775)&gt;1,"⚠️ пересечение",""))</f>
        <v/>
      </c>
      <c r="M775" s="54">
        <f>IF(F775="","",IF(J775="✅ Сделано","✔ ",IF(J775="❌ Пропущено","✖ ","⏰ "))&amp;IF(C775="","",RIGHT("0"&amp;HOUR(C775),2)&amp;":"&amp;RIGHT("0"&amp;MINUTE(C775),2)&amp;IF(D775="","","–"&amp;RIGHT("0"&amp;HOUR(D775),2)&amp;":"&amp;RIGHT("0"&amp;MINUTE(D775),2))&amp;" ")&amp;F775)</f>
        <v/>
      </c>
      <c r="N775" s="54">
        <f>IF(OR(A775="",F775=""),"",A775&amp;"#"&amp;(COUNTIFS($A$5:$A$3004,A775,$F$5:$F$3004,"?*",$O$5:$O$3004,"&lt;"&amp;O775)+COUNTIFS($A$5:A775,A775,$F$5:F775,"?*",$O$5:O775,O775)))</f>
        <v/>
      </c>
      <c r="O775" s="54">
        <f>IF(A775="","",IF(C775="",0,C775))</f>
        <v/>
      </c>
    </row>
    <row r="776">
      <c r="A776" s="58" t="n"/>
      <c r="B776" s="49">
        <f>IF(A776="","",CHOOSE(WEEKDAY(A776,2),"Пн","Вт","Ср","Чт","Пт","Сб","Вс"))</f>
        <v/>
      </c>
      <c r="C776" s="59" t="n"/>
      <c r="D776" s="59" t="n"/>
      <c r="E776" s="60">
        <f>IF(OR(C776="",D776=""),"",MOD(D776-C776,1)*24)</f>
        <v/>
      </c>
      <c r="F776" s="50" t="n"/>
      <c r="G776" s="51" t="n"/>
      <c r="H776" s="51" t="n"/>
      <c r="I776" s="51" t="n"/>
      <c r="J776" s="51" t="n"/>
      <c r="K776" s="51" t="n"/>
      <c r="L776" s="54">
        <f>IF(OR(A776="",C776="",D776=""),"",IF(COUNTIFS($A$5:$A$3004,A776,$C$5:$C$3004,"&lt;"&amp;D776,$D$5:$D$3004,"&gt;"&amp;C776)&gt;1,"⚠️ пересечение",""))</f>
        <v/>
      </c>
      <c r="M776" s="54">
        <f>IF(F776="","",IF(J776="✅ Сделано","✔ ",IF(J776="❌ Пропущено","✖ ","⏰ "))&amp;IF(C776="","",RIGHT("0"&amp;HOUR(C776),2)&amp;":"&amp;RIGHT("0"&amp;MINUTE(C776),2)&amp;IF(D776="","","–"&amp;RIGHT("0"&amp;HOUR(D776),2)&amp;":"&amp;RIGHT("0"&amp;MINUTE(D776),2))&amp;" ")&amp;F776)</f>
        <v/>
      </c>
      <c r="N776" s="54">
        <f>IF(OR(A776="",F776=""),"",A776&amp;"#"&amp;(COUNTIFS($A$5:$A$3004,A776,$F$5:$F$3004,"?*",$O$5:$O$3004,"&lt;"&amp;O776)+COUNTIFS($A$5:A776,A776,$F$5:F776,"?*",$O$5:O776,O776)))</f>
        <v/>
      </c>
      <c r="O776" s="54">
        <f>IF(A776="","",IF(C776="",0,C776))</f>
        <v/>
      </c>
    </row>
    <row r="777">
      <c r="A777" s="58" t="n"/>
      <c r="B777" s="49">
        <f>IF(A777="","",CHOOSE(WEEKDAY(A777,2),"Пн","Вт","Ср","Чт","Пт","Сб","Вс"))</f>
        <v/>
      </c>
      <c r="C777" s="59" t="n"/>
      <c r="D777" s="59" t="n"/>
      <c r="E777" s="60">
        <f>IF(OR(C777="",D777=""),"",MOD(D777-C777,1)*24)</f>
        <v/>
      </c>
      <c r="F777" s="50" t="n"/>
      <c r="G777" s="51" t="n"/>
      <c r="H777" s="51" t="n"/>
      <c r="I777" s="51" t="n"/>
      <c r="J777" s="51" t="n"/>
      <c r="K777" s="51" t="n"/>
      <c r="L777" s="54">
        <f>IF(OR(A777="",C777="",D777=""),"",IF(COUNTIFS($A$5:$A$3004,A777,$C$5:$C$3004,"&lt;"&amp;D777,$D$5:$D$3004,"&gt;"&amp;C777)&gt;1,"⚠️ пересечение",""))</f>
        <v/>
      </c>
      <c r="M777" s="54">
        <f>IF(F777="","",IF(J777="✅ Сделано","✔ ",IF(J777="❌ Пропущено","✖ ","⏰ "))&amp;IF(C777="","",RIGHT("0"&amp;HOUR(C777),2)&amp;":"&amp;RIGHT("0"&amp;MINUTE(C777),2)&amp;IF(D777="","","–"&amp;RIGHT("0"&amp;HOUR(D777),2)&amp;":"&amp;RIGHT("0"&amp;MINUTE(D777),2))&amp;" ")&amp;F777)</f>
        <v/>
      </c>
      <c r="N777" s="54">
        <f>IF(OR(A777="",F777=""),"",A777&amp;"#"&amp;(COUNTIFS($A$5:$A$3004,A777,$F$5:$F$3004,"?*",$O$5:$O$3004,"&lt;"&amp;O777)+COUNTIFS($A$5:A777,A777,$F$5:F777,"?*",$O$5:O777,O777)))</f>
        <v/>
      </c>
      <c r="O777" s="54">
        <f>IF(A777="","",IF(C777="",0,C777))</f>
        <v/>
      </c>
    </row>
    <row r="778">
      <c r="A778" s="58" t="n"/>
      <c r="B778" s="49">
        <f>IF(A778="","",CHOOSE(WEEKDAY(A778,2),"Пн","Вт","Ср","Чт","Пт","Сб","Вс"))</f>
        <v/>
      </c>
      <c r="C778" s="59" t="n"/>
      <c r="D778" s="59" t="n"/>
      <c r="E778" s="60">
        <f>IF(OR(C778="",D778=""),"",MOD(D778-C778,1)*24)</f>
        <v/>
      </c>
      <c r="F778" s="50" t="n"/>
      <c r="G778" s="51" t="n"/>
      <c r="H778" s="51" t="n"/>
      <c r="I778" s="51" t="n"/>
      <c r="J778" s="51" t="n"/>
      <c r="K778" s="51" t="n"/>
      <c r="L778" s="54">
        <f>IF(OR(A778="",C778="",D778=""),"",IF(COUNTIFS($A$5:$A$3004,A778,$C$5:$C$3004,"&lt;"&amp;D778,$D$5:$D$3004,"&gt;"&amp;C778)&gt;1,"⚠️ пересечение",""))</f>
        <v/>
      </c>
      <c r="M778" s="54">
        <f>IF(F778="","",IF(J778="✅ Сделано","✔ ",IF(J778="❌ Пропущено","✖ ","⏰ "))&amp;IF(C778="","",RIGHT("0"&amp;HOUR(C778),2)&amp;":"&amp;RIGHT("0"&amp;MINUTE(C778),2)&amp;IF(D778="","","–"&amp;RIGHT("0"&amp;HOUR(D778),2)&amp;":"&amp;RIGHT("0"&amp;MINUTE(D778),2))&amp;" ")&amp;F778)</f>
        <v/>
      </c>
      <c r="N778" s="54">
        <f>IF(OR(A778="",F778=""),"",A778&amp;"#"&amp;(COUNTIFS($A$5:$A$3004,A778,$F$5:$F$3004,"?*",$O$5:$O$3004,"&lt;"&amp;O778)+COUNTIFS($A$5:A778,A778,$F$5:F778,"?*",$O$5:O778,O778)))</f>
        <v/>
      </c>
      <c r="O778" s="54">
        <f>IF(A778="","",IF(C778="",0,C778))</f>
        <v/>
      </c>
    </row>
    <row r="779">
      <c r="A779" s="58" t="n"/>
      <c r="B779" s="49">
        <f>IF(A779="","",CHOOSE(WEEKDAY(A779,2),"Пн","Вт","Ср","Чт","Пт","Сб","Вс"))</f>
        <v/>
      </c>
      <c r="C779" s="59" t="n"/>
      <c r="D779" s="59" t="n"/>
      <c r="E779" s="60">
        <f>IF(OR(C779="",D779=""),"",MOD(D779-C779,1)*24)</f>
        <v/>
      </c>
      <c r="F779" s="50" t="n"/>
      <c r="G779" s="51" t="n"/>
      <c r="H779" s="51" t="n"/>
      <c r="I779" s="51" t="n"/>
      <c r="J779" s="51" t="n"/>
      <c r="K779" s="51" t="n"/>
      <c r="L779" s="54">
        <f>IF(OR(A779="",C779="",D779=""),"",IF(COUNTIFS($A$5:$A$3004,A779,$C$5:$C$3004,"&lt;"&amp;D779,$D$5:$D$3004,"&gt;"&amp;C779)&gt;1,"⚠️ пересечение",""))</f>
        <v/>
      </c>
      <c r="M779" s="54">
        <f>IF(F779="","",IF(J779="✅ Сделано","✔ ",IF(J779="❌ Пропущено","✖ ","⏰ "))&amp;IF(C779="","",RIGHT("0"&amp;HOUR(C779),2)&amp;":"&amp;RIGHT("0"&amp;MINUTE(C779),2)&amp;IF(D779="","","–"&amp;RIGHT("0"&amp;HOUR(D779),2)&amp;":"&amp;RIGHT("0"&amp;MINUTE(D779),2))&amp;" ")&amp;F779)</f>
        <v/>
      </c>
      <c r="N779" s="54">
        <f>IF(OR(A779="",F779=""),"",A779&amp;"#"&amp;(COUNTIFS($A$5:$A$3004,A779,$F$5:$F$3004,"?*",$O$5:$O$3004,"&lt;"&amp;O779)+COUNTIFS($A$5:A779,A779,$F$5:F779,"?*",$O$5:O779,O779)))</f>
        <v/>
      </c>
      <c r="O779" s="54">
        <f>IF(A779="","",IF(C779="",0,C779))</f>
        <v/>
      </c>
    </row>
    <row r="780">
      <c r="A780" s="58" t="n"/>
      <c r="B780" s="49">
        <f>IF(A780="","",CHOOSE(WEEKDAY(A780,2),"Пн","Вт","Ср","Чт","Пт","Сб","Вс"))</f>
        <v/>
      </c>
      <c r="C780" s="59" t="n"/>
      <c r="D780" s="59" t="n"/>
      <c r="E780" s="60">
        <f>IF(OR(C780="",D780=""),"",MOD(D780-C780,1)*24)</f>
        <v/>
      </c>
      <c r="F780" s="50" t="n"/>
      <c r="G780" s="51" t="n"/>
      <c r="H780" s="51" t="n"/>
      <c r="I780" s="51" t="n"/>
      <c r="J780" s="51" t="n"/>
      <c r="K780" s="51" t="n"/>
      <c r="L780" s="54">
        <f>IF(OR(A780="",C780="",D780=""),"",IF(COUNTIFS($A$5:$A$3004,A780,$C$5:$C$3004,"&lt;"&amp;D780,$D$5:$D$3004,"&gt;"&amp;C780)&gt;1,"⚠️ пересечение",""))</f>
        <v/>
      </c>
      <c r="M780" s="54">
        <f>IF(F780="","",IF(J780="✅ Сделано","✔ ",IF(J780="❌ Пропущено","✖ ","⏰ "))&amp;IF(C780="","",RIGHT("0"&amp;HOUR(C780),2)&amp;":"&amp;RIGHT("0"&amp;MINUTE(C780),2)&amp;IF(D780="","","–"&amp;RIGHT("0"&amp;HOUR(D780),2)&amp;":"&amp;RIGHT("0"&amp;MINUTE(D780),2))&amp;" ")&amp;F780)</f>
        <v/>
      </c>
      <c r="N780" s="54">
        <f>IF(OR(A780="",F780=""),"",A780&amp;"#"&amp;(COUNTIFS($A$5:$A$3004,A780,$F$5:$F$3004,"?*",$O$5:$O$3004,"&lt;"&amp;O780)+COUNTIFS($A$5:A780,A780,$F$5:F780,"?*",$O$5:O780,O780)))</f>
        <v/>
      </c>
      <c r="O780" s="54">
        <f>IF(A780="","",IF(C780="",0,C780))</f>
        <v/>
      </c>
    </row>
    <row r="781">
      <c r="A781" s="58" t="n"/>
      <c r="B781" s="49">
        <f>IF(A781="","",CHOOSE(WEEKDAY(A781,2),"Пн","Вт","Ср","Чт","Пт","Сб","Вс"))</f>
        <v/>
      </c>
      <c r="C781" s="59" t="n"/>
      <c r="D781" s="59" t="n"/>
      <c r="E781" s="60">
        <f>IF(OR(C781="",D781=""),"",MOD(D781-C781,1)*24)</f>
        <v/>
      </c>
      <c r="F781" s="50" t="n"/>
      <c r="G781" s="51" t="n"/>
      <c r="H781" s="51" t="n"/>
      <c r="I781" s="51" t="n"/>
      <c r="J781" s="51" t="n"/>
      <c r="K781" s="51" t="n"/>
      <c r="L781" s="54">
        <f>IF(OR(A781="",C781="",D781=""),"",IF(COUNTIFS($A$5:$A$3004,A781,$C$5:$C$3004,"&lt;"&amp;D781,$D$5:$D$3004,"&gt;"&amp;C781)&gt;1,"⚠️ пересечение",""))</f>
        <v/>
      </c>
      <c r="M781" s="54">
        <f>IF(F781="","",IF(J781="✅ Сделано","✔ ",IF(J781="❌ Пропущено","✖ ","⏰ "))&amp;IF(C781="","",RIGHT("0"&amp;HOUR(C781),2)&amp;":"&amp;RIGHT("0"&amp;MINUTE(C781),2)&amp;IF(D781="","","–"&amp;RIGHT("0"&amp;HOUR(D781),2)&amp;":"&amp;RIGHT("0"&amp;MINUTE(D781),2))&amp;" ")&amp;F781)</f>
        <v/>
      </c>
      <c r="N781" s="54">
        <f>IF(OR(A781="",F781=""),"",A781&amp;"#"&amp;(COUNTIFS($A$5:$A$3004,A781,$F$5:$F$3004,"?*",$O$5:$O$3004,"&lt;"&amp;O781)+COUNTIFS($A$5:A781,A781,$F$5:F781,"?*",$O$5:O781,O781)))</f>
        <v/>
      </c>
      <c r="O781" s="54">
        <f>IF(A781="","",IF(C781="",0,C781))</f>
        <v/>
      </c>
    </row>
    <row r="782">
      <c r="A782" s="58" t="n"/>
      <c r="B782" s="49">
        <f>IF(A782="","",CHOOSE(WEEKDAY(A782,2),"Пн","Вт","Ср","Чт","Пт","Сб","Вс"))</f>
        <v/>
      </c>
      <c r="C782" s="59" t="n"/>
      <c r="D782" s="59" t="n"/>
      <c r="E782" s="60">
        <f>IF(OR(C782="",D782=""),"",MOD(D782-C782,1)*24)</f>
        <v/>
      </c>
      <c r="F782" s="50" t="n"/>
      <c r="G782" s="51" t="n"/>
      <c r="H782" s="51" t="n"/>
      <c r="I782" s="51" t="n"/>
      <c r="J782" s="51" t="n"/>
      <c r="K782" s="51" t="n"/>
      <c r="L782" s="54">
        <f>IF(OR(A782="",C782="",D782=""),"",IF(COUNTIFS($A$5:$A$3004,A782,$C$5:$C$3004,"&lt;"&amp;D782,$D$5:$D$3004,"&gt;"&amp;C782)&gt;1,"⚠️ пересечение",""))</f>
        <v/>
      </c>
      <c r="M782" s="54">
        <f>IF(F782="","",IF(J782="✅ Сделано","✔ ",IF(J782="❌ Пропущено","✖ ","⏰ "))&amp;IF(C782="","",RIGHT("0"&amp;HOUR(C782),2)&amp;":"&amp;RIGHT("0"&amp;MINUTE(C782),2)&amp;IF(D782="","","–"&amp;RIGHT("0"&amp;HOUR(D782),2)&amp;":"&amp;RIGHT("0"&amp;MINUTE(D782),2))&amp;" ")&amp;F782)</f>
        <v/>
      </c>
      <c r="N782" s="54">
        <f>IF(OR(A782="",F782=""),"",A782&amp;"#"&amp;(COUNTIFS($A$5:$A$3004,A782,$F$5:$F$3004,"?*",$O$5:$O$3004,"&lt;"&amp;O782)+COUNTIFS($A$5:A782,A782,$F$5:F782,"?*",$O$5:O782,O782)))</f>
        <v/>
      </c>
      <c r="O782" s="54">
        <f>IF(A782="","",IF(C782="",0,C782))</f>
        <v/>
      </c>
    </row>
    <row r="783">
      <c r="A783" s="58" t="n"/>
      <c r="B783" s="49">
        <f>IF(A783="","",CHOOSE(WEEKDAY(A783,2),"Пн","Вт","Ср","Чт","Пт","Сб","Вс"))</f>
        <v/>
      </c>
      <c r="C783" s="59" t="n"/>
      <c r="D783" s="59" t="n"/>
      <c r="E783" s="60">
        <f>IF(OR(C783="",D783=""),"",MOD(D783-C783,1)*24)</f>
        <v/>
      </c>
      <c r="F783" s="50" t="n"/>
      <c r="G783" s="51" t="n"/>
      <c r="H783" s="51" t="n"/>
      <c r="I783" s="51" t="n"/>
      <c r="J783" s="51" t="n"/>
      <c r="K783" s="51" t="n"/>
      <c r="L783" s="54">
        <f>IF(OR(A783="",C783="",D783=""),"",IF(COUNTIFS($A$5:$A$3004,A783,$C$5:$C$3004,"&lt;"&amp;D783,$D$5:$D$3004,"&gt;"&amp;C783)&gt;1,"⚠️ пересечение",""))</f>
        <v/>
      </c>
      <c r="M783" s="54">
        <f>IF(F783="","",IF(J783="✅ Сделано","✔ ",IF(J783="❌ Пропущено","✖ ","⏰ "))&amp;IF(C783="","",RIGHT("0"&amp;HOUR(C783),2)&amp;":"&amp;RIGHT("0"&amp;MINUTE(C783),2)&amp;IF(D783="","","–"&amp;RIGHT("0"&amp;HOUR(D783),2)&amp;":"&amp;RIGHT("0"&amp;MINUTE(D783),2))&amp;" ")&amp;F783)</f>
        <v/>
      </c>
      <c r="N783" s="54">
        <f>IF(OR(A783="",F783=""),"",A783&amp;"#"&amp;(COUNTIFS($A$5:$A$3004,A783,$F$5:$F$3004,"?*",$O$5:$O$3004,"&lt;"&amp;O783)+COUNTIFS($A$5:A783,A783,$F$5:F783,"?*",$O$5:O783,O783)))</f>
        <v/>
      </c>
      <c r="O783" s="54">
        <f>IF(A783="","",IF(C783="",0,C783))</f>
        <v/>
      </c>
    </row>
    <row r="784">
      <c r="A784" s="58" t="n"/>
      <c r="B784" s="49">
        <f>IF(A784="","",CHOOSE(WEEKDAY(A784,2),"Пн","Вт","Ср","Чт","Пт","Сб","Вс"))</f>
        <v/>
      </c>
      <c r="C784" s="59" t="n"/>
      <c r="D784" s="59" t="n"/>
      <c r="E784" s="60">
        <f>IF(OR(C784="",D784=""),"",MOD(D784-C784,1)*24)</f>
        <v/>
      </c>
      <c r="F784" s="50" t="n"/>
      <c r="G784" s="51" t="n"/>
      <c r="H784" s="51" t="n"/>
      <c r="I784" s="51" t="n"/>
      <c r="J784" s="51" t="n"/>
      <c r="K784" s="51" t="n"/>
      <c r="L784" s="54">
        <f>IF(OR(A784="",C784="",D784=""),"",IF(COUNTIFS($A$5:$A$3004,A784,$C$5:$C$3004,"&lt;"&amp;D784,$D$5:$D$3004,"&gt;"&amp;C784)&gt;1,"⚠️ пересечение",""))</f>
        <v/>
      </c>
      <c r="M784" s="54">
        <f>IF(F784="","",IF(J784="✅ Сделано","✔ ",IF(J784="❌ Пропущено","✖ ","⏰ "))&amp;IF(C784="","",RIGHT("0"&amp;HOUR(C784),2)&amp;":"&amp;RIGHT("0"&amp;MINUTE(C784),2)&amp;IF(D784="","","–"&amp;RIGHT("0"&amp;HOUR(D784),2)&amp;":"&amp;RIGHT("0"&amp;MINUTE(D784),2))&amp;" ")&amp;F784)</f>
        <v/>
      </c>
      <c r="N784" s="54">
        <f>IF(OR(A784="",F784=""),"",A784&amp;"#"&amp;(COUNTIFS($A$5:$A$3004,A784,$F$5:$F$3004,"?*",$O$5:$O$3004,"&lt;"&amp;O784)+COUNTIFS($A$5:A784,A784,$F$5:F784,"?*",$O$5:O784,O784)))</f>
        <v/>
      </c>
      <c r="O784" s="54">
        <f>IF(A784="","",IF(C784="",0,C784))</f>
        <v/>
      </c>
    </row>
    <row r="785">
      <c r="A785" s="58" t="n"/>
      <c r="B785" s="49">
        <f>IF(A785="","",CHOOSE(WEEKDAY(A785,2),"Пн","Вт","Ср","Чт","Пт","Сб","Вс"))</f>
        <v/>
      </c>
      <c r="C785" s="59" t="n"/>
      <c r="D785" s="59" t="n"/>
      <c r="E785" s="60">
        <f>IF(OR(C785="",D785=""),"",MOD(D785-C785,1)*24)</f>
        <v/>
      </c>
      <c r="F785" s="50" t="n"/>
      <c r="G785" s="51" t="n"/>
      <c r="H785" s="51" t="n"/>
      <c r="I785" s="51" t="n"/>
      <c r="J785" s="51" t="n"/>
      <c r="K785" s="51" t="n"/>
      <c r="L785" s="54">
        <f>IF(OR(A785="",C785="",D785=""),"",IF(COUNTIFS($A$5:$A$3004,A785,$C$5:$C$3004,"&lt;"&amp;D785,$D$5:$D$3004,"&gt;"&amp;C785)&gt;1,"⚠️ пересечение",""))</f>
        <v/>
      </c>
      <c r="M785" s="54">
        <f>IF(F785="","",IF(J785="✅ Сделано","✔ ",IF(J785="❌ Пропущено","✖ ","⏰ "))&amp;IF(C785="","",RIGHT("0"&amp;HOUR(C785),2)&amp;":"&amp;RIGHT("0"&amp;MINUTE(C785),2)&amp;IF(D785="","","–"&amp;RIGHT("0"&amp;HOUR(D785),2)&amp;":"&amp;RIGHT("0"&amp;MINUTE(D785),2))&amp;" ")&amp;F785)</f>
        <v/>
      </c>
      <c r="N785" s="54">
        <f>IF(OR(A785="",F785=""),"",A785&amp;"#"&amp;(COUNTIFS($A$5:$A$3004,A785,$F$5:$F$3004,"?*",$O$5:$O$3004,"&lt;"&amp;O785)+COUNTIFS($A$5:A785,A785,$F$5:F785,"?*",$O$5:O785,O785)))</f>
        <v/>
      </c>
      <c r="O785" s="54">
        <f>IF(A785="","",IF(C785="",0,C785))</f>
        <v/>
      </c>
    </row>
    <row r="786">
      <c r="A786" s="58" t="n"/>
      <c r="B786" s="49">
        <f>IF(A786="","",CHOOSE(WEEKDAY(A786,2),"Пн","Вт","Ср","Чт","Пт","Сб","Вс"))</f>
        <v/>
      </c>
      <c r="C786" s="59" t="n"/>
      <c r="D786" s="59" t="n"/>
      <c r="E786" s="60">
        <f>IF(OR(C786="",D786=""),"",MOD(D786-C786,1)*24)</f>
        <v/>
      </c>
      <c r="F786" s="50" t="n"/>
      <c r="G786" s="51" t="n"/>
      <c r="H786" s="51" t="n"/>
      <c r="I786" s="51" t="n"/>
      <c r="J786" s="51" t="n"/>
      <c r="K786" s="51" t="n"/>
      <c r="L786" s="54">
        <f>IF(OR(A786="",C786="",D786=""),"",IF(COUNTIFS($A$5:$A$3004,A786,$C$5:$C$3004,"&lt;"&amp;D786,$D$5:$D$3004,"&gt;"&amp;C786)&gt;1,"⚠️ пересечение",""))</f>
        <v/>
      </c>
      <c r="M786" s="54">
        <f>IF(F786="","",IF(J786="✅ Сделано","✔ ",IF(J786="❌ Пропущено","✖ ","⏰ "))&amp;IF(C786="","",RIGHT("0"&amp;HOUR(C786),2)&amp;":"&amp;RIGHT("0"&amp;MINUTE(C786),2)&amp;IF(D786="","","–"&amp;RIGHT("0"&amp;HOUR(D786),2)&amp;":"&amp;RIGHT("0"&amp;MINUTE(D786),2))&amp;" ")&amp;F786)</f>
        <v/>
      </c>
      <c r="N786" s="54">
        <f>IF(OR(A786="",F786=""),"",A786&amp;"#"&amp;(COUNTIFS($A$5:$A$3004,A786,$F$5:$F$3004,"?*",$O$5:$O$3004,"&lt;"&amp;O786)+COUNTIFS($A$5:A786,A786,$F$5:F786,"?*",$O$5:O786,O786)))</f>
        <v/>
      </c>
      <c r="O786" s="54">
        <f>IF(A786="","",IF(C786="",0,C786))</f>
        <v/>
      </c>
    </row>
    <row r="787">
      <c r="A787" s="58" t="n"/>
      <c r="B787" s="49">
        <f>IF(A787="","",CHOOSE(WEEKDAY(A787,2),"Пн","Вт","Ср","Чт","Пт","Сб","Вс"))</f>
        <v/>
      </c>
      <c r="C787" s="59" t="n"/>
      <c r="D787" s="59" t="n"/>
      <c r="E787" s="60">
        <f>IF(OR(C787="",D787=""),"",MOD(D787-C787,1)*24)</f>
        <v/>
      </c>
      <c r="F787" s="50" t="n"/>
      <c r="G787" s="51" t="n"/>
      <c r="H787" s="51" t="n"/>
      <c r="I787" s="51" t="n"/>
      <c r="J787" s="51" t="n"/>
      <c r="K787" s="51" t="n"/>
      <c r="L787" s="54">
        <f>IF(OR(A787="",C787="",D787=""),"",IF(COUNTIFS($A$5:$A$3004,A787,$C$5:$C$3004,"&lt;"&amp;D787,$D$5:$D$3004,"&gt;"&amp;C787)&gt;1,"⚠️ пересечение",""))</f>
        <v/>
      </c>
      <c r="M787" s="54">
        <f>IF(F787="","",IF(J787="✅ Сделано","✔ ",IF(J787="❌ Пропущено","✖ ","⏰ "))&amp;IF(C787="","",RIGHT("0"&amp;HOUR(C787),2)&amp;":"&amp;RIGHT("0"&amp;MINUTE(C787),2)&amp;IF(D787="","","–"&amp;RIGHT("0"&amp;HOUR(D787),2)&amp;":"&amp;RIGHT("0"&amp;MINUTE(D787),2))&amp;" ")&amp;F787)</f>
        <v/>
      </c>
      <c r="N787" s="54">
        <f>IF(OR(A787="",F787=""),"",A787&amp;"#"&amp;(COUNTIFS($A$5:$A$3004,A787,$F$5:$F$3004,"?*",$O$5:$O$3004,"&lt;"&amp;O787)+COUNTIFS($A$5:A787,A787,$F$5:F787,"?*",$O$5:O787,O787)))</f>
        <v/>
      </c>
      <c r="O787" s="54">
        <f>IF(A787="","",IF(C787="",0,C787))</f>
        <v/>
      </c>
    </row>
    <row r="788">
      <c r="A788" s="58" t="n"/>
      <c r="B788" s="49">
        <f>IF(A788="","",CHOOSE(WEEKDAY(A788,2),"Пн","Вт","Ср","Чт","Пт","Сб","Вс"))</f>
        <v/>
      </c>
      <c r="C788" s="59" t="n"/>
      <c r="D788" s="59" t="n"/>
      <c r="E788" s="60">
        <f>IF(OR(C788="",D788=""),"",MOD(D788-C788,1)*24)</f>
        <v/>
      </c>
      <c r="F788" s="50" t="n"/>
      <c r="G788" s="51" t="n"/>
      <c r="H788" s="51" t="n"/>
      <c r="I788" s="51" t="n"/>
      <c r="J788" s="51" t="n"/>
      <c r="K788" s="51" t="n"/>
      <c r="L788" s="54">
        <f>IF(OR(A788="",C788="",D788=""),"",IF(COUNTIFS($A$5:$A$3004,A788,$C$5:$C$3004,"&lt;"&amp;D788,$D$5:$D$3004,"&gt;"&amp;C788)&gt;1,"⚠️ пересечение",""))</f>
        <v/>
      </c>
      <c r="M788" s="54">
        <f>IF(F788="","",IF(J788="✅ Сделано","✔ ",IF(J788="❌ Пропущено","✖ ","⏰ "))&amp;IF(C788="","",RIGHT("0"&amp;HOUR(C788),2)&amp;":"&amp;RIGHT("0"&amp;MINUTE(C788),2)&amp;IF(D788="","","–"&amp;RIGHT("0"&amp;HOUR(D788),2)&amp;":"&amp;RIGHT("0"&amp;MINUTE(D788),2))&amp;" ")&amp;F788)</f>
        <v/>
      </c>
      <c r="N788" s="54">
        <f>IF(OR(A788="",F788=""),"",A788&amp;"#"&amp;(COUNTIFS($A$5:$A$3004,A788,$F$5:$F$3004,"?*",$O$5:$O$3004,"&lt;"&amp;O788)+COUNTIFS($A$5:A788,A788,$F$5:F788,"?*",$O$5:O788,O788)))</f>
        <v/>
      </c>
      <c r="O788" s="54">
        <f>IF(A788="","",IF(C788="",0,C788))</f>
        <v/>
      </c>
    </row>
    <row r="789">
      <c r="A789" s="58" t="n"/>
      <c r="B789" s="49">
        <f>IF(A789="","",CHOOSE(WEEKDAY(A789,2),"Пн","Вт","Ср","Чт","Пт","Сб","Вс"))</f>
        <v/>
      </c>
      <c r="C789" s="59" t="n"/>
      <c r="D789" s="59" t="n"/>
      <c r="E789" s="60">
        <f>IF(OR(C789="",D789=""),"",MOD(D789-C789,1)*24)</f>
        <v/>
      </c>
      <c r="F789" s="50" t="n"/>
      <c r="G789" s="51" t="n"/>
      <c r="H789" s="51" t="n"/>
      <c r="I789" s="51" t="n"/>
      <c r="J789" s="51" t="n"/>
      <c r="K789" s="51" t="n"/>
      <c r="L789" s="54">
        <f>IF(OR(A789="",C789="",D789=""),"",IF(COUNTIFS($A$5:$A$3004,A789,$C$5:$C$3004,"&lt;"&amp;D789,$D$5:$D$3004,"&gt;"&amp;C789)&gt;1,"⚠️ пересечение",""))</f>
        <v/>
      </c>
      <c r="M789" s="54">
        <f>IF(F789="","",IF(J789="✅ Сделано","✔ ",IF(J789="❌ Пропущено","✖ ","⏰ "))&amp;IF(C789="","",RIGHT("0"&amp;HOUR(C789),2)&amp;":"&amp;RIGHT("0"&amp;MINUTE(C789),2)&amp;IF(D789="","","–"&amp;RIGHT("0"&amp;HOUR(D789),2)&amp;":"&amp;RIGHT("0"&amp;MINUTE(D789),2))&amp;" ")&amp;F789)</f>
        <v/>
      </c>
      <c r="N789" s="54">
        <f>IF(OR(A789="",F789=""),"",A789&amp;"#"&amp;(COUNTIFS($A$5:$A$3004,A789,$F$5:$F$3004,"?*",$O$5:$O$3004,"&lt;"&amp;O789)+COUNTIFS($A$5:A789,A789,$F$5:F789,"?*",$O$5:O789,O789)))</f>
        <v/>
      </c>
      <c r="O789" s="54">
        <f>IF(A789="","",IF(C789="",0,C789))</f>
        <v/>
      </c>
    </row>
    <row r="790">
      <c r="A790" s="58" t="n"/>
      <c r="B790" s="49">
        <f>IF(A790="","",CHOOSE(WEEKDAY(A790,2),"Пн","Вт","Ср","Чт","Пт","Сб","Вс"))</f>
        <v/>
      </c>
      <c r="C790" s="59" t="n"/>
      <c r="D790" s="59" t="n"/>
      <c r="E790" s="60">
        <f>IF(OR(C790="",D790=""),"",MOD(D790-C790,1)*24)</f>
        <v/>
      </c>
      <c r="F790" s="50" t="n"/>
      <c r="G790" s="51" t="n"/>
      <c r="H790" s="51" t="n"/>
      <c r="I790" s="51" t="n"/>
      <c r="J790" s="51" t="n"/>
      <c r="K790" s="51" t="n"/>
      <c r="L790" s="54">
        <f>IF(OR(A790="",C790="",D790=""),"",IF(COUNTIFS($A$5:$A$3004,A790,$C$5:$C$3004,"&lt;"&amp;D790,$D$5:$D$3004,"&gt;"&amp;C790)&gt;1,"⚠️ пересечение",""))</f>
        <v/>
      </c>
      <c r="M790" s="54">
        <f>IF(F790="","",IF(J790="✅ Сделано","✔ ",IF(J790="❌ Пропущено","✖ ","⏰ "))&amp;IF(C790="","",RIGHT("0"&amp;HOUR(C790),2)&amp;":"&amp;RIGHT("0"&amp;MINUTE(C790),2)&amp;IF(D790="","","–"&amp;RIGHT("0"&amp;HOUR(D790),2)&amp;":"&amp;RIGHT("0"&amp;MINUTE(D790),2))&amp;" ")&amp;F790)</f>
        <v/>
      </c>
      <c r="N790" s="54">
        <f>IF(OR(A790="",F790=""),"",A790&amp;"#"&amp;(COUNTIFS($A$5:$A$3004,A790,$F$5:$F$3004,"?*",$O$5:$O$3004,"&lt;"&amp;O790)+COUNTIFS($A$5:A790,A790,$F$5:F790,"?*",$O$5:O790,O790)))</f>
        <v/>
      </c>
      <c r="O790" s="54">
        <f>IF(A790="","",IF(C790="",0,C790))</f>
        <v/>
      </c>
    </row>
    <row r="791">
      <c r="A791" s="58" t="n"/>
      <c r="B791" s="49">
        <f>IF(A791="","",CHOOSE(WEEKDAY(A791,2),"Пн","Вт","Ср","Чт","Пт","Сб","Вс"))</f>
        <v/>
      </c>
      <c r="C791" s="59" t="n"/>
      <c r="D791" s="59" t="n"/>
      <c r="E791" s="60">
        <f>IF(OR(C791="",D791=""),"",MOD(D791-C791,1)*24)</f>
        <v/>
      </c>
      <c r="F791" s="50" t="n"/>
      <c r="G791" s="51" t="n"/>
      <c r="H791" s="51" t="n"/>
      <c r="I791" s="51" t="n"/>
      <c r="J791" s="51" t="n"/>
      <c r="K791" s="51" t="n"/>
      <c r="L791" s="54">
        <f>IF(OR(A791="",C791="",D791=""),"",IF(COUNTIFS($A$5:$A$3004,A791,$C$5:$C$3004,"&lt;"&amp;D791,$D$5:$D$3004,"&gt;"&amp;C791)&gt;1,"⚠️ пересечение",""))</f>
        <v/>
      </c>
      <c r="M791" s="54">
        <f>IF(F791="","",IF(J791="✅ Сделано","✔ ",IF(J791="❌ Пропущено","✖ ","⏰ "))&amp;IF(C791="","",RIGHT("0"&amp;HOUR(C791),2)&amp;":"&amp;RIGHT("0"&amp;MINUTE(C791),2)&amp;IF(D791="","","–"&amp;RIGHT("0"&amp;HOUR(D791),2)&amp;":"&amp;RIGHT("0"&amp;MINUTE(D791),2))&amp;" ")&amp;F791)</f>
        <v/>
      </c>
      <c r="N791" s="54">
        <f>IF(OR(A791="",F791=""),"",A791&amp;"#"&amp;(COUNTIFS($A$5:$A$3004,A791,$F$5:$F$3004,"?*",$O$5:$O$3004,"&lt;"&amp;O791)+COUNTIFS($A$5:A791,A791,$F$5:F791,"?*",$O$5:O791,O791)))</f>
        <v/>
      </c>
      <c r="O791" s="54">
        <f>IF(A791="","",IF(C791="",0,C791))</f>
        <v/>
      </c>
    </row>
    <row r="792">
      <c r="A792" s="58" t="n"/>
      <c r="B792" s="49">
        <f>IF(A792="","",CHOOSE(WEEKDAY(A792,2),"Пн","Вт","Ср","Чт","Пт","Сб","Вс"))</f>
        <v/>
      </c>
      <c r="C792" s="59" t="n"/>
      <c r="D792" s="59" t="n"/>
      <c r="E792" s="60">
        <f>IF(OR(C792="",D792=""),"",MOD(D792-C792,1)*24)</f>
        <v/>
      </c>
      <c r="F792" s="50" t="n"/>
      <c r="G792" s="51" t="n"/>
      <c r="H792" s="51" t="n"/>
      <c r="I792" s="51" t="n"/>
      <c r="J792" s="51" t="n"/>
      <c r="K792" s="51" t="n"/>
      <c r="L792" s="54">
        <f>IF(OR(A792="",C792="",D792=""),"",IF(COUNTIFS($A$5:$A$3004,A792,$C$5:$C$3004,"&lt;"&amp;D792,$D$5:$D$3004,"&gt;"&amp;C792)&gt;1,"⚠️ пересечение",""))</f>
        <v/>
      </c>
      <c r="M792" s="54">
        <f>IF(F792="","",IF(J792="✅ Сделано","✔ ",IF(J792="❌ Пропущено","✖ ","⏰ "))&amp;IF(C792="","",RIGHT("0"&amp;HOUR(C792),2)&amp;":"&amp;RIGHT("0"&amp;MINUTE(C792),2)&amp;IF(D792="","","–"&amp;RIGHT("0"&amp;HOUR(D792),2)&amp;":"&amp;RIGHT("0"&amp;MINUTE(D792),2))&amp;" ")&amp;F792)</f>
        <v/>
      </c>
      <c r="N792" s="54">
        <f>IF(OR(A792="",F792=""),"",A792&amp;"#"&amp;(COUNTIFS($A$5:$A$3004,A792,$F$5:$F$3004,"?*",$O$5:$O$3004,"&lt;"&amp;O792)+COUNTIFS($A$5:A792,A792,$F$5:F792,"?*",$O$5:O792,O792)))</f>
        <v/>
      </c>
      <c r="O792" s="54">
        <f>IF(A792="","",IF(C792="",0,C792))</f>
        <v/>
      </c>
    </row>
    <row r="793">
      <c r="A793" s="58" t="n"/>
      <c r="B793" s="49">
        <f>IF(A793="","",CHOOSE(WEEKDAY(A793,2),"Пн","Вт","Ср","Чт","Пт","Сб","Вс"))</f>
        <v/>
      </c>
      <c r="C793" s="59" t="n"/>
      <c r="D793" s="59" t="n"/>
      <c r="E793" s="60">
        <f>IF(OR(C793="",D793=""),"",MOD(D793-C793,1)*24)</f>
        <v/>
      </c>
      <c r="F793" s="50" t="n"/>
      <c r="G793" s="51" t="n"/>
      <c r="H793" s="51" t="n"/>
      <c r="I793" s="51" t="n"/>
      <c r="J793" s="51" t="n"/>
      <c r="K793" s="51" t="n"/>
      <c r="L793" s="54">
        <f>IF(OR(A793="",C793="",D793=""),"",IF(COUNTIFS($A$5:$A$3004,A793,$C$5:$C$3004,"&lt;"&amp;D793,$D$5:$D$3004,"&gt;"&amp;C793)&gt;1,"⚠️ пересечение",""))</f>
        <v/>
      </c>
      <c r="M793" s="54">
        <f>IF(F793="","",IF(J793="✅ Сделано","✔ ",IF(J793="❌ Пропущено","✖ ","⏰ "))&amp;IF(C793="","",RIGHT("0"&amp;HOUR(C793),2)&amp;":"&amp;RIGHT("0"&amp;MINUTE(C793),2)&amp;IF(D793="","","–"&amp;RIGHT("0"&amp;HOUR(D793),2)&amp;":"&amp;RIGHT("0"&amp;MINUTE(D793),2))&amp;" ")&amp;F793)</f>
        <v/>
      </c>
      <c r="N793" s="54">
        <f>IF(OR(A793="",F793=""),"",A793&amp;"#"&amp;(COUNTIFS($A$5:$A$3004,A793,$F$5:$F$3004,"?*",$O$5:$O$3004,"&lt;"&amp;O793)+COUNTIFS($A$5:A793,A793,$F$5:F793,"?*",$O$5:O793,O793)))</f>
        <v/>
      </c>
      <c r="O793" s="54">
        <f>IF(A793="","",IF(C793="",0,C793))</f>
        <v/>
      </c>
    </row>
    <row r="794">
      <c r="A794" s="58" t="n"/>
      <c r="B794" s="49">
        <f>IF(A794="","",CHOOSE(WEEKDAY(A794,2),"Пн","Вт","Ср","Чт","Пт","Сб","Вс"))</f>
        <v/>
      </c>
      <c r="C794" s="59" t="n"/>
      <c r="D794" s="59" t="n"/>
      <c r="E794" s="60">
        <f>IF(OR(C794="",D794=""),"",MOD(D794-C794,1)*24)</f>
        <v/>
      </c>
      <c r="F794" s="50" t="n"/>
      <c r="G794" s="51" t="n"/>
      <c r="H794" s="51" t="n"/>
      <c r="I794" s="51" t="n"/>
      <c r="J794" s="51" t="n"/>
      <c r="K794" s="51" t="n"/>
      <c r="L794" s="54">
        <f>IF(OR(A794="",C794="",D794=""),"",IF(COUNTIFS($A$5:$A$3004,A794,$C$5:$C$3004,"&lt;"&amp;D794,$D$5:$D$3004,"&gt;"&amp;C794)&gt;1,"⚠️ пересечение",""))</f>
        <v/>
      </c>
      <c r="M794" s="54">
        <f>IF(F794="","",IF(J794="✅ Сделано","✔ ",IF(J794="❌ Пропущено","✖ ","⏰ "))&amp;IF(C794="","",RIGHT("0"&amp;HOUR(C794),2)&amp;":"&amp;RIGHT("0"&amp;MINUTE(C794),2)&amp;IF(D794="","","–"&amp;RIGHT("0"&amp;HOUR(D794),2)&amp;":"&amp;RIGHT("0"&amp;MINUTE(D794),2))&amp;" ")&amp;F794)</f>
        <v/>
      </c>
      <c r="N794" s="54">
        <f>IF(OR(A794="",F794=""),"",A794&amp;"#"&amp;(COUNTIFS($A$5:$A$3004,A794,$F$5:$F$3004,"?*",$O$5:$O$3004,"&lt;"&amp;O794)+COUNTIFS($A$5:A794,A794,$F$5:F794,"?*",$O$5:O794,O794)))</f>
        <v/>
      </c>
      <c r="O794" s="54">
        <f>IF(A794="","",IF(C794="",0,C794))</f>
        <v/>
      </c>
    </row>
    <row r="795">
      <c r="A795" s="58" t="n"/>
      <c r="B795" s="49">
        <f>IF(A795="","",CHOOSE(WEEKDAY(A795,2),"Пн","Вт","Ср","Чт","Пт","Сб","Вс"))</f>
        <v/>
      </c>
      <c r="C795" s="59" t="n"/>
      <c r="D795" s="59" t="n"/>
      <c r="E795" s="60">
        <f>IF(OR(C795="",D795=""),"",MOD(D795-C795,1)*24)</f>
        <v/>
      </c>
      <c r="F795" s="50" t="n"/>
      <c r="G795" s="51" t="n"/>
      <c r="H795" s="51" t="n"/>
      <c r="I795" s="51" t="n"/>
      <c r="J795" s="51" t="n"/>
      <c r="K795" s="51" t="n"/>
      <c r="L795" s="54">
        <f>IF(OR(A795="",C795="",D795=""),"",IF(COUNTIFS($A$5:$A$3004,A795,$C$5:$C$3004,"&lt;"&amp;D795,$D$5:$D$3004,"&gt;"&amp;C795)&gt;1,"⚠️ пересечение",""))</f>
        <v/>
      </c>
      <c r="M795" s="54">
        <f>IF(F795="","",IF(J795="✅ Сделано","✔ ",IF(J795="❌ Пропущено","✖ ","⏰ "))&amp;IF(C795="","",RIGHT("0"&amp;HOUR(C795),2)&amp;":"&amp;RIGHT("0"&amp;MINUTE(C795),2)&amp;IF(D795="","","–"&amp;RIGHT("0"&amp;HOUR(D795),2)&amp;":"&amp;RIGHT("0"&amp;MINUTE(D795),2))&amp;" ")&amp;F795)</f>
        <v/>
      </c>
      <c r="N795" s="54">
        <f>IF(OR(A795="",F795=""),"",A795&amp;"#"&amp;(COUNTIFS($A$5:$A$3004,A795,$F$5:$F$3004,"?*",$O$5:$O$3004,"&lt;"&amp;O795)+COUNTIFS($A$5:A795,A795,$F$5:F795,"?*",$O$5:O795,O795)))</f>
        <v/>
      </c>
      <c r="O795" s="54">
        <f>IF(A795="","",IF(C795="",0,C795))</f>
        <v/>
      </c>
    </row>
    <row r="796">
      <c r="A796" s="58" t="n"/>
      <c r="B796" s="49">
        <f>IF(A796="","",CHOOSE(WEEKDAY(A796,2),"Пн","Вт","Ср","Чт","Пт","Сб","Вс"))</f>
        <v/>
      </c>
      <c r="C796" s="59" t="n"/>
      <c r="D796" s="59" t="n"/>
      <c r="E796" s="60">
        <f>IF(OR(C796="",D796=""),"",MOD(D796-C796,1)*24)</f>
        <v/>
      </c>
      <c r="F796" s="50" t="n"/>
      <c r="G796" s="51" t="n"/>
      <c r="H796" s="51" t="n"/>
      <c r="I796" s="51" t="n"/>
      <c r="J796" s="51" t="n"/>
      <c r="K796" s="51" t="n"/>
      <c r="L796" s="54">
        <f>IF(OR(A796="",C796="",D796=""),"",IF(COUNTIFS($A$5:$A$3004,A796,$C$5:$C$3004,"&lt;"&amp;D796,$D$5:$D$3004,"&gt;"&amp;C796)&gt;1,"⚠️ пересечение",""))</f>
        <v/>
      </c>
      <c r="M796" s="54">
        <f>IF(F796="","",IF(J796="✅ Сделано","✔ ",IF(J796="❌ Пропущено","✖ ","⏰ "))&amp;IF(C796="","",RIGHT("0"&amp;HOUR(C796),2)&amp;":"&amp;RIGHT("0"&amp;MINUTE(C796),2)&amp;IF(D796="","","–"&amp;RIGHT("0"&amp;HOUR(D796),2)&amp;":"&amp;RIGHT("0"&amp;MINUTE(D796),2))&amp;" ")&amp;F796)</f>
        <v/>
      </c>
      <c r="N796" s="54">
        <f>IF(OR(A796="",F796=""),"",A796&amp;"#"&amp;(COUNTIFS($A$5:$A$3004,A796,$F$5:$F$3004,"?*",$O$5:$O$3004,"&lt;"&amp;O796)+COUNTIFS($A$5:A796,A796,$F$5:F796,"?*",$O$5:O796,O796)))</f>
        <v/>
      </c>
      <c r="O796" s="54">
        <f>IF(A796="","",IF(C796="",0,C796))</f>
        <v/>
      </c>
    </row>
    <row r="797">
      <c r="A797" s="58" t="n"/>
      <c r="B797" s="49">
        <f>IF(A797="","",CHOOSE(WEEKDAY(A797,2),"Пн","Вт","Ср","Чт","Пт","Сб","Вс"))</f>
        <v/>
      </c>
      <c r="C797" s="59" t="n"/>
      <c r="D797" s="59" t="n"/>
      <c r="E797" s="60">
        <f>IF(OR(C797="",D797=""),"",MOD(D797-C797,1)*24)</f>
        <v/>
      </c>
      <c r="F797" s="50" t="n"/>
      <c r="G797" s="51" t="n"/>
      <c r="H797" s="51" t="n"/>
      <c r="I797" s="51" t="n"/>
      <c r="J797" s="51" t="n"/>
      <c r="K797" s="51" t="n"/>
      <c r="L797" s="54">
        <f>IF(OR(A797="",C797="",D797=""),"",IF(COUNTIFS($A$5:$A$3004,A797,$C$5:$C$3004,"&lt;"&amp;D797,$D$5:$D$3004,"&gt;"&amp;C797)&gt;1,"⚠️ пересечение",""))</f>
        <v/>
      </c>
      <c r="M797" s="54">
        <f>IF(F797="","",IF(J797="✅ Сделано","✔ ",IF(J797="❌ Пропущено","✖ ","⏰ "))&amp;IF(C797="","",RIGHT("0"&amp;HOUR(C797),2)&amp;":"&amp;RIGHT("0"&amp;MINUTE(C797),2)&amp;IF(D797="","","–"&amp;RIGHT("0"&amp;HOUR(D797),2)&amp;":"&amp;RIGHT("0"&amp;MINUTE(D797),2))&amp;" ")&amp;F797)</f>
        <v/>
      </c>
      <c r="N797" s="54">
        <f>IF(OR(A797="",F797=""),"",A797&amp;"#"&amp;(COUNTIFS($A$5:$A$3004,A797,$F$5:$F$3004,"?*",$O$5:$O$3004,"&lt;"&amp;O797)+COUNTIFS($A$5:A797,A797,$F$5:F797,"?*",$O$5:O797,O797)))</f>
        <v/>
      </c>
      <c r="O797" s="54">
        <f>IF(A797="","",IF(C797="",0,C797))</f>
        <v/>
      </c>
    </row>
    <row r="798">
      <c r="A798" s="58" t="n"/>
      <c r="B798" s="49">
        <f>IF(A798="","",CHOOSE(WEEKDAY(A798,2),"Пн","Вт","Ср","Чт","Пт","Сб","Вс"))</f>
        <v/>
      </c>
      <c r="C798" s="59" t="n"/>
      <c r="D798" s="59" t="n"/>
      <c r="E798" s="60">
        <f>IF(OR(C798="",D798=""),"",MOD(D798-C798,1)*24)</f>
        <v/>
      </c>
      <c r="F798" s="50" t="n"/>
      <c r="G798" s="51" t="n"/>
      <c r="H798" s="51" t="n"/>
      <c r="I798" s="51" t="n"/>
      <c r="J798" s="51" t="n"/>
      <c r="K798" s="51" t="n"/>
      <c r="L798" s="54">
        <f>IF(OR(A798="",C798="",D798=""),"",IF(COUNTIFS($A$5:$A$3004,A798,$C$5:$C$3004,"&lt;"&amp;D798,$D$5:$D$3004,"&gt;"&amp;C798)&gt;1,"⚠️ пересечение",""))</f>
        <v/>
      </c>
      <c r="M798" s="54">
        <f>IF(F798="","",IF(J798="✅ Сделано","✔ ",IF(J798="❌ Пропущено","✖ ","⏰ "))&amp;IF(C798="","",RIGHT("0"&amp;HOUR(C798),2)&amp;":"&amp;RIGHT("0"&amp;MINUTE(C798),2)&amp;IF(D798="","","–"&amp;RIGHT("0"&amp;HOUR(D798),2)&amp;":"&amp;RIGHT("0"&amp;MINUTE(D798),2))&amp;" ")&amp;F798)</f>
        <v/>
      </c>
      <c r="N798" s="54">
        <f>IF(OR(A798="",F798=""),"",A798&amp;"#"&amp;(COUNTIFS($A$5:$A$3004,A798,$F$5:$F$3004,"?*",$O$5:$O$3004,"&lt;"&amp;O798)+COUNTIFS($A$5:A798,A798,$F$5:F798,"?*",$O$5:O798,O798)))</f>
        <v/>
      </c>
      <c r="O798" s="54">
        <f>IF(A798="","",IF(C798="",0,C798))</f>
        <v/>
      </c>
    </row>
    <row r="799">
      <c r="A799" s="58" t="n"/>
      <c r="B799" s="49">
        <f>IF(A799="","",CHOOSE(WEEKDAY(A799,2),"Пн","Вт","Ср","Чт","Пт","Сб","Вс"))</f>
        <v/>
      </c>
      <c r="C799" s="59" t="n"/>
      <c r="D799" s="59" t="n"/>
      <c r="E799" s="60">
        <f>IF(OR(C799="",D799=""),"",MOD(D799-C799,1)*24)</f>
        <v/>
      </c>
      <c r="F799" s="50" t="n"/>
      <c r="G799" s="51" t="n"/>
      <c r="H799" s="51" t="n"/>
      <c r="I799" s="51" t="n"/>
      <c r="J799" s="51" t="n"/>
      <c r="K799" s="51" t="n"/>
      <c r="L799" s="54">
        <f>IF(OR(A799="",C799="",D799=""),"",IF(COUNTIFS($A$5:$A$3004,A799,$C$5:$C$3004,"&lt;"&amp;D799,$D$5:$D$3004,"&gt;"&amp;C799)&gt;1,"⚠️ пересечение",""))</f>
        <v/>
      </c>
      <c r="M799" s="54">
        <f>IF(F799="","",IF(J799="✅ Сделано","✔ ",IF(J799="❌ Пропущено","✖ ","⏰ "))&amp;IF(C799="","",RIGHT("0"&amp;HOUR(C799),2)&amp;":"&amp;RIGHT("0"&amp;MINUTE(C799),2)&amp;IF(D799="","","–"&amp;RIGHT("0"&amp;HOUR(D799),2)&amp;":"&amp;RIGHT("0"&amp;MINUTE(D799),2))&amp;" ")&amp;F799)</f>
        <v/>
      </c>
      <c r="N799" s="54">
        <f>IF(OR(A799="",F799=""),"",A799&amp;"#"&amp;(COUNTIFS($A$5:$A$3004,A799,$F$5:$F$3004,"?*",$O$5:$O$3004,"&lt;"&amp;O799)+COUNTIFS($A$5:A799,A799,$F$5:F799,"?*",$O$5:O799,O799)))</f>
        <v/>
      </c>
      <c r="O799" s="54">
        <f>IF(A799="","",IF(C799="",0,C799))</f>
        <v/>
      </c>
    </row>
    <row r="800">
      <c r="A800" s="58" t="n"/>
      <c r="B800" s="49">
        <f>IF(A800="","",CHOOSE(WEEKDAY(A800,2),"Пн","Вт","Ср","Чт","Пт","Сб","Вс"))</f>
        <v/>
      </c>
      <c r="C800" s="59" t="n"/>
      <c r="D800" s="59" t="n"/>
      <c r="E800" s="60">
        <f>IF(OR(C800="",D800=""),"",MOD(D800-C800,1)*24)</f>
        <v/>
      </c>
      <c r="F800" s="50" t="n"/>
      <c r="G800" s="51" t="n"/>
      <c r="H800" s="51" t="n"/>
      <c r="I800" s="51" t="n"/>
      <c r="J800" s="51" t="n"/>
      <c r="K800" s="51" t="n"/>
      <c r="L800" s="54">
        <f>IF(OR(A800="",C800="",D800=""),"",IF(COUNTIFS($A$5:$A$3004,A800,$C$5:$C$3004,"&lt;"&amp;D800,$D$5:$D$3004,"&gt;"&amp;C800)&gt;1,"⚠️ пересечение",""))</f>
        <v/>
      </c>
      <c r="M800" s="54">
        <f>IF(F800="","",IF(J800="✅ Сделано","✔ ",IF(J800="❌ Пропущено","✖ ","⏰ "))&amp;IF(C800="","",RIGHT("0"&amp;HOUR(C800),2)&amp;":"&amp;RIGHT("0"&amp;MINUTE(C800),2)&amp;IF(D800="","","–"&amp;RIGHT("0"&amp;HOUR(D800),2)&amp;":"&amp;RIGHT("0"&amp;MINUTE(D800),2))&amp;" ")&amp;F800)</f>
        <v/>
      </c>
      <c r="N800" s="54">
        <f>IF(OR(A800="",F800=""),"",A800&amp;"#"&amp;(COUNTIFS($A$5:$A$3004,A800,$F$5:$F$3004,"?*",$O$5:$O$3004,"&lt;"&amp;O800)+COUNTIFS($A$5:A800,A800,$F$5:F800,"?*",$O$5:O800,O800)))</f>
        <v/>
      </c>
      <c r="O800" s="54">
        <f>IF(A800="","",IF(C800="",0,C800))</f>
        <v/>
      </c>
    </row>
    <row r="801">
      <c r="A801" s="58" t="n"/>
      <c r="B801" s="49">
        <f>IF(A801="","",CHOOSE(WEEKDAY(A801,2),"Пн","Вт","Ср","Чт","Пт","Сб","Вс"))</f>
        <v/>
      </c>
      <c r="C801" s="59" t="n"/>
      <c r="D801" s="59" t="n"/>
      <c r="E801" s="60">
        <f>IF(OR(C801="",D801=""),"",MOD(D801-C801,1)*24)</f>
        <v/>
      </c>
      <c r="F801" s="50" t="n"/>
      <c r="G801" s="51" t="n"/>
      <c r="H801" s="51" t="n"/>
      <c r="I801" s="51" t="n"/>
      <c r="J801" s="51" t="n"/>
      <c r="K801" s="51" t="n"/>
      <c r="L801" s="54">
        <f>IF(OR(A801="",C801="",D801=""),"",IF(COUNTIFS($A$5:$A$3004,A801,$C$5:$C$3004,"&lt;"&amp;D801,$D$5:$D$3004,"&gt;"&amp;C801)&gt;1,"⚠️ пересечение",""))</f>
        <v/>
      </c>
      <c r="M801" s="54">
        <f>IF(F801="","",IF(J801="✅ Сделано","✔ ",IF(J801="❌ Пропущено","✖ ","⏰ "))&amp;IF(C801="","",RIGHT("0"&amp;HOUR(C801),2)&amp;":"&amp;RIGHT("0"&amp;MINUTE(C801),2)&amp;IF(D801="","","–"&amp;RIGHT("0"&amp;HOUR(D801),2)&amp;":"&amp;RIGHT("0"&amp;MINUTE(D801),2))&amp;" ")&amp;F801)</f>
        <v/>
      </c>
      <c r="N801" s="54">
        <f>IF(OR(A801="",F801=""),"",A801&amp;"#"&amp;(COUNTIFS($A$5:$A$3004,A801,$F$5:$F$3004,"?*",$O$5:$O$3004,"&lt;"&amp;O801)+COUNTIFS($A$5:A801,A801,$F$5:F801,"?*",$O$5:O801,O801)))</f>
        <v/>
      </c>
      <c r="O801" s="54">
        <f>IF(A801="","",IF(C801="",0,C801))</f>
        <v/>
      </c>
    </row>
    <row r="802">
      <c r="A802" s="58" t="n"/>
      <c r="B802" s="49">
        <f>IF(A802="","",CHOOSE(WEEKDAY(A802,2),"Пн","Вт","Ср","Чт","Пт","Сб","Вс"))</f>
        <v/>
      </c>
      <c r="C802" s="59" t="n"/>
      <c r="D802" s="59" t="n"/>
      <c r="E802" s="60">
        <f>IF(OR(C802="",D802=""),"",MOD(D802-C802,1)*24)</f>
        <v/>
      </c>
      <c r="F802" s="50" t="n"/>
      <c r="G802" s="51" t="n"/>
      <c r="H802" s="51" t="n"/>
      <c r="I802" s="51" t="n"/>
      <c r="J802" s="51" t="n"/>
      <c r="K802" s="51" t="n"/>
      <c r="L802" s="54">
        <f>IF(OR(A802="",C802="",D802=""),"",IF(COUNTIFS($A$5:$A$3004,A802,$C$5:$C$3004,"&lt;"&amp;D802,$D$5:$D$3004,"&gt;"&amp;C802)&gt;1,"⚠️ пересечение",""))</f>
        <v/>
      </c>
      <c r="M802" s="54">
        <f>IF(F802="","",IF(J802="✅ Сделано","✔ ",IF(J802="❌ Пропущено","✖ ","⏰ "))&amp;IF(C802="","",RIGHT("0"&amp;HOUR(C802),2)&amp;":"&amp;RIGHT("0"&amp;MINUTE(C802),2)&amp;IF(D802="","","–"&amp;RIGHT("0"&amp;HOUR(D802),2)&amp;":"&amp;RIGHT("0"&amp;MINUTE(D802),2))&amp;" ")&amp;F802)</f>
        <v/>
      </c>
      <c r="N802" s="54">
        <f>IF(OR(A802="",F802=""),"",A802&amp;"#"&amp;(COUNTIFS($A$5:$A$3004,A802,$F$5:$F$3004,"?*",$O$5:$O$3004,"&lt;"&amp;O802)+COUNTIFS($A$5:A802,A802,$F$5:F802,"?*",$O$5:O802,O802)))</f>
        <v/>
      </c>
      <c r="O802" s="54">
        <f>IF(A802="","",IF(C802="",0,C802))</f>
        <v/>
      </c>
    </row>
    <row r="803">
      <c r="A803" s="58" t="n"/>
      <c r="B803" s="49">
        <f>IF(A803="","",CHOOSE(WEEKDAY(A803,2),"Пн","Вт","Ср","Чт","Пт","Сб","Вс"))</f>
        <v/>
      </c>
      <c r="C803" s="59" t="n"/>
      <c r="D803" s="59" t="n"/>
      <c r="E803" s="60">
        <f>IF(OR(C803="",D803=""),"",MOD(D803-C803,1)*24)</f>
        <v/>
      </c>
      <c r="F803" s="50" t="n"/>
      <c r="G803" s="51" t="n"/>
      <c r="H803" s="51" t="n"/>
      <c r="I803" s="51" t="n"/>
      <c r="J803" s="51" t="n"/>
      <c r="K803" s="51" t="n"/>
      <c r="L803" s="54">
        <f>IF(OR(A803="",C803="",D803=""),"",IF(COUNTIFS($A$5:$A$3004,A803,$C$5:$C$3004,"&lt;"&amp;D803,$D$5:$D$3004,"&gt;"&amp;C803)&gt;1,"⚠️ пересечение",""))</f>
        <v/>
      </c>
      <c r="M803" s="54">
        <f>IF(F803="","",IF(J803="✅ Сделано","✔ ",IF(J803="❌ Пропущено","✖ ","⏰ "))&amp;IF(C803="","",RIGHT("0"&amp;HOUR(C803),2)&amp;":"&amp;RIGHT("0"&amp;MINUTE(C803),2)&amp;IF(D803="","","–"&amp;RIGHT("0"&amp;HOUR(D803),2)&amp;":"&amp;RIGHT("0"&amp;MINUTE(D803),2))&amp;" ")&amp;F803)</f>
        <v/>
      </c>
      <c r="N803" s="54">
        <f>IF(OR(A803="",F803=""),"",A803&amp;"#"&amp;(COUNTIFS($A$5:$A$3004,A803,$F$5:$F$3004,"?*",$O$5:$O$3004,"&lt;"&amp;O803)+COUNTIFS($A$5:A803,A803,$F$5:F803,"?*",$O$5:O803,O803)))</f>
        <v/>
      </c>
      <c r="O803" s="54">
        <f>IF(A803="","",IF(C803="",0,C803))</f>
        <v/>
      </c>
    </row>
    <row r="804">
      <c r="A804" s="58" t="n"/>
      <c r="B804" s="49">
        <f>IF(A804="","",CHOOSE(WEEKDAY(A804,2),"Пн","Вт","Ср","Чт","Пт","Сб","Вс"))</f>
        <v/>
      </c>
      <c r="C804" s="59" t="n"/>
      <c r="D804" s="59" t="n"/>
      <c r="E804" s="60">
        <f>IF(OR(C804="",D804=""),"",MOD(D804-C804,1)*24)</f>
        <v/>
      </c>
      <c r="F804" s="50" t="n"/>
      <c r="G804" s="51" t="n"/>
      <c r="H804" s="51" t="n"/>
      <c r="I804" s="51" t="n"/>
      <c r="J804" s="51" t="n"/>
      <c r="K804" s="51" t="n"/>
      <c r="L804" s="54">
        <f>IF(OR(A804="",C804="",D804=""),"",IF(COUNTIFS($A$5:$A$3004,A804,$C$5:$C$3004,"&lt;"&amp;D804,$D$5:$D$3004,"&gt;"&amp;C804)&gt;1,"⚠️ пересечение",""))</f>
        <v/>
      </c>
      <c r="M804" s="54">
        <f>IF(F804="","",IF(J804="✅ Сделано","✔ ",IF(J804="❌ Пропущено","✖ ","⏰ "))&amp;IF(C804="","",RIGHT("0"&amp;HOUR(C804),2)&amp;":"&amp;RIGHT("0"&amp;MINUTE(C804),2)&amp;IF(D804="","","–"&amp;RIGHT("0"&amp;HOUR(D804),2)&amp;":"&amp;RIGHT("0"&amp;MINUTE(D804),2))&amp;" ")&amp;F804)</f>
        <v/>
      </c>
      <c r="N804" s="54">
        <f>IF(OR(A804="",F804=""),"",A804&amp;"#"&amp;(COUNTIFS($A$5:$A$3004,A804,$F$5:$F$3004,"?*",$O$5:$O$3004,"&lt;"&amp;O804)+COUNTIFS($A$5:A804,A804,$F$5:F804,"?*",$O$5:O804,O804)))</f>
        <v/>
      </c>
      <c r="O804" s="54">
        <f>IF(A804="","",IF(C804="",0,C804))</f>
        <v/>
      </c>
    </row>
    <row r="805">
      <c r="A805" s="58" t="n"/>
      <c r="B805" s="49">
        <f>IF(A805="","",CHOOSE(WEEKDAY(A805,2),"Пн","Вт","Ср","Чт","Пт","Сб","Вс"))</f>
        <v/>
      </c>
      <c r="C805" s="59" t="n"/>
      <c r="D805" s="59" t="n"/>
      <c r="E805" s="60">
        <f>IF(OR(C805="",D805=""),"",MOD(D805-C805,1)*24)</f>
        <v/>
      </c>
      <c r="F805" s="50" t="n"/>
      <c r="G805" s="51" t="n"/>
      <c r="H805" s="51" t="n"/>
      <c r="I805" s="51" t="n"/>
      <c r="J805" s="51" t="n"/>
      <c r="K805" s="51" t="n"/>
      <c r="L805" s="54">
        <f>IF(OR(A805="",C805="",D805=""),"",IF(COUNTIFS($A$5:$A$3004,A805,$C$5:$C$3004,"&lt;"&amp;D805,$D$5:$D$3004,"&gt;"&amp;C805)&gt;1,"⚠️ пересечение",""))</f>
        <v/>
      </c>
      <c r="M805" s="54">
        <f>IF(F805="","",IF(J805="✅ Сделано","✔ ",IF(J805="❌ Пропущено","✖ ","⏰ "))&amp;IF(C805="","",RIGHT("0"&amp;HOUR(C805),2)&amp;":"&amp;RIGHT("0"&amp;MINUTE(C805),2)&amp;IF(D805="","","–"&amp;RIGHT("0"&amp;HOUR(D805),2)&amp;":"&amp;RIGHT("0"&amp;MINUTE(D805),2))&amp;" ")&amp;F805)</f>
        <v/>
      </c>
      <c r="N805" s="54">
        <f>IF(OR(A805="",F805=""),"",A805&amp;"#"&amp;(COUNTIFS($A$5:$A$3004,A805,$F$5:$F$3004,"?*",$O$5:$O$3004,"&lt;"&amp;O805)+COUNTIFS($A$5:A805,A805,$F$5:F805,"?*",$O$5:O805,O805)))</f>
        <v/>
      </c>
      <c r="O805" s="54">
        <f>IF(A805="","",IF(C805="",0,C805))</f>
        <v/>
      </c>
    </row>
    <row r="806">
      <c r="A806" s="58" t="n"/>
      <c r="B806" s="49">
        <f>IF(A806="","",CHOOSE(WEEKDAY(A806,2),"Пн","Вт","Ср","Чт","Пт","Сб","Вс"))</f>
        <v/>
      </c>
      <c r="C806" s="59" t="n"/>
      <c r="D806" s="59" t="n"/>
      <c r="E806" s="60">
        <f>IF(OR(C806="",D806=""),"",MOD(D806-C806,1)*24)</f>
        <v/>
      </c>
      <c r="F806" s="50" t="n"/>
      <c r="G806" s="51" t="n"/>
      <c r="H806" s="51" t="n"/>
      <c r="I806" s="51" t="n"/>
      <c r="J806" s="51" t="n"/>
      <c r="K806" s="51" t="n"/>
      <c r="L806" s="54">
        <f>IF(OR(A806="",C806="",D806=""),"",IF(COUNTIFS($A$5:$A$3004,A806,$C$5:$C$3004,"&lt;"&amp;D806,$D$5:$D$3004,"&gt;"&amp;C806)&gt;1,"⚠️ пересечение",""))</f>
        <v/>
      </c>
      <c r="M806" s="54">
        <f>IF(F806="","",IF(J806="✅ Сделано","✔ ",IF(J806="❌ Пропущено","✖ ","⏰ "))&amp;IF(C806="","",RIGHT("0"&amp;HOUR(C806),2)&amp;":"&amp;RIGHT("0"&amp;MINUTE(C806),2)&amp;IF(D806="","","–"&amp;RIGHT("0"&amp;HOUR(D806),2)&amp;":"&amp;RIGHT("0"&amp;MINUTE(D806),2))&amp;" ")&amp;F806)</f>
        <v/>
      </c>
      <c r="N806" s="54">
        <f>IF(OR(A806="",F806=""),"",A806&amp;"#"&amp;(COUNTIFS($A$5:$A$3004,A806,$F$5:$F$3004,"?*",$O$5:$O$3004,"&lt;"&amp;O806)+COUNTIFS($A$5:A806,A806,$F$5:F806,"?*",$O$5:O806,O806)))</f>
        <v/>
      </c>
      <c r="O806" s="54">
        <f>IF(A806="","",IF(C806="",0,C806))</f>
        <v/>
      </c>
    </row>
    <row r="807">
      <c r="A807" s="58" t="n"/>
      <c r="B807" s="49">
        <f>IF(A807="","",CHOOSE(WEEKDAY(A807,2),"Пн","Вт","Ср","Чт","Пт","Сб","Вс"))</f>
        <v/>
      </c>
      <c r="C807" s="59" t="n"/>
      <c r="D807" s="59" t="n"/>
      <c r="E807" s="60">
        <f>IF(OR(C807="",D807=""),"",MOD(D807-C807,1)*24)</f>
        <v/>
      </c>
      <c r="F807" s="50" t="n"/>
      <c r="G807" s="51" t="n"/>
      <c r="H807" s="51" t="n"/>
      <c r="I807" s="51" t="n"/>
      <c r="J807" s="51" t="n"/>
      <c r="K807" s="51" t="n"/>
      <c r="L807" s="54">
        <f>IF(OR(A807="",C807="",D807=""),"",IF(COUNTIFS($A$5:$A$3004,A807,$C$5:$C$3004,"&lt;"&amp;D807,$D$5:$D$3004,"&gt;"&amp;C807)&gt;1,"⚠️ пересечение",""))</f>
        <v/>
      </c>
      <c r="M807" s="54">
        <f>IF(F807="","",IF(J807="✅ Сделано","✔ ",IF(J807="❌ Пропущено","✖ ","⏰ "))&amp;IF(C807="","",RIGHT("0"&amp;HOUR(C807),2)&amp;":"&amp;RIGHT("0"&amp;MINUTE(C807),2)&amp;IF(D807="","","–"&amp;RIGHT("0"&amp;HOUR(D807),2)&amp;":"&amp;RIGHT("0"&amp;MINUTE(D807),2))&amp;" ")&amp;F807)</f>
        <v/>
      </c>
      <c r="N807" s="54">
        <f>IF(OR(A807="",F807=""),"",A807&amp;"#"&amp;(COUNTIFS($A$5:$A$3004,A807,$F$5:$F$3004,"?*",$O$5:$O$3004,"&lt;"&amp;O807)+COUNTIFS($A$5:A807,A807,$F$5:F807,"?*",$O$5:O807,O807)))</f>
        <v/>
      </c>
      <c r="O807" s="54">
        <f>IF(A807="","",IF(C807="",0,C807))</f>
        <v/>
      </c>
    </row>
    <row r="808">
      <c r="A808" s="58" t="n"/>
      <c r="B808" s="49">
        <f>IF(A808="","",CHOOSE(WEEKDAY(A808,2),"Пн","Вт","Ср","Чт","Пт","Сб","Вс"))</f>
        <v/>
      </c>
      <c r="C808" s="59" t="n"/>
      <c r="D808" s="59" t="n"/>
      <c r="E808" s="60">
        <f>IF(OR(C808="",D808=""),"",MOD(D808-C808,1)*24)</f>
        <v/>
      </c>
      <c r="F808" s="50" t="n"/>
      <c r="G808" s="51" t="n"/>
      <c r="H808" s="51" t="n"/>
      <c r="I808" s="51" t="n"/>
      <c r="J808" s="51" t="n"/>
      <c r="K808" s="51" t="n"/>
      <c r="L808" s="54">
        <f>IF(OR(A808="",C808="",D808=""),"",IF(COUNTIFS($A$5:$A$3004,A808,$C$5:$C$3004,"&lt;"&amp;D808,$D$5:$D$3004,"&gt;"&amp;C808)&gt;1,"⚠️ пересечение",""))</f>
        <v/>
      </c>
      <c r="M808" s="54">
        <f>IF(F808="","",IF(J808="✅ Сделано","✔ ",IF(J808="❌ Пропущено","✖ ","⏰ "))&amp;IF(C808="","",RIGHT("0"&amp;HOUR(C808),2)&amp;":"&amp;RIGHT("0"&amp;MINUTE(C808),2)&amp;IF(D808="","","–"&amp;RIGHT("0"&amp;HOUR(D808),2)&amp;":"&amp;RIGHT("0"&amp;MINUTE(D808),2))&amp;" ")&amp;F808)</f>
        <v/>
      </c>
      <c r="N808" s="54">
        <f>IF(OR(A808="",F808=""),"",A808&amp;"#"&amp;(COUNTIFS($A$5:$A$3004,A808,$F$5:$F$3004,"?*",$O$5:$O$3004,"&lt;"&amp;O808)+COUNTIFS($A$5:A808,A808,$F$5:F808,"?*",$O$5:O808,O808)))</f>
        <v/>
      </c>
      <c r="O808" s="54">
        <f>IF(A808="","",IF(C808="",0,C808))</f>
        <v/>
      </c>
    </row>
    <row r="809">
      <c r="A809" s="58" t="n"/>
      <c r="B809" s="49">
        <f>IF(A809="","",CHOOSE(WEEKDAY(A809,2),"Пн","Вт","Ср","Чт","Пт","Сб","Вс"))</f>
        <v/>
      </c>
      <c r="C809" s="59" t="n"/>
      <c r="D809" s="59" t="n"/>
      <c r="E809" s="60">
        <f>IF(OR(C809="",D809=""),"",MOD(D809-C809,1)*24)</f>
        <v/>
      </c>
      <c r="F809" s="50" t="n"/>
      <c r="G809" s="51" t="n"/>
      <c r="H809" s="51" t="n"/>
      <c r="I809" s="51" t="n"/>
      <c r="J809" s="51" t="n"/>
      <c r="K809" s="51" t="n"/>
      <c r="L809" s="54">
        <f>IF(OR(A809="",C809="",D809=""),"",IF(COUNTIFS($A$5:$A$3004,A809,$C$5:$C$3004,"&lt;"&amp;D809,$D$5:$D$3004,"&gt;"&amp;C809)&gt;1,"⚠️ пересечение",""))</f>
        <v/>
      </c>
      <c r="M809" s="54">
        <f>IF(F809="","",IF(J809="✅ Сделано","✔ ",IF(J809="❌ Пропущено","✖ ","⏰ "))&amp;IF(C809="","",RIGHT("0"&amp;HOUR(C809),2)&amp;":"&amp;RIGHT("0"&amp;MINUTE(C809),2)&amp;IF(D809="","","–"&amp;RIGHT("0"&amp;HOUR(D809),2)&amp;":"&amp;RIGHT("0"&amp;MINUTE(D809),2))&amp;" ")&amp;F809)</f>
        <v/>
      </c>
      <c r="N809" s="54">
        <f>IF(OR(A809="",F809=""),"",A809&amp;"#"&amp;(COUNTIFS($A$5:$A$3004,A809,$F$5:$F$3004,"?*",$O$5:$O$3004,"&lt;"&amp;O809)+COUNTIFS($A$5:A809,A809,$F$5:F809,"?*",$O$5:O809,O809)))</f>
        <v/>
      </c>
      <c r="O809" s="54">
        <f>IF(A809="","",IF(C809="",0,C809))</f>
        <v/>
      </c>
    </row>
    <row r="810">
      <c r="A810" s="58" t="n"/>
      <c r="B810" s="49">
        <f>IF(A810="","",CHOOSE(WEEKDAY(A810,2),"Пн","Вт","Ср","Чт","Пт","Сб","Вс"))</f>
        <v/>
      </c>
      <c r="C810" s="59" t="n"/>
      <c r="D810" s="59" t="n"/>
      <c r="E810" s="60">
        <f>IF(OR(C810="",D810=""),"",MOD(D810-C810,1)*24)</f>
        <v/>
      </c>
      <c r="F810" s="50" t="n"/>
      <c r="G810" s="51" t="n"/>
      <c r="H810" s="51" t="n"/>
      <c r="I810" s="51" t="n"/>
      <c r="J810" s="51" t="n"/>
      <c r="K810" s="51" t="n"/>
      <c r="L810" s="54">
        <f>IF(OR(A810="",C810="",D810=""),"",IF(COUNTIFS($A$5:$A$3004,A810,$C$5:$C$3004,"&lt;"&amp;D810,$D$5:$D$3004,"&gt;"&amp;C810)&gt;1,"⚠️ пересечение",""))</f>
        <v/>
      </c>
      <c r="M810" s="54">
        <f>IF(F810="","",IF(J810="✅ Сделано","✔ ",IF(J810="❌ Пропущено","✖ ","⏰ "))&amp;IF(C810="","",RIGHT("0"&amp;HOUR(C810),2)&amp;":"&amp;RIGHT("0"&amp;MINUTE(C810),2)&amp;IF(D810="","","–"&amp;RIGHT("0"&amp;HOUR(D810),2)&amp;":"&amp;RIGHT("0"&amp;MINUTE(D810),2))&amp;" ")&amp;F810)</f>
        <v/>
      </c>
      <c r="N810" s="54">
        <f>IF(OR(A810="",F810=""),"",A810&amp;"#"&amp;(COUNTIFS($A$5:$A$3004,A810,$F$5:$F$3004,"?*",$O$5:$O$3004,"&lt;"&amp;O810)+COUNTIFS($A$5:A810,A810,$F$5:F810,"?*",$O$5:O810,O810)))</f>
        <v/>
      </c>
      <c r="O810" s="54">
        <f>IF(A810="","",IF(C810="",0,C810))</f>
        <v/>
      </c>
    </row>
    <row r="811">
      <c r="A811" s="58" t="n"/>
      <c r="B811" s="49">
        <f>IF(A811="","",CHOOSE(WEEKDAY(A811,2),"Пн","Вт","Ср","Чт","Пт","Сб","Вс"))</f>
        <v/>
      </c>
      <c r="C811" s="59" t="n"/>
      <c r="D811" s="59" t="n"/>
      <c r="E811" s="60">
        <f>IF(OR(C811="",D811=""),"",MOD(D811-C811,1)*24)</f>
        <v/>
      </c>
      <c r="F811" s="50" t="n"/>
      <c r="G811" s="51" t="n"/>
      <c r="H811" s="51" t="n"/>
      <c r="I811" s="51" t="n"/>
      <c r="J811" s="51" t="n"/>
      <c r="K811" s="51" t="n"/>
      <c r="L811" s="54">
        <f>IF(OR(A811="",C811="",D811=""),"",IF(COUNTIFS($A$5:$A$3004,A811,$C$5:$C$3004,"&lt;"&amp;D811,$D$5:$D$3004,"&gt;"&amp;C811)&gt;1,"⚠️ пересечение",""))</f>
        <v/>
      </c>
      <c r="M811" s="54">
        <f>IF(F811="","",IF(J811="✅ Сделано","✔ ",IF(J811="❌ Пропущено","✖ ","⏰ "))&amp;IF(C811="","",RIGHT("0"&amp;HOUR(C811),2)&amp;":"&amp;RIGHT("0"&amp;MINUTE(C811),2)&amp;IF(D811="","","–"&amp;RIGHT("0"&amp;HOUR(D811),2)&amp;":"&amp;RIGHT("0"&amp;MINUTE(D811),2))&amp;" ")&amp;F811)</f>
        <v/>
      </c>
      <c r="N811" s="54">
        <f>IF(OR(A811="",F811=""),"",A811&amp;"#"&amp;(COUNTIFS($A$5:$A$3004,A811,$F$5:$F$3004,"?*",$O$5:$O$3004,"&lt;"&amp;O811)+COUNTIFS($A$5:A811,A811,$F$5:F811,"?*",$O$5:O811,O811)))</f>
        <v/>
      </c>
      <c r="O811" s="54">
        <f>IF(A811="","",IF(C811="",0,C811))</f>
        <v/>
      </c>
    </row>
    <row r="812">
      <c r="A812" s="58" t="n"/>
      <c r="B812" s="49">
        <f>IF(A812="","",CHOOSE(WEEKDAY(A812,2),"Пн","Вт","Ср","Чт","Пт","Сб","Вс"))</f>
        <v/>
      </c>
      <c r="C812" s="59" t="n"/>
      <c r="D812" s="59" t="n"/>
      <c r="E812" s="60">
        <f>IF(OR(C812="",D812=""),"",MOD(D812-C812,1)*24)</f>
        <v/>
      </c>
      <c r="F812" s="50" t="n"/>
      <c r="G812" s="51" t="n"/>
      <c r="H812" s="51" t="n"/>
      <c r="I812" s="51" t="n"/>
      <c r="J812" s="51" t="n"/>
      <c r="K812" s="51" t="n"/>
      <c r="L812" s="54">
        <f>IF(OR(A812="",C812="",D812=""),"",IF(COUNTIFS($A$5:$A$3004,A812,$C$5:$C$3004,"&lt;"&amp;D812,$D$5:$D$3004,"&gt;"&amp;C812)&gt;1,"⚠️ пересечение",""))</f>
        <v/>
      </c>
      <c r="M812" s="54">
        <f>IF(F812="","",IF(J812="✅ Сделано","✔ ",IF(J812="❌ Пропущено","✖ ","⏰ "))&amp;IF(C812="","",RIGHT("0"&amp;HOUR(C812),2)&amp;":"&amp;RIGHT("0"&amp;MINUTE(C812),2)&amp;IF(D812="","","–"&amp;RIGHT("0"&amp;HOUR(D812),2)&amp;":"&amp;RIGHT("0"&amp;MINUTE(D812),2))&amp;" ")&amp;F812)</f>
        <v/>
      </c>
      <c r="N812" s="54">
        <f>IF(OR(A812="",F812=""),"",A812&amp;"#"&amp;(COUNTIFS($A$5:$A$3004,A812,$F$5:$F$3004,"?*",$O$5:$O$3004,"&lt;"&amp;O812)+COUNTIFS($A$5:A812,A812,$F$5:F812,"?*",$O$5:O812,O812)))</f>
        <v/>
      </c>
      <c r="O812" s="54">
        <f>IF(A812="","",IF(C812="",0,C812))</f>
        <v/>
      </c>
    </row>
    <row r="813">
      <c r="A813" s="58" t="n"/>
      <c r="B813" s="49">
        <f>IF(A813="","",CHOOSE(WEEKDAY(A813,2),"Пн","Вт","Ср","Чт","Пт","Сб","Вс"))</f>
        <v/>
      </c>
      <c r="C813" s="59" t="n"/>
      <c r="D813" s="59" t="n"/>
      <c r="E813" s="60">
        <f>IF(OR(C813="",D813=""),"",MOD(D813-C813,1)*24)</f>
        <v/>
      </c>
      <c r="F813" s="50" t="n"/>
      <c r="G813" s="51" t="n"/>
      <c r="H813" s="51" t="n"/>
      <c r="I813" s="51" t="n"/>
      <c r="J813" s="51" t="n"/>
      <c r="K813" s="51" t="n"/>
      <c r="L813" s="54">
        <f>IF(OR(A813="",C813="",D813=""),"",IF(COUNTIFS($A$5:$A$3004,A813,$C$5:$C$3004,"&lt;"&amp;D813,$D$5:$D$3004,"&gt;"&amp;C813)&gt;1,"⚠️ пересечение",""))</f>
        <v/>
      </c>
      <c r="M813" s="54">
        <f>IF(F813="","",IF(J813="✅ Сделано","✔ ",IF(J813="❌ Пропущено","✖ ","⏰ "))&amp;IF(C813="","",RIGHT("0"&amp;HOUR(C813),2)&amp;":"&amp;RIGHT("0"&amp;MINUTE(C813),2)&amp;IF(D813="","","–"&amp;RIGHT("0"&amp;HOUR(D813),2)&amp;":"&amp;RIGHT("0"&amp;MINUTE(D813),2))&amp;" ")&amp;F813)</f>
        <v/>
      </c>
      <c r="N813" s="54">
        <f>IF(OR(A813="",F813=""),"",A813&amp;"#"&amp;(COUNTIFS($A$5:$A$3004,A813,$F$5:$F$3004,"?*",$O$5:$O$3004,"&lt;"&amp;O813)+COUNTIFS($A$5:A813,A813,$F$5:F813,"?*",$O$5:O813,O813)))</f>
        <v/>
      </c>
      <c r="O813" s="54">
        <f>IF(A813="","",IF(C813="",0,C813))</f>
        <v/>
      </c>
    </row>
    <row r="814">
      <c r="A814" s="58" t="n"/>
      <c r="B814" s="49">
        <f>IF(A814="","",CHOOSE(WEEKDAY(A814,2),"Пн","Вт","Ср","Чт","Пт","Сб","Вс"))</f>
        <v/>
      </c>
      <c r="C814" s="59" t="n"/>
      <c r="D814" s="59" t="n"/>
      <c r="E814" s="60">
        <f>IF(OR(C814="",D814=""),"",MOD(D814-C814,1)*24)</f>
        <v/>
      </c>
      <c r="F814" s="50" t="n"/>
      <c r="G814" s="51" t="n"/>
      <c r="H814" s="51" t="n"/>
      <c r="I814" s="51" t="n"/>
      <c r="J814" s="51" t="n"/>
      <c r="K814" s="51" t="n"/>
      <c r="L814" s="54">
        <f>IF(OR(A814="",C814="",D814=""),"",IF(COUNTIFS($A$5:$A$3004,A814,$C$5:$C$3004,"&lt;"&amp;D814,$D$5:$D$3004,"&gt;"&amp;C814)&gt;1,"⚠️ пересечение",""))</f>
        <v/>
      </c>
      <c r="M814" s="54">
        <f>IF(F814="","",IF(J814="✅ Сделано","✔ ",IF(J814="❌ Пропущено","✖ ","⏰ "))&amp;IF(C814="","",RIGHT("0"&amp;HOUR(C814),2)&amp;":"&amp;RIGHT("0"&amp;MINUTE(C814),2)&amp;IF(D814="","","–"&amp;RIGHT("0"&amp;HOUR(D814),2)&amp;":"&amp;RIGHT("0"&amp;MINUTE(D814),2))&amp;" ")&amp;F814)</f>
        <v/>
      </c>
      <c r="N814" s="54">
        <f>IF(OR(A814="",F814=""),"",A814&amp;"#"&amp;(COUNTIFS($A$5:$A$3004,A814,$F$5:$F$3004,"?*",$O$5:$O$3004,"&lt;"&amp;O814)+COUNTIFS($A$5:A814,A814,$F$5:F814,"?*",$O$5:O814,O814)))</f>
        <v/>
      </c>
      <c r="O814" s="54">
        <f>IF(A814="","",IF(C814="",0,C814))</f>
        <v/>
      </c>
    </row>
    <row r="815">
      <c r="A815" s="58" t="n"/>
      <c r="B815" s="49">
        <f>IF(A815="","",CHOOSE(WEEKDAY(A815,2),"Пн","Вт","Ср","Чт","Пт","Сб","Вс"))</f>
        <v/>
      </c>
      <c r="C815" s="59" t="n"/>
      <c r="D815" s="59" t="n"/>
      <c r="E815" s="60">
        <f>IF(OR(C815="",D815=""),"",MOD(D815-C815,1)*24)</f>
        <v/>
      </c>
      <c r="F815" s="50" t="n"/>
      <c r="G815" s="51" t="n"/>
      <c r="H815" s="51" t="n"/>
      <c r="I815" s="51" t="n"/>
      <c r="J815" s="51" t="n"/>
      <c r="K815" s="51" t="n"/>
      <c r="L815" s="54">
        <f>IF(OR(A815="",C815="",D815=""),"",IF(COUNTIFS($A$5:$A$3004,A815,$C$5:$C$3004,"&lt;"&amp;D815,$D$5:$D$3004,"&gt;"&amp;C815)&gt;1,"⚠️ пересечение",""))</f>
        <v/>
      </c>
      <c r="M815" s="54">
        <f>IF(F815="","",IF(J815="✅ Сделано","✔ ",IF(J815="❌ Пропущено","✖ ","⏰ "))&amp;IF(C815="","",RIGHT("0"&amp;HOUR(C815),2)&amp;":"&amp;RIGHT("0"&amp;MINUTE(C815),2)&amp;IF(D815="","","–"&amp;RIGHT("0"&amp;HOUR(D815),2)&amp;":"&amp;RIGHT("0"&amp;MINUTE(D815),2))&amp;" ")&amp;F815)</f>
        <v/>
      </c>
      <c r="N815" s="54">
        <f>IF(OR(A815="",F815=""),"",A815&amp;"#"&amp;(COUNTIFS($A$5:$A$3004,A815,$F$5:$F$3004,"?*",$O$5:$O$3004,"&lt;"&amp;O815)+COUNTIFS($A$5:A815,A815,$F$5:F815,"?*",$O$5:O815,O815)))</f>
        <v/>
      </c>
      <c r="O815" s="54">
        <f>IF(A815="","",IF(C815="",0,C815))</f>
        <v/>
      </c>
    </row>
    <row r="816">
      <c r="A816" s="58" t="n"/>
      <c r="B816" s="49">
        <f>IF(A816="","",CHOOSE(WEEKDAY(A816,2),"Пн","Вт","Ср","Чт","Пт","Сб","Вс"))</f>
        <v/>
      </c>
      <c r="C816" s="59" t="n"/>
      <c r="D816" s="59" t="n"/>
      <c r="E816" s="60">
        <f>IF(OR(C816="",D816=""),"",MOD(D816-C816,1)*24)</f>
        <v/>
      </c>
      <c r="F816" s="50" t="n"/>
      <c r="G816" s="51" t="n"/>
      <c r="H816" s="51" t="n"/>
      <c r="I816" s="51" t="n"/>
      <c r="J816" s="51" t="n"/>
      <c r="K816" s="51" t="n"/>
      <c r="L816" s="54">
        <f>IF(OR(A816="",C816="",D816=""),"",IF(COUNTIFS($A$5:$A$3004,A816,$C$5:$C$3004,"&lt;"&amp;D816,$D$5:$D$3004,"&gt;"&amp;C816)&gt;1,"⚠️ пересечение",""))</f>
        <v/>
      </c>
      <c r="M816" s="54">
        <f>IF(F816="","",IF(J816="✅ Сделано","✔ ",IF(J816="❌ Пропущено","✖ ","⏰ "))&amp;IF(C816="","",RIGHT("0"&amp;HOUR(C816),2)&amp;":"&amp;RIGHT("0"&amp;MINUTE(C816),2)&amp;IF(D816="","","–"&amp;RIGHT("0"&amp;HOUR(D816),2)&amp;":"&amp;RIGHT("0"&amp;MINUTE(D816),2))&amp;" ")&amp;F816)</f>
        <v/>
      </c>
      <c r="N816" s="54">
        <f>IF(OR(A816="",F816=""),"",A816&amp;"#"&amp;(COUNTIFS($A$5:$A$3004,A816,$F$5:$F$3004,"?*",$O$5:$O$3004,"&lt;"&amp;O816)+COUNTIFS($A$5:A816,A816,$F$5:F816,"?*",$O$5:O816,O816)))</f>
        <v/>
      </c>
      <c r="O816" s="54">
        <f>IF(A816="","",IF(C816="",0,C816))</f>
        <v/>
      </c>
    </row>
    <row r="817">
      <c r="A817" s="58" t="n"/>
      <c r="B817" s="49">
        <f>IF(A817="","",CHOOSE(WEEKDAY(A817,2),"Пн","Вт","Ср","Чт","Пт","Сб","Вс"))</f>
        <v/>
      </c>
      <c r="C817" s="59" t="n"/>
      <c r="D817" s="59" t="n"/>
      <c r="E817" s="60">
        <f>IF(OR(C817="",D817=""),"",MOD(D817-C817,1)*24)</f>
        <v/>
      </c>
      <c r="F817" s="50" t="n"/>
      <c r="G817" s="51" t="n"/>
      <c r="H817" s="51" t="n"/>
      <c r="I817" s="51" t="n"/>
      <c r="J817" s="51" t="n"/>
      <c r="K817" s="51" t="n"/>
      <c r="L817" s="54">
        <f>IF(OR(A817="",C817="",D817=""),"",IF(COUNTIFS($A$5:$A$3004,A817,$C$5:$C$3004,"&lt;"&amp;D817,$D$5:$D$3004,"&gt;"&amp;C817)&gt;1,"⚠️ пересечение",""))</f>
        <v/>
      </c>
      <c r="M817" s="54">
        <f>IF(F817="","",IF(J817="✅ Сделано","✔ ",IF(J817="❌ Пропущено","✖ ","⏰ "))&amp;IF(C817="","",RIGHT("0"&amp;HOUR(C817),2)&amp;":"&amp;RIGHT("0"&amp;MINUTE(C817),2)&amp;IF(D817="","","–"&amp;RIGHT("0"&amp;HOUR(D817),2)&amp;":"&amp;RIGHT("0"&amp;MINUTE(D817),2))&amp;" ")&amp;F817)</f>
        <v/>
      </c>
      <c r="N817" s="54">
        <f>IF(OR(A817="",F817=""),"",A817&amp;"#"&amp;(COUNTIFS($A$5:$A$3004,A817,$F$5:$F$3004,"?*",$O$5:$O$3004,"&lt;"&amp;O817)+COUNTIFS($A$5:A817,A817,$F$5:F817,"?*",$O$5:O817,O817)))</f>
        <v/>
      </c>
      <c r="O817" s="54">
        <f>IF(A817="","",IF(C817="",0,C817))</f>
        <v/>
      </c>
    </row>
    <row r="818">
      <c r="A818" s="58" t="n"/>
      <c r="B818" s="49">
        <f>IF(A818="","",CHOOSE(WEEKDAY(A818,2),"Пн","Вт","Ср","Чт","Пт","Сб","Вс"))</f>
        <v/>
      </c>
      <c r="C818" s="59" t="n"/>
      <c r="D818" s="59" t="n"/>
      <c r="E818" s="60">
        <f>IF(OR(C818="",D818=""),"",MOD(D818-C818,1)*24)</f>
        <v/>
      </c>
      <c r="F818" s="50" t="n"/>
      <c r="G818" s="51" t="n"/>
      <c r="H818" s="51" t="n"/>
      <c r="I818" s="51" t="n"/>
      <c r="J818" s="51" t="n"/>
      <c r="K818" s="51" t="n"/>
      <c r="L818" s="54">
        <f>IF(OR(A818="",C818="",D818=""),"",IF(COUNTIFS($A$5:$A$3004,A818,$C$5:$C$3004,"&lt;"&amp;D818,$D$5:$D$3004,"&gt;"&amp;C818)&gt;1,"⚠️ пересечение",""))</f>
        <v/>
      </c>
      <c r="M818" s="54">
        <f>IF(F818="","",IF(J818="✅ Сделано","✔ ",IF(J818="❌ Пропущено","✖ ","⏰ "))&amp;IF(C818="","",RIGHT("0"&amp;HOUR(C818),2)&amp;":"&amp;RIGHT("0"&amp;MINUTE(C818),2)&amp;IF(D818="","","–"&amp;RIGHT("0"&amp;HOUR(D818),2)&amp;":"&amp;RIGHT("0"&amp;MINUTE(D818),2))&amp;" ")&amp;F818)</f>
        <v/>
      </c>
      <c r="N818" s="54">
        <f>IF(OR(A818="",F818=""),"",A818&amp;"#"&amp;(COUNTIFS($A$5:$A$3004,A818,$F$5:$F$3004,"?*",$O$5:$O$3004,"&lt;"&amp;O818)+COUNTIFS($A$5:A818,A818,$F$5:F818,"?*",$O$5:O818,O818)))</f>
        <v/>
      </c>
      <c r="O818" s="54">
        <f>IF(A818="","",IF(C818="",0,C818))</f>
        <v/>
      </c>
    </row>
    <row r="819">
      <c r="A819" s="58" t="n"/>
      <c r="B819" s="49">
        <f>IF(A819="","",CHOOSE(WEEKDAY(A819,2),"Пн","Вт","Ср","Чт","Пт","Сб","Вс"))</f>
        <v/>
      </c>
      <c r="C819" s="59" t="n"/>
      <c r="D819" s="59" t="n"/>
      <c r="E819" s="60">
        <f>IF(OR(C819="",D819=""),"",MOD(D819-C819,1)*24)</f>
        <v/>
      </c>
      <c r="F819" s="50" t="n"/>
      <c r="G819" s="51" t="n"/>
      <c r="H819" s="51" t="n"/>
      <c r="I819" s="51" t="n"/>
      <c r="J819" s="51" t="n"/>
      <c r="K819" s="51" t="n"/>
      <c r="L819" s="54">
        <f>IF(OR(A819="",C819="",D819=""),"",IF(COUNTIFS($A$5:$A$3004,A819,$C$5:$C$3004,"&lt;"&amp;D819,$D$5:$D$3004,"&gt;"&amp;C819)&gt;1,"⚠️ пересечение",""))</f>
        <v/>
      </c>
      <c r="M819" s="54">
        <f>IF(F819="","",IF(J819="✅ Сделано","✔ ",IF(J819="❌ Пропущено","✖ ","⏰ "))&amp;IF(C819="","",RIGHT("0"&amp;HOUR(C819),2)&amp;":"&amp;RIGHT("0"&amp;MINUTE(C819),2)&amp;IF(D819="","","–"&amp;RIGHT("0"&amp;HOUR(D819),2)&amp;":"&amp;RIGHT("0"&amp;MINUTE(D819),2))&amp;" ")&amp;F819)</f>
        <v/>
      </c>
      <c r="N819" s="54">
        <f>IF(OR(A819="",F819=""),"",A819&amp;"#"&amp;(COUNTIFS($A$5:$A$3004,A819,$F$5:$F$3004,"?*",$O$5:$O$3004,"&lt;"&amp;O819)+COUNTIFS($A$5:A819,A819,$F$5:F819,"?*",$O$5:O819,O819)))</f>
        <v/>
      </c>
      <c r="O819" s="54">
        <f>IF(A819="","",IF(C819="",0,C819))</f>
        <v/>
      </c>
    </row>
    <row r="820">
      <c r="A820" s="58" t="n"/>
      <c r="B820" s="49">
        <f>IF(A820="","",CHOOSE(WEEKDAY(A820,2),"Пн","Вт","Ср","Чт","Пт","Сб","Вс"))</f>
        <v/>
      </c>
      <c r="C820" s="59" t="n"/>
      <c r="D820" s="59" t="n"/>
      <c r="E820" s="60">
        <f>IF(OR(C820="",D820=""),"",MOD(D820-C820,1)*24)</f>
        <v/>
      </c>
      <c r="F820" s="50" t="n"/>
      <c r="G820" s="51" t="n"/>
      <c r="H820" s="51" t="n"/>
      <c r="I820" s="51" t="n"/>
      <c r="J820" s="51" t="n"/>
      <c r="K820" s="51" t="n"/>
      <c r="L820" s="54">
        <f>IF(OR(A820="",C820="",D820=""),"",IF(COUNTIFS($A$5:$A$3004,A820,$C$5:$C$3004,"&lt;"&amp;D820,$D$5:$D$3004,"&gt;"&amp;C820)&gt;1,"⚠️ пересечение",""))</f>
        <v/>
      </c>
      <c r="M820" s="54">
        <f>IF(F820="","",IF(J820="✅ Сделано","✔ ",IF(J820="❌ Пропущено","✖ ","⏰ "))&amp;IF(C820="","",RIGHT("0"&amp;HOUR(C820),2)&amp;":"&amp;RIGHT("0"&amp;MINUTE(C820),2)&amp;IF(D820="","","–"&amp;RIGHT("0"&amp;HOUR(D820),2)&amp;":"&amp;RIGHT("0"&amp;MINUTE(D820),2))&amp;" ")&amp;F820)</f>
        <v/>
      </c>
      <c r="N820" s="54">
        <f>IF(OR(A820="",F820=""),"",A820&amp;"#"&amp;(COUNTIFS($A$5:$A$3004,A820,$F$5:$F$3004,"?*",$O$5:$O$3004,"&lt;"&amp;O820)+COUNTIFS($A$5:A820,A820,$F$5:F820,"?*",$O$5:O820,O820)))</f>
        <v/>
      </c>
      <c r="O820" s="54">
        <f>IF(A820="","",IF(C820="",0,C820))</f>
        <v/>
      </c>
    </row>
    <row r="821">
      <c r="A821" s="58" t="n"/>
      <c r="B821" s="49">
        <f>IF(A821="","",CHOOSE(WEEKDAY(A821,2),"Пн","Вт","Ср","Чт","Пт","Сб","Вс"))</f>
        <v/>
      </c>
      <c r="C821" s="59" t="n"/>
      <c r="D821" s="59" t="n"/>
      <c r="E821" s="60">
        <f>IF(OR(C821="",D821=""),"",MOD(D821-C821,1)*24)</f>
        <v/>
      </c>
      <c r="F821" s="50" t="n"/>
      <c r="G821" s="51" t="n"/>
      <c r="H821" s="51" t="n"/>
      <c r="I821" s="51" t="n"/>
      <c r="J821" s="51" t="n"/>
      <c r="K821" s="51" t="n"/>
      <c r="L821" s="54">
        <f>IF(OR(A821="",C821="",D821=""),"",IF(COUNTIFS($A$5:$A$3004,A821,$C$5:$C$3004,"&lt;"&amp;D821,$D$5:$D$3004,"&gt;"&amp;C821)&gt;1,"⚠️ пересечение",""))</f>
        <v/>
      </c>
      <c r="M821" s="54">
        <f>IF(F821="","",IF(J821="✅ Сделано","✔ ",IF(J821="❌ Пропущено","✖ ","⏰ "))&amp;IF(C821="","",RIGHT("0"&amp;HOUR(C821),2)&amp;":"&amp;RIGHT("0"&amp;MINUTE(C821),2)&amp;IF(D821="","","–"&amp;RIGHT("0"&amp;HOUR(D821),2)&amp;":"&amp;RIGHT("0"&amp;MINUTE(D821),2))&amp;" ")&amp;F821)</f>
        <v/>
      </c>
      <c r="N821" s="54">
        <f>IF(OR(A821="",F821=""),"",A821&amp;"#"&amp;(COUNTIFS($A$5:$A$3004,A821,$F$5:$F$3004,"?*",$O$5:$O$3004,"&lt;"&amp;O821)+COUNTIFS($A$5:A821,A821,$F$5:F821,"?*",$O$5:O821,O821)))</f>
        <v/>
      </c>
      <c r="O821" s="54">
        <f>IF(A821="","",IF(C821="",0,C821))</f>
        <v/>
      </c>
    </row>
    <row r="822">
      <c r="A822" s="58" t="n"/>
      <c r="B822" s="49">
        <f>IF(A822="","",CHOOSE(WEEKDAY(A822,2),"Пн","Вт","Ср","Чт","Пт","Сб","Вс"))</f>
        <v/>
      </c>
      <c r="C822" s="59" t="n"/>
      <c r="D822" s="59" t="n"/>
      <c r="E822" s="60">
        <f>IF(OR(C822="",D822=""),"",MOD(D822-C822,1)*24)</f>
        <v/>
      </c>
      <c r="F822" s="50" t="n"/>
      <c r="G822" s="51" t="n"/>
      <c r="H822" s="51" t="n"/>
      <c r="I822" s="51" t="n"/>
      <c r="J822" s="51" t="n"/>
      <c r="K822" s="51" t="n"/>
      <c r="L822" s="54">
        <f>IF(OR(A822="",C822="",D822=""),"",IF(COUNTIFS($A$5:$A$3004,A822,$C$5:$C$3004,"&lt;"&amp;D822,$D$5:$D$3004,"&gt;"&amp;C822)&gt;1,"⚠️ пересечение",""))</f>
        <v/>
      </c>
      <c r="M822" s="54">
        <f>IF(F822="","",IF(J822="✅ Сделано","✔ ",IF(J822="❌ Пропущено","✖ ","⏰ "))&amp;IF(C822="","",RIGHT("0"&amp;HOUR(C822),2)&amp;":"&amp;RIGHT("0"&amp;MINUTE(C822),2)&amp;IF(D822="","","–"&amp;RIGHT("0"&amp;HOUR(D822),2)&amp;":"&amp;RIGHT("0"&amp;MINUTE(D822),2))&amp;" ")&amp;F822)</f>
        <v/>
      </c>
      <c r="N822" s="54">
        <f>IF(OR(A822="",F822=""),"",A822&amp;"#"&amp;(COUNTIFS($A$5:$A$3004,A822,$F$5:$F$3004,"?*",$O$5:$O$3004,"&lt;"&amp;O822)+COUNTIFS($A$5:A822,A822,$F$5:F822,"?*",$O$5:O822,O822)))</f>
        <v/>
      </c>
      <c r="O822" s="54">
        <f>IF(A822="","",IF(C822="",0,C822))</f>
        <v/>
      </c>
    </row>
    <row r="823">
      <c r="A823" s="58" t="n"/>
      <c r="B823" s="49">
        <f>IF(A823="","",CHOOSE(WEEKDAY(A823,2),"Пн","Вт","Ср","Чт","Пт","Сб","Вс"))</f>
        <v/>
      </c>
      <c r="C823" s="59" t="n"/>
      <c r="D823" s="59" t="n"/>
      <c r="E823" s="60">
        <f>IF(OR(C823="",D823=""),"",MOD(D823-C823,1)*24)</f>
        <v/>
      </c>
      <c r="F823" s="50" t="n"/>
      <c r="G823" s="51" t="n"/>
      <c r="H823" s="51" t="n"/>
      <c r="I823" s="51" t="n"/>
      <c r="J823" s="51" t="n"/>
      <c r="K823" s="51" t="n"/>
      <c r="L823" s="54">
        <f>IF(OR(A823="",C823="",D823=""),"",IF(COUNTIFS($A$5:$A$3004,A823,$C$5:$C$3004,"&lt;"&amp;D823,$D$5:$D$3004,"&gt;"&amp;C823)&gt;1,"⚠️ пересечение",""))</f>
        <v/>
      </c>
      <c r="M823" s="54">
        <f>IF(F823="","",IF(J823="✅ Сделано","✔ ",IF(J823="❌ Пропущено","✖ ","⏰ "))&amp;IF(C823="","",RIGHT("0"&amp;HOUR(C823),2)&amp;":"&amp;RIGHT("0"&amp;MINUTE(C823),2)&amp;IF(D823="","","–"&amp;RIGHT("0"&amp;HOUR(D823),2)&amp;":"&amp;RIGHT("0"&amp;MINUTE(D823),2))&amp;" ")&amp;F823)</f>
        <v/>
      </c>
      <c r="N823" s="54">
        <f>IF(OR(A823="",F823=""),"",A823&amp;"#"&amp;(COUNTIFS($A$5:$A$3004,A823,$F$5:$F$3004,"?*",$O$5:$O$3004,"&lt;"&amp;O823)+COUNTIFS($A$5:A823,A823,$F$5:F823,"?*",$O$5:O823,O823)))</f>
        <v/>
      </c>
      <c r="O823" s="54">
        <f>IF(A823="","",IF(C823="",0,C823))</f>
        <v/>
      </c>
    </row>
    <row r="824">
      <c r="A824" s="58" t="n"/>
      <c r="B824" s="49">
        <f>IF(A824="","",CHOOSE(WEEKDAY(A824,2),"Пн","Вт","Ср","Чт","Пт","Сб","Вс"))</f>
        <v/>
      </c>
      <c r="C824" s="59" t="n"/>
      <c r="D824" s="59" t="n"/>
      <c r="E824" s="60">
        <f>IF(OR(C824="",D824=""),"",MOD(D824-C824,1)*24)</f>
        <v/>
      </c>
      <c r="F824" s="50" t="n"/>
      <c r="G824" s="51" t="n"/>
      <c r="H824" s="51" t="n"/>
      <c r="I824" s="51" t="n"/>
      <c r="J824" s="51" t="n"/>
      <c r="K824" s="51" t="n"/>
      <c r="L824" s="54">
        <f>IF(OR(A824="",C824="",D824=""),"",IF(COUNTIFS($A$5:$A$3004,A824,$C$5:$C$3004,"&lt;"&amp;D824,$D$5:$D$3004,"&gt;"&amp;C824)&gt;1,"⚠️ пересечение",""))</f>
        <v/>
      </c>
      <c r="M824" s="54">
        <f>IF(F824="","",IF(J824="✅ Сделано","✔ ",IF(J824="❌ Пропущено","✖ ","⏰ "))&amp;IF(C824="","",RIGHT("0"&amp;HOUR(C824),2)&amp;":"&amp;RIGHT("0"&amp;MINUTE(C824),2)&amp;IF(D824="","","–"&amp;RIGHT("0"&amp;HOUR(D824),2)&amp;":"&amp;RIGHT("0"&amp;MINUTE(D824),2))&amp;" ")&amp;F824)</f>
        <v/>
      </c>
      <c r="N824" s="54">
        <f>IF(OR(A824="",F824=""),"",A824&amp;"#"&amp;(COUNTIFS($A$5:$A$3004,A824,$F$5:$F$3004,"?*",$O$5:$O$3004,"&lt;"&amp;O824)+COUNTIFS($A$5:A824,A824,$F$5:F824,"?*",$O$5:O824,O824)))</f>
        <v/>
      </c>
      <c r="O824" s="54">
        <f>IF(A824="","",IF(C824="",0,C824))</f>
        <v/>
      </c>
    </row>
    <row r="825">
      <c r="A825" s="58" t="n"/>
      <c r="B825" s="49">
        <f>IF(A825="","",CHOOSE(WEEKDAY(A825,2),"Пн","Вт","Ср","Чт","Пт","Сб","Вс"))</f>
        <v/>
      </c>
      <c r="C825" s="59" t="n"/>
      <c r="D825" s="59" t="n"/>
      <c r="E825" s="60">
        <f>IF(OR(C825="",D825=""),"",MOD(D825-C825,1)*24)</f>
        <v/>
      </c>
      <c r="F825" s="50" t="n"/>
      <c r="G825" s="51" t="n"/>
      <c r="H825" s="51" t="n"/>
      <c r="I825" s="51" t="n"/>
      <c r="J825" s="51" t="n"/>
      <c r="K825" s="51" t="n"/>
      <c r="L825" s="54">
        <f>IF(OR(A825="",C825="",D825=""),"",IF(COUNTIFS($A$5:$A$3004,A825,$C$5:$C$3004,"&lt;"&amp;D825,$D$5:$D$3004,"&gt;"&amp;C825)&gt;1,"⚠️ пересечение",""))</f>
        <v/>
      </c>
      <c r="M825" s="54">
        <f>IF(F825="","",IF(J825="✅ Сделано","✔ ",IF(J825="❌ Пропущено","✖ ","⏰ "))&amp;IF(C825="","",RIGHT("0"&amp;HOUR(C825),2)&amp;":"&amp;RIGHT("0"&amp;MINUTE(C825),2)&amp;IF(D825="","","–"&amp;RIGHT("0"&amp;HOUR(D825),2)&amp;":"&amp;RIGHT("0"&amp;MINUTE(D825),2))&amp;" ")&amp;F825)</f>
        <v/>
      </c>
      <c r="N825" s="54">
        <f>IF(OR(A825="",F825=""),"",A825&amp;"#"&amp;(COUNTIFS($A$5:$A$3004,A825,$F$5:$F$3004,"?*",$O$5:$O$3004,"&lt;"&amp;O825)+COUNTIFS($A$5:A825,A825,$F$5:F825,"?*",$O$5:O825,O825)))</f>
        <v/>
      </c>
      <c r="O825" s="54">
        <f>IF(A825="","",IF(C825="",0,C825))</f>
        <v/>
      </c>
    </row>
    <row r="826">
      <c r="A826" s="58" t="n"/>
      <c r="B826" s="49">
        <f>IF(A826="","",CHOOSE(WEEKDAY(A826,2),"Пн","Вт","Ср","Чт","Пт","Сб","Вс"))</f>
        <v/>
      </c>
      <c r="C826" s="59" t="n"/>
      <c r="D826" s="59" t="n"/>
      <c r="E826" s="60">
        <f>IF(OR(C826="",D826=""),"",MOD(D826-C826,1)*24)</f>
        <v/>
      </c>
      <c r="F826" s="50" t="n"/>
      <c r="G826" s="51" t="n"/>
      <c r="H826" s="51" t="n"/>
      <c r="I826" s="51" t="n"/>
      <c r="J826" s="51" t="n"/>
      <c r="K826" s="51" t="n"/>
      <c r="L826" s="54">
        <f>IF(OR(A826="",C826="",D826=""),"",IF(COUNTIFS($A$5:$A$3004,A826,$C$5:$C$3004,"&lt;"&amp;D826,$D$5:$D$3004,"&gt;"&amp;C826)&gt;1,"⚠️ пересечение",""))</f>
        <v/>
      </c>
      <c r="M826" s="54">
        <f>IF(F826="","",IF(J826="✅ Сделано","✔ ",IF(J826="❌ Пропущено","✖ ","⏰ "))&amp;IF(C826="","",RIGHT("0"&amp;HOUR(C826),2)&amp;":"&amp;RIGHT("0"&amp;MINUTE(C826),2)&amp;IF(D826="","","–"&amp;RIGHT("0"&amp;HOUR(D826),2)&amp;":"&amp;RIGHT("0"&amp;MINUTE(D826),2))&amp;" ")&amp;F826)</f>
        <v/>
      </c>
      <c r="N826" s="54">
        <f>IF(OR(A826="",F826=""),"",A826&amp;"#"&amp;(COUNTIFS($A$5:$A$3004,A826,$F$5:$F$3004,"?*",$O$5:$O$3004,"&lt;"&amp;O826)+COUNTIFS($A$5:A826,A826,$F$5:F826,"?*",$O$5:O826,O826)))</f>
        <v/>
      </c>
      <c r="O826" s="54">
        <f>IF(A826="","",IF(C826="",0,C826))</f>
        <v/>
      </c>
    </row>
    <row r="827">
      <c r="A827" s="58" t="n"/>
      <c r="B827" s="49">
        <f>IF(A827="","",CHOOSE(WEEKDAY(A827,2),"Пн","Вт","Ср","Чт","Пт","Сб","Вс"))</f>
        <v/>
      </c>
      <c r="C827" s="59" t="n"/>
      <c r="D827" s="59" t="n"/>
      <c r="E827" s="60">
        <f>IF(OR(C827="",D827=""),"",MOD(D827-C827,1)*24)</f>
        <v/>
      </c>
      <c r="F827" s="50" t="n"/>
      <c r="G827" s="51" t="n"/>
      <c r="H827" s="51" t="n"/>
      <c r="I827" s="51" t="n"/>
      <c r="J827" s="51" t="n"/>
      <c r="K827" s="51" t="n"/>
      <c r="L827" s="54">
        <f>IF(OR(A827="",C827="",D827=""),"",IF(COUNTIFS($A$5:$A$3004,A827,$C$5:$C$3004,"&lt;"&amp;D827,$D$5:$D$3004,"&gt;"&amp;C827)&gt;1,"⚠️ пересечение",""))</f>
        <v/>
      </c>
      <c r="M827" s="54">
        <f>IF(F827="","",IF(J827="✅ Сделано","✔ ",IF(J827="❌ Пропущено","✖ ","⏰ "))&amp;IF(C827="","",RIGHT("0"&amp;HOUR(C827),2)&amp;":"&amp;RIGHT("0"&amp;MINUTE(C827),2)&amp;IF(D827="","","–"&amp;RIGHT("0"&amp;HOUR(D827),2)&amp;":"&amp;RIGHT("0"&amp;MINUTE(D827),2))&amp;" ")&amp;F827)</f>
        <v/>
      </c>
      <c r="N827" s="54">
        <f>IF(OR(A827="",F827=""),"",A827&amp;"#"&amp;(COUNTIFS($A$5:$A$3004,A827,$F$5:$F$3004,"?*",$O$5:$O$3004,"&lt;"&amp;O827)+COUNTIFS($A$5:A827,A827,$F$5:F827,"?*",$O$5:O827,O827)))</f>
        <v/>
      </c>
      <c r="O827" s="54">
        <f>IF(A827="","",IF(C827="",0,C827))</f>
        <v/>
      </c>
    </row>
    <row r="828">
      <c r="A828" s="58" t="n"/>
      <c r="B828" s="49">
        <f>IF(A828="","",CHOOSE(WEEKDAY(A828,2),"Пн","Вт","Ср","Чт","Пт","Сб","Вс"))</f>
        <v/>
      </c>
      <c r="C828" s="59" t="n"/>
      <c r="D828" s="59" t="n"/>
      <c r="E828" s="60">
        <f>IF(OR(C828="",D828=""),"",MOD(D828-C828,1)*24)</f>
        <v/>
      </c>
      <c r="F828" s="50" t="n"/>
      <c r="G828" s="51" t="n"/>
      <c r="H828" s="51" t="n"/>
      <c r="I828" s="51" t="n"/>
      <c r="J828" s="51" t="n"/>
      <c r="K828" s="51" t="n"/>
      <c r="L828" s="54">
        <f>IF(OR(A828="",C828="",D828=""),"",IF(COUNTIFS($A$5:$A$3004,A828,$C$5:$C$3004,"&lt;"&amp;D828,$D$5:$D$3004,"&gt;"&amp;C828)&gt;1,"⚠️ пересечение",""))</f>
        <v/>
      </c>
      <c r="M828" s="54">
        <f>IF(F828="","",IF(J828="✅ Сделано","✔ ",IF(J828="❌ Пропущено","✖ ","⏰ "))&amp;IF(C828="","",RIGHT("0"&amp;HOUR(C828),2)&amp;":"&amp;RIGHT("0"&amp;MINUTE(C828),2)&amp;IF(D828="","","–"&amp;RIGHT("0"&amp;HOUR(D828),2)&amp;":"&amp;RIGHT("0"&amp;MINUTE(D828),2))&amp;" ")&amp;F828)</f>
        <v/>
      </c>
      <c r="N828" s="54">
        <f>IF(OR(A828="",F828=""),"",A828&amp;"#"&amp;(COUNTIFS($A$5:$A$3004,A828,$F$5:$F$3004,"?*",$O$5:$O$3004,"&lt;"&amp;O828)+COUNTIFS($A$5:A828,A828,$F$5:F828,"?*",$O$5:O828,O828)))</f>
        <v/>
      </c>
      <c r="O828" s="54">
        <f>IF(A828="","",IF(C828="",0,C828))</f>
        <v/>
      </c>
    </row>
    <row r="829">
      <c r="A829" s="58" t="n"/>
      <c r="B829" s="49">
        <f>IF(A829="","",CHOOSE(WEEKDAY(A829,2),"Пн","Вт","Ср","Чт","Пт","Сб","Вс"))</f>
        <v/>
      </c>
      <c r="C829" s="59" t="n"/>
      <c r="D829" s="59" t="n"/>
      <c r="E829" s="60">
        <f>IF(OR(C829="",D829=""),"",MOD(D829-C829,1)*24)</f>
        <v/>
      </c>
      <c r="F829" s="50" t="n"/>
      <c r="G829" s="51" t="n"/>
      <c r="H829" s="51" t="n"/>
      <c r="I829" s="51" t="n"/>
      <c r="J829" s="51" t="n"/>
      <c r="K829" s="51" t="n"/>
      <c r="L829" s="54">
        <f>IF(OR(A829="",C829="",D829=""),"",IF(COUNTIFS($A$5:$A$3004,A829,$C$5:$C$3004,"&lt;"&amp;D829,$D$5:$D$3004,"&gt;"&amp;C829)&gt;1,"⚠️ пересечение",""))</f>
        <v/>
      </c>
      <c r="M829" s="54">
        <f>IF(F829="","",IF(J829="✅ Сделано","✔ ",IF(J829="❌ Пропущено","✖ ","⏰ "))&amp;IF(C829="","",RIGHT("0"&amp;HOUR(C829),2)&amp;":"&amp;RIGHT("0"&amp;MINUTE(C829),2)&amp;IF(D829="","","–"&amp;RIGHT("0"&amp;HOUR(D829),2)&amp;":"&amp;RIGHT("0"&amp;MINUTE(D829),2))&amp;" ")&amp;F829)</f>
        <v/>
      </c>
      <c r="N829" s="54">
        <f>IF(OR(A829="",F829=""),"",A829&amp;"#"&amp;(COUNTIFS($A$5:$A$3004,A829,$F$5:$F$3004,"?*",$O$5:$O$3004,"&lt;"&amp;O829)+COUNTIFS($A$5:A829,A829,$F$5:F829,"?*",$O$5:O829,O829)))</f>
        <v/>
      </c>
      <c r="O829" s="54">
        <f>IF(A829="","",IF(C829="",0,C829))</f>
        <v/>
      </c>
    </row>
    <row r="830">
      <c r="A830" s="58" t="n"/>
      <c r="B830" s="49">
        <f>IF(A830="","",CHOOSE(WEEKDAY(A830,2),"Пн","Вт","Ср","Чт","Пт","Сб","Вс"))</f>
        <v/>
      </c>
      <c r="C830" s="59" t="n"/>
      <c r="D830" s="59" t="n"/>
      <c r="E830" s="60">
        <f>IF(OR(C830="",D830=""),"",MOD(D830-C830,1)*24)</f>
        <v/>
      </c>
      <c r="F830" s="50" t="n"/>
      <c r="G830" s="51" t="n"/>
      <c r="H830" s="51" t="n"/>
      <c r="I830" s="51" t="n"/>
      <c r="J830" s="51" t="n"/>
      <c r="K830" s="51" t="n"/>
      <c r="L830" s="54">
        <f>IF(OR(A830="",C830="",D830=""),"",IF(COUNTIFS($A$5:$A$3004,A830,$C$5:$C$3004,"&lt;"&amp;D830,$D$5:$D$3004,"&gt;"&amp;C830)&gt;1,"⚠️ пересечение",""))</f>
        <v/>
      </c>
      <c r="M830" s="54">
        <f>IF(F830="","",IF(J830="✅ Сделано","✔ ",IF(J830="❌ Пропущено","✖ ","⏰ "))&amp;IF(C830="","",RIGHT("0"&amp;HOUR(C830),2)&amp;":"&amp;RIGHT("0"&amp;MINUTE(C830),2)&amp;IF(D830="","","–"&amp;RIGHT("0"&amp;HOUR(D830),2)&amp;":"&amp;RIGHT("0"&amp;MINUTE(D830),2))&amp;" ")&amp;F830)</f>
        <v/>
      </c>
      <c r="N830" s="54">
        <f>IF(OR(A830="",F830=""),"",A830&amp;"#"&amp;(COUNTIFS($A$5:$A$3004,A830,$F$5:$F$3004,"?*",$O$5:$O$3004,"&lt;"&amp;O830)+COUNTIFS($A$5:A830,A830,$F$5:F830,"?*",$O$5:O830,O830)))</f>
        <v/>
      </c>
      <c r="O830" s="54">
        <f>IF(A830="","",IF(C830="",0,C830))</f>
        <v/>
      </c>
    </row>
    <row r="831">
      <c r="A831" s="58" t="n"/>
      <c r="B831" s="49">
        <f>IF(A831="","",CHOOSE(WEEKDAY(A831,2),"Пн","Вт","Ср","Чт","Пт","Сб","Вс"))</f>
        <v/>
      </c>
      <c r="C831" s="59" t="n"/>
      <c r="D831" s="59" t="n"/>
      <c r="E831" s="60">
        <f>IF(OR(C831="",D831=""),"",MOD(D831-C831,1)*24)</f>
        <v/>
      </c>
      <c r="F831" s="50" t="n"/>
      <c r="G831" s="51" t="n"/>
      <c r="H831" s="51" t="n"/>
      <c r="I831" s="51" t="n"/>
      <c r="J831" s="51" t="n"/>
      <c r="K831" s="51" t="n"/>
      <c r="L831" s="54">
        <f>IF(OR(A831="",C831="",D831=""),"",IF(COUNTIFS($A$5:$A$3004,A831,$C$5:$C$3004,"&lt;"&amp;D831,$D$5:$D$3004,"&gt;"&amp;C831)&gt;1,"⚠️ пересечение",""))</f>
        <v/>
      </c>
      <c r="M831" s="54">
        <f>IF(F831="","",IF(J831="✅ Сделано","✔ ",IF(J831="❌ Пропущено","✖ ","⏰ "))&amp;IF(C831="","",RIGHT("0"&amp;HOUR(C831),2)&amp;":"&amp;RIGHT("0"&amp;MINUTE(C831),2)&amp;IF(D831="","","–"&amp;RIGHT("0"&amp;HOUR(D831),2)&amp;":"&amp;RIGHT("0"&amp;MINUTE(D831),2))&amp;" ")&amp;F831)</f>
        <v/>
      </c>
      <c r="N831" s="54">
        <f>IF(OR(A831="",F831=""),"",A831&amp;"#"&amp;(COUNTIFS($A$5:$A$3004,A831,$F$5:$F$3004,"?*",$O$5:$O$3004,"&lt;"&amp;O831)+COUNTIFS($A$5:A831,A831,$F$5:F831,"?*",$O$5:O831,O831)))</f>
        <v/>
      </c>
      <c r="O831" s="54">
        <f>IF(A831="","",IF(C831="",0,C831))</f>
        <v/>
      </c>
    </row>
    <row r="832">
      <c r="A832" s="58" t="n"/>
      <c r="B832" s="49">
        <f>IF(A832="","",CHOOSE(WEEKDAY(A832,2),"Пн","Вт","Ср","Чт","Пт","Сб","Вс"))</f>
        <v/>
      </c>
      <c r="C832" s="59" t="n"/>
      <c r="D832" s="59" t="n"/>
      <c r="E832" s="60">
        <f>IF(OR(C832="",D832=""),"",MOD(D832-C832,1)*24)</f>
        <v/>
      </c>
      <c r="F832" s="50" t="n"/>
      <c r="G832" s="51" t="n"/>
      <c r="H832" s="51" t="n"/>
      <c r="I832" s="51" t="n"/>
      <c r="J832" s="51" t="n"/>
      <c r="K832" s="51" t="n"/>
      <c r="L832" s="54">
        <f>IF(OR(A832="",C832="",D832=""),"",IF(COUNTIFS($A$5:$A$3004,A832,$C$5:$C$3004,"&lt;"&amp;D832,$D$5:$D$3004,"&gt;"&amp;C832)&gt;1,"⚠️ пересечение",""))</f>
        <v/>
      </c>
      <c r="M832" s="54">
        <f>IF(F832="","",IF(J832="✅ Сделано","✔ ",IF(J832="❌ Пропущено","✖ ","⏰ "))&amp;IF(C832="","",RIGHT("0"&amp;HOUR(C832),2)&amp;":"&amp;RIGHT("0"&amp;MINUTE(C832),2)&amp;IF(D832="","","–"&amp;RIGHT("0"&amp;HOUR(D832),2)&amp;":"&amp;RIGHT("0"&amp;MINUTE(D832),2))&amp;" ")&amp;F832)</f>
        <v/>
      </c>
      <c r="N832" s="54">
        <f>IF(OR(A832="",F832=""),"",A832&amp;"#"&amp;(COUNTIFS($A$5:$A$3004,A832,$F$5:$F$3004,"?*",$O$5:$O$3004,"&lt;"&amp;O832)+COUNTIFS($A$5:A832,A832,$F$5:F832,"?*",$O$5:O832,O832)))</f>
        <v/>
      </c>
      <c r="O832" s="54">
        <f>IF(A832="","",IF(C832="",0,C832))</f>
        <v/>
      </c>
    </row>
    <row r="833">
      <c r="A833" s="58" t="n"/>
      <c r="B833" s="49">
        <f>IF(A833="","",CHOOSE(WEEKDAY(A833,2),"Пн","Вт","Ср","Чт","Пт","Сб","Вс"))</f>
        <v/>
      </c>
      <c r="C833" s="59" t="n"/>
      <c r="D833" s="59" t="n"/>
      <c r="E833" s="60">
        <f>IF(OR(C833="",D833=""),"",MOD(D833-C833,1)*24)</f>
        <v/>
      </c>
      <c r="F833" s="50" t="n"/>
      <c r="G833" s="51" t="n"/>
      <c r="H833" s="51" t="n"/>
      <c r="I833" s="51" t="n"/>
      <c r="J833" s="51" t="n"/>
      <c r="K833" s="51" t="n"/>
      <c r="L833" s="54">
        <f>IF(OR(A833="",C833="",D833=""),"",IF(COUNTIFS($A$5:$A$3004,A833,$C$5:$C$3004,"&lt;"&amp;D833,$D$5:$D$3004,"&gt;"&amp;C833)&gt;1,"⚠️ пересечение",""))</f>
        <v/>
      </c>
      <c r="M833" s="54">
        <f>IF(F833="","",IF(J833="✅ Сделано","✔ ",IF(J833="❌ Пропущено","✖ ","⏰ "))&amp;IF(C833="","",RIGHT("0"&amp;HOUR(C833),2)&amp;":"&amp;RIGHT("0"&amp;MINUTE(C833),2)&amp;IF(D833="","","–"&amp;RIGHT("0"&amp;HOUR(D833),2)&amp;":"&amp;RIGHT("0"&amp;MINUTE(D833),2))&amp;" ")&amp;F833)</f>
        <v/>
      </c>
      <c r="N833" s="54">
        <f>IF(OR(A833="",F833=""),"",A833&amp;"#"&amp;(COUNTIFS($A$5:$A$3004,A833,$F$5:$F$3004,"?*",$O$5:$O$3004,"&lt;"&amp;O833)+COUNTIFS($A$5:A833,A833,$F$5:F833,"?*",$O$5:O833,O833)))</f>
        <v/>
      </c>
      <c r="O833" s="54">
        <f>IF(A833="","",IF(C833="",0,C833))</f>
        <v/>
      </c>
    </row>
    <row r="834">
      <c r="A834" s="58" t="n"/>
      <c r="B834" s="49">
        <f>IF(A834="","",CHOOSE(WEEKDAY(A834,2),"Пн","Вт","Ср","Чт","Пт","Сб","Вс"))</f>
        <v/>
      </c>
      <c r="C834" s="59" t="n"/>
      <c r="D834" s="59" t="n"/>
      <c r="E834" s="60">
        <f>IF(OR(C834="",D834=""),"",MOD(D834-C834,1)*24)</f>
        <v/>
      </c>
      <c r="F834" s="50" t="n"/>
      <c r="G834" s="51" t="n"/>
      <c r="H834" s="51" t="n"/>
      <c r="I834" s="51" t="n"/>
      <c r="J834" s="51" t="n"/>
      <c r="K834" s="51" t="n"/>
      <c r="L834" s="54">
        <f>IF(OR(A834="",C834="",D834=""),"",IF(COUNTIFS($A$5:$A$3004,A834,$C$5:$C$3004,"&lt;"&amp;D834,$D$5:$D$3004,"&gt;"&amp;C834)&gt;1,"⚠️ пересечение",""))</f>
        <v/>
      </c>
      <c r="M834" s="54">
        <f>IF(F834="","",IF(J834="✅ Сделано","✔ ",IF(J834="❌ Пропущено","✖ ","⏰ "))&amp;IF(C834="","",RIGHT("0"&amp;HOUR(C834),2)&amp;":"&amp;RIGHT("0"&amp;MINUTE(C834),2)&amp;IF(D834="","","–"&amp;RIGHT("0"&amp;HOUR(D834),2)&amp;":"&amp;RIGHT("0"&amp;MINUTE(D834),2))&amp;" ")&amp;F834)</f>
        <v/>
      </c>
      <c r="N834" s="54">
        <f>IF(OR(A834="",F834=""),"",A834&amp;"#"&amp;(COUNTIFS($A$5:$A$3004,A834,$F$5:$F$3004,"?*",$O$5:$O$3004,"&lt;"&amp;O834)+COUNTIFS($A$5:A834,A834,$F$5:F834,"?*",$O$5:O834,O834)))</f>
        <v/>
      </c>
      <c r="O834" s="54">
        <f>IF(A834="","",IF(C834="",0,C834))</f>
        <v/>
      </c>
    </row>
    <row r="835">
      <c r="A835" s="58" t="n"/>
      <c r="B835" s="49">
        <f>IF(A835="","",CHOOSE(WEEKDAY(A835,2),"Пн","Вт","Ср","Чт","Пт","Сб","Вс"))</f>
        <v/>
      </c>
      <c r="C835" s="59" t="n"/>
      <c r="D835" s="59" t="n"/>
      <c r="E835" s="60">
        <f>IF(OR(C835="",D835=""),"",MOD(D835-C835,1)*24)</f>
        <v/>
      </c>
      <c r="F835" s="50" t="n"/>
      <c r="G835" s="51" t="n"/>
      <c r="H835" s="51" t="n"/>
      <c r="I835" s="51" t="n"/>
      <c r="J835" s="51" t="n"/>
      <c r="K835" s="51" t="n"/>
      <c r="L835" s="54">
        <f>IF(OR(A835="",C835="",D835=""),"",IF(COUNTIFS($A$5:$A$3004,A835,$C$5:$C$3004,"&lt;"&amp;D835,$D$5:$D$3004,"&gt;"&amp;C835)&gt;1,"⚠️ пересечение",""))</f>
        <v/>
      </c>
      <c r="M835" s="54">
        <f>IF(F835="","",IF(J835="✅ Сделано","✔ ",IF(J835="❌ Пропущено","✖ ","⏰ "))&amp;IF(C835="","",RIGHT("0"&amp;HOUR(C835),2)&amp;":"&amp;RIGHT("0"&amp;MINUTE(C835),2)&amp;IF(D835="","","–"&amp;RIGHT("0"&amp;HOUR(D835),2)&amp;":"&amp;RIGHT("0"&amp;MINUTE(D835),2))&amp;" ")&amp;F835)</f>
        <v/>
      </c>
      <c r="N835" s="54">
        <f>IF(OR(A835="",F835=""),"",A835&amp;"#"&amp;(COUNTIFS($A$5:$A$3004,A835,$F$5:$F$3004,"?*",$O$5:$O$3004,"&lt;"&amp;O835)+COUNTIFS($A$5:A835,A835,$F$5:F835,"?*",$O$5:O835,O835)))</f>
        <v/>
      </c>
      <c r="O835" s="54">
        <f>IF(A835="","",IF(C835="",0,C835))</f>
        <v/>
      </c>
    </row>
    <row r="836">
      <c r="A836" s="58" t="n"/>
      <c r="B836" s="49">
        <f>IF(A836="","",CHOOSE(WEEKDAY(A836,2),"Пн","Вт","Ср","Чт","Пт","Сб","Вс"))</f>
        <v/>
      </c>
      <c r="C836" s="59" t="n"/>
      <c r="D836" s="59" t="n"/>
      <c r="E836" s="60">
        <f>IF(OR(C836="",D836=""),"",MOD(D836-C836,1)*24)</f>
        <v/>
      </c>
      <c r="F836" s="50" t="n"/>
      <c r="G836" s="51" t="n"/>
      <c r="H836" s="51" t="n"/>
      <c r="I836" s="51" t="n"/>
      <c r="J836" s="51" t="n"/>
      <c r="K836" s="51" t="n"/>
      <c r="L836" s="54">
        <f>IF(OR(A836="",C836="",D836=""),"",IF(COUNTIFS($A$5:$A$3004,A836,$C$5:$C$3004,"&lt;"&amp;D836,$D$5:$D$3004,"&gt;"&amp;C836)&gt;1,"⚠️ пересечение",""))</f>
        <v/>
      </c>
      <c r="M836" s="54">
        <f>IF(F836="","",IF(J836="✅ Сделано","✔ ",IF(J836="❌ Пропущено","✖ ","⏰ "))&amp;IF(C836="","",RIGHT("0"&amp;HOUR(C836),2)&amp;":"&amp;RIGHT("0"&amp;MINUTE(C836),2)&amp;IF(D836="","","–"&amp;RIGHT("0"&amp;HOUR(D836),2)&amp;":"&amp;RIGHT("0"&amp;MINUTE(D836),2))&amp;" ")&amp;F836)</f>
        <v/>
      </c>
      <c r="N836" s="54">
        <f>IF(OR(A836="",F836=""),"",A836&amp;"#"&amp;(COUNTIFS($A$5:$A$3004,A836,$F$5:$F$3004,"?*",$O$5:$O$3004,"&lt;"&amp;O836)+COUNTIFS($A$5:A836,A836,$F$5:F836,"?*",$O$5:O836,O836)))</f>
        <v/>
      </c>
      <c r="O836" s="54">
        <f>IF(A836="","",IF(C836="",0,C836))</f>
        <v/>
      </c>
    </row>
    <row r="837">
      <c r="A837" s="58" t="n"/>
      <c r="B837" s="49">
        <f>IF(A837="","",CHOOSE(WEEKDAY(A837,2),"Пн","Вт","Ср","Чт","Пт","Сб","Вс"))</f>
        <v/>
      </c>
      <c r="C837" s="59" t="n"/>
      <c r="D837" s="59" t="n"/>
      <c r="E837" s="60">
        <f>IF(OR(C837="",D837=""),"",MOD(D837-C837,1)*24)</f>
        <v/>
      </c>
      <c r="F837" s="50" t="n"/>
      <c r="G837" s="51" t="n"/>
      <c r="H837" s="51" t="n"/>
      <c r="I837" s="51" t="n"/>
      <c r="J837" s="51" t="n"/>
      <c r="K837" s="51" t="n"/>
      <c r="L837" s="54">
        <f>IF(OR(A837="",C837="",D837=""),"",IF(COUNTIFS($A$5:$A$3004,A837,$C$5:$C$3004,"&lt;"&amp;D837,$D$5:$D$3004,"&gt;"&amp;C837)&gt;1,"⚠️ пересечение",""))</f>
        <v/>
      </c>
      <c r="M837" s="54">
        <f>IF(F837="","",IF(J837="✅ Сделано","✔ ",IF(J837="❌ Пропущено","✖ ","⏰ "))&amp;IF(C837="","",RIGHT("0"&amp;HOUR(C837),2)&amp;":"&amp;RIGHT("0"&amp;MINUTE(C837),2)&amp;IF(D837="","","–"&amp;RIGHT("0"&amp;HOUR(D837),2)&amp;":"&amp;RIGHT("0"&amp;MINUTE(D837),2))&amp;" ")&amp;F837)</f>
        <v/>
      </c>
      <c r="N837" s="54">
        <f>IF(OR(A837="",F837=""),"",A837&amp;"#"&amp;(COUNTIFS($A$5:$A$3004,A837,$F$5:$F$3004,"?*",$O$5:$O$3004,"&lt;"&amp;O837)+COUNTIFS($A$5:A837,A837,$F$5:F837,"?*",$O$5:O837,O837)))</f>
        <v/>
      </c>
      <c r="O837" s="54">
        <f>IF(A837="","",IF(C837="",0,C837))</f>
        <v/>
      </c>
    </row>
    <row r="838">
      <c r="A838" s="58" t="n"/>
      <c r="B838" s="49">
        <f>IF(A838="","",CHOOSE(WEEKDAY(A838,2),"Пн","Вт","Ср","Чт","Пт","Сб","Вс"))</f>
        <v/>
      </c>
      <c r="C838" s="59" t="n"/>
      <c r="D838" s="59" t="n"/>
      <c r="E838" s="60">
        <f>IF(OR(C838="",D838=""),"",MOD(D838-C838,1)*24)</f>
        <v/>
      </c>
      <c r="F838" s="50" t="n"/>
      <c r="G838" s="51" t="n"/>
      <c r="H838" s="51" t="n"/>
      <c r="I838" s="51" t="n"/>
      <c r="J838" s="51" t="n"/>
      <c r="K838" s="51" t="n"/>
      <c r="L838" s="54">
        <f>IF(OR(A838="",C838="",D838=""),"",IF(COUNTIFS($A$5:$A$3004,A838,$C$5:$C$3004,"&lt;"&amp;D838,$D$5:$D$3004,"&gt;"&amp;C838)&gt;1,"⚠️ пересечение",""))</f>
        <v/>
      </c>
      <c r="M838" s="54">
        <f>IF(F838="","",IF(J838="✅ Сделано","✔ ",IF(J838="❌ Пропущено","✖ ","⏰ "))&amp;IF(C838="","",RIGHT("0"&amp;HOUR(C838),2)&amp;":"&amp;RIGHT("0"&amp;MINUTE(C838),2)&amp;IF(D838="","","–"&amp;RIGHT("0"&amp;HOUR(D838),2)&amp;":"&amp;RIGHT("0"&amp;MINUTE(D838),2))&amp;" ")&amp;F838)</f>
        <v/>
      </c>
      <c r="N838" s="54">
        <f>IF(OR(A838="",F838=""),"",A838&amp;"#"&amp;(COUNTIFS($A$5:$A$3004,A838,$F$5:$F$3004,"?*",$O$5:$O$3004,"&lt;"&amp;O838)+COUNTIFS($A$5:A838,A838,$F$5:F838,"?*",$O$5:O838,O838)))</f>
        <v/>
      </c>
      <c r="O838" s="54">
        <f>IF(A838="","",IF(C838="",0,C838))</f>
        <v/>
      </c>
    </row>
    <row r="839">
      <c r="A839" s="58" t="n"/>
      <c r="B839" s="49">
        <f>IF(A839="","",CHOOSE(WEEKDAY(A839,2),"Пн","Вт","Ср","Чт","Пт","Сб","Вс"))</f>
        <v/>
      </c>
      <c r="C839" s="59" t="n"/>
      <c r="D839" s="59" t="n"/>
      <c r="E839" s="60">
        <f>IF(OR(C839="",D839=""),"",MOD(D839-C839,1)*24)</f>
        <v/>
      </c>
      <c r="F839" s="50" t="n"/>
      <c r="G839" s="51" t="n"/>
      <c r="H839" s="51" t="n"/>
      <c r="I839" s="51" t="n"/>
      <c r="J839" s="51" t="n"/>
      <c r="K839" s="51" t="n"/>
      <c r="L839" s="54">
        <f>IF(OR(A839="",C839="",D839=""),"",IF(COUNTIFS($A$5:$A$3004,A839,$C$5:$C$3004,"&lt;"&amp;D839,$D$5:$D$3004,"&gt;"&amp;C839)&gt;1,"⚠️ пересечение",""))</f>
        <v/>
      </c>
      <c r="M839" s="54">
        <f>IF(F839="","",IF(J839="✅ Сделано","✔ ",IF(J839="❌ Пропущено","✖ ","⏰ "))&amp;IF(C839="","",RIGHT("0"&amp;HOUR(C839),2)&amp;":"&amp;RIGHT("0"&amp;MINUTE(C839),2)&amp;IF(D839="","","–"&amp;RIGHT("0"&amp;HOUR(D839),2)&amp;":"&amp;RIGHT("0"&amp;MINUTE(D839),2))&amp;" ")&amp;F839)</f>
        <v/>
      </c>
      <c r="N839" s="54">
        <f>IF(OR(A839="",F839=""),"",A839&amp;"#"&amp;(COUNTIFS($A$5:$A$3004,A839,$F$5:$F$3004,"?*",$O$5:$O$3004,"&lt;"&amp;O839)+COUNTIFS($A$5:A839,A839,$F$5:F839,"?*",$O$5:O839,O839)))</f>
        <v/>
      </c>
      <c r="O839" s="54">
        <f>IF(A839="","",IF(C839="",0,C839))</f>
        <v/>
      </c>
    </row>
    <row r="840">
      <c r="A840" s="58" t="n"/>
      <c r="B840" s="49">
        <f>IF(A840="","",CHOOSE(WEEKDAY(A840,2),"Пн","Вт","Ср","Чт","Пт","Сб","Вс"))</f>
        <v/>
      </c>
      <c r="C840" s="59" t="n"/>
      <c r="D840" s="59" t="n"/>
      <c r="E840" s="60">
        <f>IF(OR(C840="",D840=""),"",MOD(D840-C840,1)*24)</f>
        <v/>
      </c>
      <c r="F840" s="50" t="n"/>
      <c r="G840" s="51" t="n"/>
      <c r="H840" s="51" t="n"/>
      <c r="I840" s="51" t="n"/>
      <c r="J840" s="51" t="n"/>
      <c r="K840" s="51" t="n"/>
      <c r="L840" s="54">
        <f>IF(OR(A840="",C840="",D840=""),"",IF(COUNTIFS($A$5:$A$3004,A840,$C$5:$C$3004,"&lt;"&amp;D840,$D$5:$D$3004,"&gt;"&amp;C840)&gt;1,"⚠️ пересечение",""))</f>
        <v/>
      </c>
      <c r="M840" s="54">
        <f>IF(F840="","",IF(J840="✅ Сделано","✔ ",IF(J840="❌ Пропущено","✖ ","⏰ "))&amp;IF(C840="","",RIGHT("0"&amp;HOUR(C840),2)&amp;":"&amp;RIGHT("0"&amp;MINUTE(C840),2)&amp;IF(D840="","","–"&amp;RIGHT("0"&amp;HOUR(D840),2)&amp;":"&amp;RIGHT("0"&amp;MINUTE(D840),2))&amp;" ")&amp;F840)</f>
        <v/>
      </c>
      <c r="N840" s="54">
        <f>IF(OR(A840="",F840=""),"",A840&amp;"#"&amp;(COUNTIFS($A$5:$A$3004,A840,$F$5:$F$3004,"?*",$O$5:$O$3004,"&lt;"&amp;O840)+COUNTIFS($A$5:A840,A840,$F$5:F840,"?*",$O$5:O840,O840)))</f>
        <v/>
      </c>
      <c r="O840" s="54">
        <f>IF(A840="","",IF(C840="",0,C840))</f>
        <v/>
      </c>
    </row>
    <row r="841">
      <c r="A841" s="58" t="n"/>
      <c r="B841" s="49">
        <f>IF(A841="","",CHOOSE(WEEKDAY(A841,2),"Пн","Вт","Ср","Чт","Пт","Сб","Вс"))</f>
        <v/>
      </c>
      <c r="C841" s="59" t="n"/>
      <c r="D841" s="59" t="n"/>
      <c r="E841" s="60">
        <f>IF(OR(C841="",D841=""),"",MOD(D841-C841,1)*24)</f>
        <v/>
      </c>
      <c r="F841" s="50" t="n"/>
      <c r="G841" s="51" t="n"/>
      <c r="H841" s="51" t="n"/>
      <c r="I841" s="51" t="n"/>
      <c r="J841" s="51" t="n"/>
      <c r="K841" s="51" t="n"/>
      <c r="L841" s="54">
        <f>IF(OR(A841="",C841="",D841=""),"",IF(COUNTIFS($A$5:$A$3004,A841,$C$5:$C$3004,"&lt;"&amp;D841,$D$5:$D$3004,"&gt;"&amp;C841)&gt;1,"⚠️ пересечение",""))</f>
        <v/>
      </c>
      <c r="M841" s="54">
        <f>IF(F841="","",IF(J841="✅ Сделано","✔ ",IF(J841="❌ Пропущено","✖ ","⏰ "))&amp;IF(C841="","",RIGHT("0"&amp;HOUR(C841),2)&amp;":"&amp;RIGHT("0"&amp;MINUTE(C841),2)&amp;IF(D841="","","–"&amp;RIGHT("0"&amp;HOUR(D841),2)&amp;":"&amp;RIGHT("0"&amp;MINUTE(D841),2))&amp;" ")&amp;F841)</f>
        <v/>
      </c>
      <c r="N841" s="54">
        <f>IF(OR(A841="",F841=""),"",A841&amp;"#"&amp;(COUNTIFS($A$5:$A$3004,A841,$F$5:$F$3004,"?*",$O$5:$O$3004,"&lt;"&amp;O841)+COUNTIFS($A$5:A841,A841,$F$5:F841,"?*",$O$5:O841,O841)))</f>
        <v/>
      </c>
      <c r="O841" s="54">
        <f>IF(A841="","",IF(C841="",0,C841))</f>
        <v/>
      </c>
    </row>
    <row r="842">
      <c r="A842" s="58" t="n"/>
      <c r="B842" s="49">
        <f>IF(A842="","",CHOOSE(WEEKDAY(A842,2),"Пн","Вт","Ср","Чт","Пт","Сб","Вс"))</f>
        <v/>
      </c>
      <c r="C842" s="59" t="n"/>
      <c r="D842" s="59" t="n"/>
      <c r="E842" s="60">
        <f>IF(OR(C842="",D842=""),"",MOD(D842-C842,1)*24)</f>
        <v/>
      </c>
      <c r="F842" s="50" t="n"/>
      <c r="G842" s="51" t="n"/>
      <c r="H842" s="51" t="n"/>
      <c r="I842" s="51" t="n"/>
      <c r="J842" s="51" t="n"/>
      <c r="K842" s="51" t="n"/>
      <c r="L842" s="54">
        <f>IF(OR(A842="",C842="",D842=""),"",IF(COUNTIFS($A$5:$A$3004,A842,$C$5:$C$3004,"&lt;"&amp;D842,$D$5:$D$3004,"&gt;"&amp;C842)&gt;1,"⚠️ пересечение",""))</f>
        <v/>
      </c>
      <c r="M842" s="54">
        <f>IF(F842="","",IF(J842="✅ Сделано","✔ ",IF(J842="❌ Пропущено","✖ ","⏰ "))&amp;IF(C842="","",RIGHT("0"&amp;HOUR(C842),2)&amp;":"&amp;RIGHT("0"&amp;MINUTE(C842),2)&amp;IF(D842="","","–"&amp;RIGHT("0"&amp;HOUR(D842),2)&amp;":"&amp;RIGHT("0"&amp;MINUTE(D842),2))&amp;" ")&amp;F842)</f>
        <v/>
      </c>
      <c r="N842" s="54">
        <f>IF(OR(A842="",F842=""),"",A842&amp;"#"&amp;(COUNTIFS($A$5:$A$3004,A842,$F$5:$F$3004,"?*",$O$5:$O$3004,"&lt;"&amp;O842)+COUNTIFS($A$5:A842,A842,$F$5:F842,"?*",$O$5:O842,O842)))</f>
        <v/>
      </c>
      <c r="O842" s="54">
        <f>IF(A842="","",IF(C842="",0,C842))</f>
        <v/>
      </c>
    </row>
    <row r="843">
      <c r="A843" s="58" t="n"/>
      <c r="B843" s="49">
        <f>IF(A843="","",CHOOSE(WEEKDAY(A843,2),"Пн","Вт","Ср","Чт","Пт","Сб","Вс"))</f>
        <v/>
      </c>
      <c r="C843" s="59" t="n"/>
      <c r="D843" s="59" t="n"/>
      <c r="E843" s="60">
        <f>IF(OR(C843="",D843=""),"",MOD(D843-C843,1)*24)</f>
        <v/>
      </c>
      <c r="F843" s="50" t="n"/>
      <c r="G843" s="51" t="n"/>
      <c r="H843" s="51" t="n"/>
      <c r="I843" s="51" t="n"/>
      <c r="J843" s="51" t="n"/>
      <c r="K843" s="51" t="n"/>
      <c r="L843" s="54">
        <f>IF(OR(A843="",C843="",D843=""),"",IF(COUNTIFS($A$5:$A$3004,A843,$C$5:$C$3004,"&lt;"&amp;D843,$D$5:$D$3004,"&gt;"&amp;C843)&gt;1,"⚠️ пересечение",""))</f>
        <v/>
      </c>
      <c r="M843" s="54">
        <f>IF(F843="","",IF(J843="✅ Сделано","✔ ",IF(J843="❌ Пропущено","✖ ","⏰ "))&amp;IF(C843="","",RIGHT("0"&amp;HOUR(C843),2)&amp;":"&amp;RIGHT("0"&amp;MINUTE(C843),2)&amp;IF(D843="","","–"&amp;RIGHT("0"&amp;HOUR(D843),2)&amp;":"&amp;RIGHT("0"&amp;MINUTE(D843),2))&amp;" ")&amp;F843)</f>
        <v/>
      </c>
      <c r="N843" s="54">
        <f>IF(OR(A843="",F843=""),"",A843&amp;"#"&amp;(COUNTIFS($A$5:$A$3004,A843,$F$5:$F$3004,"?*",$O$5:$O$3004,"&lt;"&amp;O843)+COUNTIFS($A$5:A843,A843,$F$5:F843,"?*",$O$5:O843,O843)))</f>
        <v/>
      </c>
      <c r="O843" s="54">
        <f>IF(A843="","",IF(C843="",0,C843))</f>
        <v/>
      </c>
    </row>
    <row r="844">
      <c r="A844" s="58" t="n"/>
      <c r="B844" s="49">
        <f>IF(A844="","",CHOOSE(WEEKDAY(A844,2),"Пн","Вт","Ср","Чт","Пт","Сб","Вс"))</f>
        <v/>
      </c>
      <c r="C844" s="59" t="n"/>
      <c r="D844" s="59" t="n"/>
      <c r="E844" s="60">
        <f>IF(OR(C844="",D844=""),"",MOD(D844-C844,1)*24)</f>
        <v/>
      </c>
      <c r="F844" s="50" t="n"/>
      <c r="G844" s="51" t="n"/>
      <c r="H844" s="51" t="n"/>
      <c r="I844" s="51" t="n"/>
      <c r="J844" s="51" t="n"/>
      <c r="K844" s="51" t="n"/>
      <c r="L844" s="54">
        <f>IF(OR(A844="",C844="",D844=""),"",IF(COUNTIFS($A$5:$A$3004,A844,$C$5:$C$3004,"&lt;"&amp;D844,$D$5:$D$3004,"&gt;"&amp;C844)&gt;1,"⚠️ пересечение",""))</f>
        <v/>
      </c>
      <c r="M844" s="54">
        <f>IF(F844="","",IF(J844="✅ Сделано","✔ ",IF(J844="❌ Пропущено","✖ ","⏰ "))&amp;IF(C844="","",RIGHT("0"&amp;HOUR(C844),2)&amp;":"&amp;RIGHT("0"&amp;MINUTE(C844),2)&amp;IF(D844="","","–"&amp;RIGHT("0"&amp;HOUR(D844),2)&amp;":"&amp;RIGHT("0"&amp;MINUTE(D844),2))&amp;" ")&amp;F844)</f>
        <v/>
      </c>
      <c r="N844" s="54">
        <f>IF(OR(A844="",F844=""),"",A844&amp;"#"&amp;(COUNTIFS($A$5:$A$3004,A844,$F$5:$F$3004,"?*",$O$5:$O$3004,"&lt;"&amp;O844)+COUNTIFS($A$5:A844,A844,$F$5:F844,"?*",$O$5:O844,O844)))</f>
        <v/>
      </c>
      <c r="O844" s="54">
        <f>IF(A844="","",IF(C844="",0,C844))</f>
        <v/>
      </c>
    </row>
    <row r="845">
      <c r="A845" s="58" t="n"/>
      <c r="B845" s="49">
        <f>IF(A845="","",CHOOSE(WEEKDAY(A845,2),"Пн","Вт","Ср","Чт","Пт","Сб","Вс"))</f>
        <v/>
      </c>
      <c r="C845" s="59" t="n"/>
      <c r="D845" s="59" t="n"/>
      <c r="E845" s="60">
        <f>IF(OR(C845="",D845=""),"",MOD(D845-C845,1)*24)</f>
        <v/>
      </c>
      <c r="F845" s="50" t="n"/>
      <c r="G845" s="51" t="n"/>
      <c r="H845" s="51" t="n"/>
      <c r="I845" s="51" t="n"/>
      <c r="J845" s="51" t="n"/>
      <c r="K845" s="51" t="n"/>
      <c r="L845" s="54">
        <f>IF(OR(A845="",C845="",D845=""),"",IF(COUNTIFS($A$5:$A$3004,A845,$C$5:$C$3004,"&lt;"&amp;D845,$D$5:$D$3004,"&gt;"&amp;C845)&gt;1,"⚠️ пересечение",""))</f>
        <v/>
      </c>
      <c r="M845" s="54">
        <f>IF(F845="","",IF(J845="✅ Сделано","✔ ",IF(J845="❌ Пропущено","✖ ","⏰ "))&amp;IF(C845="","",RIGHT("0"&amp;HOUR(C845),2)&amp;":"&amp;RIGHT("0"&amp;MINUTE(C845),2)&amp;IF(D845="","","–"&amp;RIGHT("0"&amp;HOUR(D845),2)&amp;":"&amp;RIGHT("0"&amp;MINUTE(D845),2))&amp;" ")&amp;F845)</f>
        <v/>
      </c>
      <c r="N845" s="54">
        <f>IF(OR(A845="",F845=""),"",A845&amp;"#"&amp;(COUNTIFS($A$5:$A$3004,A845,$F$5:$F$3004,"?*",$O$5:$O$3004,"&lt;"&amp;O845)+COUNTIFS($A$5:A845,A845,$F$5:F845,"?*",$O$5:O845,O845)))</f>
        <v/>
      </c>
      <c r="O845" s="54">
        <f>IF(A845="","",IF(C845="",0,C845))</f>
        <v/>
      </c>
    </row>
    <row r="846">
      <c r="A846" s="58" t="n"/>
      <c r="B846" s="49">
        <f>IF(A846="","",CHOOSE(WEEKDAY(A846,2),"Пн","Вт","Ср","Чт","Пт","Сб","Вс"))</f>
        <v/>
      </c>
      <c r="C846" s="59" t="n"/>
      <c r="D846" s="59" t="n"/>
      <c r="E846" s="60">
        <f>IF(OR(C846="",D846=""),"",MOD(D846-C846,1)*24)</f>
        <v/>
      </c>
      <c r="F846" s="50" t="n"/>
      <c r="G846" s="51" t="n"/>
      <c r="H846" s="51" t="n"/>
      <c r="I846" s="51" t="n"/>
      <c r="J846" s="51" t="n"/>
      <c r="K846" s="51" t="n"/>
      <c r="L846" s="54">
        <f>IF(OR(A846="",C846="",D846=""),"",IF(COUNTIFS($A$5:$A$3004,A846,$C$5:$C$3004,"&lt;"&amp;D846,$D$5:$D$3004,"&gt;"&amp;C846)&gt;1,"⚠️ пересечение",""))</f>
        <v/>
      </c>
      <c r="M846" s="54">
        <f>IF(F846="","",IF(J846="✅ Сделано","✔ ",IF(J846="❌ Пропущено","✖ ","⏰ "))&amp;IF(C846="","",RIGHT("0"&amp;HOUR(C846),2)&amp;":"&amp;RIGHT("0"&amp;MINUTE(C846),2)&amp;IF(D846="","","–"&amp;RIGHT("0"&amp;HOUR(D846),2)&amp;":"&amp;RIGHT("0"&amp;MINUTE(D846),2))&amp;" ")&amp;F846)</f>
        <v/>
      </c>
      <c r="N846" s="54">
        <f>IF(OR(A846="",F846=""),"",A846&amp;"#"&amp;(COUNTIFS($A$5:$A$3004,A846,$F$5:$F$3004,"?*",$O$5:$O$3004,"&lt;"&amp;O846)+COUNTIFS($A$5:A846,A846,$F$5:F846,"?*",$O$5:O846,O846)))</f>
        <v/>
      </c>
      <c r="O846" s="54">
        <f>IF(A846="","",IF(C846="",0,C846))</f>
        <v/>
      </c>
    </row>
    <row r="847">
      <c r="A847" s="58" t="n"/>
      <c r="B847" s="49">
        <f>IF(A847="","",CHOOSE(WEEKDAY(A847,2),"Пн","Вт","Ср","Чт","Пт","Сб","Вс"))</f>
        <v/>
      </c>
      <c r="C847" s="59" t="n"/>
      <c r="D847" s="59" t="n"/>
      <c r="E847" s="60">
        <f>IF(OR(C847="",D847=""),"",MOD(D847-C847,1)*24)</f>
        <v/>
      </c>
      <c r="F847" s="50" t="n"/>
      <c r="G847" s="51" t="n"/>
      <c r="H847" s="51" t="n"/>
      <c r="I847" s="51" t="n"/>
      <c r="J847" s="51" t="n"/>
      <c r="K847" s="51" t="n"/>
      <c r="L847" s="54">
        <f>IF(OR(A847="",C847="",D847=""),"",IF(COUNTIFS($A$5:$A$3004,A847,$C$5:$C$3004,"&lt;"&amp;D847,$D$5:$D$3004,"&gt;"&amp;C847)&gt;1,"⚠️ пересечение",""))</f>
        <v/>
      </c>
      <c r="M847" s="54">
        <f>IF(F847="","",IF(J847="✅ Сделано","✔ ",IF(J847="❌ Пропущено","✖ ","⏰ "))&amp;IF(C847="","",RIGHT("0"&amp;HOUR(C847),2)&amp;":"&amp;RIGHT("0"&amp;MINUTE(C847),2)&amp;IF(D847="","","–"&amp;RIGHT("0"&amp;HOUR(D847),2)&amp;":"&amp;RIGHT("0"&amp;MINUTE(D847),2))&amp;" ")&amp;F847)</f>
        <v/>
      </c>
      <c r="N847" s="54">
        <f>IF(OR(A847="",F847=""),"",A847&amp;"#"&amp;(COUNTIFS($A$5:$A$3004,A847,$F$5:$F$3004,"?*",$O$5:$O$3004,"&lt;"&amp;O847)+COUNTIFS($A$5:A847,A847,$F$5:F847,"?*",$O$5:O847,O847)))</f>
        <v/>
      </c>
      <c r="O847" s="54">
        <f>IF(A847="","",IF(C847="",0,C847))</f>
        <v/>
      </c>
    </row>
    <row r="848">
      <c r="A848" s="58" t="n"/>
      <c r="B848" s="49">
        <f>IF(A848="","",CHOOSE(WEEKDAY(A848,2),"Пн","Вт","Ср","Чт","Пт","Сб","Вс"))</f>
        <v/>
      </c>
      <c r="C848" s="59" t="n"/>
      <c r="D848" s="59" t="n"/>
      <c r="E848" s="60">
        <f>IF(OR(C848="",D848=""),"",MOD(D848-C848,1)*24)</f>
        <v/>
      </c>
      <c r="F848" s="50" t="n"/>
      <c r="G848" s="51" t="n"/>
      <c r="H848" s="51" t="n"/>
      <c r="I848" s="51" t="n"/>
      <c r="J848" s="51" t="n"/>
      <c r="K848" s="51" t="n"/>
      <c r="L848" s="54">
        <f>IF(OR(A848="",C848="",D848=""),"",IF(COUNTIFS($A$5:$A$3004,A848,$C$5:$C$3004,"&lt;"&amp;D848,$D$5:$D$3004,"&gt;"&amp;C848)&gt;1,"⚠️ пересечение",""))</f>
        <v/>
      </c>
      <c r="M848" s="54">
        <f>IF(F848="","",IF(J848="✅ Сделано","✔ ",IF(J848="❌ Пропущено","✖ ","⏰ "))&amp;IF(C848="","",RIGHT("0"&amp;HOUR(C848),2)&amp;":"&amp;RIGHT("0"&amp;MINUTE(C848),2)&amp;IF(D848="","","–"&amp;RIGHT("0"&amp;HOUR(D848),2)&amp;":"&amp;RIGHT("0"&amp;MINUTE(D848),2))&amp;" ")&amp;F848)</f>
        <v/>
      </c>
      <c r="N848" s="54">
        <f>IF(OR(A848="",F848=""),"",A848&amp;"#"&amp;(COUNTIFS($A$5:$A$3004,A848,$F$5:$F$3004,"?*",$O$5:$O$3004,"&lt;"&amp;O848)+COUNTIFS($A$5:A848,A848,$F$5:F848,"?*",$O$5:O848,O848)))</f>
        <v/>
      </c>
      <c r="O848" s="54">
        <f>IF(A848="","",IF(C848="",0,C848))</f>
        <v/>
      </c>
    </row>
    <row r="849">
      <c r="A849" s="58" t="n"/>
      <c r="B849" s="49">
        <f>IF(A849="","",CHOOSE(WEEKDAY(A849,2),"Пн","Вт","Ср","Чт","Пт","Сб","Вс"))</f>
        <v/>
      </c>
      <c r="C849" s="59" t="n"/>
      <c r="D849" s="59" t="n"/>
      <c r="E849" s="60">
        <f>IF(OR(C849="",D849=""),"",MOD(D849-C849,1)*24)</f>
        <v/>
      </c>
      <c r="F849" s="50" t="n"/>
      <c r="G849" s="51" t="n"/>
      <c r="H849" s="51" t="n"/>
      <c r="I849" s="51" t="n"/>
      <c r="J849" s="51" t="n"/>
      <c r="K849" s="51" t="n"/>
      <c r="L849" s="54">
        <f>IF(OR(A849="",C849="",D849=""),"",IF(COUNTIFS($A$5:$A$3004,A849,$C$5:$C$3004,"&lt;"&amp;D849,$D$5:$D$3004,"&gt;"&amp;C849)&gt;1,"⚠️ пересечение",""))</f>
        <v/>
      </c>
      <c r="M849" s="54">
        <f>IF(F849="","",IF(J849="✅ Сделано","✔ ",IF(J849="❌ Пропущено","✖ ","⏰ "))&amp;IF(C849="","",RIGHT("0"&amp;HOUR(C849),2)&amp;":"&amp;RIGHT("0"&amp;MINUTE(C849),2)&amp;IF(D849="","","–"&amp;RIGHT("0"&amp;HOUR(D849),2)&amp;":"&amp;RIGHT("0"&amp;MINUTE(D849),2))&amp;" ")&amp;F849)</f>
        <v/>
      </c>
      <c r="N849" s="54">
        <f>IF(OR(A849="",F849=""),"",A849&amp;"#"&amp;(COUNTIFS($A$5:$A$3004,A849,$F$5:$F$3004,"?*",$O$5:$O$3004,"&lt;"&amp;O849)+COUNTIFS($A$5:A849,A849,$F$5:F849,"?*",$O$5:O849,O849)))</f>
        <v/>
      </c>
      <c r="O849" s="54">
        <f>IF(A849="","",IF(C849="",0,C849))</f>
        <v/>
      </c>
    </row>
    <row r="850">
      <c r="A850" s="58" t="n"/>
      <c r="B850" s="49">
        <f>IF(A850="","",CHOOSE(WEEKDAY(A850,2),"Пн","Вт","Ср","Чт","Пт","Сб","Вс"))</f>
        <v/>
      </c>
      <c r="C850" s="59" t="n"/>
      <c r="D850" s="59" t="n"/>
      <c r="E850" s="60">
        <f>IF(OR(C850="",D850=""),"",MOD(D850-C850,1)*24)</f>
        <v/>
      </c>
      <c r="F850" s="50" t="n"/>
      <c r="G850" s="51" t="n"/>
      <c r="H850" s="51" t="n"/>
      <c r="I850" s="51" t="n"/>
      <c r="J850" s="51" t="n"/>
      <c r="K850" s="51" t="n"/>
      <c r="L850" s="54">
        <f>IF(OR(A850="",C850="",D850=""),"",IF(COUNTIFS($A$5:$A$3004,A850,$C$5:$C$3004,"&lt;"&amp;D850,$D$5:$D$3004,"&gt;"&amp;C850)&gt;1,"⚠️ пересечение",""))</f>
        <v/>
      </c>
      <c r="M850" s="54">
        <f>IF(F850="","",IF(J850="✅ Сделано","✔ ",IF(J850="❌ Пропущено","✖ ","⏰ "))&amp;IF(C850="","",RIGHT("0"&amp;HOUR(C850),2)&amp;":"&amp;RIGHT("0"&amp;MINUTE(C850),2)&amp;IF(D850="","","–"&amp;RIGHT("0"&amp;HOUR(D850),2)&amp;":"&amp;RIGHT("0"&amp;MINUTE(D850),2))&amp;" ")&amp;F850)</f>
        <v/>
      </c>
      <c r="N850" s="54">
        <f>IF(OR(A850="",F850=""),"",A850&amp;"#"&amp;(COUNTIFS($A$5:$A$3004,A850,$F$5:$F$3004,"?*",$O$5:$O$3004,"&lt;"&amp;O850)+COUNTIFS($A$5:A850,A850,$F$5:F850,"?*",$O$5:O850,O850)))</f>
        <v/>
      </c>
      <c r="O850" s="54">
        <f>IF(A850="","",IF(C850="",0,C850))</f>
        <v/>
      </c>
    </row>
    <row r="851">
      <c r="A851" s="58" t="n"/>
      <c r="B851" s="49">
        <f>IF(A851="","",CHOOSE(WEEKDAY(A851,2),"Пн","Вт","Ср","Чт","Пт","Сб","Вс"))</f>
        <v/>
      </c>
      <c r="C851" s="59" t="n"/>
      <c r="D851" s="59" t="n"/>
      <c r="E851" s="60">
        <f>IF(OR(C851="",D851=""),"",MOD(D851-C851,1)*24)</f>
        <v/>
      </c>
      <c r="F851" s="50" t="n"/>
      <c r="G851" s="51" t="n"/>
      <c r="H851" s="51" t="n"/>
      <c r="I851" s="51" t="n"/>
      <c r="J851" s="51" t="n"/>
      <c r="K851" s="51" t="n"/>
      <c r="L851" s="54">
        <f>IF(OR(A851="",C851="",D851=""),"",IF(COUNTIFS($A$5:$A$3004,A851,$C$5:$C$3004,"&lt;"&amp;D851,$D$5:$D$3004,"&gt;"&amp;C851)&gt;1,"⚠️ пересечение",""))</f>
        <v/>
      </c>
      <c r="M851" s="54">
        <f>IF(F851="","",IF(J851="✅ Сделано","✔ ",IF(J851="❌ Пропущено","✖ ","⏰ "))&amp;IF(C851="","",RIGHT("0"&amp;HOUR(C851),2)&amp;":"&amp;RIGHT("0"&amp;MINUTE(C851),2)&amp;IF(D851="","","–"&amp;RIGHT("0"&amp;HOUR(D851),2)&amp;":"&amp;RIGHT("0"&amp;MINUTE(D851),2))&amp;" ")&amp;F851)</f>
        <v/>
      </c>
      <c r="N851" s="54">
        <f>IF(OR(A851="",F851=""),"",A851&amp;"#"&amp;(COUNTIFS($A$5:$A$3004,A851,$F$5:$F$3004,"?*",$O$5:$O$3004,"&lt;"&amp;O851)+COUNTIFS($A$5:A851,A851,$F$5:F851,"?*",$O$5:O851,O851)))</f>
        <v/>
      </c>
      <c r="O851" s="54">
        <f>IF(A851="","",IF(C851="",0,C851))</f>
        <v/>
      </c>
    </row>
    <row r="852">
      <c r="A852" s="58" t="n"/>
      <c r="B852" s="49">
        <f>IF(A852="","",CHOOSE(WEEKDAY(A852,2),"Пн","Вт","Ср","Чт","Пт","Сб","Вс"))</f>
        <v/>
      </c>
      <c r="C852" s="59" t="n"/>
      <c r="D852" s="59" t="n"/>
      <c r="E852" s="60">
        <f>IF(OR(C852="",D852=""),"",MOD(D852-C852,1)*24)</f>
        <v/>
      </c>
      <c r="F852" s="50" t="n"/>
      <c r="G852" s="51" t="n"/>
      <c r="H852" s="51" t="n"/>
      <c r="I852" s="51" t="n"/>
      <c r="J852" s="51" t="n"/>
      <c r="K852" s="51" t="n"/>
      <c r="L852" s="54">
        <f>IF(OR(A852="",C852="",D852=""),"",IF(COUNTIFS($A$5:$A$3004,A852,$C$5:$C$3004,"&lt;"&amp;D852,$D$5:$D$3004,"&gt;"&amp;C852)&gt;1,"⚠️ пересечение",""))</f>
        <v/>
      </c>
      <c r="M852" s="54">
        <f>IF(F852="","",IF(J852="✅ Сделано","✔ ",IF(J852="❌ Пропущено","✖ ","⏰ "))&amp;IF(C852="","",RIGHT("0"&amp;HOUR(C852),2)&amp;":"&amp;RIGHT("0"&amp;MINUTE(C852),2)&amp;IF(D852="","","–"&amp;RIGHT("0"&amp;HOUR(D852),2)&amp;":"&amp;RIGHT("0"&amp;MINUTE(D852),2))&amp;" ")&amp;F852)</f>
        <v/>
      </c>
      <c r="N852" s="54">
        <f>IF(OR(A852="",F852=""),"",A852&amp;"#"&amp;(COUNTIFS($A$5:$A$3004,A852,$F$5:$F$3004,"?*",$O$5:$O$3004,"&lt;"&amp;O852)+COUNTIFS($A$5:A852,A852,$F$5:F852,"?*",$O$5:O852,O852)))</f>
        <v/>
      </c>
      <c r="O852" s="54">
        <f>IF(A852="","",IF(C852="",0,C852))</f>
        <v/>
      </c>
    </row>
    <row r="853">
      <c r="A853" s="58" t="n"/>
      <c r="B853" s="49">
        <f>IF(A853="","",CHOOSE(WEEKDAY(A853,2),"Пн","Вт","Ср","Чт","Пт","Сб","Вс"))</f>
        <v/>
      </c>
      <c r="C853" s="59" t="n"/>
      <c r="D853" s="59" t="n"/>
      <c r="E853" s="60">
        <f>IF(OR(C853="",D853=""),"",MOD(D853-C853,1)*24)</f>
        <v/>
      </c>
      <c r="F853" s="50" t="n"/>
      <c r="G853" s="51" t="n"/>
      <c r="H853" s="51" t="n"/>
      <c r="I853" s="51" t="n"/>
      <c r="J853" s="51" t="n"/>
      <c r="K853" s="51" t="n"/>
      <c r="L853" s="54">
        <f>IF(OR(A853="",C853="",D853=""),"",IF(COUNTIFS($A$5:$A$3004,A853,$C$5:$C$3004,"&lt;"&amp;D853,$D$5:$D$3004,"&gt;"&amp;C853)&gt;1,"⚠️ пересечение",""))</f>
        <v/>
      </c>
      <c r="M853" s="54">
        <f>IF(F853="","",IF(J853="✅ Сделано","✔ ",IF(J853="❌ Пропущено","✖ ","⏰ "))&amp;IF(C853="","",RIGHT("0"&amp;HOUR(C853),2)&amp;":"&amp;RIGHT("0"&amp;MINUTE(C853),2)&amp;IF(D853="","","–"&amp;RIGHT("0"&amp;HOUR(D853),2)&amp;":"&amp;RIGHT("0"&amp;MINUTE(D853),2))&amp;" ")&amp;F853)</f>
        <v/>
      </c>
      <c r="N853" s="54">
        <f>IF(OR(A853="",F853=""),"",A853&amp;"#"&amp;(COUNTIFS($A$5:$A$3004,A853,$F$5:$F$3004,"?*",$O$5:$O$3004,"&lt;"&amp;O853)+COUNTIFS($A$5:A853,A853,$F$5:F853,"?*",$O$5:O853,O853)))</f>
        <v/>
      </c>
      <c r="O853" s="54">
        <f>IF(A853="","",IF(C853="",0,C853))</f>
        <v/>
      </c>
    </row>
    <row r="854">
      <c r="A854" s="58" t="n"/>
      <c r="B854" s="49">
        <f>IF(A854="","",CHOOSE(WEEKDAY(A854,2),"Пн","Вт","Ср","Чт","Пт","Сб","Вс"))</f>
        <v/>
      </c>
      <c r="C854" s="59" t="n"/>
      <c r="D854" s="59" t="n"/>
      <c r="E854" s="60">
        <f>IF(OR(C854="",D854=""),"",MOD(D854-C854,1)*24)</f>
        <v/>
      </c>
      <c r="F854" s="50" t="n"/>
      <c r="G854" s="51" t="n"/>
      <c r="H854" s="51" t="n"/>
      <c r="I854" s="51" t="n"/>
      <c r="J854" s="51" t="n"/>
      <c r="K854" s="51" t="n"/>
      <c r="L854" s="54">
        <f>IF(OR(A854="",C854="",D854=""),"",IF(COUNTIFS($A$5:$A$3004,A854,$C$5:$C$3004,"&lt;"&amp;D854,$D$5:$D$3004,"&gt;"&amp;C854)&gt;1,"⚠️ пересечение",""))</f>
        <v/>
      </c>
      <c r="M854" s="54">
        <f>IF(F854="","",IF(J854="✅ Сделано","✔ ",IF(J854="❌ Пропущено","✖ ","⏰ "))&amp;IF(C854="","",RIGHT("0"&amp;HOUR(C854),2)&amp;":"&amp;RIGHT("0"&amp;MINUTE(C854),2)&amp;IF(D854="","","–"&amp;RIGHT("0"&amp;HOUR(D854),2)&amp;":"&amp;RIGHT("0"&amp;MINUTE(D854),2))&amp;" ")&amp;F854)</f>
        <v/>
      </c>
      <c r="N854" s="54">
        <f>IF(OR(A854="",F854=""),"",A854&amp;"#"&amp;(COUNTIFS($A$5:$A$3004,A854,$F$5:$F$3004,"?*",$O$5:$O$3004,"&lt;"&amp;O854)+COUNTIFS($A$5:A854,A854,$F$5:F854,"?*",$O$5:O854,O854)))</f>
        <v/>
      </c>
      <c r="O854" s="54">
        <f>IF(A854="","",IF(C854="",0,C854))</f>
        <v/>
      </c>
    </row>
    <row r="855">
      <c r="A855" s="58" t="n"/>
      <c r="B855" s="49">
        <f>IF(A855="","",CHOOSE(WEEKDAY(A855,2),"Пн","Вт","Ср","Чт","Пт","Сб","Вс"))</f>
        <v/>
      </c>
      <c r="C855" s="59" t="n"/>
      <c r="D855" s="59" t="n"/>
      <c r="E855" s="60">
        <f>IF(OR(C855="",D855=""),"",MOD(D855-C855,1)*24)</f>
        <v/>
      </c>
      <c r="F855" s="50" t="n"/>
      <c r="G855" s="51" t="n"/>
      <c r="H855" s="51" t="n"/>
      <c r="I855" s="51" t="n"/>
      <c r="J855" s="51" t="n"/>
      <c r="K855" s="51" t="n"/>
      <c r="L855" s="54">
        <f>IF(OR(A855="",C855="",D855=""),"",IF(COUNTIFS($A$5:$A$3004,A855,$C$5:$C$3004,"&lt;"&amp;D855,$D$5:$D$3004,"&gt;"&amp;C855)&gt;1,"⚠️ пересечение",""))</f>
        <v/>
      </c>
      <c r="M855" s="54">
        <f>IF(F855="","",IF(J855="✅ Сделано","✔ ",IF(J855="❌ Пропущено","✖ ","⏰ "))&amp;IF(C855="","",RIGHT("0"&amp;HOUR(C855),2)&amp;":"&amp;RIGHT("0"&amp;MINUTE(C855),2)&amp;IF(D855="","","–"&amp;RIGHT("0"&amp;HOUR(D855),2)&amp;":"&amp;RIGHT("0"&amp;MINUTE(D855),2))&amp;" ")&amp;F855)</f>
        <v/>
      </c>
      <c r="N855" s="54">
        <f>IF(OR(A855="",F855=""),"",A855&amp;"#"&amp;(COUNTIFS($A$5:$A$3004,A855,$F$5:$F$3004,"?*",$O$5:$O$3004,"&lt;"&amp;O855)+COUNTIFS($A$5:A855,A855,$F$5:F855,"?*",$O$5:O855,O855)))</f>
        <v/>
      </c>
      <c r="O855" s="54">
        <f>IF(A855="","",IF(C855="",0,C855))</f>
        <v/>
      </c>
    </row>
    <row r="856">
      <c r="A856" s="58" t="n"/>
      <c r="B856" s="49">
        <f>IF(A856="","",CHOOSE(WEEKDAY(A856,2),"Пн","Вт","Ср","Чт","Пт","Сб","Вс"))</f>
        <v/>
      </c>
      <c r="C856" s="59" t="n"/>
      <c r="D856" s="59" t="n"/>
      <c r="E856" s="60">
        <f>IF(OR(C856="",D856=""),"",MOD(D856-C856,1)*24)</f>
        <v/>
      </c>
      <c r="F856" s="50" t="n"/>
      <c r="G856" s="51" t="n"/>
      <c r="H856" s="51" t="n"/>
      <c r="I856" s="51" t="n"/>
      <c r="J856" s="51" t="n"/>
      <c r="K856" s="51" t="n"/>
      <c r="L856" s="54">
        <f>IF(OR(A856="",C856="",D856=""),"",IF(COUNTIFS($A$5:$A$3004,A856,$C$5:$C$3004,"&lt;"&amp;D856,$D$5:$D$3004,"&gt;"&amp;C856)&gt;1,"⚠️ пересечение",""))</f>
        <v/>
      </c>
      <c r="M856" s="54">
        <f>IF(F856="","",IF(J856="✅ Сделано","✔ ",IF(J856="❌ Пропущено","✖ ","⏰ "))&amp;IF(C856="","",RIGHT("0"&amp;HOUR(C856),2)&amp;":"&amp;RIGHT("0"&amp;MINUTE(C856),2)&amp;IF(D856="","","–"&amp;RIGHT("0"&amp;HOUR(D856),2)&amp;":"&amp;RIGHT("0"&amp;MINUTE(D856),2))&amp;" ")&amp;F856)</f>
        <v/>
      </c>
      <c r="N856" s="54">
        <f>IF(OR(A856="",F856=""),"",A856&amp;"#"&amp;(COUNTIFS($A$5:$A$3004,A856,$F$5:$F$3004,"?*",$O$5:$O$3004,"&lt;"&amp;O856)+COUNTIFS($A$5:A856,A856,$F$5:F856,"?*",$O$5:O856,O856)))</f>
        <v/>
      </c>
      <c r="O856" s="54">
        <f>IF(A856="","",IF(C856="",0,C856))</f>
        <v/>
      </c>
    </row>
    <row r="857">
      <c r="A857" s="58" t="n"/>
      <c r="B857" s="49">
        <f>IF(A857="","",CHOOSE(WEEKDAY(A857,2),"Пн","Вт","Ср","Чт","Пт","Сб","Вс"))</f>
        <v/>
      </c>
      <c r="C857" s="59" t="n"/>
      <c r="D857" s="59" t="n"/>
      <c r="E857" s="60">
        <f>IF(OR(C857="",D857=""),"",MOD(D857-C857,1)*24)</f>
        <v/>
      </c>
      <c r="F857" s="50" t="n"/>
      <c r="G857" s="51" t="n"/>
      <c r="H857" s="51" t="n"/>
      <c r="I857" s="51" t="n"/>
      <c r="J857" s="51" t="n"/>
      <c r="K857" s="51" t="n"/>
      <c r="L857" s="54">
        <f>IF(OR(A857="",C857="",D857=""),"",IF(COUNTIFS($A$5:$A$3004,A857,$C$5:$C$3004,"&lt;"&amp;D857,$D$5:$D$3004,"&gt;"&amp;C857)&gt;1,"⚠️ пересечение",""))</f>
        <v/>
      </c>
      <c r="M857" s="54">
        <f>IF(F857="","",IF(J857="✅ Сделано","✔ ",IF(J857="❌ Пропущено","✖ ","⏰ "))&amp;IF(C857="","",RIGHT("0"&amp;HOUR(C857),2)&amp;":"&amp;RIGHT("0"&amp;MINUTE(C857),2)&amp;IF(D857="","","–"&amp;RIGHT("0"&amp;HOUR(D857),2)&amp;":"&amp;RIGHT("0"&amp;MINUTE(D857),2))&amp;" ")&amp;F857)</f>
        <v/>
      </c>
      <c r="N857" s="54">
        <f>IF(OR(A857="",F857=""),"",A857&amp;"#"&amp;(COUNTIFS($A$5:$A$3004,A857,$F$5:$F$3004,"?*",$O$5:$O$3004,"&lt;"&amp;O857)+COUNTIFS($A$5:A857,A857,$F$5:F857,"?*",$O$5:O857,O857)))</f>
        <v/>
      </c>
      <c r="O857" s="54">
        <f>IF(A857="","",IF(C857="",0,C857))</f>
        <v/>
      </c>
    </row>
    <row r="858">
      <c r="A858" s="58" t="n"/>
      <c r="B858" s="49">
        <f>IF(A858="","",CHOOSE(WEEKDAY(A858,2),"Пн","Вт","Ср","Чт","Пт","Сб","Вс"))</f>
        <v/>
      </c>
      <c r="C858" s="59" t="n"/>
      <c r="D858" s="59" t="n"/>
      <c r="E858" s="60">
        <f>IF(OR(C858="",D858=""),"",MOD(D858-C858,1)*24)</f>
        <v/>
      </c>
      <c r="F858" s="50" t="n"/>
      <c r="G858" s="51" t="n"/>
      <c r="H858" s="51" t="n"/>
      <c r="I858" s="51" t="n"/>
      <c r="J858" s="51" t="n"/>
      <c r="K858" s="51" t="n"/>
      <c r="L858" s="54">
        <f>IF(OR(A858="",C858="",D858=""),"",IF(COUNTIFS($A$5:$A$3004,A858,$C$5:$C$3004,"&lt;"&amp;D858,$D$5:$D$3004,"&gt;"&amp;C858)&gt;1,"⚠️ пересечение",""))</f>
        <v/>
      </c>
      <c r="M858" s="54">
        <f>IF(F858="","",IF(J858="✅ Сделано","✔ ",IF(J858="❌ Пропущено","✖ ","⏰ "))&amp;IF(C858="","",RIGHT("0"&amp;HOUR(C858),2)&amp;":"&amp;RIGHT("0"&amp;MINUTE(C858),2)&amp;IF(D858="","","–"&amp;RIGHT("0"&amp;HOUR(D858),2)&amp;":"&amp;RIGHT("0"&amp;MINUTE(D858),2))&amp;" ")&amp;F858)</f>
        <v/>
      </c>
      <c r="N858" s="54">
        <f>IF(OR(A858="",F858=""),"",A858&amp;"#"&amp;(COUNTIFS($A$5:$A$3004,A858,$F$5:$F$3004,"?*",$O$5:$O$3004,"&lt;"&amp;O858)+COUNTIFS($A$5:A858,A858,$F$5:F858,"?*",$O$5:O858,O858)))</f>
        <v/>
      </c>
      <c r="O858" s="54">
        <f>IF(A858="","",IF(C858="",0,C858))</f>
        <v/>
      </c>
    </row>
    <row r="859">
      <c r="A859" s="58" t="n"/>
      <c r="B859" s="49">
        <f>IF(A859="","",CHOOSE(WEEKDAY(A859,2),"Пн","Вт","Ср","Чт","Пт","Сб","Вс"))</f>
        <v/>
      </c>
      <c r="C859" s="59" t="n"/>
      <c r="D859" s="59" t="n"/>
      <c r="E859" s="60">
        <f>IF(OR(C859="",D859=""),"",MOD(D859-C859,1)*24)</f>
        <v/>
      </c>
      <c r="F859" s="50" t="n"/>
      <c r="G859" s="51" t="n"/>
      <c r="H859" s="51" t="n"/>
      <c r="I859" s="51" t="n"/>
      <c r="J859" s="51" t="n"/>
      <c r="K859" s="51" t="n"/>
      <c r="L859" s="54">
        <f>IF(OR(A859="",C859="",D859=""),"",IF(COUNTIFS($A$5:$A$3004,A859,$C$5:$C$3004,"&lt;"&amp;D859,$D$5:$D$3004,"&gt;"&amp;C859)&gt;1,"⚠️ пересечение",""))</f>
        <v/>
      </c>
      <c r="M859" s="54">
        <f>IF(F859="","",IF(J859="✅ Сделано","✔ ",IF(J859="❌ Пропущено","✖ ","⏰ "))&amp;IF(C859="","",RIGHT("0"&amp;HOUR(C859),2)&amp;":"&amp;RIGHT("0"&amp;MINUTE(C859),2)&amp;IF(D859="","","–"&amp;RIGHT("0"&amp;HOUR(D859),2)&amp;":"&amp;RIGHT("0"&amp;MINUTE(D859),2))&amp;" ")&amp;F859)</f>
        <v/>
      </c>
      <c r="N859" s="54">
        <f>IF(OR(A859="",F859=""),"",A859&amp;"#"&amp;(COUNTIFS($A$5:$A$3004,A859,$F$5:$F$3004,"?*",$O$5:$O$3004,"&lt;"&amp;O859)+COUNTIFS($A$5:A859,A859,$F$5:F859,"?*",$O$5:O859,O859)))</f>
        <v/>
      </c>
      <c r="O859" s="54">
        <f>IF(A859="","",IF(C859="",0,C859))</f>
        <v/>
      </c>
    </row>
    <row r="860">
      <c r="A860" s="58" t="n"/>
      <c r="B860" s="49">
        <f>IF(A860="","",CHOOSE(WEEKDAY(A860,2),"Пн","Вт","Ср","Чт","Пт","Сб","Вс"))</f>
        <v/>
      </c>
      <c r="C860" s="59" t="n"/>
      <c r="D860" s="59" t="n"/>
      <c r="E860" s="60">
        <f>IF(OR(C860="",D860=""),"",MOD(D860-C860,1)*24)</f>
        <v/>
      </c>
      <c r="F860" s="50" t="n"/>
      <c r="G860" s="51" t="n"/>
      <c r="H860" s="51" t="n"/>
      <c r="I860" s="51" t="n"/>
      <c r="J860" s="51" t="n"/>
      <c r="K860" s="51" t="n"/>
      <c r="L860" s="54">
        <f>IF(OR(A860="",C860="",D860=""),"",IF(COUNTIFS($A$5:$A$3004,A860,$C$5:$C$3004,"&lt;"&amp;D860,$D$5:$D$3004,"&gt;"&amp;C860)&gt;1,"⚠️ пересечение",""))</f>
        <v/>
      </c>
      <c r="M860" s="54">
        <f>IF(F860="","",IF(J860="✅ Сделано","✔ ",IF(J860="❌ Пропущено","✖ ","⏰ "))&amp;IF(C860="","",RIGHT("0"&amp;HOUR(C860),2)&amp;":"&amp;RIGHT("0"&amp;MINUTE(C860),2)&amp;IF(D860="","","–"&amp;RIGHT("0"&amp;HOUR(D860),2)&amp;":"&amp;RIGHT("0"&amp;MINUTE(D860),2))&amp;" ")&amp;F860)</f>
        <v/>
      </c>
      <c r="N860" s="54">
        <f>IF(OR(A860="",F860=""),"",A860&amp;"#"&amp;(COUNTIFS($A$5:$A$3004,A860,$F$5:$F$3004,"?*",$O$5:$O$3004,"&lt;"&amp;O860)+COUNTIFS($A$5:A860,A860,$F$5:F860,"?*",$O$5:O860,O860)))</f>
        <v/>
      </c>
      <c r="O860" s="54">
        <f>IF(A860="","",IF(C860="",0,C860))</f>
        <v/>
      </c>
    </row>
    <row r="861">
      <c r="A861" s="58" t="n"/>
      <c r="B861" s="49">
        <f>IF(A861="","",CHOOSE(WEEKDAY(A861,2),"Пн","Вт","Ср","Чт","Пт","Сб","Вс"))</f>
        <v/>
      </c>
      <c r="C861" s="59" t="n"/>
      <c r="D861" s="59" t="n"/>
      <c r="E861" s="60">
        <f>IF(OR(C861="",D861=""),"",MOD(D861-C861,1)*24)</f>
        <v/>
      </c>
      <c r="F861" s="50" t="n"/>
      <c r="G861" s="51" t="n"/>
      <c r="H861" s="51" t="n"/>
      <c r="I861" s="51" t="n"/>
      <c r="J861" s="51" t="n"/>
      <c r="K861" s="51" t="n"/>
      <c r="L861" s="54">
        <f>IF(OR(A861="",C861="",D861=""),"",IF(COUNTIFS($A$5:$A$3004,A861,$C$5:$C$3004,"&lt;"&amp;D861,$D$5:$D$3004,"&gt;"&amp;C861)&gt;1,"⚠️ пересечение",""))</f>
        <v/>
      </c>
      <c r="M861" s="54">
        <f>IF(F861="","",IF(J861="✅ Сделано","✔ ",IF(J861="❌ Пропущено","✖ ","⏰ "))&amp;IF(C861="","",RIGHT("0"&amp;HOUR(C861),2)&amp;":"&amp;RIGHT("0"&amp;MINUTE(C861),2)&amp;IF(D861="","","–"&amp;RIGHT("0"&amp;HOUR(D861),2)&amp;":"&amp;RIGHT("0"&amp;MINUTE(D861),2))&amp;" ")&amp;F861)</f>
        <v/>
      </c>
      <c r="N861" s="54">
        <f>IF(OR(A861="",F861=""),"",A861&amp;"#"&amp;(COUNTIFS($A$5:$A$3004,A861,$F$5:$F$3004,"?*",$O$5:$O$3004,"&lt;"&amp;O861)+COUNTIFS($A$5:A861,A861,$F$5:F861,"?*",$O$5:O861,O861)))</f>
        <v/>
      </c>
      <c r="O861" s="54">
        <f>IF(A861="","",IF(C861="",0,C861))</f>
        <v/>
      </c>
    </row>
    <row r="862">
      <c r="A862" s="58" t="n"/>
      <c r="B862" s="49">
        <f>IF(A862="","",CHOOSE(WEEKDAY(A862,2),"Пн","Вт","Ср","Чт","Пт","Сб","Вс"))</f>
        <v/>
      </c>
      <c r="C862" s="59" t="n"/>
      <c r="D862" s="59" t="n"/>
      <c r="E862" s="60">
        <f>IF(OR(C862="",D862=""),"",MOD(D862-C862,1)*24)</f>
        <v/>
      </c>
      <c r="F862" s="50" t="n"/>
      <c r="G862" s="51" t="n"/>
      <c r="H862" s="51" t="n"/>
      <c r="I862" s="51" t="n"/>
      <c r="J862" s="51" t="n"/>
      <c r="K862" s="51" t="n"/>
      <c r="L862" s="54">
        <f>IF(OR(A862="",C862="",D862=""),"",IF(COUNTIFS($A$5:$A$3004,A862,$C$5:$C$3004,"&lt;"&amp;D862,$D$5:$D$3004,"&gt;"&amp;C862)&gt;1,"⚠️ пересечение",""))</f>
        <v/>
      </c>
      <c r="M862" s="54">
        <f>IF(F862="","",IF(J862="✅ Сделано","✔ ",IF(J862="❌ Пропущено","✖ ","⏰ "))&amp;IF(C862="","",RIGHT("0"&amp;HOUR(C862),2)&amp;":"&amp;RIGHT("0"&amp;MINUTE(C862),2)&amp;IF(D862="","","–"&amp;RIGHT("0"&amp;HOUR(D862),2)&amp;":"&amp;RIGHT("0"&amp;MINUTE(D862),2))&amp;" ")&amp;F862)</f>
        <v/>
      </c>
      <c r="N862" s="54">
        <f>IF(OR(A862="",F862=""),"",A862&amp;"#"&amp;(COUNTIFS($A$5:$A$3004,A862,$F$5:$F$3004,"?*",$O$5:$O$3004,"&lt;"&amp;O862)+COUNTIFS($A$5:A862,A862,$F$5:F862,"?*",$O$5:O862,O862)))</f>
        <v/>
      </c>
      <c r="O862" s="54">
        <f>IF(A862="","",IF(C862="",0,C862))</f>
        <v/>
      </c>
    </row>
    <row r="863">
      <c r="A863" s="58" t="n"/>
      <c r="B863" s="49">
        <f>IF(A863="","",CHOOSE(WEEKDAY(A863,2),"Пн","Вт","Ср","Чт","Пт","Сб","Вс"))</f>
        <v/>
      </c>
      <c r="C863" s="59" t="n"/>
      <c r="D863" s="59" t="n"/>
      <c r="E863" s="60">
        <f>IF(OR(C863="",D863=""),"",MOD(D863-C863,1)*24)</f>
        <v/>
      </c>
      <c r="F863" s="50" t="n"/>
      <c r="G863" s="51" t="n"/>
      <c r="H863" s="51" t="n"/>
      <c r="I863" s="51" t="n"/>
      <c r="J863" s="51" t="n"/>
      <c r="K863" s="51" t="n"/>
      <c r="L863" s="54">
        <f>IF(OR(A863="",C863="",D863=""),"",IF(COUNTIFS($A$5:$A$3004,A863,$C$5:$C$3004,"&lt;"&amp;D863,$D$5:$D$3004,"&gt;"&amp;C863)&gt;1,"⚠️ пересечение",""))</f>
        <v/>
      </c>
      <c r="M863" s="54">
        <f>IF(F863="","",IF(J863="✅ Сделано","✔ ",IF(J863="❌ Пропущено","✖ ","⏰ "))&amp;IF(C863="","",RIGHT("0"&amp;HOUR(C863),2)&amp;":"&amp;RIGHT("0"&amp;MINUTE(C863),2)&amp;IF(D863="","","–"&amp;RIGHT("0"&amp;HOUR(D863),2)&amp;":"&amp;RIGHT("0"&amp;MINUTE(D863),2))&amp;" ")&amp;F863)</f>
        <v/>
      </c>
      <c r="N863" s="54">
        <f>IF(OR(A863="",F863=""),"",A863&amp;"#"&amp;(COUNTIFS($A$5:$A$3004,A863,$F$5:$F$3004,"?*",$O$5:$O$3004,"&lt;"&amp;O863)+COUNTIFS($A$5:A863,A863,$F$5:F863,"?*",$O$5:O863,O863)))</f>
        <v/>
      </c>
      <c r="O863" s="54">
        <f>IF(A863="","",IF(C863="",0,C863))</f>
        <v/>
      </c>
    </row>
    <row r="864">
      <c r="A864" s="58" t="n"/>
      <c r="B864" s="49">
        <f>IF(A864="","",CHOOSE(WEEKDAY(A864,2),"Пн","Вт","Ср","Чт","Пт","Сб","Вс"))</f>
        <v/>
      </c>
      <c r="C864" s="59" t="n"/>
      <c r="D864" s="59" t="n"/>
      <c r="E864" s="60">
        <f>IF(OR(C864="",D864=""),"",MOD(D864-C864,1)*24)</f>
        <v/>
      </c>
      <c r="F864" s="50" t="n"/>
      <c r="G864" s="51" t="n"/>
      <c r="H864" s="51" t="n"/>
      <c r="I864" s="51" t="n"/>
      <c r="J864" s="51" t="n"/>
      <c r="K864" s="51" t="n"/>
      <c r="L864" s="54">
        <f>IF(OR(A864="",C864="",D864=""),"",IF(COUNTIFS($A$5:$A$3004,A864,$C$5:$C$3004,"&lt;"&amp;D864,$D$5:$D$3004,"&gt;"&amp;C864)&gt;1,"⚠️ пересечение",""))</f>
        <v/>
      </c>
      <c r="M864" s="54">
        <f>IF(F864="","",IF(J864="✅ Сделано","✔ ",IF(J864="❌ Пропущено","✖ ","⏰ "))&amp;IF(C864="","",RIGHT("0"&amp;HOUR(C864),2)&amp;":"&amp;RIGHT("0"&amp;MINUTE(C864),2)&amp;IF(D864="","","–"&amp;RIGHT("0"&amp;HOUR(D864),2)&amp;":"&amp;RIGHT("0"&amp;MINUTE(D864),2))&amp;" ")&amp;F864)</f>
        <v/>
      </c>
      <c r="N864" s="54">
        <f>IF(OR(A864="",F864=""),"",A864&amp;"#"&amp;(COUNTIFS($A$5:$A$3004,A864,$F$5:$F$3004,"?*",$O$5:$O$3004,"&lt;"&amp;O864)+COUNTIFS($A$5:A864,A864,$F$5:F864,"?*",$O$5:O864,O864)))</f>
        <v/>
      </c>
      <c r="O864" s="54">
        <f>IF(A864="","",IF(C864="",0,C864))</f>
        <v/>
      </c>
    </row>
    <row r="865">
      <c r="A865" s="58" t="n"/>
      <c r="B865" s="49">
        <f>IF(A865="","",CHOOSE(WEEKDAY(A865,2),"Пн","Вт","Ср","Чт","Пт","Сб","Вс"))</f>
        <v/>
      </c>
      <c r="C865" s="59" t="n"/>
      <c r="D865" s="59" t="n"/>
      <c r="E865" s="60">
        <f>IF(OR(C865="",D865=""),"",MOD(D865-C865,1)*24)</f>
        <v/>
      </c>
      <c r="F865" s="50" t="n"/>
      <c r="G865" s="51" t="n"/>
      <c r="H865" s="51" t="n"/>
      <c r="I865" s="51" t="n"/>
      <c r="J865" s="51" t="n"/>
      <c r="K865" s="51" t="n"/>
      <c r="L865" s="54">
        <f>IF(OR(A865="",C865="",D865=""),"",IF(COUNTIFS($A$5:$A$3004,A865,$C$5:$C$3004,"&lt;"&amp;D865,$D$5:$D$3004,"&gt;"&amp;C865)&gt;1,"⚠️ пересечение",""))</f>
        <v/>
      </c>
      <c r="M865" s="54">
        <f>IF(F865="","",IF(J865="✅ Сделано","✔ ",IF(J865="❌ Пропущено","✖ ","⏰ "))&amp;IF(C865="","",RIGHT("0"&amp;HOUR(C865),2)&amp;":"&amp;RIGHT("0"&amp;MINUTE(C865),2)&amp;IF(D865="","","–"&amp;RIGHT("0"&amp;HOUR(D865),2)&amp;":"&amp;RIGHT("0"&amp;MINUTE(D865),2))&amp;" ")&amp;F865)</f>
        <v/>
      </c>
      <c r="N865" s="54">
        <f>IF(OR(A865="",F865=""),"",A865&amp;"#"&amp;(COUNTIFS($A$5:$A$3004,A865,$F$5:$F$3004,"?*",$O$5:$O$3004,"&lt;"&amp;O865)+COUNTIFS($A$5:A865,A865,$F$5:F865,"?*",$O$5:O865,O865)))</f>
        <v/>
      </c>
      <c r="O865" s="54">
        <f>IF(A865="","",IF(C865="",0,C865))</f>
        <v/>
      </c>
    </row>
    <row r="866">
      <c r="A866" s="58" t="n"/>
      <c r="B866" s="49">
        <f>IF(A866="","",CHOOSE(WEEKDAY(A866,2),"Пн","Вт","Ср","Чт","Пт","Сб","Вс"))</f>
        <v/>
      </c>
      <c r="C866" s="59" t="n"/>
      <c r="D866" s="59" t="n"/>
      <c r="E866" s="60">
        <f>IF(OR(C866="",D866=""),"",MOD(D866-C866,1)*24)</f>
        <v/>
      </c>
      <c r="F866" s="50" t="n"/>
      <c r="G866" s="51" t="n"/>
      <c r="H866" s="51" t="n"/>
      <c r="I866" s="51" t="n"/>
      <c r="J866" s="51" t="n"/>
      <c r="K866" s="51" t="n"/>
      <c r="L866" s="54">
        <f>IF(OR(A866="",C866="",D866=""),"",IF(COUNTIFS($A$5:$A$3004,A866,$C$5:$C$3004,"&lt;"&amp;D866,$D$5:$D$3004,"&gt;"&amp;C866)&gt;1,"⚠️ пересечение",""))</f>
        <v/>
      </c>
      <c r="M866" s="54">
        <f>IF(F866="","",IF(J866="✅ Сделано","✔ ",IF(J866="❌ Пропущено","✖ ","⏰ "))&amp;IF(C866="","",RIGHT("0"&amp;HOUR(C866),2)&amp;":"&amp;RIGHT("0"&amp;MINUTE(C866),2)&amp;IF(D866="","","–"&amp;RIGHT("0"&amp;HOUR(D866),2)&amp;":"&amp;RIGHT("0"&amp;MINUTE(D866),2))&amp;" ")&amp;F866)</f>
        <v/>
      </c>
      <c r="N866" s="54">
        <f>IF(OR(A866="",F866=""),"",A866&amp;"#"&amp;(COUNTIFS($A$5:$A$3004,A866,$F$5:$F$3004,"?*",$O$5:$O$3004,"&lt;"&amp;O866)+COUNTIFS($A$5:A866,A866,$F$5:F866,"?*",$O$5:O866,O866)))</f>
        <v/>
      </c>
      <c r="O866" s="54">
        <f>IF(A866="","",IF(C866="",0,C866))</f>
        <v/>
      </c>
    </row>
    <row r="867">
      <c r="A867" s="58" t="n"/>
      <c r="B867" s="49">
        <f>IF(A867="","",CHOOSE(WEEKDAY(A867,2),"Пн","Вт","Ср","Чт","Пт","Сб","Вс"))</f>
        <v/>
      </c>
      <c r="C867" s="59" t="n"/>
      <c r="D867" s="59" t="n"/>
      <c r="E867" s="60">
        <f>IF(OR(C867="",D867=""),"",MOD(D867-C867,1)*24)</f>
        <v/>
      </c>
      <c r="F867" s="50" t="n"/>
      <c r="G867" s="51" t="n"/>
      <c r="H867" s="51" t="n"/>
      <c r="I867" s="51" t="n"/>
      <c r="J867" s="51" t="n"/>
      <c r="K867" s="51" t="n"/>
      <c r="L867" s="54">
        <f>IF(OR(A867="",C867="",D867=""),"",IF(COUNTIFS($A$5:$A$3004,A867,$C$5:$C$3004,"&lt;"&amp;D867,$D$5:$D$3004,"&gt;"&amp;C867)&gt;1,"⚠️ пересечение",""))</f>
        <v/>
      </c>
      <c r="M867" s="54">
        <f>IF(F867="","",IF(J867="✅ Сделано","✔ ",IF(J867="❌ Пропущено","✖ ","⏰ "))&amp;IF(C867="","",RIGHT("0"&amp;HOUR(C867),2)&amp;":"&amp;RIGHT("0"&amp;MINUTE(C867),2)&amp;IF(D867="","","–"&amp;RIGHT("0"&amp;HOUR(D867),2)&amp;":"&amp;RIGHT("0"&amp;MINUTE(D867),2))&amp;" ")&amp;F867)</f>
        <v/>
      </c>
      <c r="N867" s="54">
        <f>IF(OR(A867="",F867=""),"",A867&amp;"#"&amp;(COUNTIFS($A$5:$A$3004,A867,$F$5:$F$3004,"?*",$O$5:$O$3004,"&lt;"&amp;O867)+COUNTIFS($A$5:A867,A867,$F$5:F867,"?*",$O$5:O867,O867)))</f>
        <v/>
      </c>
      <c r="O867" s="54">
        <f>IF(A867="","",IF(C867="",0,C867))</f>
        <v/>
      </c>
    </row>
    <row r="868">
      <c r="A868" s="58" t="n"/>
      <c r="B868" s="49">
        <f>IF(A868="","",CHOOSE(WEEKDAY(A868,2),"Пн","Вт","Ср","Чт","Пт","Сб","Вс"))</f>
        <v/>
      </c>
      <c r="C868" s="59" t="n"/>
      <c r="D868" s="59" t="n"/>
      <c r="E868" s="60">
        <f>IF(OR(C868="",D868=""),"",MOD(D868-C868,1)*24)</f>
        <v/>
      </c>
      <c r="F868" s="50" t="n"/>
      <c r="G868" s="51" t="n"/>
      <c r="H868" s="51" t="n"/>
      <c r="I868" s="51" t="n"/>
      <c r="J868" s="51" t="n"/>
      <c r="K868" s="51" t="n"/>
      <c r="L868" s="54">
        <f>IF(OR(A868="",C868="",D868=""),"",IF(COUNTIFS($A$5:$A$3004,A868,$C$5:$C$3004,"&lt;"&amp;D868,$D$5:$D$3004,"&gt;"&amp;C868)&gt;1,"⚠️ пересечение",""))</f>
        <v/>
      </c>
      <c r="M868" s="54">
        <f>IF(F868="","",IF(J868="✅ Сделано","✔ ",IF(J868="❌ Пропущено","✖ ","⏰ "))&amp;IF(C868="","",RIGHT("0"&amp;HOUR(C868),2)&amp;":"&amp;RIGHT("0"&amp;MINUTE(C868),2)&amp;IF(D868="","","–"&amp;RIGHT("0"&amp;HOUR(D868),2)&amp;":"&amp;RIGHT("0"&amp;MINUTE(D868),2))&amp;" ")&amp;F868)</f>
        <v/>
      </c>
      <c r="N868" s="54">
        <f>IF(OR(A868="",F868=""),"",A868&amp;"#"&amp;(COUNTIFS($A$5:$A$3004,A868,$F$5:$F$3004,"?*",$O$5:$O$3004,"&lt;"&amp;O868)+COUNTIFS($A$5:A868,A868,$F$5:F868,"?*",$O$5:O868,O868)))</f>
        <v/>
      </c>
      <c r="O868" s="54">
        <f>IF(A868="","",IF(C868="",0,C868))</f>
        <v/>
      </c>
    </row>
    <row r="869">
      <c r="A869" s="58" t="n"/>
      <c r="B869" s="49">
        <f>IF(A869="","",CHOOSE(WEEKDAY(A869,2),"Пн","Вт","Ср","Чт","Пт","Сб","Вс"))</f>
        <v/>
      </c>
      <c r="C869" s="59" t="n"/>
      <c r="D869" s="59" t="n"/>
      <c r="E869" s="60">
        <f>IF(OR(C869="",D869=""),"",MOD(D869-C869,1)*24)</f>
        <v/>
      </c>
      <c r="F869" s="50" t="n"/>
      <c r="G869" s="51" t="n"/>
      <c r="H869" s="51" t="n"/>
      <c r="I869" s="51" t="n"/>
      <c r="J869" s="51" t="n"/>
      <c r="K869" s="51" t="n"/>
      <c r="L869" s="54">
        <f>IF(OR(A869="",C869="",D869=""),"",IF(COUNTIFS($A$5:$A$3004,A869,$C$5:$C$3004,"&lt;"&amp;D869,$D$5:$D$3004,"&gt;"&amp;C869)&gt;1,"⚠️ пересечение",""))</f>
        <v/>
      </c>
      <c r="M869" s="54">
        <f>IF(F869="","",IF(J869="✅ Сделано","✔ ",IF(J869="❌ Пропущено","✖ ","⏰ "))&amp;IF(C869="","",RIGHT("0"&amp;HOUR(C869),2)&amp;":"&amp;RIGHT("0"&amp;MINUTE(C869),2)&amp;IF(D869="","","–"&amp;RIGHT("0"&amp;HOUR(D869),2)&amp;":"&amp;RIGHT("0"&amp;MINUTE(D869),2))&amp;" ")&amp;F869)</f>
        <v/>
      </c>
      <c r="N869" s="54">
        <f>IF(OR(A869="",F869=""),"",A869&amp;"#"&amp;(COUNTIFS($A$5:$A$3004,A869,$F$5:$F$3004,"?*",$O$5:$O$3004,"&lt;"&amp;O869)+COUNTIFS($A$5:A869,A869,$F$5:F869,"?*",$O$5:O869,O869)))</f>
        <v/>
      </c>
      <c r="O869" s="54">
        <f>IF(A869="","",IF(C869="",0,C869))</f>
        <v/>
      </c>
    </row>
    <row r="870">
      <c r="A870" s="58" t="n"/>
      <c r="B870" s="49">
        <f>IF(A870="","",CHOOSE(WEEKDAY(A870,2),"Пн","Вт","Ср","Чт","Пт","Сб","Вс"))</f>
        <v/>
      </c>
      <c r="C870" s="59" t="n"/>
      <c r="D870" s="59" t="n"/>
      <c r="E870" s="60">
        <f>IF(OR(C870="",D870=""),"",MOD(D870-C870,1)*24)</f>
        <v/>
      </c>
      <c r="F870" s="50" t="n"/>
      <c r="G870" s="51" t="n"/>
      <c r="H870" s="51" t="n"/>
      <c r="I870" s="51" t="n"/>
      <c r="J870" s="51" t="n"/>
      <c r="K870" s="51" t="n"/>
      <c r="L870" s="54">
        <f>IF(OR(A870="",C870="",D870=""),"",IF(COUNTIFS($A$5:$A$3004,A870,$C$5:$C$3004,"&lt;"&amp;D870,$D$5:$D$3004,"&gt;"&amp;C870)&gt;1,"⚠️ пересечение",""))</f>
        <v/>
      </c>
      <c r="M870" s="54">
        <f>IF(F870="","",IF(J870="✅ Сделано","✔ ",IF(J870="❌ Пропущено","✖ ","⏰ "))&amp;IF(C870="","",RIGHT("0"&amp;HOUR(C870),2)&amp;":"&amp;RIGHT("0"&amp;MINUTE(C870),2)&amp;IF(D870="","","–"&amp;RIGHT("0"&amp;HOUR(D870),2)&amp;":"&amp;RIGHT("0"&amp;MINUTE(D870),2))&amp;" ")&amp;F870)</f>
        <v/>
      </c>
      <c r="N870" s="54">
        <f>IF(OR(A870="",F870=""),"",A870&amp;"#"&amp;(COUNTIFS($A$5:$A$3004,A870,$F$5:$F$3004,"?*",$O$5:$O$3004,"&lt;"&amp;O870)+COUNTIFS($A$5:A870,A870,$F$5:F870,"?*",$O$5:O870,O870)))</f>
        <v/>
      </c>
      <c r="O870" s="54">
        <f>IF(A870="","",IF(C870="",0,C870))</f>
        <v/>
      </c>
    </row>
    <row r="871">
      <c r="A871" s="58" t="n"/>
      <c r="B871" s="49">
        <f>IF(A871="","",CHOOSE(WEEKDAY(A871,2),"Пн","Вт","Ср","Чт","Пт","Сб","Вс"))</f>
        <v/>
      </c>
      <c r="C871" s="59" t="n"/>
      <c r="D871" s="59" t="n"/>
      <c r="E871" s="60">
        <f>IF(OR(C871="",D871=""),"",MOD(D871-C871,1)*24)</f>
        <v/>
      </c>
      <c r="F871" s="50" t="n"/>
      <c r="G871" s="51" t="n"/>
      <c r="H871" s="51" t="n"/>
      <c r="I871" s="51" t="n"/>
      <c r="J871" s="51" t="n"/>
      <c r="K871" s="51" t="n"/>
      <c r="L871" s="54">
        <f>IF(OR(A871="",C871="",D871=""),"",IF(COUNTIFS($A$5:$A$3004,A871,$C$5:$C$3004,"&lt;"&amp;D871,$D$5:$D$3004,"&gt;"&amp;C871)&gt;1,"⚠️ пересечение",""))</f>
        <v/>
      </c>
      <c r="M871" s="54">
        <f>IF(F871="","",IF(J871="✅ Сделано","✔ ",IF(J871="❌ Пропущено","✖ ","⏰ "))&amp;IF(C871="","",RIGHT("0"&amp;HOUR(C871),2)&amp;":"&amp;RIGHT("0"&amp;MINUTE(C871),2)&amp;IF(D871="","","–"&amp;RIGHT("0"&amp;HOUR(D871),2)&amp;":"&amp;RIGHT("0"&amp;MINUTE(D871),2))&amp;" ")&amp;F871)</f>
        <v/>
      </c>
      <c r="N871" s="54">
        <f>IF(OR(A871="",F871=""),"",A871&amp;"#"&amp;(COUNTIFS($A$5:$A$3004,A871,$F$5:$F$3004,"?*",$O$5:$O$3004,"&lt;"&amp;O871)+COUNTIFS($A$5:A871,A871,$F$5:F871,"?*",$O$5:O871,O871)))</f>
        <v/>
      </c>
      <c r="O871" s="54">
        <f>IF(A871="","",IF(C871="",0,C871))</f>
        <v/>
      </c>
    </row>
    <row r="872">
      <c r="A872" s="58" t="n"/>
      <c r="B872" s="49">
        <f>IF(A872="","",CHOOSE(WEEKDAY(A872,2),"Пн","Вт","Ср","Чт","Пт","Сб","Вс"))</f>
        <v/>
      </c>
      <c r="C872" s="59" t="n"/>
      <c r="D872" s="59" t="n"/>
      <c r="E872" s="60">
        <f>IF(OR(C872="",D872=""),"",MOD(D872-C872,1)*24)</f>
        <v/>
      </c>
      <c r="F872" s="50" t="n"/>
      <c r="G872" s="51" t="n"/>
      <c r="H872" s="51" t="n"/>
      <c r="I872" s="51" t="n"/>
      <c r="J872" s="51" t="n"/>
      <c r="K872" s="51" t="n"/>
      <c r="L872" s="54">
        <f>IF(OR(A872="",C872="",D872=""),"",IF(COUNTIFS($A$5:$A$3004,A872,$C$5:$C$3004,"&lt;"&amp;D872,$D$5:$D$3004,"&gt;"&amp;C872)&gt;1,"⚠️ пересечение",""))</f>
        <v/>
      </c>
      <c r="M872" s="54">
        <f>IF(F872="","",IF(J872="✅ Сделано","✔ ",IF(J872="❌ Пропущено","✖ ","⏰ "))&amp;IF(C872="","",RIGHT("0"&amp;HOUR(C872),2)&amp;":"&amp;RIGHT("0"&amp;MINUTE(C872),2)&amp;IF(D872="","","–"&amp;RIGHT("0"&amp;HOUR(D872),2)&amp;":"&amp;RIGHT("0"&amp;MINUTE(D872),2))&amp;" ")&amp;F872)</f>
        <v/>
      </c>
      <c r="N872" s="54">
        <f>IF(OR(A872="",F872=""),"",A872&amp;"#"&amp;(COUNTIFS($A$5:$A$3004,A872,$F$5:$F$3004,"?*",$O$5:$O$3004,"&lt;"&amp;O872)+COUNTIFS($A$5:A872,A872,$F$5:F872,"?*",$O$5:O872,O872)))</f>
        <v/>
      </c>
      <c r="O872" s="54">
        <f>IF(A872="","",IF(C872="",0,C872))</f>
        <v/>
      </c>
    </row>
    <row r="873">
      <c r="A873" s="58" t="n"/>
      <c r="B873" s="49">
        <f>IF(A873="","",CHOOSE(WEEKDAY(A873,2),"Пн","Вт","Ср","Чт","Пт","Сб","Вс"))</f>
        <v/>
      </c>
      <c r="C873" s="59" t="n"/>
      <c r="D873" s="59" t="n"/>
      <c r="E873" s="60">
        <f>IF(OR(C873="",D873=""),"",MOD(D873-C873,1)*24)</f>
        <v/>
      </c>
      <c r="F873" s="50" t="n"/>
      <c r="G873" s="51" t="n"/>
      <c r="H873" s="51" t="n"/>
      <c r="I873" s="51" t="n"/>
      <c r="J873" s="51" t="n"/>
      <c r="K873" s="51" t="n"/>
      <c r="L873" s="54">
        <f>IF(OR(A873="",C873="",D873=""),"",IF(COUNTIFS($A$5:$A$3004,A873,$C$5:$C$3004,"&lt;"&amp;D873,$D$5:$D$3004,"&gt;"&amp;C873)&gt;1,"⚠️ пересечение",""))</f>
        <v/>
      </c>
      <c r="M873" s="54">
        <f>IF(F873="","",IF(J873="✅ Сделано","✔ ",IF(J873="❌ Пропущено","✖ ","⏰ "))&amp;IF(C873="","",RIGHT("0"&amp;HOUR(C873),2)&amp;":"&amp;RIGHT("0"&amp;MINUTE(C873),2)&amp;IF(D873="","","–"&amp;RIGHT("0"&amp;HOUR(D873),2)&amp;":"&amp;RIGHT("0"&amp;MINUTE(D873),2))&amp;" ")&amp;F873)</f>
        <v/>
      </c>
      <c r="N873" s="54">
        <f>IF(OR(A873="",F873=""),"",A873&amp;"#"&amp;(COUNTIFS($A$5:$A$3004,A873,$F$5:$F$3004,"?*",$O$5:$O$3004,"&lt;"&amp;O873)+COUNTIFS($A$5:A873,A873,$F$5:F873,"?*",$O$5:O873,O873)))</f>
        <v/>
      </c>
      <c r="O873" s="54">
        <f>IF(A873="","",IF(C873="",0,C873))</f>
        <v/>
      </c>
    </row>
    <row r="874">
      <c r="A874" s="58" t="n"/>
      <c r="B874" s="49">
        <f>IF(A874="","",CHOOSE(WEEKDAY(A874,2),"Пн","Вт","Ср","Чт","Пт","Сб","Вс"))</f>
        <v/>
      </c>
      <c r="C874" s="59" t="n"/>
      <c r="D874" s="59" t="n"/>
      <c r="E874" s="60">
        <f>IF(OR(C874="",D874=""),"",MOD(D874-C874,1)*24)</f>
        <v/>
      </c>
      <c r="F874" s="50" t="n"/>
      <c r="G874" s="51" t="n"/>
      <c r="H874" s="51" t="n"/>
      <c r="I874" s="51" t="n"/>
      <c r="J874" s="51" t="n"/>
      <c r="K874" s="51" t="n"/>
      <c r="L874" s="54">
        <f>IF(OR(A874="",C874="",D874=""),"",IF(COUNTIFS($A$5:$A$3004,A874,$C$5:$C$3004,"&lt;"&amp;D874,$D$5:$D$3004,"&gt;"&amp;C874)&gt;1,"⚠️ пересечение",""))</f>
        <v/>
      </c>
      <c r="M874" s="54">
        <f>IF(F874="","",IF(J874="✅ Сделано","✔ ",IF(J874="❌ Пропущено","✖ ","⏰ "))&amp;IF(C874="","",RIGHT("0"&amp;HOUR(C874),2)&amp;":"&amp;RIGHT("0"&amp;MINUTE(C874),2)&amp;IF(D874="","","–"&amp;RIGHT("0"&amp;HOUR(D874),2)&amp;":"&amp;RIGHT("0"&amp;MINUTE(D874),2))&amp;" ")&amp;F874)</f>
        <v/>
      </c>
      <c r="N874" s="54">
        <f>IF(OR(A874="",F874=""),"",A874&amp;"#"&amp;(COUNTIFS($A$5:$A$3004,A874,$F$5:$F$3004,"?*",$O$5:$O$3004,"&lt;"&amp;O874)+COUNTIFS($A$5:A874,A874,$F$5:F874,"?*",$O$5:O874,O874)))</f>
        <v/>
      </c>
      <c r="O874" s="54">
        <f>IF(A874="","",IF(C874="",0,C874))</f>
        <v/>
      </c>
    </row>
    <row r="875">
      <c r="A875" s="58" t="n"/>
      <c r="B875" s="49">
        <f>IF(A875="","",CHOOSE(WEEKDAY(A875,2),"Пн","Вт","Ср","Чт","Пт","Сб","Вс"))</f>
        <v/>
      </c>
      <c r="C875" s="59" t="n"/>
      <c r="D875" s="59" t="n"/>
      <c r="E875" s="60">
        <f>IF(OR(C875="",D875=""),"",MOD(D875-C875,1)*24)</f>
        <v/>
      </c>
      <c r="F875" s="50" t="n"/>
      <c r="G875" s="51" t="n"/>
      <c r="H875" s="51" t="n"/>
      <c r="I875" s="51" t="n"/>
      <c r="J875" s="51" t="n"/>
      <c r="K875" s="51" t="n"/>
      <c r="L875" s="54">
        <f>IF(OR(A875="",C875="",D875=""),"",IF(COUNTIFS($A$5:$A$3004,A875,$C$5:$C$3004,"&lt;"&amp;D875,$D$5:$D$3004,"&gt;"&amp;C875)&gt;1,"⚠️ пересечение",""))</f>
        <v/>
      </c>
      <c r="M875" s="54">
        <f>IF(F875="","",IF(J875="✅ Сделано","✔ ",IF(J875="❌ Пропущено","✖ ","⏰ "))&amp;IF(C875="","",RIGHT("0"&amp;HOUR(C875),2)&amp;":"&amp;RIGHT("0"&amp;MINUTE(C875),2)&amp;IF(D875="","","–"&amp;RIGHT("0"&amp;HOUR(D875),2)&amp;":"&amp;RIGHT("0"&amp;MINUTE(D875),2))&amp;" ")&amp;F875)</f>
        <v/>
      </c>
      <c r="N875" s="54">
        <f>IF(OR(A875="",F875=""),"",A875&amp;"#"&amp;(COUNTIFS($A$5:$A$3004,A875,$F$5:$F$3004,"?*",$O$5:$O$3004,"&lt;"&amp;O875)+COUNTIFS($A$5:A875,A875,$F$5:F875,"?*",$O$5:O875,O875)))</f>
        <v/>
      </c>
      <c r="O875" s="54">
        <f>IF(A875="","",IF(C875="",0,C875))</f>
        <v/>
      </c>
    </row>
    <row r="876">
      <c r="A876" s="58" t="n"/>
      <c r="B876" s="49">
        <f>IF(A876="","",CHOOSE(WEEKDAY(A876,2),"Пн","Вт","Ср","Чт","Пт","Сб","Вс"))</f>
        <v/>
      </c>
      <c r="C876" s="59" t="n"/>
      <c r="D876" s="59" t="n"/>
      <c r="E876" s="60">
        <f>IF(OR(C876="",D876=""),"",MOD(D876-C876,1)*24)</f>
        <v/>
      </c>
      <c r="F876" s="50" t="n"/>
      <c r="G876" s="51" t="n"/>
      <c r="H876" s="51" t="n"/>
      <c r="I876" s="51" t="n"/>
      <c r="J876" s="51" t="n"/>
      <c r="K876" s="51" t="n"/>
      <c r="L876" s="54">
        <f>IF(OR(A876="",C876="",D876=""),"",IF(COUNTIFS($A$5:$A$3004,A876,$C$5:$C$3004,"&lt;"&amp;D876,$D$5:$D$3004,"&gt;"&amp;C876)&gt;1,"⚠️ пересечение",""))</f>
        <v/>
      </c>
      <c r="M876" s="54">
        <f>IF(F876="","",IF(J876="✅ Сделано","✔ ",IF(J876="❌ Пропущено","✖ ","⏰ "))&amp;IF(C876="","",RIGHT("0"&amp;HOUR(C876),2)&amp;":"&amp;RIGHT("0"&amp;MINUTE(C876),2)&amp;IF(D876="","","–"&amp;RIGHT("0"&amp;HOUR(D876),2)&amp;":"&amp;RIGHT("0"&amp;MINUTE(D876),2))&amp;" ")&amp;F876)</f>
        <v/>
      </c>
      <c r="N876" s="54">
        <f>IF(OR(A876="",F876=""),"",A876&amp;"#"&amp;(COUNTIFS($A$5:$A$3004,A876,$F$5:$F$3004,"?*",$O$5:$O$3004,"&lt;"&amp;O876)+COUNTIFS($A$5:A876,A876,$F$5:F876,"?*",$O$5:O876,O876)))</f>
        <v/>
      </c>
      <c r="O876" s="54">
        <f>IF(A876="","",IF(C876="",0,C876))</f>
        <v/>
      </c>
    </row>
    <row r="877">
      <c r="A877" s="58" t="n"/>
      <c r="B877" s="49">
        <f>IF(A877="","",CHOOSE(WEEKDAY(A877,2),"Пн","Вт","Ср","Чт","Пт","Сб","Вс"))</f>
        <v/>
      </c>
      <c r="C877" s="59" t="n"/>
      <c r="D877" s="59" t="n"/>
      <c r="E877" s="60">
        <f>IF(OR(C877="",D877=""),"",MOD(D877-C877,1)*24)</f>
        <v/>
      </c>
      <c r="F877" s="50" t="n"/>
      <c r="G877" s="51" t="n"/>
      <c r="H877" s="51" t="n"/>
      <c r="I877" s="51" t="n"/>
      <c r="J877" s="51" t="n"/>
      <c r="K877" s="51" t="n"/>
      <c r="L877" s="54">
        <f>IF(OR(A877="",C877="",D877=""),"",IF(COUNTIFS($A$5:$A$3004,A877,$C$5:$C$3004,"&lt;"&amp;D877,$D$5:$D$3004,"&gt;"&amp;C877)&gt;1,"⚠️ пересечение",""))</f>
        <v/>
      </c>
      <c r="M877" s="54">
        <f>IF(F877="","",IF(J877="✅ Сделано","✔ ",IF(J877="❌ Пропущено","✖ ","⏰ "))&amp;IF(C877="","",RIGHT("0"&amp;HOUR(C877),2)&amp;":"&amp;RIGHT("0"&amp;MINUTE(C877),2)&amp;IF(D877="","","–"&amp;RIGHT("0"&amp;HOUR(D877),2)&amp;":"&amp;RIGHT("0"&amp;MINUTE(D877),2))&amp;" ")&amp;F877)</f>
        <v/>
      </c>
      <c r="N877" s="54">
        <f>IF(OR(A877="",F877=""),"",A877&amp;"#"&amp;(COUNTIFS($A$5:$A$3004,A877,$F$5:$F$3004,"?*",$O$5:$O$3004,"&lt;"&amp;O877)+COUNTIFS($A$5:A877,A877,$F$5:F877,"?*",$O$5:O877,O877)))</f>
        <v/>
      </c>
      <c r="O877" s="54">
        <f>IF(A877="","",IF(C877="",0,C877))</f>
        <v/>
      </c>
    </row>
    <row r="878">
      <c r="A878" s="58" t="n"/>
      <c r="B878" s="49">
        <f>IF(A878="","",CHOOSE(WEEKDAY(A878,2),"Пн","Вт","Ср","Чт","Пт","Сб","Вс"))</f>
        <v/>
      </c>
      <c r="C878" s="59" t="n"/>
      <c r="D878" s="59" t="n"/>
      <c r="E878" s="60">
        <f>IF(OR(C878="",D878=""),"",MOD(D878-C878,1)*24)</f>
        <v/>
      </c>
      <c r="F878" s="50" t="n"/>
      <c r="G878" s="51" t="n"/>
      <c r="H878" s="51" t="n"/>
      <c r="I878" s="51" t="n"/>
      <c r="J878" s="51" t="n"/>
      <c r="K878" s="51" t="n"/>
      <c r="L878" s="54">
        <f>IF(OR(A878="",C878="",D878=""),"",IF(COUNTIFS($A$5:$A$3004,A878,$C$5:$C$3004,"&lt;"&amp;D878,$D$5:$D$3004,"&gt;"&amp;C878)&gt;1,"⚠️ пересечение",""))</f>
        <v/>
      </c>
      <c r="M878" s="54">
        <f>IF(F878="","",IF(J878="✅ Сделано","✔ ",IF(J878="❌ Пропущено","✖ ","⏰ "))&amp;IF(C878="","",RIGHT("0"&amp;HOUR(C878),2)&amp;":"&amp;RIGHT("0"&amp;MINUTE(C878),2)&amp;IF(D878="","","–"&amp;RIGHT("0"&amp;HOUR(D878),2)&amp;":"&amp;RIGHT("0"&amp;MINUTE(D878),2))&amp;" ")&amp;F878)</f>
        <v/>
      </c>
      <c r="N878" s="54">
        <f>IF(OR(A878="",F878=""),"",A878&amp;"#"&amp;(COUNTIFS($A$5:$A$3004,A878,$F$5:$F$3004,"?*",$O$5:$O$3004,"&lt;"&amp;O878)+COUNTIFS($A$5:A878,A878,$F$5:F878,"?*",$O$5:O878,O878)))</f>
        <v/>
      </c>
      <c r="O878" s="54">
        <f>IF(A878="","",IF(C878="",0,C878))</f>
        <v/>
      </c>
    </row>
    <row r="879">
      <c r="A879" s="58" t="n"/>
      <c r="B879" s="49">
        <f>IF(A879="","",CHOOSE(WEEKDAY(A879,2),"Пн","Вт","Ср","Чт","Пт","Сб","Вс"))</f>
        <v/>
      </c>
      <c r="C879" s="59" t="n"/>
      <c r="D879" s="59" t="n"/>
      <c r="E879" s="60">
        <f>IF(OR(C879="",D879=""),"",MOD(D879-C879,1)*24)</f>
        <v/>
      </c>
      <c r="F879" s="50" t="n"/>
      <c r="G879" s="51" t="n"/>
      <c r="H879" s="51" t="n"/>
      <c r="I879" s="51" t="n"/>
      <c r="J879" s="51" t="n"/>
      <c r="K879" s="51" t="n"/>
      <c r="L879" s="54">
        <f>IF(OR(A879="",C879="",D879=""),"",IF(COUNTIFS($A$5:$A$3004,A879,$C$5:$C$3004,"&lt;"&amp;D879,$D$5:$D$3004,"&gt;"&amp;C879)&gt;1,"⚠️ пересечение",""))</f>
        <v/>
      </c>
      <c r="M879" s="54">
        <f>IF(F879="","",IF(J879="✅ Сделано","✔ ",IF(J879="❌ Пропущено","✖ ","⏰ "))&amp;IF(C879="","",RIGHT("0"&amp;HOUR(C879),2)&amp;":"&amp;RIGHT("0"&amp;MINUTE(C879),2)&amp;IF(D879="","","–"&amp;RIGHT("0"&amp;HOUR(D879),2)&amp;":"&amp;RIGHT("0"&amp;MINUTE(D879),2))&amp;" ")&amp;F879)</f>
        <v/>
      </c>
      <c r="N879" s="54">
        <f>IF(OR(A879="",F879=""),"",A879&amp;"#"&amp;(COUNTIFS($A$5:$A$3004,A879,$F$5:$F$3004,"?*",$O$5:$O$3004,"&lt;"&amp;O879)+COUNTIFS($A$5:A879,A879,$F$5:F879,"?*",$O$5:O879,O879)))</f>
        <v/>
      </c>
      <c r="O879" s="54">
        <f>IF(A879="","",IF(C879="",0,C879))</f>
        <v/>
      </c>
    </row>
    <row r="880">
      <c r="A880" s="58" t="n"/>
      <c r="B880" s="49">
        <f>IF(A880="","",CHOOSE(WEEKDAY(A880,2),"Пн","Вт","Ср","Чт","Пт","Сб","Вс"))</f>
        <v/>
      </c>
      <c r="C880" s="59" t="n"/>
      <c r="D880" s="59" t="n"/>
      <c r="E880" s="60">
        <f>IF(OR(C880="",D880=""),"",MOD(D880-C880,1)*24)</f>
        <v/>
      </c>
      <c r="F880" s="50" t="n"/>
      <c r="G880" s="51" t="n"/>
      <c r="H880" s="51" t="n"/>
      <c r="I880" s="51" t="n"/>
      <c r="J880" s="51" t="n"/>
      <c r="K880" s="51" t="n"/>
      <c r="L880" s="54">
        <f>IF(OR(A880="",C880="",D880=""),"",IF(COUNTIFS($A$5:$A$3004,A880,$C$5:$C$3004,"&lt;"&amp;D880,$D$5:$D$3004,"&gt;"&amp;C880)&gt;1,"⚠️ пересечение",""))</f>
        <v/>
      </c>
      <c r="M880" s="54">
        <f>IF(F880="","",IF(J880="✅ Сделано","✔ ",IF(J880="❌ Пропущено","✖ ","⏰ "))&amp;IF(C880="","",RIGHT("0"&amp;HOUR(C880),2)&amp;":"&amp;RIGHT("0"&amp;MINUTE(C880),2)&amp;IF(D880="","","–"&amp;RIGHT("0"&amp;HOUR(D880),2)&amp;":"&amp;RIGHT("0"&amp;MINUTE(D880),2))&amp;" ")&amp;F880)</f>
        <v/>
      </c>
      <c r="N880" s="54">
        <f>IF(OR(A880="",F880=""),"",A880&amp;"#"&amp;(COUNTIFS($A$5:$A$3004,A880,$F$5:$F$3004,"?*",$O$5:$O$3004,"&lt;"&amp;O880)+COUNTIFS($A$5:A880,A880,$F$5:F880,"?*",$O$5:O880,O880)))</f>
        <v/>
      </c>
      <c r="O880" s="54">
        <f>IF(A880="","",IF(C880="",0,C880))</f>
        <v/>
      </c>
    </row>
    <row r="881">
      <c r="A881" s="58" t="n"/>
      <c r="B881" s="49">
        <f>IF(A881="","",CHOOSE(WEEKDAY(A881,2),"Пн","Вт","Ср","Чт","Пт","Сб","Вс"))</f>
        <v/>
      </c>
      <c r="C881" s="59" t="n"/>
      <c r="D881" s="59" t="n"/>
      <c r="E881" s="60">
        <f>IF(OR(C881="",D881=""),"",MOD(D881-C881,1)*24)</f>
        <v/>
      </c>
      <c r="F881" s="50" t="n"/>
      <c r="G881" s="51" t="n"/>
      <c r="H881" s="51" t="n"/>
      <c r="I881" s="51" t="n"/>
      <c r="J881" s="51" t="n"/>
      <c r="K881" s="51" t="n"/>
      <c r="L881" s="54">
        <f>IF(OR(A881="",C881="",D881=""),"",IF(COUNTIFS($A$5:$A$3004,A881,$C$5:$C$3004,"&lt;"&amp;D881,$D$5:$D$3004,"&gt;"&amp;C881)&gt;1,"⚠️ пересечение",""))</f>
        <v/>
      </c>
      <c r="M881" s="54">
        <f>IF(F881="","",IF(J881="✅ Сделано","✔ ",IF(J881="❌ Пропущено","✖ ","⏰ "))&amp;IF(C881="","",RIGHT("0"&amp;HOUR(C881),2)&amp;":"&amp;RIGHT("0"&amp;MINUTE(C881),2)&amp;IF(D881="","","–"&amp;RIGHT("0"&amp;HOUR(D881),2)&amp;":"&amp;RIGHT("0"&amp;MINUTE(D881),2))&amp;" ")&amp;F881)</f>
        <v/>
      </c>
      <c r="N881" s="54">
        <f>IF(OR(A881="",F881=""),"",A881&amp;"#"&amp;(COUNTIFS($A$5:$A$3004,A881,$F$5:$F$3004,"?*",$O$5:$O$3004,"&lt;"&amp;O881)+COUNTIFS($A$5:A881,A881,$F$5:F881,"?*",$O$5:O881,O881)))</f>
        <v/>
      </c>
      <c r="O881" s="54">
        <f>IF(A881="","",IF(C881="",0,C881))</f>
        <v/>
      </c>
    </row>
    <row r="882">
      <c r="A882" s="58" t="n"/>
      <c r="B882" s="49">
        <f>IF(A882="","",CHOOSE(WEEKDAY(A882,2),"Пн","Вт","Ср","Чт","Пт","Сб","Вс"))</f>
        <v/>
      </c>
      <c r="C882" s="59" t="n"/>
      <c r="D882" s="59" t="n"/>
      <c r="E882" s="60">
        <f>IF(OR(C882="",D882=""),"",MOD(D882-C882,1)*24)</f>
        <v/>
      </c>
      <c r="F882" s="50" t="n"/>
      <c r="G882" s="51" t="n"/>
      <c r="H882" s="51" t="n"/>
      <c r="I882" s="51" t="n"/>
      <c r="J882" s="51" t="n"/>
      <c r="K882" s="51" t="n"/>
      <c r="L882" s="54">
        <f>IF(OR(A882="",C882="",D882=""),"",IF(COUNTIFS($A$5:$A$3004,A882,$C$5:$C$3004,"&lt;"&amp;D882,$D$5:$D$3004,"&gt;"&amp;C882)&gt;1,"⚠️ пересечение",""))</f>
        <v/>
      </c>
      <c r="M882" s="54">
        <f>IF(F882="","",IF(J882="✅ Сделано","✔ ",IF(J882="❌ Пропущено","✖ ","⏰ "))&amp;IF(C882="","",RIGHT("0"&amp;HOUR(C882),2)&amp;":"&amp;RIGHT("0"&amp;MINUTE(C882),2)&amp;IF(D882="","","–"&amp;RIGHT("0"&amp;HOUR(D882),2)&amp;":"&amp;RIGHT("0"&amp;MINUTE(D882),2))&amp;" ")&amp;F882)</f>
        <v/>
      </c>
      <c r="N882" s="54">
        <f>IF(OR(A882="",F882=""),"",A882&amp;"#"&amp;(COUNTIFS($A$5:$A$3004,A882,$F$5:$F$3004,"?*",$O$5:$O$3004,"&lt;"&amp;O882)+COUNTIFS($A$5:A882,A882,$F$5:F882,"?*",$O$5:O882,O882)))</f>
        <v/>
      </c>
      <c r="O882" s="54">
        <f>IF(A882="","",IF(C882="",0,C882))</f>
        <v/>
      </c>
    </row>
    <row r="883">
      <c r="A883" s="58" t="n"/>
      <c r="B883" s="49">
        <f>IF(A883="","",CHOOSE(WEEKDAY(A883,2),"Пн","Вт","Ср","Чт","Пт","Сб","Вс"))</f>
        <v/>
      </c>
      <c r="C883" s="59" t="n"/>
      <c r="D883" s="59" t="n"/>
      <c r="E883" s="60">
        <f>IF(OR(C883="",D883=""),"",MOD(D883-C883,1)*24)</f>
        <v/>
      </c>
      <c r="F883" s="50" t="n"/>
      <c r="G883" s="51" t="n"/>
      <c r="H883" s="51" t="n"/>
      <c r="I883" s="51" t="n"/>
      <c r="J883" s="51" t="n"/>
      <c r="K883" s="51" t="n"/>
      <c r="L883" s="54">
        <f>IF(OR(A883="",C883="",D883=""),"",IF(COUNTIFS($A$5:$A$3004,A883,$C$5:$C$3004,"&lt;"&amp;D883,$D$5:$D$3004,"&gt;"&amp;C883)&gt;1,"⚠️ пересечение",""))</f>
        <v/>
      </c>
      <c r="M883" s="54">
        <f>IF(F883="","",IF(J883="✅ Сделано","✔ ",IF(J883="❌ Пропущено","✖ ","⏰ "))&amp;IF(C883="","",RIGHT("0"&amp;HOUR(C883),2)&amp;":"&amp;RIGHT("0"&amp;MINUTE(C883),2)&amp;IF(D883="","","–"&amp;RIGHT("0"&amp;HOUR(D883),2)&amp;":"&amp;RIGHT("0"&amp;MINUTE(D883),2))&amp;" ")&amp;F883)</f>
        <v/>
      </c>
      <c r="N883" s="54">
        <f>IF(OR(A883="",F883=""),"",A883&amp;"#"&amp;(COUNTIFS($A$5:$A$3004,A883,$F$5:$F$3004,"?*",$O$5:$O$3004,"&lt;"&amp;O883)+COUNTIFS($A$5:A883,A883,$F$5:F883,"?*",$O$5:O883,O883)))</f>
        <v/>
      </c>
      <c r="O883" s="54">
        <f>IF(A883="","",IF(C883="",0,C883))</f>
        <v/>
      </c>
    </row>
    <row r="884">
      <c r="A884" s="58" t="n"/>
      <c r="B884" s="49">
        <f>IF(A884="","",CHOOSE(WEEKDAY(A884,2),"Пн","Вт","Ср","Чт","Пт","Сб","Вс"))</f>
        <v/>
      </c>
      <c r="C884" s="59" t="n"/>
      <c r="D884" s="59" t="n"/>
      <c r="E884" s="60">
        <f>IF(OR(C884="",D884=""),"",MOD(D884-C884,1)*24)</f>
        <v/>
      </c>
      <c r="F884" s="50" t="n"/>
      <c r="G884" s="51" t="n"/>
      <c r="H884" s="51" t="n"/>
      <c r="I884" s="51" t="n"/>
      <c r="J884" s="51" t="n"/>
      <c r="K884" s="51" t="n"/>
      <c r="L884" s="54">
        <f>IF(OR(A884="",C884="",D884=""),"",IF(COUNTIFS($A$5:$A$3004,A884,$C$5:$C$3004,"&lt;"&amp;D884,$D$5:$D$3004,"&gt;"&amp;C884)&gt;1,"⚠️ пересечение",""))</f>
        <v/>
      </c>
      <c r="M884" s="54">
        <f>IF(F884="","",IF(J884="✅ Сделано","✔ ",IF(J884="❌ Пропущено","✖ ","⏰ "))&amp;IF(C884="","",RIGHT("0"&amp;HOUR(C884),2)&amp;":"&amp;RIGHT("0"&amp;MINUTE(C884),2)&amp;IF(D884="","","–"&amp;RIGHT("0"&amp;HOUR(D884),2)&amp;":"&amp;RIGHT("0"&amp;MINUTE(D884),2))&amp;" ")&amp;F884)</f>
        <v/>
      </c>
      <c r="N884" s="54">
        <f>IF(OR(A884="",F884=""),"",A884&amp;"#"&amp;(COUNTIFS($A$5:$A$3004,A884,$F$5:$F$3004,"?*",$O$5:$O$3004,"&lt;"&amp;O884)+COUNTIFS($A$5:A884,A884,$F$5:F884,"?*",$O$5:O884,O884)))</f>
        <v/>
      </c>
      <c r="O884" s="54">
        <f>IF(A884="","",IF(C884="",0,C884))</f>
        <v/>
      </c>
    </row>
    <row r="885">
      <c r="A885" s="58" t="n"/>
      <c r="B885" s="49">
        <f>IF(A885="","",CHOOSE(WEEKDAY(A885,2),"Пн","Вт","Ср","Чт","Пт","Сб","Вс"))</f>
        <v/>
      </c>
      <c r="C885" s="59" t="n"/>
      <c r="D885" s="59" t="n"/>
      <c r="E885" s="60">
        <f>IF(OR(C885="",D885=""),"",MOD(D885-C885,1)*24)</f>
        <v/>
      </c>
      <c r="F885" s="50" t="n"/>
      <c r="G885" s="51" t="n"/>
      <c r="H885" s="51" t="n"/>
      <c r="I885" s="51" t="n"/>
      <c r="J885" s="51" t="n"/>
      <c r="K885" s="51" t="n"/>
      <c r="L885" s="54">
        <f>IF(OR(A885="",C885="",D885=""),"",IF(COUNTIFS($A$5:$A$3004,A885,$C$5:$C$3004,"&lt;"&amp;D885,$D$5:$D$3004,"&gt;"&amp;C885)&gt;1,"⚠️ пересечение",""))</f>
        <v/>
      </c>
      <c r="M885" s="54">
        <f>IF(F885="","",IF(J885="✅ Сделано","✔ ",IF(J885="❌ Пропущено","✖ ","⏰ "))&amp;IF(C885="","",RIGHT("0"&amp;HOUR(C885),2)&amp;":"&amp;RIGHT("0"&amp;MINUTE(C885),2)&amp;IF(D885="","","–"&amp;RIGHT("0"&amp;HOUR(D885),2)&amp;":"&amp;RIGHT("0"&amp;MINUTE(D885),2))&amp;" ")&amp;F885)</f>
        <v/>
      </c>
      <c r="N885" s="54">
        <f>IF(OR(A885="",F885=""),"",A885&amp;"#"&amp;(COUNTIFS($A$5:$A$3004,A885,$F$5:$F$3004,"?*",$O$5:$O$3004,"&lt;"&amp;O885)+COUNTIFS($A$5:A885,A885,$F$5:F885,"?*",$O$5:O885,O885)))</f>
        <v/>
      </c>
      <c r="O885" s="54">
        <f>IF(A885="","",IF(C885="",0,C885))</f>
        <v/>
      </c>
    </row>
    <row r="886">
      <c r="A886" s="58" t="n"/>
      <c r="B886" s="49">
        <f>IF(A886="","",CHOOSE(WEEKDAY(A886,2),"Пн","Вт","Ср","Чт","Пт","Сб","Вс"))</f>
        <v/>
      </c>
      <c r="C886" s="59" t="n"/>
      <c r="D886" s="59" t="n"/>
      <c r="E886" s="60">
        <f>IF(OR(C886="",D886=""),"",MOD(D886-C886,1)*24)</f>
        <v/>
      </c>
      <c r="F886" s="50" t="n"/>
      <c r="G886" s="51" t="n"/>
      <c r="H886" s="51" t="n"/>
      <c r="I886" s="51" t="n"/>
      <c r="J886" s="51" t="n"/>
      <c r="K886" s="51" t="n"/>
      <c r="L886" s="54">
        <f>IF(OR(A886="",C886="",D886=""),"",IF(COUNTIFS($A$5:$A$3004,A886,$C$5:$C$3004,"&lt;"&amp;D886,$D$5:$D$3004,"&gt;"&amp;C886)&gt;1,"⚠️ пересечение",""))</f>
        <v/>
      </c>
      <c r="M886" s="54">
        <f>IF(F886="","",IF(J886="✅ Сделано","✔ ",IF(J886="❌ Пропущено","✖ ","⏰ "))&amp;IF(C886="","",RIGHT("0"&amp;HOUR(C886),2)&amp;":"&amp;RIGHT("0"&amp;MINUTE(C886),2)&amp;IF(D886="","","–"&amp;RIGHT("0"&amp;HOUR(D886),2)&amp;":"&amp;RIGHT("0"&amp;MINUTE(D886),2))&amp;" ")&amp;F886)</f>
        <v/>
      </c>
      <c r="N886" s="54">
        <f>IF(OR(A886="",F886=""),"",A886&amp;"#"&amp;(COUNTIFS($A$5:$A$3004,A886,$F$5:$F$3004,"?*",$O$5:$O$3004,"&lt;"&amp;O886)+COUNTIFS($A$5:A886,A886,$F$5:F886,"?*",$O$5:O886,O886)))</f>
        <v/>
      </c>
      <c r="O886" s="54">
        <f>IF(A886="","",IF(C886="",0,C886))</f>
        <v/>
      </c>
    </row>
    <row r="887">
      <c r="A887" s="58" t="n"/>
      <c r="B887" s="49">
        <f>IF(A887="","",CHOOSE(WEEKDAY(A887,2),"Пн","Вт","Ср","Чт","Пт","Сб","Вс"))</f>
        <v/>
      </c>
      <c r="C887" s="59" t="n"/>
      <c r="D887" s="59" t="n"/>
      <c r="E887" s="60">
        <f>IF(OR(C887="",D887=""),"",MOD(D887-C887,1)*24)</f>
        <v/>
      </c>
      <c r="F887" s="50" t="n"/>
      <c r="G887" s="51" t="n"/>
      <c r="H887" s="51" t="n"/>
      <c r="I887" s="51" t="n"/>
      <c r="J887" s="51" t="n"/>
      <c r="K887" s="51" t="n"/>
      <c r="L887" s="54">
        <f>IF(OR(A887="",C887="",D887=""),"",IF(COUNTIFS($A$5:$A$3004,A887,$C$5:$C$3004,"&lt;"&amp;D887,$D$5:$D$3004,"&gt;"&amp;C887)&gt;1,"⚠️ пересечение",""))</f>
        <v/>
      </c>
      <c r="M887" s="54">
        <f>IF(F887="","",IF(J887="✅ Сделано","✔ ",IF(J887="❌ Пропущено","✖ ","⏰ "))&amp;IF(C887="","",RIGHT("0"&amp;HOUR(C887),2)&amp;":"&amp;RIGHT("0"&amp;MINUTE(C887),2)&amp;IF(D887="","","–"&amp;RIGHT("0"&amp;HOUR(D887),2)&amp;":"&amp;RIGHT("0"&amp;MINUTE(D887),2))&amp;" ")&amp;F887)</f>
        <v/>
      </c>
      <c r="N887" s="54">
        <f>IF(OR(A887="",F887=""),"",A887&amp;"#"&amp;(COUNTIFS($A$5:$A$3004,A887,$F$5:$F$3004,"?*",$O$5:$O$3004,"&lt;"&amp;O887)+COUNTIFS($A$5:A887,A887,$F$5:F887,"?*",$O$5:O887,O887)))</f>
        <v/>
      </c>
      <c r="O887" s="54">
        <f>IF(A887="","",IF(C887="",0,C887))</f>
        <v/>
      </c>
    </row>
    <row r="888">
      <c r="A888" s="58" t="n"/>
      <c r="B888" s="49">
        <f>IF(A888="","",CHOOSE(WEEKDAY(A888,2),"Пн","Вт","Ср","Чт","Пт","Сб","Вс"))</f>
        <v/>
      </c>
      <c r="C888" s="59" t="n"/>
      <c r="D888" s="59" t="n"/>
      <c r="E888" s="60">
        <f>IF(OR(C888="",D888=""),"",MOD(D888-C888,1)*24)</f>
        <v/>
      </c>
      <c r="F888" s="50" t="n"/>
      <c r="G888" s="51" t="n"/>
      <c r="H888" s="51" t="n"/>
      <c r="I888" s="51" t="n"/>
      <c r="J888" s="51" t="n"/>
      <c r="K888" s="51" t="n"/>
      <c r="L888" s="54">
        <f>IF(OR(A888="",C888="",D888=""),"",IF(COUNTIFS($A$5:$A$3004,A888,$C$5:$C$3004,"&lt;"&amp;D888,$D$5:$D$3004,"&gt;"&amp;C888)&gt;1,"⚠️ пересечение",""))</f>
        <v/>
      </c>
      <c r="M888" s="54">
        <f>IF(F888="","",IF(J888="✅ Сделано","✔ ",IF(J888="❌ Пропущено","✖ ","⏰ "))&amp;IF(C888="","",RIGHT("0"&amp;HOUR(C888),2)&amp;":"&amp;RIGHT("0"&amp;MINUTE(C888),2)&amp;IF(D888="","","–"&amp;RIGHT("0"&amp;HOUR(D888),2)&amp;":"&amp;RIGHT("0"&amp;MINUTE(D888),2))&amp;" ")&amp;F888)</f>
        <v/>
      </c>
      <c r="N888" s="54">
        <f>IF(OR(A888="",F888=""),"",A888&amp;"#"&amp;(COUNTIFS($A$5:$A$3004,A888,$F$5:$F$3004,"?*",$O$5:$O$3004,"&lt;"&amp;O888)+COUNTIFS($A$5:A888,A888,$F$5:F888,"?*",$O$5:O888,O888)))</f>
        <v/>
      </c>
      <c r="O888" s="54">
        <f>IF(A888="","",IF(C888="",0,C888))</f>
        <v/>
      </c>
    </row>
    <row r="889">
      <c r="A889" s="58" t="n"/>
      <c r="B889" s="49">
        <f>IF(A889="","",CHOOSE(WEEKDAY(A889,2),"Пн","Вт","Ср","Чт","Пт","Сб","Вс"))</f>
        <v/>
      </c>
      <c r="C889" s="59" t="n"/>
      <c r="D889" s="59" t="n"/>
      <c r="E889" s="60">
        <f>IF(OR(C889="",D889=""),"",MOD(D889-C889,1)*24)</f>
        <v/>
      </c>
      <c r="F889" s="50" t="n"/>
      <c r="G889" s="51" t="n"/>
      <c r="H889" s="51" t="n"/>
      <c r="I889" s="51" t="n"/>
      <c r="J889" s="51" t="n"/>
      <c r="K889" s="51" t="n"/>
      <c r="L889" s="54">
        <f>IF(OR(A889="",C889="",D889=""),"",IF(COUNTIFS($A$5:$A$3004,A889,$C$5:$C$3004,"&lt;"&amp;D889,$D$5:$D$3004,"&gt;"&amp;C889)&gt;1,"⚠️ пересечение",""))</f>
        <v/>
      </c>
      <c r="M889" s="54">
        <f>IF(F889="","",IF(J889="✅ Сделано","✔ ",IF(J889="❌ Пропущено","✖ ","⏰ "))&amp;IF(C889="","",RIGHT("0"&amp;HOUR(C889),2)&amp;":"&amp;RIGHT("0"&amp;MINUTE(C889),2)&amp;IF(D889="","","–"&amp;RIGHT("0"&amp;HOUR(D889),2)&amp;":"&amp;RIGHT("0"&amp;MINUTE(D889),2))&amp;" ")&amp;F889)</f>
        <v/>
      </c>
      <c r="N889" s="54">
        <f>IF(OR(A889="",F889=""),"",A889&amp;"#"&amp;(COUNTIFS($A$5:$A$3004,A889,$F$5:$F$3004,"?*",$O$5:$O$3004,"&lt;"&amp;O889)+COUNTIFS($A$5:A889,A889,$F$5:F889,"?*",$O$5:O889,O889)))</f>
        <v/>
      </c>
      <c r="O889" s="54">
        <f>IF(A889="","",IF(C889="",0,C889))</f>
        <v/>
      </c>
    </row>
    <row r="890">
      <c r="A890" s="58" t="n"/>
      <c r="B890" s="49">
        <f>IF(A890="","",CHOOSE(WEEKDAY(A890,2),"Пн","Вт","Ср","Чт","Пт","Сб","Вс"))</f>
        <v/>
      </c>
      <c r="C890" s="59" t="n"/>
      <c r="D890" s="59" t="n"/>
      <c r="E890" s="60">
        <f>IF(OR(C890="",D890=""),"",MOD(D890-C890,1)*24)</f>
        <v/>
      </c>
      <c r="F890" s="50" t="n"/>
      <c r="G890" s="51" t="n"/>
      <c r="H890" s="51" t="n"/>
      <c r="I890" s="51" t="n"/>
      <c r="J890" s="51" t="n"/>
      <c r="K890" s="51" t="n"/>
      <c r="L890" s="54">
        <f>IF(OR(A890="",C890="",D890=""),"",IF(COUNTIFS($A$5:$A$3004,A890,$C$5:$C$3004,"&lt;"&amp;D890,$D$5:$D$3004,"&gt;"&amp;C890)&gt;1,"⚠️ пересечение",""))</f>
        <v/>
      </c>
      <c r="M890" s="54">
        <f>IF(F890="","",IF(J890="✅ Сделано","✔ ",IF(J890="❌ Пропущено","✖ ","⏰ "))&amp;IF(C890="","",RIGHT("0"&amp;HOUR(C890),2)&amp;":"&amp;RIGHT("0"&amp;MINUTE(C890),2)&amp;IF(D890="","","–"&amp;RIGHT("0"&amp;HOUR(D890),2)&amp;":"&amp;RIGHT("0"&amp;MINUTE(D890),2))&amp;" ")&amp;F890)</f>
        <v/>
      </c>
      <c r="N890" s="54">
        <f>IF(OR(A890="",F890=""),"",A890&amp;"#"&amp;(COUNTIFS($A$5:$A$3004,A890,$F$5:$F$3004,"?*",$O$5:$O$3004,"&lt;"&amp;O890)+COUNTIFS($A$5:A890,A890,$F$5:F890,"?*",$O$5:O890,O890)))</f>
        <v/>
      </c>
      <c r="O890" s="54">
        <f>IF(A890="","",IF(C890="",0,C890))</f>
        <v/>
      </c>
    </row>
    <row r="891">
      <c r="A891" s="58" t="n"/>
      <c r="B891" s="49">
        <f>IF(A891="","",CHOOSE(WEEKDAY(A891,2),"Пн","Вт","Ср","Чт","Пт","Сб","Вс"))</f>
        <v/>
      </c>
      <c r="C891" s="59" t="n"/>
      <c r="D891" s="59" t="n"/>
      <c r="E891" s="60">
        <f>IF(OR(C891="",D891=""),"",MOD(D891-C891,1)*24)</f>
        <v/>
      </c>
      <c r="F891" s="50" t="n"/>
      <c r="G891" s="51" t="n"/>
      <c r="H891" s="51" t="n"/>
      <c r="I891" s="51" t="n"/>
      <c r="J891" s="51" t="n"/>
      <c r="K891" s="51" t="n"/>
      <c r="L891" s="54">
        <f>IF(OR(A891="",C891="",D891=""),"",IF(COUNTIFS($A$5:$A$3004,A891,$C$5:$C$3004,"&lt;"&amp;D891,$D$5:$D$3004,"&gt;"&amp;C891)&gt;1,"⚠️ пересечение",""))</f>
        <v/>
      </c>
      <c r="M891" s="54">
        <f>IF(F891="","",IF(J891="✅ Сделано","✔ ",IF(J891="❌ Пропущено","✖ ","⏰ "))&amp;IF(C891="","",RIGHT("0"&amp;HOUR(C891),2)&amp;":"&amp;RIGHT("0"&amp;MINUTE(C891),2)&amp;IF(D891="","","–"&amp;RIGHT("0"&amp;HOUR(D891),2)&amp;":"&amp;RIGHT("0"&amp;MINUTE(D891),2))&amp;" ")&amp;F891)</f>
        <v/>
      </c>
      <c r="N891" s="54">
        <f>IF(OR(A891="",F891=""),"",A891&amp;"#"&amp;(COUNTIFS($A$5:$A$3004,A891,$F$5:$F$3004,"?*",$O$5:$O$3004,"&lt;"&amp;O891)+COUNTIFS($A$5:A891,A891,$F$5:F891,"?*",$O$5:O891,O891)))</f>
        <v/>
      </c>
      <c r="O891" s="54">
        <f>IF(A891="","",IF(C891="",0,C891))</f>
        <v/>
      </c>
    </row>
    <row r="892">
      <c r="A892" s="58" t="n"/>
      <c r="B892" s="49">
        <f>IF(A892="","",CHOOSE(WEEKDAY(A892,2),"Пн","Вт","Ср","Чт","Пт","Сб","Вс"))</f>
        <v/>
      </c>
      <c r="C892" s="59" t="n"/>
      <c r="D892" s="59" t="n"/>
      <c r="E892" s="60">
        <f>IF(OR(C892="",D892=""),"",MOD(D892-C892,1)*24)</f>
        <v/>
      </c>
      <c r="F892" s="50" t="n"/>
      <c r="G892" s="51" t="n"/>
      <c r="H892" s="51" t="n"/>
      <c r="I892" s="51" t="n"/>
      <c r="J892" s="51" t="n"/>
      <c r="K892" s="51" t="n"/>
      <c r="L892" s="54">
        <f>IF(OR(A892="",C892="",D892=""),"",IF(COUNTIFS($A$5:$A$3004,A892,$C$5:$C$3004,"&lt;"&amp;D892,$D$5:$D$3004,"&gt;"&amp;C892)&gt;1,"⚠️ пересечение",""))</f>
        <v/>
      </c>
      <c r="M892" s="54">
        <f>IF(F892="","",IF(J892="✅ Сделано","✔ ",IF(J892="❌ Пропущено","✖ ","⏰ "))&amp;IF(C892="","",RIGHT("0"&amp;HOUR(C892),2)&amp;":"&amp;RIGHT("0"&amp;MINUTE(C892),2)&amp;IF(D892="","","–"&amp;RIGHT("0"&amp;HOUR(D892),2)&amp;":"&amp;RIGHT("0"&amp;MINUTE(D892),2))&amp;" ")&amp;F892)</f>
        <v/>
      </c>
      <c r="N892" s="54">
        <f>IF(OR(A892="",F892=""),"",A892&amp;"#"&amp;(COUNTIFS($A$5:$A$3004,A892,$F$5:$F$3004,"?*",$O$5:$O$3004,"&lt;"&amp;O892)+COUNTIFS($A$5:A892,A892,$F$5:F892,"?*",$O$5:O892,O892)))</f>
        <v/>
      </c>
      <c r="O892" s="54">
        <f>IF(A892="","",IF(C892="",0,C892))</f>
        <v/>
      </c>
    </row>
    <row r="893">
      <c r="A893" s="58" t="n"/>
      <c r="B893" s="49">
        <f>IF(A893="","",CHOOSE(WEEKDAY(A893,2),"Пн","Вт","Ср","Чт","Пт","Сб","Вс"))</f>
        <v/>
      </c>
      <c r="C893" s="59" t="n"/>
      <c r="D893" s="59" t="n"/>
      <c r="E893" s="60">
        <f>IF(OR(C893="",D893=""),"",MOD(D893-C893,1)*24)</f>
        <v/>
      </c>
      <c r="F893" s="50" t="n"/>
      <c r="G893" s="51" t="n"/>
      <c r="H893" s="51" t="n"/>
      <c r="I893" s="51" t="n"/>
      <c r="J893" s="51" t="n"/>
      <c r="K893" s="51" t="n"/>
      <c r="L893" s="54">
        <f>IF(OR(A893="",C893="",D893=""),"",IF(COUNTIFS($A$5:$A$3004,A893,$C$5:$C$3004,"&lt;"&amp;D893,$D$5:$D$3004,"&gt;"&amp;C893)&gt;1,"⚠️ пересечение",""))</f>
        <v/>
      </c>
      <c r="M893" s="54">
        <f>IF(F893="","",IF(J893="✅ Сделано","✔ ",IF(J893="❌ Пропущено","✖ ","⏰ "))&amp;IF(C893="","",RIGHT("0"&amp;HOUR(C893),2)&amp;":"&amp;RIGHT("0"&amp;MINUTE(C893),2)&amp;IF(D893="","","–"&amp;RIGHT("0"&amp;HOUR(D893),2)&amp;":"&amp;RIGHT("0"&amp;MINUTE(D893),2))&amp;" ")&amp;F893)</f>
        <v/>
      </c>
      <c r="N893" s="54">
        <f>IF(OR(A893="",F893=""),"",A893&amp;"#"&amp;(COUNTIFS($A$5:$A$3004,A893,$F$5:$F$3004,"?*",$O$5:$O$3004,"&lt;"&amp;O893)+COUNTIFS($A$5:A893,A893,$F$5:F893,"?*",$O$5:O893,O893)))</f>
        <v/>
      </c>
      <c r="O893" s="54">
        <f>IF(A893="","",IF(C893="",0,C893))</f>
        <v/>
      </c>
    </row>
    <row r="894">
      <c r="A894" s="58" t="n"/>
      <c r="B894" s="49">
        <f>IF(A894="","",CHOOSE(WEEKDAY(A894,2),"Пн","Вт","Ср","Чт","Пт","Сб","Вс"))</f>
        <v/>
      </c>
      <c r="C894" s="59" t="n"/>
      <c r="D894" s="59" t="n"/>
      <c r="E894" s="60">
        <f>IF(OR(C894="",D894=""),"",MOD(D894-C894,1)*24)</f>
        <v/>
      </c>
      <c r="F894" s="50" t="n"/>
      <c r="G894" s="51" t="n"/>
      <c r="H894" s="51" t="n"/>
      <c r="I894" s="51" t="n"/>
      <c r="J894" s="51" t="n"/>
      <c r="K894" s="51" t="n"/>
      <c r="L894" s="54">
        <f>IF(OR(A894="",C894="",D894=""),"",IF(COUNTIFS($A$5:$A$3004,A894,$C$5:$C$3004,"&lt;"&amp;D894,$D$5:$D$3004,"&gt;"&amp;C894)&gt;1,"⚠️ пересечение",""))</f>
        <v/>
      </c>
      <c r="M894" s="54">
        <f>IF(F894="","",IF(J894="✅ Сделано","✔ ",IF(J894="❌ Пропущено","✖ ","⏰ "))&amp;IF(C894="","",RIGHT("0"&amp;HOUR(C894),2)&amp;":"&amp;RIGHT("0"&amp;MINUTE(C894),2)&amp;IF(D894="","","–"&amp;RIGHT("0"&amp;HOUR(D894),2)&amp;":"&amp;RIGHT("0"&amp;MINUTE(D894),2))&amp;" ")&amp;F894)</f>
        <v/>
      </c>
      <c r="N894" s="54">
        <f>IF(OR(A894="",F894=""),"",A894&amp;"#"&amp;(COUNTIFS($A$5:$A$3004,A894,$F$5:$F$3004,"?*",$O$5:$O$3004,"&lt;"&amp;O894)+COUNTIFS($A$5:A894,A894,$F$5:F894,"?*",$O$5:O894,O894)))</f>
        <v/>
      </c>
      <c r="O894" s="54">
        <f>IF(A894="","",IF(C894="",0,C894))</f>
        <v/>
      </c>
    </row>
    <row r="895">
      <c r="A895" s="58" t="n"/>
      <c r="B895" s="49">
        <f>IF(A895="","",CHOOSE(WEEKDAY(A895,2),"Пн","Вт","Ср","Чт","Пт","Сб","Вс"))</f>
        <v/>
      </c>
      <c r="C895" s="59" t="n"/>
      <c r="D895" s="59" t="n"/>
      <c r="E895" s="60">
        <f>IF(OR(C895="",D895=""),"",MOD(D895-C895,1)*24)</f>
        <v/>
      </c>
      <c r="F895" s="50" t="n"/>
      <c r="G895" s="51" t="n"/>
      <c r="H895" s="51" t="n"/>
      <c r="I895" s="51" t="n"/>
      <c r="J895" s="51" t="n"/>
      <c r="K895" s="51" t="n"/>
      <c r="L895" s="54">
        <f>IF(OR(A895="",C895="",D895=""),"",IF(COUNTIFS($A$5:$A$3004,A895,$C$5:$C$3004,"&lt;"&amp;D895,$D$5:$D$3004,"&gt;"&amp;C895)&gt;1,"⚠️ пересечение",""))</f>
        <v/>
      </c>
      <c r="M895" s="54">
        <f>IF(F895="","",IF(J895="✅ Сделано","✔ ",IF(J895="❌ Пропущено","✖ ","⏰ "))&amp;IF(C895="","",RIGHT("0"&amp;HOUR(C895),2)&amp;":"&amp;RIGHT("0"&amp;MINUTE(C895),2)&amp;IF(D895="","","–"&amp;RIGHT("0"&amp;HOUR(D895),2)&amp;":"&amp;RIGHT("0"&amp;MINUTE(D895),2))&amp;" ")&amp;F895)</f>
        <v/>
      </c>
      <c r="N895" s="54">
        <f>IF(OR(A895="",F895=""),"",A895&amp;"#"&amp;(COUNTIFS($A$5:$A$3004,A895,$F$5:$F$3004,"?*",$O$5:$O$3004,"&lt;"&amp;O895)+COUNTIFS($A$5:A895,A895,$F$5:F895,"?*",$O$5:O895,O895)))</f>
        <v/>
      </c>
      <c r="O895" s="54">
        <f>IF(A895="","",IF(C895="",0,C895))</f>
        <v/>
      </c>
    </row>
    <row r="896">
      <c r="A896" s="58" t="n"/>
      <c r="B896" s="49">
        <f>IF(A896="","",CHOOSE(WEEKDAY(A896,2),"Пн","Вт","Ср","Чт","Пт","Сб","Вс"))</f>
        <v/>
      </c>
      <c r="C896" s="59" t="n"/>
      <c r="D896" s="59" t="n"/>
      <c r="E896" s="60">
        <f>IF(OR(C896="",D896=""),"",MOD(D896-C896,1)*24)</f>
        <v/>
      </c>
      <c r="F896" s="50" t="n"/>
      <c r="G896" s="51" t="n"/>
      <c r="H896" s="51" t="n"/>
      <c r="I896" s="51" t="n"/>
      <c r="J896" s="51" t="n"/>
      <c r="K896" s="51" t="n"/>
      <c r="L896" s="54">
        <f>IF(OR(A896="",C896="",D896=""),"",IF(COUNTIFS($A$5:$A$3004,A896,$C$5:$C$3004,"&lt;"&amp;D896,$D$5:$D$3004,"&gt;"&amp;C896)&gt;1,"⚠️ пересечение",""))</f>
        <v/>
      </c>
      <c r="M896" s="54">
        <f>IF(F896="","",IF(J896="✅ Сделано","✔ ",IF(J896="❌ Пропущено","✖ ","⏰ "))&amp;IF(C896="","",RIGHT("0"&amp;HOUR(C896),2)&amp;":"&amp;RIGHT("0"&amp;MINUTE(C896),2)&amp;IF(D896="","","–"&amp;RIGHT("0"&amp;HOUR(D896),2)&amp;":"&amp;RIGHT("0"&amp;MINUTE(D896),2))&amp;" ")&amp;F896)</f>
        <v/>
      </c>
      <c r="N896" s="54">
        <f>IF(OR(A896="",F896=""),"",A896&amp;"#"&amp;(COUNTIFS($A$5:$A$3004,A896,$F$5:$F$3004,"?*",$O$5:$O$3004,"&lt;"&amp;O896)+COUNTIFS($A$5:A896,A896,$F$5:F896,"?*",$O$5:O896,O896)))</f>
        <v/>
      </c>
      <c r="O896" s="54">
        <f>IF(A896="","",IF(C896="",0,C896))</f>
        <v/>
      </c>
    </row>
    <row r="897">
      <c r="A897" s="58" t="n"/>
      <c r="B897" s="49">
        <f>IF(A897="","",CHOOSE(WEEKDAY(A897,2),"Пн","Вт","Ср","Чт","Пт","Сб","Вс"))</f>
        <v/>
      </c>
      <c r="C897" s="59" t="n"/>
      <c r="D897" s="59" t="n"/>
      <c r="E897" s="60">
        <f>IF(OR(C897="",D897=""),"",MOD(D897-C897,1)*24)</f>
        <v/>
      </c>
      <c r="F897" s="50" t="n"/>
      <c r="G897" s="51" t="n"/>
      <c r="H897" s="51" t="n"/>
      <c r="I897" s="51" t="n"/>
      <c r="J897" s="51" t="n"/>
      <c r="K897" s="51" t="n"/>
      <c r="L897" s="54">
        <f>IF(OR(A897="",C897="",D897=""),"",IF(COUNTIFS($A$5:$A$3004,A897,$C$5:$C$3004,"&lt;"&amp;D897,$D$5:$D$3004,"&gt;"&amp;C897)&gt;1,"⚠️ пересечение",""))</f>
        <v/>
      </c>
      <c r="M897" s="54">
        <f>IF(F897="","",IF(J897="✅ Сделано","✔ ",IF(J897="❌ Пропущено","✖ ","⏰ "))&amp;IF(C897="","",RIGHT("0"&amp;HOUR(C897),2)&amp;":"&amp;RIGHT("0"&amp;MINUTE(C897),2)&amp;IF(D897="","","–"&amp;RIGHT("0"&amp;HOUR(D897),2)&amp;":"&amp;RIGHT("0"&amp;MINUTE(D897),2))&amp;" ")&amp;F897)</f>
        <v/>
      </c>
      <c r="N897" s="54">
        <f>IF(OR(A897="",F897=""),"",A897&amp;"#"&amp;(COUNTIFS($A$5:$A$3004,A897,$F$5:$F$3004,"?*",$O$5:$O$3004,"&lt;"&amp;O897)+COUNTIFS($A$5:A897,A897,$F$5:F897,"?*",$O$5:O897,O897)))</f>
        <v/>
      </c>
      <c r="O897" s="54">
        <f>IF(A897="","",IF(C897="",0,C897))</f>
        <v/>
      </c>
    </row>
    <row r="898">
      <c r="A898" s="58" t="n"/>
      <c r="B898" s="49">
        <f>IF(A898="","",CHOOSE(WEEKDAY(A898,2),"Пн","Вт","Ср","Чт","Пт","Сб","Вс"))</f>
        <v/>
      </c>
      <c r="C898" s="59" t="n"/>
      <c r="D898" s="59" t="n"/>
      <c r="E898" s="60">
        <f>IF(OR(C898="",D898=""),"",MOD(D898-C898,1)*24)</f>
        <v/>
      </c>
      <c r="F898" s="50" t="n"/>
      <c r="G898" s="51" t="n"/>
      <c r="H898" s="51" t="n"/>
      <c r="I898" s="51" t="n"/>
      <c r="J898" s="51" t="n"/>
      <c r="K898" s="51" t="n"/>
      <c r="L898" s="54">
        <f>IF(OR(A898="",C898="",D898=""),"",IF(COUNTIFS($A$5:$A$3004,A898,$C$5:$C$3004,"&lt;"&amp;D898,$D$5:$D$3004,"&gt;"&amp;C898)&gt;1,"⚠️ пересечение",""))</f>
        <v/>
      </c>
      <c r="M898" s="54">
        <f>IF(F898="","",IF(J898="✅ Сделано","✔ ",IF(J898="❌ Пропущено","✖ ","⏰ "))&amp;IF(C898="","",RIGHT("0"&amp;HOUR(C898),2)&amp;":"&amp;RIGHT("0"&amp;MINUTE(C898),2)&amp;IF(D898="","","–"&amp;RIGHT("0"&amp;HOUR(D898),2)&amp;":"&amp;RIGHT("0"&amp;MINUTE(D898),2))&amp;" ")&amp;F898)</f>
        <v/>
      </c>
      <c r="N898" s="54">
        <f>IF(OR(A898="",F898=""),"",A898&amp;"#"&amp;(COUNTIFS($A$5:$A$3004,A898,$F$5:$F$3004,"?*",$O$5:$O$3004,"&lt;"&amp;O898)+COUNTIFS($A$5:A898,A898,$F$5:F898,"?*",$O$5:O898,O898)))</f>
        <v/>
      </c>
      <c r="O898" s="54">
        <f>IF(A898="","",IF(C898="",0,C898))</f>
        <v/>
      </c>
    </row>
    <row r="899">
      <c r="A899" s="58" t="n"/>
      <c r="B899" s="49">
        <f>IF(A899="","",CHOOSE(WEEKDAY(A899,2),"Пн","Вт","Ср","Чт","Пт","Сб","Вс"))</f>
        <v/>
      </c>
      <c r="C899" s="59" t="n"/>
      <c r="D899" s="59" t="n"/>
      <c r="E899" s="60">
        <f>IF(OR(C899="",D899=""),"",MOD(D899-C899,1)*24)</f>
        <v/>
      </c>
      <c r="F899" s="50" t="n"/>
      <c r="G899" s="51" t="n"/>
      <c r="H899" s="51" t="n"/>
      <c r="I899" s="51" t="n"/>
      <c r="J899" s="51" t="n"/>
      <c r="K899" s="51" t="n"/>
      <c r="L899" s="54">
        <f>IF(OR(A899="",C899="",D899=""),"",IF(COUNTIFS($A$5:$A$3004,A899,$C$5:$C$3004,"&lt;"&amp;D899,$D$5:$D$3004,"&gt;"&amp;C899)&gt;1,"⚠️ пересечение",""))</f>
        <v/>
      </c>
      <c r="M899" s="54">
        <f>IF(F899="","",IF(J899="✅ Сделано","✔ ",IF(J899="❌ Пропущено","✖ ","⏰ "))&amp;IF(C899="","",RIGHT("0"&amp;HOUR(C899),2)&amp;":"&amp;RIGHT("0"&amp;MINUTE(C899),2)&amp;IF(D899="","","–"&amp;RIGHT("0"&amp;HOUR(D899),2)&amp;":"&amp;RIGHT("0"&amp;MINUTE(D899),2))&amp;" ")&amp;F899)</f>
        <v/>
      </c>
      <c r="N899" s="54">
        <f>IF(OR(A899="",F899=""),"",A899&amp;"#"&amp;(COUNTIFS($A$5:$A$3004,A899,$F$5:$F$3004,"?*",$O$5:$O$3004,"&lt;"&amp;O899)+COUNTIFS($A$5:A899,A899,$F$5:F899,"?*",$O$5:O899,O899)))</f>
        <v/>
      </c>
      <c r="O899" s="54">
        <f>IF(A899="","",IF(C899="",0,C899))</f>
        <v/>
      </c>
    </row>
    <row r="900">
      <c r="A900" s="58" t="n"/>
      <c r="B900" s="49">
        <f>IF(A900="","",CHOOSE(WEEKDAY(A900,2),"Пн","Вт","Ср","Чт","Пт","Сб","Вс"))</f>
        <v/>
      </c>
      <c r="C900" s="59" t="n"/>
      <c r="D900" s="59" t="n"/>
      <c r="E900" s="60">
        <f>IF(OR(C900="",D900=""),"",MOD(D900-C900,1)*24)</f>
        <v/>
      </c>
      <c r="F900" s="50" t="n"/>
      <c r="G900" s="51" t="n"/>
      <c r="H900" s="51" t="n"/>
      <c r="I900" s="51" t="n"/>
      <c r="J900" s="51" t="n"/>
      <c r="K900" s="51" t="n"/>
      <c r="L900" s="54">
        <f>IF(OR(A900="",C900="",D900=""),"",IF(COUNTIFS($A$5:$A$3004,A900,$C$5:$C$3004,"&lt;"&amp;D900,$D$5:$D$3004,"&gt;"&amp;C900)&gt;1,"⚠️ пересечение",""))</f>
        <v/>
      </c>
      <c r="M900" s="54">
        <f>IF(F900="","",IF(J900="✅ Сделано","✔ ",IF(J900="❌ Пропущено","✖ ","⏰ "))&amp;IF(C900="","",RIGHT("0"&amp;HOUR(C900),2)&amp;":"&amp;RIGHT("0"&amp;MINUTE(C900),2)&amp;IF(D900="","","–"&amp;RIGHT("0"&amp;HOUR(D900),2)&amp;":"&amp;RIGHT("0"&amp;MINUTE(D900),2))&amp;" ")&amp;F900)</f>
        <v/>
      </c>
      <c r="N900" s="54">
        <f>IF(OR(A900="",F900=""),"",A900&amp;"#"&amp;(COUNTIFS($A$5:$A$3004,A900,$F$5:$F$3004,"?*",$O$5:$O$3004,"&lt;"&amp;O900)+COUNTIFS($A$5:A900,A900,$F$5:F900,"?*",$O$5:O900,O900)))</f>
        <v/>
      </c>
      <c r="O900" s="54">
        <f>IF(A900="","",IF(C900="",0,C900))</f>
        <v/>
      </c>
    </row>
    <row r="901">
      <c r="A901" s="58" t="n"/>
      <c r="B901" s="49">
        <f>IF(A901="","",CHOOSE(WEEKDAY(A901,2),"Пн","Вт","Ср","Чт","Пт","Сб","Вс"))</f>
        <v/>
      </c>
      <c r="C901" s="59" t="n"/>
      <c r="D901" s="59" t="n"/>
      <c r="E901" s="60">
        <f>IF(OR(C901="",D901=""),"",MOD(D901-C901,1)*24)</f>
        <v/>
      </c>
      <c r="F901" s="50" t="n"/>
      <c r="G901" s="51" t="n"/>
      <c r="H901" s="51" t="n"/>
      <c r="I901" s="51" t="n"/>
      <c r="J901" s="51" t="n"/>
      <c r="K901" s="51" t="n"/>
      <c r="L901" s="54">
        <f>IF(OR(A901="",C901="",D901=""),"",IF(COUNTIFS($A$5:$A$3004,A901,$C$5:$C$3004,"&lt;"&amp;D901,$D$5:$D$3004,"&gt;"&amp;C901)&gt;1,"⚠️ пересечение",""))</f>
        <v/>
      </c>
      <c r="M901" s="54">
        <f>IF(F901="","",IF(J901="✅ Сделано","✔ ",IF(J901="❌ Пропущено","✖ ","⏰ "))&amp;IF(C901="","",RIGHT("0"&amp;HOUR(C901),2)&amp;":"&amp;RIGHT("0"&amp;MINUTE(C901),2)&amp;IF(D901="","","–"&amp;RIGHT("0"&amp;HOUR(D901),2)&amp;":"&amp;RIGHT("0"&amp;MINUTE(D901),2))&amp;" ")&amp;F901)</f>
        <v/>
      </c>
      <c r="N901" s="54">
        <f>IF(OR(A901="",F901=""),"",A901&amp;"#"&amp;(COUNTIFS($A$5:$A$3004,A901,$F$5:$F$3004,"?*",$O$5:$O$3004,"&lt;"&amp;O901)+COUNTIFS($A$5:A901,A901,$F$5:F901,"?*",$O$5:O901,O901)))</f>
        <v/>
      </c>
      <c r="O901" s="54">
        <f>IF(A901="","",IF(C901="",0,C901))</f>
        <v/>
      </c>
    </row>
    <row r="902">
      <c r="A902" s="58" t="n"/>
      <c r="B902" s="49">
        <f>IF(A902="","",CHOOSE(WEEKDAY(A902,2),"Пн","Вт","Ср","Чт","Пт","Сб","Вс"))</f>
        <v/>
      </c>
      <c r="C902" s="59" t="n"/>
      <c r="D902" s="59" t="n"/>
      <c r="E902" s="60">
        <f>IF(OR(C902="",D902=""),"",MOD(D902-C902,1)*24)</f>
        <v/>
      </c>
      <c r="F902" s="50" t="n"/>
      <c r="G902" s="51" t="n"/>
      <c r="H902" s="51" t="n"/>
      <c r="I902" s="51" t="n"/>
      <c r="J902" s="51" t="n"/>
      <c r="K902" s="51" t="n"/>
      <c r="L902" s="54">
        <f>IF(OR(A902="",C902="",D902=""),"",IF(COUNTIFS($A$5:$A$3004,A902,$C$5:$C$3004,"&lt;"&amp;D902,$D$5:$D$3004,"&gt;"&amp;C902)&gt;1,"⚠️ пересечение",""))</f>
        <v/>
      </c>
      <c r="M902" s="54">
        <f>IF(F902="","",IF(J902="✅ Сделано","✔ ",IF(J902="❌ Пропущено","✖ ","⏰ "))&amp;IF(C902="","",RIGHT("0"&amp;HOUR(C902),2)&amp;":"&amp;RIGHT("0"&amp;MINUTE(C902),2)&amp;IF(D902="","","–"&amp;RIGHT("0"&amp;HOUR(D902),2)&amp;":"&amp;RIGHT("0"&amp;MINUTE(D902),2))&amp;" ")&amp;F902)</f>
        <v/>
      </c>
      <c r="N902" s="54">
        <f>IF(OR(A902="",F902=""),"",A902&amp;"#"&amp;(COUNTIFS($A$5:$A$3004,A902,$F$5:$F$3004,"?*",$O$5:$O$3004,"&lt;"&amp;O902)+COUNTIFS($A$5:A902,A902,$F$5:F902,"?*",$O$5:O902,O902)))</f>
        <v/>
      </c>
      <c r="O902" s="54">
        <f>IF(A902="","",IF(C902="",0,C902))</f>
        <v/>
      </c>
    </row>
    <row r="903">
      <c r="A903" s="58" t="n"/>
      <c r="B903" s="49">
        <f>IF(A903="","",CHOOSE(WEEKDAY(A903,2),"Пн","Вт","Ср","Чт","Пт","Сб","Вс"))</f>
        <v/>
      </c>
      <c r="C903" s="59" t="n"/>
      <c r="D903" s="59" t="n"/>
      <c r="E903" s="60">
        <f>IF(OR(C903="",D903=""),"",MOD(D903-C903,1)*24)</f>
        <v/>
      </c>
      <c r="F903" s="50" t="n"/>
      <c r="G903" s="51" t="n"/>
      <c r="H903" s="51" t="n"/>
      <c r="I903" s="51" t="n"/>
      <c r="J903" s="51" t="n"/>
      <c r="K903" s="51" t="n"/>
      <c r="L903" s="54">
        <f>IF(OR(A903="",C903="",D903=""),"",IF(COUNTIFS($A$5:$A$3004,A903,$C$5:$C$3004,"&lt;"&amp;D903,$D$5:$D$3004,"&gt;"&amp;C903)&gt;1,"⚠️ пересечение",""))</f>
        <v/>
      </c>
      <c r="M903" s="54">
        <f>IF(F903="","",IF(J903="✅ Сделано","✔ ",IF(J903="❌ Пропущено","✖ ","⏰ "))&amp;IF(C903="","",RIGHT("0"&amp;HOUR(C903),2)&amp;":"&amp;RIGHT("0"&amp;MINUTE(C903),2)&amp;IF(D903="","","–"&amp;RIGHT("0"&amp;HOUR(D903),2)&amp;":"&amp;RIGHT("0"&amp;MINUTE(D903),2))&amp;" ")&amp;F903)</f>
        <v/>
      </c>
      <c r="N903" s="54">
        <f>IF(OR(A903="",F903=""),"",A903&amp;"#"&amp;(COUNTIFS($A$5:$A$3004,A903,$F$5:$F$3004,"?*",$O$5:$O$3004,"&lt;"&amp;O903)+COUNTIFS($A$5:A903,A903,$F$5:F903,"?*",$O$5:O903,O903)))</f>
        <v/>
      </c>
      <c r="O903" s="54">
        <f>IF(A903="","",IF(C903="",0,C903))</f>
        <v/>
      </c>
    </row>
    <row r="904">
      <c r="A904" s="58" t="n"/>
      <c r="B904" s="49">
        <f>IF(A904="","",CHOOSE(WEEKDAY(A904,2),"Пн","Вт","Ср","Чт","Пт","Сб","Вс"))</f>
        <v/>
      </c>
      <c r="C904" s="59" t="n"/>
      <c r="D904" s="59" t="n"/>
      <c r="E904" s="60">
        <f>IF(OR(C904="",D904=""),"",MOD(D904-C904,1)*24)</f>
        <v/>
      </c>
      <c r="F904" s="50" t="n"/>
      <c r="G904" s="51" t="n"/>
      <c r="H904" s="51" t="n"/>
      <c r="I904" s="51" t="n"/>
      <c r="J904" s="51" t="n"/>
      <c r="K904" s="51" t="n"/>
      <c r="L904" s="54">
        <f>IF(OR(A904="",C904="",D904=""),"",IF(COUNTIFS($A$5:$A$3004,A904,$C$5:$C$3004,"&lt;"&amp;D904,$D$5:$D$3004,"&gt;"&amp;C904)&gt;1,"⚠️ пересечение",""))</f>
        <v/>
      </c>
      <c r="M904" s="54">
        <f>IF(F904="","",IF(J904="✅ Сделано","✔ ",IF(J904="❌ Пропущено","✖ ","⏰ "))&amp;IF(C904="","",RIGHT("0"&amp;HOUR(C904),2)&amp;":"&amp;RIGHT("0"&amp;MINUTE(C904),2)&amp;IF(D904="","","–"&amp;RIGHT("0"&amp;HOUR(D904),2)&amp;":"&amp;RIGHT("0"&amp;MINUTE(D904),2))&amp;" ")&amp;F904)</f>
        <v/>
      </c>
      <c r="N904" s="54">
        <f>IF(OR(A904="",F904=""),"",A904&amp;"#"&amp;(COUNTIFS($A$5:$A$3004,A904,$F$5:$F$3004,"?*",$O$5:$O$3004,"&lt;"&amp;O904)+COUNTIFS($A$5:A904,A904,$F$5:F904,"?*",$O$5:O904,O904)))</f>
        <v/>
      </c>
      <c r="O904" s="54">
        <f>IF(A904="","",IF(C904="",0,C904))</f>
        <v/>
      </c>
    </row>
    <row r="905">
      <c r="A905" s="58" t="n"/>
      <c r="B905" s="49">
        <f>IF(A905="","",CHOOSE(WEEKDAY(A905,2),"Пн","Вт","Ср","Чт","Пт","Сб","Вс"))</f>
        <v/>
      </c>
      <c r="C905" s="59" t="n"/>
      <c r="D905" s="59" t="n"/>
      <c r="E905" s="60">
        <f>IF(OR(C905="",D905=""),"",MOD(D905-C905,1)*24)</f>
        <v/>
      </c>
      <c r="F905" s="50" t="n"/>
      <c r="G905" s="51" t="n"/>
      <c r="H905" s="51" t="n"/>
      <c r="I905" s="51" t="n"/>
      <c r="J905" s="51" t="n"/>
      <c r="K905" s="51" t="n"/>
      <c r="L905" s="54">
        <f>IF(OR(A905="",C905="",D905=""),"",IF(COUNTIFS($A$5:$A$3004,A905,$C$5:$C$3004,"&lt;"&amp;D905,$D$5:$D$3004,"&gt;"&amp;C905)&gt;1,"⚠️ пересечение",""))</f>
        <v/>
      </c>
      <c r="M905" s="54">
        <f>IF(F905="","",IF(J905="✅ Сделано","✔ ",IF(J905="❌ Пропущено","✖ ","⏰ "))&amp;IF(C905="","",RIGHT("0"&amp;HOUR(C905),2)&amp;":"&amp;RIGHT("0"&amp;MINUTE(C905),2)&amp;IF(D905="","","–"&amp;RIGHT("0"&amp;HOUR(D905),2)&amp;":"&amp;RIGHT("0"&amp;MINUTE(D905),2))&amp;" ")&amp;F905)</f>
        <v/>
      </c>
      <c r="N905" s="54">
        <f>IF(OR(A905="",F905=""),"",A905&amp;"#"&amp;(COUNTIFS($A$5:$A$3004,A905,$F$5:$F$3004,"?*",$O$5:$O$3004,"&lt;"&amp;O905)+COUNTIFS($A$5:A905,A905,$F$5:F905,"?*",$O$5:O905,O905)))</f>
        <v/>
      </c>
      <c r="O905" s="54">
        <f>IF(A905="","",IF(C905="",0,C905))</f>
        <v/>
      </c>
    </row>
    <row r="906">
      <c r="A906" s="58" t="n"/>
      <c r="B906" s="49">
        <f>IF(A906="","",CHOOSE(WEEKDAY(A906,2),"Пн","Вт","Ср","Чт","Пт","Сб","Вс"))</f>
        <v/>
      </c>
      <c r="C906" s="59" t="n"/>
      <c r="D906" s="59" t="n"/>
      <c r="E906" s="60">
        <f>IF(OR(C906="",D906=""),"",MOD(D906-C906,1)*24)</f>
        <v/>
      </c>
      <c r="F906" s="50" t="n"/>
      <c r="G906" s="51" t="n"/>
      <c r="H906" s="51" t="n"/>
      <c r="I906" s="51" t="n"/>
      <c r="J906" s="51" t="n"/>
      <c r="K906" s="51" t="n"/>
      <c r="L906" s="54">
        <f>IF(OR(A906="",C906="",D906=""),"",IF(COUNTIFS($A$5:$A$3004,A906,$C$5:$C$3004,"&lt;"&amp;D906,$D$5:$D$3004,"&gt;"&amp;C906)&gt;1,"⚠️ пересечение",""))</f>
        <v/>
      </c>
      <c r="M906" s="54">
        <f>IF(F906="","",IF(J906="✅ Сделано","✔ ",IF(J906="❌ Пропущено","✖ ","⏰ "))&amp;IF(C906="","",RIGHT("0"&amp;HOUR(C906),2)&amp;":"&amp;RIGHT("0"&amp;MINUTE(C906),2)&amp;IF(D906="","","–"&amp;RIGHT("0"&amp;HOUR(D906),2)&amp;":"&amp;RIGHT("0"&amp;MINUTE(D906),2))&amp;" ")&amp;F906)</f>
        <v/>
      </c>
      <c r="N906" s="54">
        <f>IF(OR(A906="",F906=""),"",A906&amp;"#"&amp;(COUNTIFS($A$5:$A$3004,A906,$F$5:$F$3004,"?*",$O$5:$O$3004,"&lt;"&amp;O906)+COUNTIFS($A$5:A906,A906,$F$5:F906,"?*",$O$5:O906,O906)))</f>
        <v/>
      </c>
      <c r="O906" s="54">
        <f>IF(A906="","",IF(C906="",0,C906))</f>
        <v/>
      </c>
    </row>
    <row r="907">
      <c r="A907" s="58" t="n"/>
      <c r="B907" s="49">
        <f>IF(A907="","",CHOOSE(WEEKDAY(A907,2),"Пн","Вт","Ср","Чт","Пт","Сб","Вс"))</f>
        <v/>
      </c>
      <c r="C907" s="59" t="n"/>
      <c r="D907" s="59" t="n"/>
      <c r="E907" s="60">
        <f>IF(OR(C907="",D907=""),"",MOD(D907-C907,1)*24)</f>
        <v/>
      </c>
      <c r="F907" s="50" t="n"/>
      <c r="G907" s="51" t="n"/>
      <c r="H907" s="51" t="n"/>
      <c r="I907" s="51" t="n"/>
      <c r="J907" s="51" t="n"/>
      <c r="K907" s="51" t="n"/>
      <c r="L907" s="54">
        <f>IF(OR(A907="",C907="",D907=""),"",IF(COUNTIFS($A$5:$A$3004,A907,$C$5:$C$3004,"&lt;"&amp;D907,$D$5:$D$3004,"&gt;"&amp;C907)&gt;1,"⚠️ пересечение",""))</f>
        <v/>
      </c>
      <c r="M907" s="54">
        <f>IF(F907="","",IF(J907="✅ Сделано","✔ ",IF(J907="❌ Пропущено","✖ ","⏰ "))&amp;IF(C907="","",RIGHT("0"&amp;HOUR(C907),2)&amp;":"&amp;RIGHT("0"&amp;MINUTE(C907),2)&amp;IF(D907="","","–"&amp;RIGHT("0"&amp;HOUR(D907),2)&amp;":"&amp;RIGHT("0"&amp;MINUTE(D907),2))&amp;" ")&amp;F907)</f>
        <v/>
      </c>
      <c r="N907" s="54">
        <f>IF(OR(A907="",F907=""),"",A907&amp;"#"&amp;(COUNTIFS($A$5:$A$3004,A907,$F$5:$F$3004,"?*",$O$5:$O$3004,"&lt;"&amp;O907)+COUNTIFS($A$5:A907,A907,$F$5:F907,"?*",$O$5:O907,O907)))</f>
        <v/>
      </c>
      <c r="O907" s="54">
        <f>IF(A907="","",IF(C907="",0,C907))</f>
        <v/>
      </c>
    </row>
    <row r="908">
      <c r="A908" s="58" t="n"/>
      <c r="B908" s="49">
        <f>IF(A908="","",CHOOSE(WEEKDAY(A908,2),"Пн","Вт","Ср","Чт","Пт","Сб","Вс"))</f>
        <v/>
      </c>
      <c r="C908" s="59" t="n"/>
      <c r="D908" s="59" t="n"/>
      <c r="E908" s="60">
        <f>IF(OR(C908="",D908=""),"",MOD(D908-C908,1)*24)</f>
        <v/>
      </c>
      <c r="F908" s="50" t="n"/>
      <c r="G908" s="51" t="n"/>
      <c r="H908" s="51" t="n"/>
      <c r="I908" s="51" t="n"/>
      <c r="J908" s="51" t="n"/>
      <c r="K908" s="51" t="n"/>
      <c r="L908" s="54">
        <f>IF(OR(A908="",C908="",D908=""),"",IF(COUNTIFS($A$5:$A$3004,A908,$C$5:$C$3004,"&lt;"&amp;D908,$D$5:$D$3004,"&gt;"&amp;C908)&gt;1,"⚠️ пересечение",""))</f>
        <v/>
      </c>
      <c r="M908" s="54">
        <f>IF(F908="","",IF(J908="✅ Сделано","✔ ",IF(J908="❌ Пропущено","✖ ","⏰ "))&amp;IF(C908="","",RIGHT("0"&amp;HOUR(C908),2)&amp;":"&amp;RIGHT("0"&amp;MINUTE(C908),2)&amp;IF(D908="","","–"&amp;RIGHT("0"&amp;HOUR(D908),2)&amp;":"&amp;RIGHT("0"&amp;MINUTE(D908),2))&amp;" ")&amp;F908)</f>
        <v/>
      </c>
      <c r="N908" s="54">
        <f>IF(OR(A908="",F908=""),"",A908&amp;"#"&amp;(COUNTIFS($A$5:$A$3004,A908,$F$5:$F$3004,"?*",$O$5:$O$3004,"&lt;"&amp;O908)+COUNTIFS($A$5:A908,A908,$F$5:F908,"?*",$O$5:O908,O908)))</f>
        <v/>
      </c>
      <c r="O908" s="54">
        <f>IF(A908="","",IF(C908="",0,C908))</f>
        <v/>
      </c>
    </row>
    <row r="909">
      <c r="A909" s="58" t="n"/>
      <c r="B909" s="49">
        <f>IF(A909="","",CHOOSE(WEEKDAY(A909,2),"Пн","Вт","Ср","Чт","Пт","Сб","Вс"))</f>
        <v/>
      </c>
      <c r="C909" s="59" t="n"/>
      <c r="D909" s="59" t="n"/>
      <c r="E909" s="60">
        <f>IF(OR(C909="",D909=""),"",MOD(D909-C909,1)*24)</f>
        <v/>
      </c>
      <c r="F909" s="50" t="n"/>
      <c r="G909" s="51" t="n"/>
      <c r="H909" s="51" t="n"/>
      <c r="I909" s="51" t="n"/>
      <c r="J909" s="51" t="n"/>
      <c r="K909" s="51" t="n"/>
      <c r="L909" s="54">
        <f>IF(OR(A909="",C909="",D909=""),"",IF(COUNTIFS($A$5:$A$3004,A909,$C$5:$C$3004,"&lt;"&amp;D909,$D$5:$D$3004,"&gt;"&amp;C909)&gt;1,"⚠️ пересечение",""))</f>
        <v/>
      </c>
      <c r="M909" s="54">
        <f>IF(F909="","",IF(J909="✅ Сделано","✔ ",IF(J909="❌ Пропущено","✖ ","⏰ "))&amp;IF(C909="","",RIGHT("0"&amp;HOUR(C909),2)&amp;":"&amp;RIGHT("0"&amp;MINUTE(C909),2)&amp;IF(D909="","","–"&amp;RIGHT("0"&amp;HOUR(D909),2)&amp;":"&amp;RIGHT("0"&amp;MINUTE(D909),2))&amp;" ")&amp;F909)</f>
        <v/>
      </c>
      <c r="N909" s="54">
        <f>IF(OR(A909="",F909=""),"",A909&amp;"#"&amp;(COUNTIFS($A$5:$A$3004,A909,$F$5:$F$3004,"?*",$O$5:$O$3004,"&lt;"&amp;O909)+COUNTIFS($A$5:A909,A909,$F$5:F909,"?*",$O$5:O909,O909)))</f>
        <v/>
      </c>
      <c r="O909" s="54">
        <f>IF(A909="","",IF(C909="",0,C909))</f>
        <v/>
      </c>
    </row>
    <row r="910">
      <c r="A910" s="58" t="n"/>
      <c r="B910" s="49">
        <f>IF(A910="","",CHOOSE(WEEKDAY(A910,2),"Пн","Вт","Ср","Чт","Пт","Сб","Вс"))</f>
        <v/>
      </c>
      <c r="C910" s="59" t="n"/>
      <c r="D910" s="59" t="n"/>
      <c r="E910" s="60">
        <f>IF(OR(C910="",D910=""),"",MOD(D910-C910,1)*24)</f>
        <v/>
      </c>
      <c r="F910" s="50" t="n"/>
      <c r="G910" s="51" t="n"/>
      <c r="H910" s="51" t="n"/>
      <c r="I910" s="51" t="n"/>
      <c r="J910" s="51" t="n"/>
      <c r="K910" s="51" t="n"/>
      <c r="L910" s="54">
        <f>IF(OR(A910="",C910="",D910=""),"",IF(COUNTIFS($A$5:$A$3004,A910,$C$5:$C$3004,"&lt;"&amp;D910,$D$5:$D$3004,"&gt;"&amp;C910)&gt;1,"⚠️ пересечение",""))</f>
        <v/>
      </c>
      <c r="M910" s="54">
        <f>IF(F910="","",IF(J910="✅ Сделано","✔ ",IF(J910="❌ Пропущено","✖ ","⏰ "))&amp;IF(C910="","",RIGHT("0"&amp;HOUR(C910),2)&amp;":"&amp;RIGHT("0"&amp;MINUTE(C910),2)&amp;IF(D910="","","–"&amp;RIGHT("0"&amp;HOUR(D910),2)&amp;":"&amp;RIGHT("0"&amp;MINUTE(D910),2))&amp;" ")&amp;F910)</f>
        <v/>
      </c>
      <c r="N910" s="54">
        <f>IF(OR(A910="",F910=""),"",A910&amp;"#"&amp;(COUNTIFS($A$5:$A$3004,A910,$F$5:$F$3004,"?*",$O$5:$O$3004,"&lt;"&amp;O910)+COUNTIFS($A$5:A910,A910,$F$5:F910,"?*",$O$5:O910,O910)))</f>
        <v/>
      </c>
      <c r="O910" s="54">
        <f>IF(A910="","",IF(C910="",0,C910))</f>
        <v/>
      </c>
    </row>
    <row r="911">
      <c r="A911" s="58" t="n"/>
      <c r="B911" s="49">
        <f>IF(A911="","",CHOOSE(WEEKDAY(A911,2),"Пн","Вт","Ср","Чт","Пт","Сб","Вс"))</f>
        <v/>
      </c>
      <c r="C911" s="59" t="n"/>
      <c r="D911" s="59" t="n"/>
      <c r="E911" s="60">
        <f>IF(OR(C911="",D911=""),"",MOD(D911-C911,1)*24)</f>
        <v/>
      </c>
      <c r="F911" s="50" t="n"/>
      <c r="G911" s="51" t="n"/>
      <c r="H911" s="51" t="n"/>
      <c r="I911" s="51" t="n"/>
      <c r="J911" s="51" t="n"/>
      <c r="K911" s="51" t="n"/>
      <c r="L911" s="54">
        <f>IF(OR(A911="",C911="",D911=""),"",IF(COUNTIFS($A$5:$A$3004,A911,$C$5:$C$3004,"&lt;"&amp;D911,$D$5:$D$3004,"&gt;"&amp;C911)&gt;1,"⚠️ пересечение",""))</f>
        <v/>
      </c>
      <c r="M911" s="54">
        <f>IF(F911="","",IF(J911="✅ Сделано","✔ ",IF(J911="❌ Пропущено","✖ ","⏰ "))&amp;IF(C911="","",RIGHT("0"&amp;HOUR(C911),2)&amp;":"&amp;RIGHT("0"&amp;MINUTE(C911),2)&amp;IF(D911="","","–"&amp;RIGHT("0"&amp;HOUR(D911),2)&amp;":"&amp;RIGHT("0"&amp;MINUTE(D911),2))&amp;" ")&amp;F911)</f>
        <v/>
      </c>
      <c r="N911" s="54">
        <f>IF(OR(A911="",F911=""),"",A911&amp;"#"&amp;(COUNTIFS($A$5:$A$3004,A911,$F$5:$F$3004,"?*",$O$5:$O$3004,"&lt;"&amp;O911)+COUNTIFS($A$5:A911,A911,$F$5:F911,"?*",$O$5:O911,O911)))</f>
        <v/>
      </c>
      <c r="O911" s="54">
        <f>IF(A911="","",IF(C911="",0,C911))</f>
        <v/>
      </c>
    </row>
    <row r="912">
      <c r="A912" s="58" t="n"/>
      <c r="B912" s="49">
        <f>IF(A912="","",CHOOSE(WEEKDAY(A912,2),"Пн","Вт","Ср","Чт","Пт","Сб","Вс"))</f>
        <v/>
      </c>
      <c r="C912" s="59" t="n"/>
      <c r="D912" s="59" t="n"/>
      <c r="E912" s="60">
        <f>IF(OR(C912="",D912=""),"",MOD(D912-C912,1)*24)</f>
        <v/>
      </c>
      <c r="F912" s="50" t="n"/>
      <c r="G912" s="51" t="n"/>
      <c r="H912" s="51" t="n"/>
      <c r="I912" s="51" t="n"/>
      <c r="J912" s="51" t="n"/>
      <c r="K912" s="51" t="n"/>
      <c r="L912" s="54">
        <f>IF(OR(A912="",C912="",D912=""),"",IF(COUNTIFS($A$5:$A$3004,A912,$C$5:$C$3004,"&lt;"&amp;D912,$D$5:$D$3004,"&gt;"&amp;C912)&gt;1,"⚠️ пересечение",""))</f>
        <v/>
      </c>
      <c r="M912" s="54">
        <f>IF(F912="","",IF(J912="✅ Сделано","✔ ",IF(J912="❌ Пропущено","✖ ","⏰ "))&amp;IF(C912="","",RIGHT("0"&amp;HOUR(C912),2)&amp;":"&amp;RIGHT("0"&amp;MINUTE(C912),2)&amp;IF(D912="","","–"&amp;RIGHT("0"&amp;HOUR(D912),2)&amp;":"&amp;RIGHT("0"&amp;MINUTE(D912),2))&amp;" ")&amp;F912)</f>
        <v/>
      </c>
      <c r="N912" s="54">
        <f>IF(OR(A912="",F912=""),"",A912&amp;"#"&amp;(COUNTIFS($A$5:$A$3004,A912,$F$5:$F$3004,"?*",$O$5:$O$3004,"&lt;"&amp;O912)+COUNTIFS($A$5:A912,A912,$F$5:F912,"?*",$O$5:O912,O912)))</f>
        <v/>
      </c>
      <c r="O912" s="54">
        <f>IF(A912="","",IF(C912="",0,C912))</f>
        <v/>
      </c>
    </row>
    <row r="913">
      <c r="A913" s="58" t="n"/>
      <c r="B913" s="49">
        <f>IF(A913="","",CHOOSE(WEEKDAY(A913,2),"Пн","Вт","Ср","Чт","Пт","Сб","Вс"))</f>
        <v/>
      </c>
      <c r="C913" s="59" t="n"/>
      <c r="D913" s="59" t="n"/>
      <c r="E913" s="60">
        <f>IF(OR(C913="",D913=""),"",MOD(D913-C913,1)*24)</f>
        <v/>
      </c>
      <c r="F913" s="50" t="n"/>
      <c r="G913" s="51" t="n"/>
      <c r="H913" s="51" t="n"/>
      <c r="I913" s="51" t="n"/>
      <c r="J913" s="51" t="n"/>
      <c r="K913" s="51" t="n"/>
      <c r="L913" s="54">
        <f>IF(OR(A913="",C913="",D913=""),"",IF(COUNTIFS($A$5:$A$3004,A913,$C$5:$C$3004,"&lt;"&amp;D913,$D$5:$D$3004,"&gt;"&amp;C913)&gt;1,"⚠️ пересечение",""))</f>
        <v/>
      </c>
      <c r="M913" s="54">
        <f>IF(F913="","",IF(J913="✅ Сделано","✔ ",IF(J913="❌ Пропущено","✖ ","⏰ "))&amp;IF(C913="","",RIGHT("0"&amp;HOUR(C913),2)&amp;":"&amp;RIGHT("0"&amp;MINUTE(C913),2)&amp;IF(D913="","","–"&amp;RIGHT("0"&amp;HOUR(D913),2)&amp;":"&amp;RIGHT("0"&amp;MINUTE(D913),2))&amp;" ")&amp;F913)</f>
        <v/>
      </c>
      <c r="N913" s="54">
        <f>IF(OR(A913="",F913=""),"",A913&amp;"#"&amp;(COUNTIFS($A$5:$A$3004,A913,$F$5:$F$3004,"?*",$O$5:$O$3004,"&lt;"&amp;O913)+COUNTIFS($A$5:A913,A913,$F$5:F913,"?*",$O$5:O913,O913)))</f>
        <v/>
      </c>
      <c r="O913" s="54">
        <f>IF(A913="","",IF(C913="",0,C913))</f>
        <v/>
      </c>
    </row>
    <row r="914">
      <c r="A914" s="58" t="n"/>
      <c r="B914" s="49">
        <f>IF(A914="","",CHOOSE(WEEKDAY(A914,2),"Пн","Вт","Ср","Чт","Пт","Сб","Вс"))</f>
        <v/>
      </c>
      <c r="C914" s="59" t="n"/>
      <c r="D914" s="59" t="n"/>
      <c r="E914" s="60">
        <f>IF(OR(C914="",D914=""),"",MOD(D914-C914,1)*24)</f>
        <v/>
      </c>
      <c r="F914" s="50" t="n"/>
      <c r="G914" s="51" t="n"/>
      <c r="H914" s="51" t="n"/>
      <c r="I914" s="51" t="n"/>
      <c r="J914" s="51" t="n"/>
      <c r="K914" s="51" t="n"/>
      <c r="L914" s="54">
        <f>IF(OR(A914="",C914="",D914=""),"",IF(COUNTIFS($A$5:$A$3004,A914,$C$5:$C$3004,"&lt;"&amp;D914,$D$5:$D$3004,"&gt;"&amp;C914)&gt;1,"⚠️ пересечение",""))</f>
        <v/>
      </c>
      <c r="M914" s="54">
        <f>IF(F914="","",IF(J914="✅ Сделано","✔ ",IF(J914="❌ Пропущено","✖ ","⏰ "))&amp;IF(C914="","",RIGHT("0"&amp;HOUR(C914),2)&amp;":"&amp;RIGHT("0"&amp;MINUTE(C914),2)&amp;IF(D914="","","–"&amp;RIGHT("0"&amp;HOUR(D914),2)&amp;":"&amp;RIGHT("0"&amp;MINUTE(D914),2))&amp;" ")&amp;F914)</f>
        <v/>
      </c>
      <c r="N914" s="54">
        <f>IF(OR(A914="",F914=""),"",A914&amp;"#"&amp;(COUNTIFS($A$5:$A$3004,A914,$F$5:$F$3004,"?*",$O$5:$O$3004,"&lt;"&amp;O914)+COUNTIFS($A$5:A914,A914,$F$5:F914,"?*",$O$5:O914,O914)))</f>
        <v/>
      </c>
      <c r="O914" s="54">
        <f>IF(A914="","",IF(C914="",0,C914))</f>
        <v/>
      </c>
    </row>
    <row r="915">
      <c r="A915" s="58" t="n"/>
      <c r="B915" s="49">
        <f>IF(A915="","",CHOOSE(WEEKDAY(A915,2),"Пн","Вт","Ср","Чт","Пт","Сб","Вс"))</f>
        <v/>
      </c>
      <c r="C915" s="59" t="n"/>
      <c r="D915" s="59" t="n"/>
      <c r="E915" s="60">
        <f>IF(OR(C915="",D915=""),"",MOD(D915-C915,1)*24)</f>
        <v/>
      </c>
      <c r="F915" s="50" t="n"/>
      <c r="G915" s="51" t="n"/>
      <c r="H915" s="51" t="n"/>
      <c r="I915" s="51" t="n"/>
      <c r="J915" s="51" t="n"/>
      <c r="K915" s="51" t="n"/>
      <c r="L915" s="54">
        <f>IF(OR(A915="",C915="",D915=""),"",IF(COUNTIFS($A$5:$A$3004,A915,$C$5:$C$3004,"&lt;"&amp;D915,$D$5:$D$3004,"&gt;"&amp;C915)&gt;1,"⚠️ пересечение",""))</f>
        <v/>
      </c>
      <c r="M915" s="54">
        <f>IF(F915="","",IF(J915="✅ Сделано","✔ ",IF(J915="❌ Пропущено","✖ ","⏰ "))&amp;IF(C915="","",RIGHT("0"&amp;HOUR(C915),2)&amp;":"&amp;RIGHT("0"&amp;MINUTE(C915),2)&amp;IF(D915="","","–"&amp;RIGHT("0"&amp;HOUR(D915),2)&amp;":"&amp;RIGHT("0"&amp;MINUTE(D915),2))&amp;" ")&amp;F915)</f>
        <v/>
      </c>
      <c r="N915" s="54">
        <f>IF(OR(A915="",F915=""),"",A915&amp;"#"&amp;(COUNTIFS($A$5:$A$3004,A915,$F$5:$F$3004,"?*",$O$5:$O$3004,"&lt;"&amp;O915)+COUNTIFS($A$5:A915,A915,$F$5:F915,"?*",$O$5:O915,O915)))</f>
        <v/>
      </c>
      <c r="O915" s="54">
        <f>IF(A915="","",IF(C915="",0,C915))</f>
        <v/>
      </c>
    </row>
    <row r="916">
      <c r="A916" s="58" t="n"/>
      <c r="B916" s="49">
        <f>IF(A916="","",CHOOSE(WEEKDAY(A916,2),"Пн","Вт","Ср","Чт","Пт","Сб","Вс"))</f>
        <v/>
      </c>
      <c r="C916" s="59" t="n"/>
      <c r="D916" s="59" t="n"/>
      <c r="E916" s="60">
        <f>IF(OR(C916="",D916=""),"",MOD(D916-C916,1)*24)</f>
        <v/>
      </c>
      <c r="F916" s="50" t="n"/>
      <c r="G916" s="51" t="n"/>
      <c r="H916" s="51" t="n"/>
      <c r="I916" s="51" t="n"/>
      <c r="J916" s="51" t="n"/>
      <c r="K916" s="51" t="n"/>
      <c r="L916" s="54">
        <f>IF(OR(A916="",C916="",D916=""),"",IF(COUNTIFS($A$5:$A$3004,A916,$C$5:$C$3004,"&lt;"&amp;D916,$D$5:$D$3004,"&gt;"&amp;C916)&gt;1,"⚠️ пересечение",""))</f>
        <v/>
      </c>
      <c r="M916" s="54">
        <f>IF(F916="","",IF(J916="✅ Сделано","✔ ",IF(J916="❌ Пропущено","✖ ","⏰ "))&amp;IF(C916="","",RIGHT("0"&amp;HOUR(C916),2)&amp;":"&amp;RIGHT("0"&amp;MINUTE(C916),2)&amp;IF(D916="","","–"&amp;RIGHT("0"&amp;HOUR(D916),2)&amp;":"&amp;RIGHT("0"&amp;MINUTE(D916),2))&amp;" ")&amp;F916)</f>
        <v/>
      </c>
      <c r="N916" s="54">
        <f>IF(OR(A916="",F916=""),"",A916&amp;"#"&amp;(COUNTIFS($A$5:$A$3004,A916,$F$5:$F$3004,"?*",$O$5:$O$3004,"&lt;"&amp;O916)+COUNTIFS($A$5:A916,A916,$F$5:F916,"?*",$O$5:O916,O916)))</f>
        <v/>
      </c>
      <c r="O916" s="54">
        <f>IF(A916="","",IF(C916="",0,C916))</f>
        <v/>
      </c>
    </row>
    <row r="917">
      <c r="A917" s="58" t="n"/>
      <c r="B917" s="49">
        <f>IF(A917="","",CHOOSE(WEEKDAY(A917,2),"Пн","Вт","Ср","Чт","Пт","Сб","Вс"))</f>
        <v/>
      </c>
      <c r="C917" s="59" t="n"/>
      <c r="D917" s="59" t="n"/>
      <c r="E917" s="60">
        <f>IF(OR(C917="",D917=""),"",MOD(D917-C917,1)*24)</f>
        <v/>
      </c>
      <c r="F917" s="50" t="n"/>
      <c r="G917" s="51" t="n"/>
      <c r="H917" s="51" t="n"/>
      <c r="I917" s="51" t="n"/>
      <c r="J917" s="51" t="n"/>
      <c r="K917" s="51" t="n"/>
      <c r="L917" s="54">
        <f>IF(OR(A917="",C917="",D917=""),"",IF(COUNTIFS($A$5:$A$3004,A917,$C$5:$C$3004,"&lt;"&amp;D917,$D$5:$D$3004,"&gt;"&amp;C917)&gt;1,"⚠️ пересечение",""))</f>
        <v/>
      </c>
      <c r="M917" s="54">
        <f>IF(F917="","",IF(J917="✅ Сделано","✔ ",IF(J917="❌ Пропущено","✖ ","⏰ "))&amp;IF(C917="","",RIGHT("0"&amp;HOUR(C917),2)&amp;":"&amp;RIGHT("0"&amp;MINUTE(C917),2)&amp;IF(D917="","","–"&amp;RIGHT("0"&amp;HOUR(D917),2)&amp;":"&amp;RIGHT("0"&amp;MINUTE(D917),2))&amp;" ")&amp;F917)</f>
        <v/>
      </c>
      <c r="N917" s="54">
        <f>IF(OR(A917="",F917=""),"",A917&amp;"#"&amp;(COUNTIFS($A$5:$A$3004,A917,$F$5:$F$3004,"?*",$O$5:$O$3004,"&lt;"&amp;O917)+COUNTIFS($A$5:A917,A917,$F$5:F917,"?*",$O$5:O917,O917)))</f>
        <v/>
      </c>
      <c r="O917" s="54">
        <f>IF(A917="","",IF(C917="",0,C917))</f>
        <v/>
      </c>
    </row>
    <row r="918">
      <c r="A918" s="58" t="n"/>
      <c r="B918" s="49">
        <f>IF(A918="","",CHOOSE(WEEKDAY(A918,2),"Пн","Вт","Ср","Чт","Пт","Сб","Вс"))</f>
        <v/>
      </c>
      <c r="C918" s="59" t="n"/>
      <c r="D918" s="59" t="n"/>
      <c r="E918" s="60">
        <f>IF(OR(C918="",D918=""),"",MOD(D918-C918,1)*24)</f>
        <v/>
      </c>
      <c r="F918" s="50" t="n"/>
      <c r="G918" s="51" t="n"/>
      <c r="H918" s="51" t="n"/>
      <c r="I918" s="51" t="n"/>
      <c r="J918" s="51" t="n"/>
      <c r="K918" s="51" t="n"/>
      <c r="L918" s="54">
        <f>IF(OR(A918="",C918="",D918=""),"",IF(COUNTIFS($A$5:$A$3004,A918,$C$5:$C$3004,"&lt;"&amp;D918,$D$5:$D$3004,"&gt;"&amp;C918)&gt;1,"⚠️ пересечение",""))</f>
        <v/>
      </c>
      <c r="M918" s="54">
        <f>IF(F918="","",IF(J918="✅ Сделано","✔ ",IF(J918="❌ Пропущено","✖ ","⏰ "))&amp;IF(C918="","",RIGHT("0"&amp;HOUR(C918),2)&amp;":"&amp;RIGHT("0"&amp;MINUTE(C918),2)&amp;IF(D918="","","–"&amp;RIGHT("0"&amp;HOUR(D918),2)&amp;":"&amp;RIGHT("0"&amp;MINUTE(D918),2))&amp;" ")&amp;F918)</f>
        <v/>
      </c>
      <c r="N918" s="54">
        <f>IF(OR(A918="",F918=""),"",A918&amp;"#"&amp;(COUNTIFS($A$5:$A$3004,A918,$F$5:$F$3004,"?*",$O$5:$O$3004,"&lt;"&amp;O918)+COUNTIFS($A$5:A918,A918,$F$5:F918,"?*",$O$5:O918,O918)))</f>
        <v/>
      </c>
      <c r="O918" s="54">
        <f>IF(A918="","",IF(C918="",0,C918))</f>
        <v/>
      </c>
    </row>
    <row r="919">
      <c r="A919" s="58" t="n"/>
      <c r="B919" s="49">
        <f>IF(A919="","",CHOOSE(WEEKDAY(A919,2),"Пн","Вт","Ср","Чт","Пт","Сб","Вс"))</f>
        <v/>
      </c>
      <c r="C919" s="59" t="n"/>
      <c r="D919" s="59" t="n"/>
      <c r="E919" s="60">
        <f>IF(OR(C919="",D919=""),"",MOD(D919-C919,1)*24)</f>
        <v/>
      </c>
      <c r="F919" s="50" t="n"/>
      <c r="G919" s="51" t="n"/>
      <c r="H919" s="51" t="n"/>
      <c r="I919" s="51" t="n"/>
      <c r="J919" s="51" t="n"/>
      <c r="K919" s="51" t="n"/>
      <c r="L919" s="54">
        <f>IF(OR(A919="",C919="",D919=""),"",IF(COUNTIFS($A$5:$A$3004,A919,$C$5:$C$3004,"&lt;"&amp;D919,$D$5:$D$3004,"&gt;"&amp;C919)&gt;1,"⚠️ пересечение",""))</f>
        <v/>
      </c>
      <c r="M919" s="54">
        <f>IF(F919="","",IF(J919="✅ Сделано","✔ ",IF(J919="❌ Пропущено","✖ ","⏰ "))&amp;IF(C919="","",RIGHT("0"&amp;HOUR(C919),2)&amp;":"&amp;RIGHT("0"&amp;MINUTE(C919),2)&amp;IF(D919="","","–"&amp;RIGHT("0"&amp;HOUR(D919),2)&amp;":"&amp;RIGHT("0"&amp;MINUTE(D919),2))&amp;" ")&amp;F919)</f>
        <v/>
      </c>
      <c r="N919" s="54">
        <f>IF(OR(A919="",F919=""),"",A919&amp;"#"&amp;(COUNTIFS($A$5:$A$3004,A919,$F$5:$F$3004,"?*",$O$5:$O$3004,"&lt;"&amp;O919)+COUNTIFS($A$5:A919,A919,$F$5:F919,"?*",$O$5:O919,O919)))</f>
        <v/>
      </c>
      <c r="O919" s="54">
        <f>IF(A919="","",IF(C919="",0,C919))</f>
        <v/>
      </c>
    </row>
    <row r="920">
      <c r="A920" s="58" t="n"/>
      <c r="B920" s="49">
        <f>IF(A920="","",CHOOSE(WEEKDAY(A920,2),"Пн","Вт","Ср","Чт","Пт","Сб","Вс"))</f>
        <v/>
      </c>
      <c r="C920" s="59" t="n"/>
      <c r="D920" s="59" t="n"/>
      <c r="E920" s="60">
        <f>IF(OR(C920="",D920=""),"",MOD(D920-C920,1)*24)</f>
        <v/>
      </c>
      <c r="F920" s="50" t="n"/>
      <c r="G920" s="51" t="n"/>
      <c r="H920" s="51" t="n"/>
      <c r="I920" s="51" t="n"/>
      <c r="J920" s="51" t="n"/>
      <c r="K920" s="51" t="n"/>
      <c r="L920" s="54">
        <f>IF(OR(A920="",C920="",D920=""),"",IF(COUNTIFS($A$5:$A$3004,A920,$C$5:$C$3004,"&lt;"&amp;D920,$D$5:$D$3004,"&gt;"&amp;C920)&gt;1,"⚠️ пересечение",""))</f>
        <v/>
      </c>
      <c r="M920" s="54">
        <f>IF(F920="","",IF(J920="✅ Сделано","✔ ",IF(J920="❌ Пропущено","✖ ","⏰ "))&amp;IF(C920="","",RIGHT("0"&amp;HOUR(C920),2)&amp;":"&amp;RIGHT("0"&amp;MINUTE(C920),2)&amp;IF(D920="","","–"&amp;RIGHT("0"&amp;HOUR(D920),2)&amp;":"&amp;RIGHT("0"&amp;MINUTE(D920),2))&amp;" ")&amp;F920)</f>
        <v/>
      </c>
      <c r="N920" s="54">
        <f>IF(OR(A920="",F920=""),"",A920&amp;"#"&amp;(COUNTIFS($A$5:$A$3004,A920,$F$5:$F$3004,"?*",$O$5:$O$3004,"&lt;"&amp;O920)+COUNTIFS($A$5:A920,A920,$F$5:F920,"?*",$O$5:O920,O920)))</f>
        <v/>
      </c>
      <c r="O920" s="54">
        <f>IF(A920="","",IF(C920="",0,C920))</f>
        <v/>
      </c>
    </row>
    <row r="921">
      <c r="A921" s="58" t="n"/>
      <c r="B921" s="49">
        <f>IF(A921="","",CHOOSE(WEEKDAY(A921,2),"Пн","Вт","Ср","Чт","Пт","Сб","Вс"))</f>
        <v/>
      </c>
      <c r="C921" s="59" t="n"/>
      <c r="D921" s="59" t="n"/>
      <c r="E921" s="60">
        <f>IF(OR(C921="",D921=""),"",MOD(D921-C921,1)*24)</f>
        <v/>
      </c>
      <c r="F921" s="50" t="n"/>
      <c r="G921" s="51" t="n"/>
      <c r="H921" s="51" t="n"/>
      <c r="I921" s="51" t="n"/>
      <c r="J921" s="51" t="n"/>
      <c r="K921" s="51" t="n"/>
      <c r="L921" s="54">
        <f>IF(OR(A921="",C921="",D921=""),"",IF(COUNTIFS($A$5:$A$3004,A921,$C$5:$C$3004,"&lt;"&amp;D921,$D$5:$D$3004,"&gt;"&amp;C921)&gt;1,"⚠️ пересечение",""))</f>
        <v/>
      </c>
      <c r="M921" s="54">
        <f>IF(F921="","",IF(J921="✅ Сделано","✔ ",IF(J921="❌ Пропущено","✖ ","⏰ "))&amp;IF(C921="","",RIGHT("0"&amp;HOUR(C921),2)&amp;":"&amp;RIGHT("0"&amp;MINUTE(C921),2)&amp;IF(D921="","","–"&amp;RIGHT("0"&amp;HOUR(D921),2)&amp;":"&amp;RIGHT("0"&amp;MINUTE(D921),2))&amp;" ")&amp;F921)</f>
        <v/>
      </c>
      <c r="N921" s="54">
        <f>IF(OR(A921="",F921=""),"",A921&amp;"#"&amp;(COUNTIFS($A$5:$A$3004,A921,$F$5:$F$3004,"?*",$O$5:$O$3004,"&lt;"&amp;O921)+COUNTIFS($A$5:A921,A921,$F$5:F921,"?*",$O$5:O921,O921)))</f>
        <v/>
      </c>
      <c r="O921" s="54">
        <f>IF(A921="","",IF(C921="",0,C921))</f>
        <v/>
      </c>
    </row>
    <row r="922">
      <c r="A922" s="58" t="n"/>
      <c r="B922" s="49">
        <f>IF(A922="","",CHOOSE(WEEKDAY(A922,2),"Пн","Вт","Ср","Чт","Пт","Сб","Вс"))</f>
        <v/>
      </c>
      <c r="C922" s="59" t="n"/>
      <c r="D922" s="59" t="n"/>
      <c r="E922" s="60">
        <f>IF(OR(C922="",D922=""),"",MOD(D922-C922,1)*24)</f>
        <v/>
      </c>
      <c r="F922" s="50" t="n"/>
      <c r="G922" s="51" t="n"/>
      <c r="H922" s="51" t="n"/>
      <c r="I922" s="51" t="n"/>
      <c r="J922" s="51" t="n"/>
      <c r="K922" s="51" t="n"/>
      <c r="L922" s="54">
        <f>IF(OR(A922="",C922="",D922=""),"",IF(COUNTIFS($A$5:$A$3004,A922,$C$5:$C$3004,"&lt;"&amp;D922,$D$5:$D$3004,"&gt;"&amp;C922)&gt;1,"⚠️ пересечение",""))</f>
        <v/>
      </c>
      <c r="M922" s="54">
        <f>IF(F922="","",IF(J922="✅ Сделано","✔ ",IF(J922="❌ Пропущено","✖ ","⏰ "))&amp;IF(C922="","",RIGHT("0"&amp;HOUR(C922),2)&amp;":"&amp;RIGHT("0"&amp;MINUTE(C922),2)&amp;IF(D922="","","–"&amp;RIGHT("0"&amp;HOUR(D922),2)&amp;":"&amp;RIGHT("0"&amp;MINUTE(D922),2))&amp;" ")&amp;F922)</f>
        <v/>
      </c>
      <c r="N922" s="54">
        <f>IF(OR(A922="",F922=""),"",A922&amp;"#"&amp;(COUNTIFS($A$5:$A$3004,A922,$F$5:$F$3004,"?*",$O$5:$O$3004,"&lt;"&amp;O922)+COUNTIFS($A$5:A922,A922,$F$5:F922,"?*",$O$5:O922,O922)))</f>
        <v/>
      </c>
      <c r="O922" s="54">
        <f>IF(A922="","",IF(C922="",0,C922))</f>
        <v/>
      </c>
    </row>
    <row r="923">
      <c r="A923" s="58" t="n"/>
      <c r="B923" s="49">
        <f>IF(A923="","",CHOOSE(WEEKDAY(A923,2),"Пн","Вт","Ср","Чт","Пт","Сб","Вс"))</f>
        <v/>
      </c>
      <c r="C923" s="59" t="n"/>
      <c r="D923" s="59" t="n"/>
      <c r="E923" s="60">
        <f>IF(OR(C923="",D923=""),"",MOD(D923-C923,1)*24)</f>
        <v/>
      </c>
      <c r="F923" s="50" t="n"/>
      <c r="G923" s="51" t="n"/>
      <c r="H923" s="51" t="n"/>
      <c r="I923" s="51" t="n"/>
      <c r="J923" s="51" t="n"/>
      <c r="K923" s="51" t="n"/>
      <c r="L923" s="54">
        <f>IF(OR(A923="",C923="",D923=""),"",IF(COUNTIFS($A$5:$A$3004,A923,$C$5:$C$3004,"&lt;"&amp;D923,$D$5:$D$3004,"&gt;"&amp;C923)&gt;1,"⚠️ пересечение",""))</f>
        <v/>
      </c>
      <c r="M923" s="54">
        <f>IF(F923="","",IF(J923="✅ Сделано","✔ ",IF(J923="❌ Пропущено","✖ ","⏰ "))&amp;IF(C923="","",RIGHT("0"&amp;HOUR(C923),2)&amp;":"&amp;RIGHT("0"&amp;MINUTE(C923),2)&amp;IF(D923="","","–"&amp;RIGHT("0"&amp;HOUR(D923),2)&amp;":"&amp;RIGHT("0"&amp;MINUTE(D923),2))&amp;" ")&amp;F923)</f>
        <v/>
      </c>
      <c r="N923" s="54">
        <f>IF(OR(A923="",F923=""),"",A923&amp;"#"&amp;(COUNTIFS($A$5:$A$3004,A923,$F$5:$F$3004,"?*",$O$5:$O$3004,"&lt;"&amp;O923)+COUNTIFS($A$5:A923,A923,$F$5:F923,"?*",$O$5:O923,O923)))</f>
        <v/>
      </c>
      <c r="O923" s="54">
        <f>IF(A923="","",IF(C923="",0,C923))</f>
        <v/>
      </c>
    </row>
    <row r="924">
      <c r="A924" s="58" t="n"/>
      <c r="B924" s="49">
        <f>IF(A924="","",CHOOSE(WEEKDAY(A924,2),"Пн","Вт","Ср","Чт","Пт","Сб","Вс"))</f>
        <v/>
      </c>
      <c r="C924" s="59" t="n"/>
      <c r="D924" s="59" t="n"/>
      <c r="E924" s="60">
        <f>IF(OR(C924="",D924=""),"",MOD(D924-C924,1)*24)</f>
        <v/>
      </c>
      <c r="F924" s="50" t="n"/>
      <c r="G924" s="51" t="n"/>
      <c r="H924" s="51" t="n"/>
      <c r="I924" s="51" t="n"/>
      <c r="J924" s="51" t="n"/>
      <c r="K924" s="51" t="n"/>
      <c r="L924" s="54">
        <f>IF(OR(A924="",C924="",D924=""),"",IF(COUNTIFS($A$5:$A$3004,A924,$C$5:$C$3004,"&lt;"&amp;D924,$D$5:$D$3004,"&gt;"&amp;C924)&gt;1,"⚠️ пересечение",""))</f>
        <v/>
      </c>
      <c r="M924" s="54">
        <f>IF(F924="","",IF(J924="✅ Сделано","✔ ",IF(J924="❌ Пропущено","✖ ","⏰ "))&amp;IF(C924="","",RIGHT("0"&amp;HOUR(C924),2)&amp;":"&amp;RIGHT("0"&amp;MINUTE(C924),2)&amp;IF(D924="","","–"&amp;RIGHT("0"&amp;HOUR(D924),2)&amp;":"&amp;RIGHT("0"&amp;MINUTE(D924),2))&amp;" ")&amp;F924)</f>
        <v/>
      </c>
      <c r="N924" s="54">
        <f>IF(OR(A924="",F924=""),"",A924&amp;"#"&amp;(COUNTIFS($A$5:$A$3004,A924,$F$5:$F$3004,"?*",$O$5:$O$3004,"&lt;"&amp;O924)+COUNTIFS($A$5:A924,A924,$F$5:F924,"?*",$O$5:O924,O924)))</f>
        <v/>
      </c>
      <c r="O924" s="54">
        <f>IF(A924="","",IF(C924="",0,C924))</f>
        <v/>
      </c>
    </row>
    <row r="925">
      <c r="A925" s="58" t="n"/>
      <c r="B925" s="49">
        <f>IF(A925="","",CHOOSE(WEEKDAY(A925,2),"Пн","Вт","Ср","Чт","Пт","Сб","Вс"))</f>
        <v/>
      </c>
      <c r="C925" s="59" t="n"/>
      <c r="D925" s="59" t="n"/>
      <c r="E925" s="60">
        <f>IF(OR(C925="",D925=""),"",MOD(D925-C925,1)*24)</f>
        <v/>
      </c>
      <c r="F925" s="50" t="n"/>
      <c r="G925" s="51" t="n"/>
      <c r="H925" s="51" t="n"/>
      <c r="I925" s="51" t="n"/>
      <c r="J925" s="51" t="n"/>
      <c r="K925" s="51" t="n"/>
      <c r="L925" s="54">
        <f>IF(OR(A925="",C925="",D925=""),"",IF(COUNTIFS($A$5:$A$3004,A925,$C$5:$C$3004,"&lt;"&amp;D925,$D$5:$D$3004,"&gt;"&amp;C925)&gt;1,"⚠️ пересечение",""))</f>
        <v/>
      </c>
      <c r="M925" s="54">
        <f>IF(F925="","",IF(J925="✅ Сделано","✔ ",IF(J925="❌ Пропущено","✖ ","⏰ "))&amp;IF(C925="","",RIGHT("0"&amp;HOUR(C925),2)&amp;":"&amp;RIGHT("0"&amp;MINUTE(C925),2)&amp;IF(D925="","","–"&amp;RIGHT("0"&amp;HOUR(D925),2)&amp;":"&amp;RIGHT("0"&amp;MINUTE(D925),2))&amp;" ")&amp;F925)</f>
        <v/>
      </c>
      <c r="N925" s="54">
        <f>IF(OR(A925="",F925=""),"",A925&amp;"#"&amp;(COUNTIFS($A$5:$A$3004,A925,$F$5:$F$3004,"?*",$O$5:$O$3004,"&lt;"&amp;O925)+COUNTIFS($A$5:A925,A925,$F$5:F925,"?*",$O$5:O925,O925)))</f>
        <v/>
      </c>
      <c r="O925" s="54">
        <f>IF(A925="","",IF(C925="",0,C925))</f>
        <v/>
      </c>
    </row>
    <row r="926">
      <c r="A926" s="58" t="n"/>
      <c r="B926" s="49">
        <f>IF(A926="","",CHOOSE(WEEKDAY(A926,2),"Пн","Вт","Ср","Чт","Пт","Сб","Вс"))</f>
        <v/>
      </c>
      <c r="C926" s="59" t="n"/>
      <c r="D926" s="59" t="n"/>
      <c r="E926" s="60">
        <f>IF(OR(C926="",D926=""),"",MOD(D926-C926,1)*24)</f>
        <v/>
      </c>
      <c r="F926" s="50" t="n"/>
      <c r="G926" s="51" t="n"/>
      <c r="H926" s="51" t="n"/>
      <c r="I926" s="51" t="n"/>
      <c r="J926" s="51" t="n"/>
      <c r="K926" s="51" t="n"/>
      <c r="L926" s="54">
        <f>IF(OR(A926="",C926="",D926=""),"",IF(COUNTIFS($A$5:$A$3004,A926,$C$5:$C$3004,"&lt;"&amp;D926,$D$5:$D$3004,"&gt;"&amp;C926)&gt;1,"⚠️ пересечение",""))</f>
        <v/>
      </c>
      <c r="M926" s="54">
        <f>IF(F926="","",IF(J926="✅ Сделано","✔ ",IF(J926="❌ Пропущено","✖ ","⏰ "))&amp;IF(C926="","",RIGHT("0"&amp;HOUR(C926),2)&amp;":"&amp;RIGHT("0"&amp;MINUTE(C926),2)&amp;IF(D926="","","–"&amp;RIGHT("0"&amp;HOUR(D926),2)&amp;":"&amp;RIGHT("0"&amp;MINUTE(D926),2))&amp;" ")&amp;F926)</f>
        <v/>
      </c>
      <c r="N926" s="54">
        <f>IF(OR(A926="",F926=""),"",A926&amp;"#"&amp;(COUNTIFS($A$5:$A$3004,A926,$F$5:$F$3004,"?*",$O$5:$O$3004,"&lt;"&amp;O926)+COUNTIFS($A$5:A926,A926,$F$5:F926,"?*",$O$5:O926,O926)))</f>
        <v/>
      </c>
      <c r="O926" s="54">
        <f>IF(A926="","",IF(C926="",0,C926))</f>
        <v/>
      </c>
    </row>
    <row r="927">
      <c r="A927" s="58" t="n"/>
      <c r="B927" s="49">
        <f>IF(A927="","",CHOOSE(WEEKDAY(A927,2),"Пн","Вт","Ср","Чт","Пт","Сб","Вс"))</f>
        <v/>
      </c>
      <c r="C927" s="59" t="n"/>
      <c r="D927" s="59" t="n"/>
      <c r="E927" s="60">
        <f>IF(OR(C927="",D927=""),"",MOD(D927-C927,1)*24)</f>
        <v/>
      </c>
      <c r="F927" s="50" t="n"/>
      <c r="G927" s="51" t="n"/>
      <c r="H927" s="51" t="n"/>
      <c r="I927" s="51" t="n"/>
      <c r="J927" s="51" t="n"/>
      <c r="K927" s="51" t="n"/>
      <c r="L927" s="54">
        <f>IF(OR(A927="",C927="",D927=""),"",IF(COUNTIFS($A$5:$A$3004,A927,$C$5:$C$3004,"&lt;"&amp;D927,$D$5:$D$3004,"&gt;"&amp;C927)&gt;1,"⚠️ пересечение",""))</f>
        <v/>
      </c>
      <c r="M927" s="54">
        <f>IF(F927="","",IF(J927="✅ Сделано","✔ ",IF(J927="❌ Пропущено","✖ ","⏰ "))&amp;IF(C927="","",RIGHT("0"&amp;HOUR(C927),2)&amp;":"&amp;RIGHT("0"&amp;MINUTE(C927),2)&amp;IF(D927="","","–"&amp;RIGHT("0"&amp;HOUR(D927),2)&amp;":"&amp;RIGHT("0"&amp;MINUTE(D927),2))&amp;" ")&amp;F927)</f>
        <v/>
      </c>
      <c r="N927" s="54">
        <f>IF(OR(A927="",F927=""),"",A927&amp;"#"&amp;(COUNTIFS($A$5:$A$3004,A927,$F$5:$F$3004,"?*",$O$5:$O$3004,"&lt;"&amp;O927)+COUNTIFS($A$5:A927,A927,$F$5:F927,"?*",$O$5:O927,O927)))</f>
        <v/>
      </c>
      <c r="O927" s="54">
        <f>IF(A927="","",IF(C927="",0,C927))</f>
        <v/>
      </c>
    </row>
    <row r="928">
      <c r="A928" s="58" t="n"/>
      <c r="B928" s="49">
        <f>IF(A928="","",CHOOSE(WEEKDAY(A928,2),"Пн","Вт","Ср","Чт","Пт","Сб","Вс"))</f>
        <v/>
      </c>
      <c r="C928" s="59" t="n"/>
      <c r="D928" s="59" t="n"/>
      <c r="E928" s="60">
        <f>IF(OR(C928="",D928=""),"",MOD(D928-C928,1)*24)</f>
        <v/>
      </c>
      <c r="F928" s="50" t="n"/>
      <c r="G928" s="51" t="n"/>
      <c r="H928" s="51" t="n"/>
      <c r="I928" s="51" t="n"/>
      <c r="J928" s="51" t="n"/>
      <c r="K928" s="51" t="n"/>
      <c r="L928" s="54">
        <f>IF(OR(A928="",C928="",D928=""),"",IF(COUNTIFS($A$5:$A$3004,A928,$C$5:$C$3004,"&lt;"&amp;D928,$D$5:$D$3004,"&gt;"&amp;C928)&gt;1,"⚠️ пересечение",""))</f>
        <v/>
      </c>
      <c r="M928" s="54">
        <f>IF(F928="","",IF(J928="✅ Сделано","✔ ",IF(J928="❌ Пропущено","✖ ","⏰ "))&amp;IF(C928="","",RIGHT("0"&amp;HOUR(C928),2)&amp;":"&amp;RIGHT("0"&amp;MINUTE(C928),2)&amp;IF(D928="","","–"&amp;RIGHT("0"&amp;HOUR(D928),2)&amp;":"&amp;RIGHT("0"&amp;MINUTE(D928),2))&amp;" ")&amp;F928)</f>
        <v/>
      </c>
      <c r="N928" s="54">
        <f>IF(OR(A928="",F928=""),"",A928&amp;"#"&amp;(COUNTIFS($A$5:$A$3004,A928,$F$5:$F$3004,"?*",$O$5:$O$3004,"&lt;"&amp;O928)+COUNTIFS($A$5:A928,A928,$F$5:F928,"?*",$O$5:O928,O928)))</f>
        <v/>
      </c>
      <c r="O928" s="54">
        <f>IF(A928="","",IF(C928="",0,C928))</f>
        <v/>
      </c>
    </row>
    <row r="929">
      <c r="A929" s="58" t="n"/>
      <c r="B929" s="49">
        <f>IF(A929="","",CHOOSE(WEEKDAY(A929,2),"Пн","Вт","Ср","Чт","Пт","Сб","Вс"))</f>
        <v/>
      </c>
      <c r="C929" s="59" t="n"/>
      <c r="D929" s="59" t="n"/>
      <c r="E929" s="60">
        <f>IF(OR(C929="",D929=""),"",MOD(D929-C929,1)*24)</f>
        <v/>
      </c>
      <c r="F929" s="50" t="n"/>
      <c r="G929" s="51" t="n"/>
      <c r="H929" s="51" t="n"/>
      <c r="I929" s="51" t="n"/>
      <c r="J929" s="51" t="n"/>
      <c r="K929" s="51" t="n"/>
      <c r="L929" s="54">
        <f>IF(OR(A929="",C929="",D929=""),"",IF(COUNTIFS($A$5:$A$3004,A929,$C$5:$C$3004,"&lt;"&amp;D929,$D$5:$D$3004,"&gt;"&amp;C929)&gt;1,"⚠️ пересечение",""))</f>
        <v/>
      </c>
      <c r="M929" s="54">
        <f>IF(F929="","",IF(J929="✅ Сделано","✔ ",IF(J929="❌ Пропущено","✖ ","⏰ "))&amp;IF(C929="","",RIGHT("0"&amp;HOUR(C929),2)&amp;":"&amp;RIGHT("0"&amp;MINUTE(C929),2)&amp;IF(D929="","","–"&amp;RIGHT("0"&amp;HOUR(D929),2)&amp;":"&amp;RIGHT("0"&amp;MINUTE(D929),2))&amp;" ")&amp;F929)</f>
        <v/>
      </c>
      <c r="N929" s="54">
        <f>IF(OR(A929="",F929=""),"",A929&amp;"#"&amp;(COUNTIFS($A$5:$A$3004,A929,$F$5:$F$3004,"?*",$O$5:$O$3004,"&lt;"&amp;O929)+COUNTIFS($A$5:A929,A929,$F$5:F929,"?*",$O$5:O929,O929)))</f>
        <v/>
      </c>
      <c r="O929" s="54">
        <f>IF(A929="","",IF(C929="",0,C929))</f>
        <v/>
      </c>
    </row>
    <row r="930">
      <c r="A930" s="58" t="n"/>
      <c r="B930" s="49">
        <f>IF(A930="","",CHOOSE(WEEKDAY(A930,2),"Пн","Вт","Ср","Чт","Пт","Сб","Вс"))</f>
        <v/>
      </c>
      <c r="C930" s="59" t="n"/>
      <c r="D930" s="59" t="n"/>
      <c r="E930" s="60">
        <f>IF(OR(C930="",D930=""),"",MOD(D930-C930,1)*24)</f>
        <v/>
      </c>
      <c r="F930" s="50" t="n"/>
      <c r="G930" s="51" t="n"/>
      <c r="H930" s="51" t="n"/>
      <c r="I930" s="51" t="n"/>
      <c r="J930" s="51" t="n"/>
      <c r="K930" s="51" t="n"/>
      <c r="L930" s="54">
        <f>IF(OR(A930="",C930="",D930=""),"",IF(COUNTIFS($A$5:$A$3004,A930,$C$5:$C$3004,"&lt;"&amp;D930,$D$5:$D$3004,"&gt;"&amp;C930)&gt;1,"⚠️ пересечение",""))</f>
        <v/>
      </c>
      <c r="M930" s="54">
        <f>IF(F930="","",IF(J930="✅ Сделано","✔ ",IF(J930="❌ Пропущено","✖ ","⏰ "))&amp;IF(C930="","",RIGHT("0"&amp;HOUR(C930),2)&amp;":"&amp;RIGHT("0"&amp;MINUTE(C930),2)&amp;IF(D930="","","–"&amp;RIGHT("0"&amp;HOUR(D930),2)&amp;":"&amp;RIGHT("0"&amp;MINUTE(D930),2))&amp;" ")&amp;F930)</f>
        <v/>
      </c>
      <c r="N930" s="54">
        <f>IF(OR(A930="",F930=""),"",A930&amp;"#"&amp;(COUNTIFS($A$5:$A$3004,A930,$F$5:$F$3004,"?*",$O$5:$O$3004,"&lt;"&amp;O930)+COUNTIFS($A$5:A930,A930,$F$5:F930,"?*",$O$5:O930,O930)))</f>
        <v/>
      </c>
      <c r="O930" s="54">
        <f>IF(A930="","",IF(C930="",0,C930))</f>
        <v/>
      </c>
    </row>
    <row r="931">
      <c r="A931" s="58" t="n"/>
      <c r="B931" s="49">
        <f>IF(A931="","",CHOOSE(WEEKDAY(A931,2),"Пн","Вт","Ср","Чт","Пт","Сб","Вс"))</f>
        <v/>
      </c>
      <c r="C931" s="59" t="n"/>
      <c r="D931" s="59" t="n"/>
      <c r="E931" s="60">
        <f>IF(OR(C931="",D931=""),"",MOD(D931-C931,1)*24)</f>
        <v/>
      </c>
      <c r="F931" s="50" t="n"/>
      <c r="G931" s="51" t="n"/>
      <c r="H931" s="51" t="n"/>
      <c r="I931" s="51" t="n"/>
      <c r="J931" s="51" t="n"/>
      <c r="K931" s="51" t="n"/>
      <c r="L931" s="54">
        <f>IF(OR(A931="",C931="",D931=""),"",IF(COUNTIFS($A$5:$A$3004,A931,$C$5:$C$3004,"&lt;"&amp;D931,$D$5:$D$3004,"&gt;"&amp;C931)&gt;1,"⚠️ пересечение",""))</f>
        <v/>
      </c>
      <c r="M931" s="54">
        <f>IF(F931="","",IF(J931="✅ Сделано","✔ ",IF(J931="❌ Пропущено","✖ ","⏰ "))&amp;IF(C931="","",RIGHT("0"&amp;HOUR(C931),2)&amp;":"&amp;RIGHT("0"&amp;MINUTE(C931),2)&amp;IF(D931="","","–"&amp;RIGHT("0"&amp;HOUR(D931),2)&amp;":"&amp;RIGHT("0"&amp;MINUTE(D931),2))&amp;" ")&amp;F931)</f>
        <v/>
      </c>
      <c r="N931" s="54">
        <f>IF(OR(A931="",F931=""),"",A931&amp;"#"&amp;(COUNTIFS($A$5:$A$3004,A931,$F$5:$F$3004,"?*",$O$5:$O$3004,"&lt;"&amp;O931)+COUNTIFS($A$5:A931,A931,$F$5:F931,"?*",$O$5:O931,O931)))</f>
        <v/>
      </c>
      <c r="O931" s="54">
        <f>IF(A931="","",IF(C931="",0,C931))</f>
        <v/>
      </c>
    </row>
    <row r="932">
      <c r="A932" s="58" t="n"/>
      <c r="B932" s="49">
        <f>IF(A932="","",CHOOSE(WEEKDAY(A932,2),"Пн","Вт","Ср","Чт","Пт","Сб","Вс"))</f>
        <v/>
      </c>
      <c r="C932" s="59" t="n"/>
      <c r="D932" s="59" t="n"/>
      <c r="E932" s="60">
        <f>IF(OR(C932="",D932=""),"",MOD(D932-C932,1)*24)</f>
        <v/>
      </c>
      <c r="F932" s="50" t="n"/>
      <c r="G932" s="51" t="n"/>
      <c r="H932" s="51" t="n"/>
      <c r="I932" s="51" t="n"/>
      <c r="J932" s="51" t="n"/>
      <c r="K932" s="51" t="n"/>
      <c r="L932" s="54">
        <f>IF(OR(A932="",C932="",D932=""),"",IF(COUNTIFS($A$5:$A$3004,A932,$C$5:$C$3004,"&lt;"&amp;D932,$D$5:$D$3004,"&gt;"&amp;C932)&gt;1,"⚠️ пересечение",""))</f>
        <v/>
      </c>
      <c r="M932" s="54">
        <f>IF(F932="","",IF(J932="✅ Сделано","✔ ",IF(J932="❌ Пропущено","✖ ","⏰ "))&amp;IF(C932="","",RIGHT("0"&amp;HOUR(C932),2)&amp;":"&amp;RIGHT("0"&amp;MINUTE(C932),2)&amp;IF(D932="","","–"&amp;RIGHT("0"&amp;HOUR(D932),2)&amp;":"&amp;RIGHT("0"&amp;MINUTE(D932),2))&amp;" ")&amp;F932)</f>
        <v/>
      </c>
      <c r="N932" s="54">
        <f>IF(OR(A932="",F932=""),"",A932&amp;"#"&amp;(COUNTIFS($A$5:$A$3004,A932,$F$5:$F$3004,"?*",$O$5:$O$3004,"&lt;"&amp;O932)+COUNTIFS($A$5:A932,A932,$F$5:F932,"?*",$O$5:O932,O932)))</f>
        <v/>
      </c>
      <c r="O932" s="54">
        <f>IF(A932="","",IF(C932="",0,C932))</f>
        <v/>
      </c>
    </row>
    <row r="933">
      <c r="A933" s="58" t="n"/>
      <c r="B933" s="49">
        <f>IF(A933="","",CHOOSE(WEEKDAY(A933,2),"Пн","Вт","Ср","Чт","Пт","Сб","Вс"))</f>
        <v/>
      </c>
      <c r="C933" s="59" t="n"/>
      <c r="D933" s="59" t="n"/>
      <c r="E933" s="60">
        <f>IF(OR(C933="",D933=""),"",MOD(D933-C933,1)*24)</f>
        <v/>
      </c>
      <c r="F933" s="50" t="n"/>
      <c r="G933" s="51" t="n"/>
      <c r="H933" s="51" t="n"/>
      <c r="I933" s="51" t="n"/>
      <c r="J933" s="51" t="n"/>
      <c r="K933" s="51" t="n"/>
      <c r="L933" s="54">
        <f>IF(OR(A933="",C933="",D933=""),"",IF(COUNTIFS($A$5:$A$3004,A933,$C$5:$C$3004,"&lt;"&amp;D933,$D$5:$D$3004,"&gt;"&amp;C933)&gt;1,"⚠️ пересечение",""))</f>
        <v/>
      </c>
      <c r="M933" s="54">
        <f>IF(F933="","",IF(J933="✅ Сделано","✔ ",IF(J933="❌ Пропущено","✖ ","⏰ "))&amp;IF(C933="","",RIGHT("0"&amp;HOUR(C933),2)&amp;":"&amp;RIGHT("0"&amp;MINUTE(C933),2)&amp;IF(D933="","","–"&amp;RIGHT("0"&amp;HOUR(D933),2)&amp;":"&amp;RIGHT("0"&amp;MINUTE(D933),2))&amp;" ")&amp;F933)</f>
        <v/>
      </c>
      <c r="N933" s="54">
        <f>IF(OR(A933="",F933=""),"",A933&amp;"#"&amp;(COUNTIFS($A$5:$A$3004,A933,$F$5:$F$3004,"?*",$O$5:$O$3004,"&lt;"&amp;O933)+COUNTIFS($A$5:A933,A933,$F$5:F933,"?*",$O$5:O933,O933)))</f>
        <v/>
      </c>
      <c r="O933" s="54">
        <f>IF(A933="","",IF(C933="",0,C933))</f>
        <v/>
      </c>
    </row>
    <row r="934">
      <c r="A934" s="58" t="n"/>
      <c r="B934" s="49">
        <f>IF(A934="","",CHOOSE(WEEKDAY(A934,2),"Пн","Вт","Ср","Чт","Пт","Сб","Вс"))</f>
        <v/>
      </c>
      <c r="C934" s="59" t="n"/>
      <c r="D934" s="59" t="n"/>
      <c r="E934" s="60">
        <f>IF(OR(C934="",D934=""),"",MOD(D934-C934,1)*24)</f>
        <v/>
      </c>
      <c r="F934" s="50" t="n"/>
      <c r="G934" s="51" t="n"/>
      <c r="H934" s="51" t="n"/>
      <c r="I934" s="51" t="n"/>
      <c r="J934" s="51" t="n"/>
      <c r="K934" s="51" t="n"/>
      <c r="L934" s="54">
        <f>IF(OR(A934="",C934="",D934=""),"",IF(COUNTIFS($A$5:$A$3004,A934,$C$5:$C$3004,"&lt;"&amp;D934,$D$5:$D$3004,"&gt;"&amp;C934)&gt;1,"⚠️ пересечение",""))</f>
        <v/>
      </c>
      <c r="M934" s="54">
        <f>IF(F934="","",IF(J934="✅ Сделано","✔ ",IF(J934="❌ Пропущено","✖ ","⏰ "))&amp;IF(C934="","",RIGHT("0"&amp;HOUR(C934),2)&amp;":"&amp;RIGHT("0"&amp;MINUTE(C934),2)&amp;IF(D934="","","–"&amp;RIGHT("0"&amp;HOUR(D934),2)&amp;":"&amp;RIGHT("0"&amp;MINUTE(D934),2))&amp;" ")&amp;F934)</f>
        <v/>
      </c>
      <c r="N934" s="54">
        <f>IF(OR(A934="",F934=""),"",A934&amp;"#"&amp;(COUNTIFS($A$5:$A$3004,A934,$F$5:$F$3004,"?*",$O$5:$O$3004,"&lt;"&amp;O934)+COUNTIFS($A$5:A934,A934,$F$5:F934,"?*",$O$5:O934,O934)))</f>
        <v/>
      </c>
      <c r="O934" s="54">
        <f>IF(A934="","",IF(C934="",0,C934))</f>
        <v/>
      </c>
    </row>
    <row r="935">
      <c r="A935" s="58" t="n"/>
      <c r="B935" s="49">
        <f>IF(A935="","",CHOOSE(WEEKDAY(A935,2),"Пн","Вт","Ср","Чт","Пт","Сб","Вс"))</f>
        <v/>
      </c>
      <c r="C935" s="59" t="n"/>
      <c r="D935" s="59" t="n"/>
      <c r="E935" s="60">
        <f>IF(OR(C935="",D935=""),"",MOD(D935-C935,1)*24)</f>
        <v/>
      </c>
      <c r="F935" s="50" t="n"/>
      <c r="G935" s="51" t="n"/>
      <c r="H935" s="51" t="n"/>
      <c r="I935" s="51" t="n"/>
      <c r="J935" s="51" t="n"/>
      <c r="K935" s="51" t="n"/>
      <c r="L935" s="54">
        <f>IF(OR(A935="",C935="",D935=""),"",IF(COUNTIFS($A$5:$A$3004,A935,$C$5:$C$3004,"&lt;"&amp;D935,$D$5:$D$3004,"&gt;"&amp;C935)&gt;1,"⚠️ пересечение",""))</f>
        <v/>
      </c>
      <c r="M935" s="54">
        <f>IF(F935="","",IF(J935="✅ Сделано","✔ ",IF(J935="❌ Пропущено","✖ ","⏰ "))&amp;IF(C935="","",RIGHT("0"&amp;HOUR(C935),2)&amp;":"&amp;RIGHT("0"&amp;MINUTE(C935),2)&amp;IF(D935="","","–"&amp;RIGHT("0"&amp;HOUR(D935),2)&amp;":"&amp;RIGHT("0"&amp;MINUTE(D935),2))&amp;" ")&amp;F935)</f>
        <v/>
      </c>
      <c r="N935" s="54">
        <f>IF(OR(A935="",F935=""),"",A935&amp;"#"&amp;(COUNTIFS($A$5:$A$3004,A935,$F$5:$F$3004,"?*",$O$5:$O$3004,"&lt;"&amp;O935)+COUNTIFS($A$5:A935,A935,$F$5:F935,"?*",$O$5:O935,O935)))</f>
        <v/>
      </c>
      <c r="O935" s="54">
        <f>IF(A935="","",IF(C935="",0,C935))</f>
        <v/>
      </c>
    </row>
    <row r="936">
      <c r="A936" s="58" t="n"/>
      <c r="B936" s="49">
        <f>IF(A936="","",CHOOSE(WEEKDAY(A936,2),"Пн","Вт","Ср","Чт","Пт","Сб","Вс"))</f>
        <v/>
      </c>
      <c r="C936" s="59" t="n"/>
      <c r="D936" s="59" t="n"/>
      <c r="E936" s="60">
        <f>IF(OR(C936="",D936=""),"",MOD(D936-C936,1)*24)</f>
        <v/>
      </c>
      <c r="F936" s="50" t="n"/>
      <c r="G936" s="51" t="n"/>
      <c r="H936" s="51" t="n"/>
      <c r="I936" s="51" t="n"/>
      <c r="J936" s="51" t="n"/>
      <c r="K936" s="51" t="n"/>
      <c r="L936" s="54">
        <f>IF(OR(A936="",C936="",D936=""),"",IF(COUNTIFS($A$5:$A$3004,A936,$C$5:$C$3004,"&lt;"&amp;D936,$D$5:$D$3004,"&gt;"&amp;C936)&gt;1,"⚠️ пересечение",""))</f>
        <v/>
      </c>
      <c r="M936" s="54">
        <f>IF(F936="","",IF(J936="✅ Сделано","✔ ",IF(J936="❌ Пропущено","✖ ","⏰ "))&amp;IF(C936="","",RIGHT("0"&amp;HOUR(C936),2)&amp;":"&amp;RIGHT("0"&amp;MINUTE(C936),2)&amp;IF(D936="","","–"&amp;RIGHT("0"&amp;HOUR(D936),2)&amp;":"&amp;RIGHT("0"&amp;MINUTE(D936),2))&amp;" ")&amp;F936)</f>
        <v/>
      </c>
      <c r="N936" s="54">
        <f>IF(OR(A936="",F936=""),"",A936&amp;"#"&amp;(COUNTIFS($A$5:$A$3004,A936,$F$5:$F$3004,"?*",$O$5:$O$3004,"&lt;"&amp;O936)+COUNTIFS($A$5:A936,A936,$F$5:F936,"?*",$O$5:O936,O936)))</f>
        <v/>
      </c>
      <c r="O936" s="54">
        <f>IF(A936="","",IF(C936="",0,C936))</f>
        <v/>
      </c>
    </row>
    <row r="937">
      <c r="A937" s="58" t="n"/>
      <c r="B937" s="49">
        <f>IF(A937="","",CHOOSE(WEEKDAY(A937,2),"Пн","Вт","Ср","Чт","Пт","Сб","Вс"))</f>
        <v/>
      </c>
      <c r="C937" s="59" t="n"/>
      <c r="D937" s="59" t="n"/>
      <c r="E937" s="60">
        <f>IF(OR(C937="",D937=""),"",MOD(D937-C937,1)*24)</f>
        <v/>
      </c>
      <c r="F937" s="50" t="n"/>
      <c r="G937" s="51" t="n"/>
      <c r="H937" s="51" t="n"/>
      <c r="I937" s="51" t="n"/>
      <c r="J937" s="51" t="n"/>
      <c r="K937" s="51" t="n"/>
      <c r="L937" s="54">
        <f>IF(OR(A937="",C937="",D937=""),"",IF(COUNTIFS($A$5:$A$3004,A937,$C$5:$C$3004,"&lt;"&amp;D937,$D$5:$D$3004,"&gt;"&amp;C937)&gt;1,"⚠️ пересечение",""))</f>
        <v/>
      </c>
      <c r="M937" s="54">
        <f>IF(F937="","",IF(J937="✅ Сделано","✔ ",IF(J937="❌ Пропущено","✖ ","⏰ "))&amp;IF(C937="","",RIGHT("0"&amp;HOUR(C937),2)&amp;":"&amp;RIGHT("0"&amp;MINUTE(C937),2)&amp;IF(D937="","","–"&amp;RIGHT("0"&amp;HOUR(D937),2)&amp;":"&amp;RIGHT("0"&amp;MINUTE(D937),2))&amp;" ")&amp;F937)</f>
        <v/>
      </c>
      <c r="N937" s="54">
        <f>IF(OR(A937="",F937=""),"",A937&amp;"#"&amp;(COUNTIFS($A$5:$A$3004,A937,$F$5:$F$3004,"?*",$O$5:$O$3004,"&lt;"&amp;O937)+COUNTIFS($A$5:A937,A937,$F$5:F937,"?*",$O$5:O937,O937)))</f>
        <v/>
      </c>
      <c r="O937" s="54">
        <f>IF(A937="","",IF(C937="",0,C937))</f>
        <v/>
      </c>
    </row>
    <row r="938">
      <c r="A938" s="58" t="n"/>
      <c r="B938" s="49">
        <f>IF(A938="","",CHOOSE(WEEKDAY(A938,2),"Пн","Вт","Ср","Чт","Пт","Сб","Вс"))</f>
        <v/>
      </c>
      <c r="C938" s="59" t="n"/>
      <c r="D938" s="59" t="n"/>
      <c r="E938" s="60">
        <f>IF(OR(C938="",D938=""),"",MOD(D938-C938,1)*24)</f>
        <v/>
      </c>
      <c r="F938" s="50" t="n"/>
      <c r="G938" s="51" t="n"/>
      <c r="H938" s="51" t="n"/>
      <c r="I938" s="51" t="n"/>
      <c r="J938" s="51" t="n"/>
      <c r="K938" s="51" t="n"/>
      <c r="L938" s="54">
        <f>IF(OR(A938="",C938="",D938=""),"",IF(COUNTIFS($A$5:$A$3004,A938,$C$5:$C$3004,"&lt;"&amp;D938,$D$5:$D$3004,"&gt;"&amp;C938)&gt;1,"⚠️ пересечение",""))</f>
        <v/>
      </c>
      <c r="M938" s="54">
        <f>IF(F938="","",IF(J938="✅ Сделано","✔ ",IF(J938="❌ Пропущено","✖ ","⏰ "))&amp;IF(C938="","",RIGHT("0"&amp;HOUR(C938),2)&amp;":"&amp;RIGHT("0"&amp;MINUTE(C938),2)&amp;IF(D938="","","–"&amp;RIGHT("0"&amp;HOUR(D938),2)&amp;":"&amp;RIGHT("0"&amp;MINUTE(D938),2))&amp;" ")&amp;F938)</f>
        <v/>
      </c>
      <c r="N938" s="54">
        <f>IF(OR(A938="",F938=""),"",A938&amp;"#"&amp;(COUNTIFS($A$5:$A$3004,A938,$F$5:$F$3004,"?*",$O$5:$O$3004,"&lt;"&amp;O938)+COUNTIFS($A$5:A938,A938,$F$5:F938,"?*",$O$5:O938,O938)))</f>
        <v/>
      </c>
      <c r="O938" s="54">
        <f>IF(A938="","",IF(C938="",0,C938))</f>
        <v/>
      </c>
    </row>
    <row r="939">
      <c r="A939" s="58" t="n"/>
      <c r="B939" s="49">
        <f>IF(A939="","",CHOOSE(WEEKDAY(A939,2),"Пн","Вт","Ср","Чт","Пт","Сб","Вс"))</f>
        <v/>
      </c>
      <c r="C939" s="59" t="n"/>
      <c r="D939" s="59" t="n"/>
      <c r="E939" s="60">
        <f>IF(OR(C939="",D939=""),"",MOD(D939-C939,1)*24)</f>
        <v/>
      </c>
      <c r="F939" s="50" t="n"/>
      <c r="G939" s="51" t="n"/>
      <c r="H939" s="51" t="n"/>
      <c r="I939" s="51" t="n"/>
      <c r="J939" s="51" t="n"/>
      <c r="K939" s="51" t="n"/>
      <c r="L939" s="54">
        <f>IF(OR(A939="",C939="",D939=""),"",IF(COUNTIFS($A$5:$A$3004,A939,$C$5:$C$3004,"&lt;"&amp;D939,$D$5:$D$3004,"&gt;"&amp;C939)&gt;1,"⚠️ пересечение",""))</f>
        <v/>
      </c>
      <c r="M939" s="54">
        <f>IF(F939="","",IF(J939="✅ Сделано","✔ ",IF(J939="❌ Пропущено","✖ ","⏰ "))&amp;IF(C939="","",RIGHT("0"&amp;HOUR(C939),2)&amp;":"&amp;RIGHT("0"&amp;MINUTE(C939),2)&amp;IF(D939="","","–"&amp;RIGHT("0"&amp;HOUR(D939),2)&amp;":"&amp;RIGHT("0"&amp;MINUTE(D939),2))&amp;" ")&amp;F939)</f>
        <v/>
      </c>
      <c r="N939" s="54">
        <f>IF(OR(A939="",F939=""),"",A939&amp;"#"&amp;(COUNTIFS($A$5:$A$3004,A939,$F$5:$F$3004,"?*",$O$5:$O$3004,"&lt;"&amp;O939)+COUNTIFS($A$5:A939,A939,$F$5:F939,"?*",$O$5:O939,O939)))</f>
        <v/>
      </c>
      <c r="O939" s="54">
        <f>IF(A939="","",IF(C939="",0,C939))</f>
        <v/>
      </c>
    </row>
    <row r="940">
      <c r="A940" s="58" t="n"/>
      <c r="B940" s="49">
        <f>IF(A940="","",CHOOSE(WEEKDAY(A940,2),"Пн","Вт","Ср","Чт","Пт","Сб","Вс"))</f>
        <v/>
      </c>
      <c r="C940" s="59" t="n"/>
      <c r="D940" s="59" t="n"/>
      <c r="E940" s="60">
        <f>IF(OR(C940="",D940=""),"",MOD(D940-C940,1)*24)</f>
        <v/>
      </c>
      <c r="F940" s="50" t="n"/>
      <c r="G940" s="51" t="n"/>
      <c r="H940" s="51" t="n"/>
      <c r="I940" s="51" t="n"/>
      <c r="J940" s="51" t="n"/>
      <c r="K940" s="51" t="n"/>
      <c r="L940" s="54">
        <f>IF(OR(A940="",C940="",D940=""),"",IF(COUNTIFS($A$5:$A$3004,A940,$C$5:$C$3004,"&lt;"&amp;D940,$D$5:$D$3004,"&gt;"&amp;C940)&gt;1,"⚠️ пересечение",""))</f>
        <v/>
      </c>
      <c r="M940" s="54">
        <f>IF(F940="","",IF(J940="✅ Сделано","✔ ",IF(J940="❌ Пропущено","✖ ","⏰ "))&amp;IF(C940="","",RIGHT("0"&amp;HOUR(C940),2)&amp;":"&amp;RIGHT("0"&amp;MINUTE(C940),2)&amp;IF(D940="","","–"&amp;RIGHT("0"&amp;HOUR(D940),2)&amp;":"&amp;RIGHT("0"&amp;MINUTE(D940),2))&amp;" ")&amp;F940)</f>
        <v/>
      </c>
      <c r="N940" s="54">
        <f>IF(OR(A940="",F940=""),"",A940&amp;"#"&amp;(COUNTIFS($A$5:$A$3004,A940,$F$5:$F$3004,"?*",$O$5:$O$3004,"&lt;"&amp;O940)+COUNTIFS($A$5:A940,A940,$F$5:F940,"?*",$O$5:O940,O940)))</f>
        <v/>
      </c>
      <c r="O940" s="54">
        <f>IF(A940="","",IF(C940="",0,C940))</f>
        <v/>
      </c>
    </row>
    <row r="941">
      <c r="A941" s="58" t="n"/>
      <c r="B941" s="49">
        <f>IF(A941="","",CHOOSE(WEEKDAY(A941,2),"Пн","Вт","Ср","Чт","Пт","Сб","Вс"))</f>
        <v/>
      </c>
      <c r="C941" s="59" t="n"/>
      <c r="D941" s="59" t="n"/>
      <c r="E941" s="60">
        <f>IF(OR(C941="",D941=""),"",MOD(D941-C941,1)*24)</f>
        <v/>
      </c>
      <c r="F941" s="50" t="n"/>
      <c r="G941" s="51" t="n"/>
      <c r="H941" s="51" t="n"/>
      <c r="I941" s="51" t="n"/>
      <c r="J941" s="51" t="n"/>
      <c r="K941" s="51" t="n"/>
      <c r="L941" s="54">
        <f>IF(OR(A941="",C941="",D941=""),"",IF(COUNTIFS($A$5:$A$3004,A941,$C$5:$C$3004,"&lt;"&amp;D941,$D$5:$D$3004,"&gt;"&amp;C941)&gt;1,"⚠️ пересечение",""))</f>
        <v/>
      </c>
      <c r="M941" s="54">
        <f>IF(F941="","",IF(J941="✅ Сделано","✔ ",IF(J941="❌ Пропущено","✖ ","⏰ "))&amp;IF(C941="","",RIGHT("0"&amp;HOUR(C941),2)&amp;":"&amp;RIGHT("0"&amp;MINUTE(C941),2)&amp;IF(D941="","","–"&amp;RIGHT("0"&amp;HOUR(D941),2)&amp;":"&amp;RIGHT("0"&amp;MINUTE(D941),2))&amp;" ")&amp;F941)</f>
        <v/>
      </c>
      <c r="N941" s="54">
        <f>IF(OR(A941="",F941=""),"",A941&amp;"#"&amp;(COUNTIFS($A$5:$A$3004,A941,$F$5:$F$3004,"?*",$O$5:$O$3004,"&lt;"&amp;O941)+COUNTIFS($A$5:A941,A941,$F$5:F941,"?*",$O$5:O941,O941)))</f>
        <v/>
      </c>
      <c r="O941" s="54">
        <f>IF(A941="","",IF(C941="",0,C941))</f>
        <v/>
      </c>
    </row>
    <row r="942">
      <c r="A942" s="58" t="n"/>
      <c r="B942" s="49">
        <f>IF(A942="","",CHOOSE(WEEKDAY(A942,2),"Пн","Вт","Ср","Чт","Пт","Сб","Вс"))</f>
        <v/>
      </c>
      <c r="C942" s="59" t="n"/>
      <c r="D942" s="59" t="n"/>
      <c r="E942" s="60">
        <f>IF(OR(C942="",D942=""),"",MOD(D942-C942,1)*24)</f>
        <v/>
      </c>
      <c r="F942" s="50" t="n"/>
      <c r="G942" s="51" t="n"/>
      <c r="H942" s="51" t="n"/>
      <c r="I942" s="51" t="n"/>
      <c r="J942" s="51" t="n"/>
      <c r="K942" s="51" t="n"/>
      <c r="L942" s="54">
        <f>IF(OR(A942="",C942="",D942=""),"",IF(COUNTIFS($A$5:$A$3004,A942,$C$5:$C$3004,"&lt;"&amp;D942,$D$5:$D$3004,"&gt;"&amp;C942)&gt;1,"⚠️ пересечение",""))</f>
        <v/>
      </c>
      <c r="M942" s="54">
        <f>IF(F942="","",IF(J942="✅ Сделано","✔ ",IF(J942="❌ Пропущено","✖ ","⏰ "))&amp;IF(C942="","",RIGHT("0"&amp;HOUR(C942),2)&amp;":"&amp;RIGHT("0"&amp;MINUTE(C942),2)&amp;IF(D942="","","–"&amp;RIGHT("0"&amp;HOUR(D942),2)&amp;":"&amp;RIGHT("0"&amp;MINUTE(D942),2))&amp;" ")&amp;F942)</f>
        <v/>
      </c>
      <c r="N942" s="54">
        <f>IF(OR(A942="",F942=""),"",A942&amp;"#"&amp;(COUNTIFS($A$5:$A$3004,A942,$F$5:$F$3004,"?*",$O$5:$O$3004,"&lt;"&amp;O942)+COUNTIFS($A$5:A942,A942,$F$5:F942,"?*",$O$5:O942,O942)))</f>
        <v/>
      </c>
      <c r="O942" s="54">
        <f>IF(A942="","",IF(C942="",0,C942))</f>
        <v/>
      </c>
    </row>
    <row r="943">
      <c r="A943" s="58" t="n"/>
      <c r="B943" s="49">
        <f>IF(A943="","",CHOOSE(WEEKDAY(A943,2),"Пн","Вт","Ср","Чт","Пт","Сб","Вс"))</f>
        <v/>
      </c>
      <c r="C943" s="59" t="n"/>
      <c r="D943" s="59" t="n"/>
      <c r="E943" s="60">
        <f>IF(OR(C943="",D943=""),"",MOD(D943-C943,1)*24)</f>
        <v/>
      </c>
      <c r="F943" s="50" t="n"/>
      <c r="G943" s="51" t="n"/>
      <c r="H943" s="51" t="n"/>
      <c r="I943" s="51" t="n"/>
      <c r="J943" s="51" t="n"/>
      <c r="K943" s="51" t="n"/>
      <c r="L943" s="54">
        <f>IF(OR(A943="",C943="",D943=""),"",IF(COUNTIFS($A$5:$A$3004,A943,$C$5:$C$3004,"&lt;"&amp;D943,$D$5:$D$3004,"&gt;"&amp;C943)&gt;1,"⚠️ пересечение",""))</f>
        <v/>
      </c>
      <c r="M943" s="54">
        <f>IF(F943="","",IF(J943="✅ Сделано","✔ ",IF(J943="❌ Пропущено","✖ ","⏰ "))&amp;IF(C943="","",RIGHT("0"&amp;HOUR(C943),2)&amp;":"&amp;RIGHT("0"&amp;MINUTE(C943),2)&amp;IF(D943="","","–"&amp;RIGHT("0"&amp;HOUR(D943),2)&amp;":"&amp;RIGHT("0"&amp;MINUTE(D943),2))&amp;" ")&amp;F943)</f>
        <v/>
      </c>
      <c r="N943" s="54">
        <f>IF(OR(A943="",F943=""),"",A943&amp;"#"&amp;(COUNTIFS($A$5:$A$3004,A943,$F$5:$F$3004,"?*",$O$5:$O$3004,"&lt;"&amp;O943)+COUNTIFS($A$5:A943,A943,$F$5:F943,"?*",$O$5:O943,O943)))</f>
        <v/>
      </c>
      <c r="O943" s="54">
        <f>IF(A943="","",IF(C943="",0,C943))</f>
        <v/>
      </c>
    </row>
    <row r="944">
      <c r="A944" s="58" t="n"/>
      <c r="B944" s="49">
        <f>IF(A944="","",CHOOSE(WEEKDAY(A944,2),"Пн","Вт","Ср","Чт","Пт","Сб","Вс"))</f>
        <v/>
      </c>
      <c r="C944" s="59" t="n"/>
      <c r="D944" s="59" t="n"/>
      <c r="E944" s="60">
        <f>IF(OR(C944="",D944=""),"",MOD(D944-C944,1)*24)</f>
        <v/>
      </c>
      <c r="F944" s="50" t="n"/>
      <c r="G944" s="51" t="n"/>
      <c r="H944" s="51" t="n"/>
      <c r="I944" s="51" t="n"/>
      <c r="J944" s="51" t="n"/>
      <c r="K944" s="51" t="n"/>
      <c r="L944" s="54">
        <f>IF(OR(A944="",C944="",D944=""),"",IF(COUNTIFS($A$5:$A$3004,A944,$C$5:$C$3004,"&lt;"&amp;D944,$D$5:$D$3004,"&gt;"&amp;C944)&gt;1,"⚠️ пересечение",""))</f>
        <v/>
      </c>
      <c r="M944" s="54">
        <f>IF(F944="","",IF(J944="✅ Сделано","✔ ",IF(J944="❌ Пропущено","✖ ","⏰ "))&amp;IF(C944="","",RIGHT("0"&amp;HOUR(C944),2)&amp;":"&amp;RIGHT("0"&amp;MINUTE(C944),2)&amp;IF(D944="","","–"&amp;RIGHT("0"&amp;HOUR(D944),2)&amp;":"&amp;RIGHT("0"&amp;MINUTE(D944),2))&amp;" ")&amp;F944)</f>
        <v/>
      </c>
      <c r="N944" s="54">
        <f>IF(OR(A944="",F944=""),"",A944&amp;"#"&amp;(COUNTIFS($A$5:$A$3004,A944,$F$5:$F$3004,"?*",$O$5:$O$3004,"&lt;"&amp;O944)+COUNTIFS($A$5:A944,A944,$F$5:F944,"?*",$O$5:O944,O944)))</f>
        <v/>
      </c>
      <c r="O944" s="54">
        <f>IF(A944="","",IF(C944="",0,C944))</f>
        <v/>
      </c>
    </row>
    <row r="945">
      <c r="A945" s="58" t="n"/>
      <c r="B945" s="49">
        <f>IF(A945="","",CHOOSE(WEEKDAY(A945,2),"Пн","Вт","Ср","Чт","Пт","Сб","Вс"))</f>
        <v/>
      </c>
      <c r="C945" s="59" t="n"/>
      <c r="D945" s="59" t="n"/>
      <c r="E945" s="60">
        <f>IF(OR(C945="",D945=""),"",MOD(D945-C945,1)*24)</f>
        <v/>
      </c>
      <c r="F945" s="50" t="n"/>
      <c r="G945" s="51" t="n"/>
      <c r="H945" s="51" t="n"/>
      <c r="I945" s="51" t="n"/>
      <c r="J945" s="51" t="n"/>
      <c r="K945" s="51" t="n"/>
      <c r="L945" s="54">
        <f>IF(OR(A945="",C945="",D945=""),"",IF(COUNTIFS($A$5:$A$3004,A945,$C$5:$C$3004,"&lt;"&amp;D945,$D$5:$D$3004,"&gt;"&amp;C945)&gt;1,"⚠️ пересечение",""))</f>
        <v/>
      </c>
      <c r="M945" s="54">
        <f>IF(F945="","",IF(J945="✅ Сделано","✔ ",IF(J945="❌ Пропущено","✖ ","⏰ "))&amp;IF(C945="","",RIGHT("0"&amp;HOUR(C945),2)&amp;":"&amp;RIGHT("0"&amp;MINUTE(C945),2)&amp;IF(D945="","","–"&amp;RIGHT("0"&amp;HOUR(D945),2)&amp;":"&amp;RIGHT("0"&amp;MINUTE(D945),2))&amp;" ")&amp;F945)</f>
        <v/>
      </c>
      <c r="N945" s="54">
        <f>IF(OR(A945="",F945=""),"",A945&amp;"#"&amp;(COUNTIFS($A$5:$A$3004,A945,$F$5:$F$3004,"?*",$O$5:$O$3004,"&lt;"&amp;O945)+COUNTIFS($A$5:A945,A945,$F$5:F945,"?*",$O$5:O945,O945)))</f>
        <v/>
      </c>
      <c r="O945" s="54">
        <f>IF(A945="","",IF(C945="",0,C945))</f>
        <v/>
      </c>
    </row>
    <row r="946">
      <c r="A946" s="58" t="n"/>
      <c r="B946" s="49">
        <f>IF(A946="","",CHOOSE(WEEKDAY(A946,2),"Пн","Вт","Ср","Чт","Пт","Сб","Вс"))</f>
        <v/>
      </c>
      <c r="C946" s="59" t="n"/>
      <c r="D946" s="59" t="n"/>
      <c r="E946" s="60">
        <f>IF(OR(C946="",D946=""),"",MOD(D946-C946,1)*24)</f>
        <v/>
      </c>
      <c r="F946" s="50" t="n"/>
      <c r="G946" s="51" t="n"/>
      <c r="H946" s="51" t="n"/>
      <c r="I946" s="51" t="n"/>
      <c r="J946" s="51" t="n"/>
      <c r="K946" s="51" t="n"/>
      <c r="L946" s="54">
        <f>IF(OR(A946="",C946="",D946=""),"",IF(COUNTIFS($A$5:$A$3004,A946,$C$5:$C$3004,"&lt;"&amp;D946,$D$5:$D$3004,"&gt;"&amp;C946)&gt;1,"⚠️ пересечение",""))</f>
        <v/>
      </c>
      <c r="M946" s="54">
        <f>IF(F946="","",IF(J946="✅ Сделано","✔ ",IF(J946="❌ Пропущено","✖ ","⏰ "))&amp;IF(C946="","",RIGHT("0"&amp;HOUR(C946),2)&amp;":"&amp;RIGHT("0"&amp;MINUTE(C946),2)&amp;IF(D946="","","–"&amp;RIGHT("0"&amp;HOUR(D946),2)&amp;":"&amp;RIGHT("0"&amp;MINUTE(D946),2))&amp;" ")&amp;F946)</f>
        <v/>
      </c>
      <c r="N946" s="54">
        <f>IF(OR(A946="",F946=""),"",A946&amp;"#"&amp;(COUNTIFS($A$5:$A$3004,A946,$F$5:$F$3004,"?*",$O$5:$O$3004,"&lt;"&amp;O946)+COUNTIFS($A$5:A946,A946,$F$5:F946,"?*",$O$5:O946,O946)))</f>
        <v/>
      </c>
      <c r="O946" s="54">
        <f>IF(A946="","",IF(C946="",0,C946))</f>
        <v/>
      </c>
    </row>
    <row r="947">
      <c r="A947" s="58" t="n"/>
      <c r="B947" s="49">
        <f>IF(A947="","",CHOOSE(WEEKDAY(A947,2),"Пн","Вт","Ср","Чт","Пт","Сб","Вс"))</f>
        <v/>
      </c>
      <c r="C947" s="59" t="n"/>
      <c r="D947" s="59" t="n"/>
      <c r="E947" s="60">
        <f>IF(OR(C947="",D947=""),"",MOD(D947-C947,1)*24)</f>
        <v/>
      </c>
      <c r="F947" s="50" t="n"/>
      <c r="G947" s="51" t="n"/>
      <c r="H947" s="51" t="n"/>
      <c r="I947" s="51" t="n"/>
      <c r="J947" s="51" t="n"/>
      <c r="K947" s="51" t="n"/>
      <c r="L947" s="54">
        <f>IF(OR(A947="",C947="",D947=""),"",IF(COUNTIFS($A$5:$A$3004,A947,$C$5:$C$3004,"&lt;"&amp;D947,$D$5:$D$3004,"&gt;"&amp;C947)&gt;1,"⚠️ пересечение",""))</f>
        <v/>
      </c>
      <c r="M947" s="54">
        <f>IF(F947="","",IF(J947="✅ Сделано","✔ ",IF(J947="❌ Пропущено","✖ ","⏰ "))&amp;IF(C947="","",RIGHT("0"&amp;HOUR(C947),2)&amp;":"&amp;RIGHT("0"&amp;MINUTE(C947),2)&amp;IF(D947="","","–"&amp;RIGHT("0"&amp;HOUR(D947),2)&amp;":"&amp;RIGHT("0"&amp;MINUTE(D947),2))&amp;" ")&amp;F947)</f>
        <v/>
      </c>
      <c r="N947" s="54">
        <f>IF(OR(A947="",F947=""),"",A947&amp;"#"&amp;(COUNTIFS($A$5:$A$3004,A947,$F$5:$F$3004,"?*",$O$5:$O$3004,"&lt;"&amp;O947)+COUNTIFS($A$5:A947,A947,$F$5:F947,"?*",$O$5:O947,O947)))</f>
        <v/>
      </c>
      <c r="O947" s="54">
        <f>IF(A947="","",IF(C947="",0,C947))</f>
        <v/>
      </c>
    </row>
    <row r="948">
      <c r="A948" s="58" t="n"/>
      <c r="B948" s="49">
        <f>IF(A948="","",CHOOSE(WEEKDAY(A948,2),"Пн","Вт","Ср","Чт","Пт","Сб","Вс"))</f>
        <v/>
      </c>
      <c r="C948" s="59" t="n"/>
      <c r="D948" s="59" t="n"/>
      <c r="E948" s="60">
        <f>IF(OR(C948="",D948=""),"",MOD(D948-C948,1)*24)</f>
        <v/>
      </c>
      <c r="F948" s="50" t="n"/>
      <c r="G948" s="51" t="n"/>
      <c r="H948" s="51" t="n"/>
      <c r="I948" s="51" t="n"/>
      <c r="J948" s="51" t="n"/>
      <c r="K948" s="51" t="n"/>
      <c r="L948" s="54">
        <f>IF(OR(A948="",C948="",D948=""),"",IF(COUNTIFS($A$5:$A$3004,A948,$C$5:$C$3004,"&lt;"&amp;D948,$D$5:$D$3004,"&gt;"&amp;C948)&gt;1,"⚠️ пересечение",""))</f>
        <v/>
      </c>
      <c r="M948" s="54">
        <f>IF(F948="","",IF(J948="✅ Сделано","✔ ",IF(J948="❌ Пропущено","✖ ","⏰ "))&amp;IF(C948="","",RIGHT("0"&amp;HOUR(C948),2)&amp;":"&amp;RIGHT("0"&amp;MINUTE(C948),2)&amp;IF(D948="","","–"&amp;RIGHT("0"&amp;HOUR(D948),2)&amp;":"&amp;RIGHT("0"&amp;MINUTE(D948),2))&amp;" ")&amp;F948)</f>
        <v/>
      </c>
      <c r="N948" s="54">
        <f>IF(OR(A948="",F948=""),"",A948&amp;"#"&amp;(COUNTIFS($A$5:$A$3004,A948,$F$5:$F$3004,"?*",$O$5:$O$3004,"&lt;"&amp;O948)+COUNTIFS($A$5:A948,A948,$F$5:F948,"?*",$O$5:O948,O948)))</f>
        <v/>
      </c>
      <c r="O948" s="54">
        <f>IF(A948="","",IF(C948="",0,C948))</f>
        <v/>
      </c>
    </row>
    <row r="949">
      <c r="A949" s="58" t="n"/>
      <c r="B949" s="49">
        <f>IF(A949="","",CHOOSE(WEEKDAY(A949,2),"Пн","Вт","Ср","Чт","Пт","Сб","Вс"))</f>
        <v/>
      </c>
      <c r="C949" s="59" t="n"/>
      <c r="D949" s="59" t="n"/>
      <c r="E949" s="60">
        <f>IF(OR(C949="",D949=""),"",MOD(D949-C949,1)*24)</f>
        <v/>
      </c>
      <c r="F949" s="50" t="n"/>
      <c r="G949" s="51" t="n"/>
      <c r="H949" s="51" t="n"/>
      <c r="I949" s="51" t="n"/>
      <c r="J949" s="51" t="n"/>
      <c r="K949" s="51" t="n"/>
      <c r="L949" s="54">
        <f>IF(OR(A949="",C949="",D949=""),"",IF(COUNTIFS($A$5:$A$3004,A949,$C$5:$C$3004,"&lt;"&amp;D949,$D$5:$D$3004,"&gt;"&amp;C949)&gt;1,"⚠️ пересечение",""))</f>
        <v/>
      </c>
      <c r="M949" s="54">
        <f>IF(F949="","",IF(J949="✅ Сделано","✔ ",IF(J949="❌ Пропущено","✖ ","⏰ "))&amp;IF(C949="","",RIGHT("0"&amp;HOUR(C949),2)&amp;":"&amp;RIGHT("0"&amp;MINUTE(C949),2)&amp;IF(D949="","","–"&amp;RIGHT("0"&amp;HOUR(D949),2)&amp;":"&amp;RIGHT("0"&amp;MINUTE(D949),2))&amp;" ")&amp;F949)</f>
        <v/>
      </c>
      <c r="N949" s="54">
        <f>IF(OR(A949="",F949=""),"",A949&amp;"#"&amp;(COUNTIFS($A$5:$A$3004,A949,$F$5:$F$3004,"?*",$O$5:$O$3004,"&lt;"&amp;O949)+COUNTIFS($A$5:A949,A949,$F$5:F949,"?*",$O$5:O949,O949)))</f>
        <v/>
      </c>
      <c r="O949" s="54">
        <f>IF(A949="","",IF(C949="",0,C949))</f>
        <v/>
      </c>
    </row>
    <row r="950">
      <c r="A950" s="58" t="n"/>
      <c r="B950" s="49">
        <f>IF(A950="","",CHOOSE(WEEKDAY(A950,2),"Пн","Вт","Ср","Чт","Пт","Сб","Вс"))</f>
        <v/>
      </c>
      <c r="C950" s="59" t="n"/>
      <c r="D950" s="59" t="n"/>
      <c r="E950" s="60">
        <f>IF(OR(C950="",D950=""),"",MOD(D950-C950,1)*24)</f>
        <v/>
      </c>
      <c r="F950" s="50" t="n"/>
      <c r="G950" s="51" t="n"/>
      <c r="H950" s="51" t="n"/>
      <c r="I950" s="51" t="n"/>
      <c r="J950" s="51" t="n"/>
      <c r="K950" s="51" t="n"/>
      <c r="L950" s="54">
        <f>IF(OR(A950="",C950="",D950=""),"",IF(COUNTIFS($A$5:$A$3004,A950,$C$5:$C$3004,"&lt;"&amp;D950,$D$5:$D$3004,"&gt;"&amp;C950)&gt;1,"⚠️ пересечение",""))</f>
        <v/>
      </c>
      <c r="M950" s="54">
        <f>IF(F950="","",IF(J950="✅ Сделано","✔ ",IF(J950="❌ Пропущено","✖ ","⏰ "))&amp;IF(C950="","",RIGHT("0"&amp;HOUR(C950),2)&amp;":"&amp;RIGHT("0"&amp;MINUTE(C950),2)&amp;IF(D950="","","–"&amp;RIGHT("0"&amp;HOUR(D950),2)&amp;":"&amp;RIGHT("0"&amp;MINUTE(D950),2))&amp;" ")&amp;F950)</f>
        <v/>
      </c>
      <c r="N950" s="54">
        <f>IF(OR(A950="",F950=""),"",A950&amp;"#"&amp;(COUNTIFS($A$5:$A$3004,A950,$F$5:$F$3004,"?*",$O$5:$O$3004,"&lt;"&amp;O950)+COUNTIFS($A$5:A950,A950,$F$5:F950,"?*",$O$5:O950,O950)))</f>
        <v/>
      </c>
      <c r="O950" s="54">
        <f>IF(A950="","",IF(C950="",0,C950))</f>
        <v/>
      </c>
    </row>
    <row r="951">
      <c r="A951" s="58" t="n"/>
      <c r="B951" s="49">
        <f>IF(A951="","",CHOOSE(WEEKDAY(A951,2),"Пн","Вт","Ср","Чт","Пт","Сб","Вс"))</f>
        <v/>
      </c>
      <c r="C951" s="59" t="n"/>
      <c r="D951" s="59" t="n"/>
      <c r="E951" s="60">
        <f>IF(OR(C951="",D951=""),"",MOD(D951-C951,1)*24)</f>
        <v/>
      </c>
      <c r="F951" s="50" t="n"/>
      <c r="G951" s="51" t="n"/>
      <c r="H951" s="51" t="n"/>
      <c r="I951" s="51" t="n"/>
      <c r="J951" s="51" t="n"/>
      <c r="K951" s="51" t="n"/>
      <c r="L951" s="54">
        <f>IF(OR(A951="",C951="",D951=""),"",IF(COUNTIFS($A$5:$A$3004,A951,$C$5:$C$3004,"&lt;"&amp;D951,$D$5:$D$3004,"&gt;"&amp;C951)&gt;1,"⚠️ пересечение",""))</f>
        <v/>
      </c>
      <c r="M951" s="54">
        <f>IF(F951="","",IF(J951="✅ Сделано","✔ ",IF(J951="❌ Пропущено","✖ ","⏰ "))&amp;IF(C951="","",RIGHT("0"&amp;HOUR(C951),2)&amp;":"&amp;RIGHT("0"&amp;MINUTE(C951),2)&amp;IF(D951="","","–"&amp;RIGHT("0"&amp;HOUR(D951),2)&amp;":"&amp;RIGHT("0"&amp;MINUTE(D951),2))&amp;" ")&amp;F951)</f>
        <v/>
      </c>
      <c r="N951" s="54">
        <f>IF(OR(A951="",F951=""),"",A951&amp;"#"&amp;(COUNTIFS($A$5:$A$3004,A951,$F$5:$F$3004,"?*",$O$5:$O$3004,"&lt;"&amp;O951)+COUNTIFS($A$5:A951,A951,$F$5:F951,"?*",$O$5:O951,O951)))</f>
        <v/>
      </c>
      <c r="O951" s="54">
        <f>IF(A951="","",IF(C951="",0,C951))</f>
        <v/>
      </c>
    </row>
    <row r="952">
      <c r="A952" s="58" t="n"/>
      <c r="B952" s="49">
        <f>IF(A952="","",CHOOSE(WEEKDAY(A952,2),"Пн","Вт","Ср","Чт","Пт","Сб","Вс"))</f>
        <v/>
      </c>
      <c r="C952" s="59" t="n"/>
      <c r="D952" s="59" t="n"/>
      <c r="E952" s="60">
        <f>IF(OR(C952="",D952=""),"",MOD(D952-C952,1)*24)</f>
        <v/>
      </c>
      <c r="F952" s="50" t="n"/>
      <c r="G952" s="51" t="n"/>
      <c r="H952" s="51" t="n"/>
      <c r="I952" s="51" t="n"/>
      <c r="J952" s="51" t="n"/>
      <c r="K952" s="51" t="n"/>
      <c r="L952" s="54">
        <f>IF(OR(A952="",C952="",D952=""),"",IF(COUNTIFS($A$5:$A$3004,A952,$C$5:$C$3004,"&lt;"&amp;D952,$D$5:$D$3004,"&gt;"&amp;C952)&gt;1,"⚠️ пересечение",""))</f>
        <v/>
      </c>
      <c r="M952" s="54">
        <f>IF(F952="","",IF(J952="✅ Сделано","✔ ",IF(J952="❌ Пропущено","✖ ","⏰ "))&amp;IF(C952="","",RIGHT("0"&amp;HOUR(C952),2)&amp;":"&amp;RIGHT("0"&amp;MINUTE(C952),2)&amp;IF(D952="","","–"&amp;RIGHT("0"&amp;HOUR(D952),2)&amp;":"&amp;RIGHT("0"&amp;MINUTE(D952),2))&amp;" ")&amp;F952)</f>
        <v/>
      </c>
      <c r="N952" s="54">
        <f>IF(OR(A952="",F952=""),"",A952&amp;"#"&amp;(COUNTIFS($A$5:$A$3004,A952,$F$5:$F$3004,"?*",$O$5:$O$3004,"&lt;"&amp;O952)+COUNTIFS($A$5:A952,A952,$F$5:F952,"?*",$O$5:O952,O952)))</f>
        <v/>
      </c>
      <c r="O952" s="54">
        <f>IF(A952="","",IF(C952="",0,C952))</f>
        <v/>
      </c>
    </row>
    <row r="953">
      <c r="A953" s="58" t="n"/>
      <c r="B953" s="49">
        <f>IF(A953="","",CHOOSE(WEEKDAY(A953,2),"Пн","Вт","Ср","Чт","Пт","Сб","Вс"))</f>
        <v/>
      </c>
      <c r="C953" s="59" t="n"/>
      <c r="D953" s="59" t="n"/>
      <c r="E953" s="60">
        <f>IF(OR(C953="",D953=""),"",MOD(D953-C953,1)*24)</f>
        <v/>
      </c>
      <c r="F953" s="50" t="n"/>
      <c r="G953" s="51" t="n"/>
      <c r="H953" s="51" t="n"/>
      <c r="I953" s="51" t="n"/>
      <c r="J953" s="51" t="n"/>
      <c r="K953" s="51" t="n"/>
      <c r="L953" s="54">
        <f>IF(OR(A953="",C953="",D953=""),"",IF(COUNTIFS($A$5:$A$3004,A953,$C$5:$C$3004,"&lt;"&amp;D953,$D$5:$D$3004,"&gt;"&amp;C953)&gt;1,"⚠️ пересечение",""))</f>
        <v/>
      </c>
      <c r="M953" s="54">
        <f>IF(F953="","",IF(J953="✅ Сделано","✔ ",IF(J953="❌ Пропущено","✖ ","⏰ "))&amp;IF(C953="","",RIGHT("0"&amp;HOUR(C953),2)&amp;":"&amp;RIGHT("0"&amp;MINUTE(C953),2)&amp;IF(D953="","","–"&amp;RIGHT("0"&amp;HOUR(D953),2)&amp;":"&amp;RIGHT("0"&amp;MINUTE(D953),2))&amp;" ")&amp;F953)</f>
        <v/>
      </c>
      <c r="N953" s="54">
        <f>IF(OR(A953="",F953=""),"",A953&amp;"#"&amp;(COUNTIFS($A$5:$A$3004,A953,$F$5:$F$3004,"?*",$O$5:$O$3004,"&lt;"&amp;O953)+COUNTIFS($A$5:A953,A953,$F$5:F953,"?*",$O$5:O953,O953)))</f>
        <v/>
      </c>
      <c r="O953" s="54">
        <f>IF(A953="","",IF(C953="",0,C953))</f>
        <v/>
      </c>
    </row>
    <row r="954">
      <c r="A954" s="58" t="n"/>
      <c r="B954" s="49">
        <f>IF(A954="","",CHOOSE(WEEKDAY(A954,2),"Пн","Вт","Ср","Чт","Пт","Сб","Вс"))</f>
        <v/>
      </c>
      <c r="C954" s="59" t="n"/>
      <c r="D954" s="59" t="n"/>
      <c r="E954" s="60">
        <f>IF(OR(C954="",D954=""),"",MOD(D954-C954,1)*24)</f>
        <v/>
      </c>
      <c r="F954" s="50" t="n"/>
      <c r="G954" s="51" t="n"/>
      <c r="H954" s="51" t="n"/>
      <c r="I954" s="51" t="n"/>
      <c r="J954" s="51" t="n"/>
      <c r="K954" s="51" t="n"/>
      <c r="L954" s="54">
        <f>IF(OR(A954="",C954="",D954=""),"",IF(COUNTIFS($A$5:$A$3004,A954,$C$5:$C$3004,"&lt;"&amp;D954,$D$5:$D$3004,"&gt;"&amp;C954)&gt;1,"⚠️ пересечение",""))</f>
        <v/>
      </c>
      <c r="M954" s="54">
        <f>IF(F954="","",IF(J954="✅ Сделано","✔ ",IF(J954="❌ Пропущено","✖ ","⏰ "))&amp;IF(C954="","",RIGHT("0"&amp;HOUR(C954),2)&amp;":"&amp;RIGHT("0"&amp;MINUTE(C954),2)&amp;IF(D954="","","–"&amp;RIGHT("0"&amp;HOUR(D954),2)&amp;":"&amp;RIGHT("0"&amp;MINUTE(D954),2))&amp;" ")&amp;F954)</f>
        <v/>
      </c>
      <c r="N954" s="54">
        <f>IF(OR(A954="",F954=""),"",A954&amp;"#"&amp;(COUNTIFS($A$5:$A$3004,A954,$F$5:$F$3004,"?*",$O$5:$O$3004,"&lt;"&amp;O954)+COUNTIFS($A$5:A954,A954,$F$5:F954,"?*",$O$5:O954,O954)))</f>
        <v/>
      </c>
      <c r="O954" s="54">
        <f>IF(A954="","",IF(C954="",0,C954))</f>
        <v/>
      </c>
    </row>
    <row r="955">
      <c r="A955" s="58" t="n"/>
      <c r="B955" s="49">
        <f>IF(A955="","",CHOOSE(WEEKDAY(A955,2),"Пн","Вт","Ср","Чт","Пт","Сб","Вс"))</f>
        <v/>
      </c>
      <c r="C955" s="59" t="n"/>
      <c r="D955" s="59" t="n"/>
      <c r="E955" s="60">
        <f>IF(OR(C955="",D955=""),"",MOD(D955-C955,1)*24)</f>
        <v/>
      </c>
      <c r="F955" s="50" t="n"/>
      <c r="G955" s="51" t="n"/>
      <c r="H955" s="51" t="n"/>
      <c r="I955" s="51" t="n"/>
      <c r="J955" s="51" t="n"/>
      <c r="K955" s="51" t="n"/>
      <c r="L955" s="54">
        <f>IF(OR(A955="",C955="",D955=""),"",IF(COUNTIFS($A$5:$A$3004,A955,$C$5:$C$3004,"&lt;"&amp;D955,$D$5:$D$3004,"&gt;"&amp;C955)&gt;1,"⚠️ пересечение",""))</f>
        <v/>
      </c>
      <c r="M955" s="54">
        <f>IF(F955="","",IF(J955="✅ Сделано","✔ ",IF(J955="❌ Пропущено","✖ ","⏰ "))&amp;IF(C955="","",RIGHT("0"&amp;HOUR(C955),2)&amp;":"&amp;RIGHT("0"&amp;MINUTE(C955),2)&amp;IF(D955="","","–"&amp;RIGHT("0"&amp;HOUR(D955),2)&amp;":"&amp;RIGHT("0"&amp;MINUTE(D955),2))&amp;" ")&amp;F955)</f>
        <v/>
      </c>
      <c r="N955" s="54">
        <f>IF(OR(A955="",F955=""),"",A955&amp;"#"&amp;(COUNTIFS($A$5:$A$3004,A955,$F$5:$F$3004,"?*",$O$5:$O$3004,"&lt;"&amp;O955)+COUNTIFS($A$5:A955,A955,$F$5:F955,"?*",$O$5:O955,O955)))</f>
        <v/>
      </c>
      <c r="O955" s="54">
        <f>IF(A955="","",IF(C955="",0,C955))</f>
        <v/>
      </c>
    </row>
    <row r="956">
      <c r="A956" s="58" t="n"/>
      <c r="B956" s="49">
        <f>IF(A956="","",CHOOSE(WEEKDAY(A956,2),"Пн","Вт","Ср","Чт","Пт","Сб","Вс"))</f>
        <v/>
      </c>
      <c r="C956" s="59" t="n"/>
      <c r="D956" s="59" t="n"/>
      <c r="E956" s="60">
        <f>IF(OR(C956="",D956=""),"",MOD(D956-C956,1)*24)</f>
        <v/>
      </c>
      <c r="F956" s="50" t="n"/>
      <c r="G956" s="51" t="n"/>
      <c r="H956" s="51" t="n"/>
      <c r="I956" s="51" t="n"/>
      <c r="J956" s="51" t="n"/>
      <c r="K956" s="51" t="n"/>
      <c r="L956" s="54">
        <f>IF(OR(A956="",C956="",D956=""),"",IF(COUNTIFS($A$5:$A$3004,A956,$C$5:$C$3004,"&lt;"&amp;D956,$D$5:$D$3004,"&gt;"&amp;C956)&gt;1,"⚠️ пересечение",""))</f>
        <v/>
      </c>
      <c r="M956" s="54">
        <f>IF(F956="","",IF(J956="✅ Сделано","✔ ",IF(J956="❌ Пропущено","✖ ","⏰ "))&amp;IF(C956="","",RIGHT("0"&amp;HOUR(C956),2)&amp;":"&amp;RIGHT("0"&amp;MINUTE(C956),2)&amp;IF(D956="","","–"&amp;RIGHT("0"&amp;HOUR(D956),2)&amp;":"&amp;RIGHT("0"&amp;MINUTE(D956),2))&amp;" ")&amp;F956)</f>
        <v/>
      </c>
      <c r="N956" s="54">
        <f>IF(OR(A956="",F956=""),"",A956&amp;"#"&amp;(COUNTIFS($A$5:$A$3004,A956,$F$5:$F$3004,"?*",$O$5:$O$3004,"&lt;"&amp;O956)+COUNTIFS($A$5:A956,A956,$F$5:F956,"?*",$O$5:O956,O956)))</f>
        <v/>
      </c>
      <c r="O956" s="54">
        <f>IF(A956="","",IF(C956="",0,C956))</f>
        <v/>
      </c>
    </row>
    <row r="957">
      <c r="A957" s="58" t="n"/>
      <c r="B957" s="49">
        <f>IF(A957="","",CHOOSE(WEEKDAY(A957,2),"Пн","Вт","Ср","Чт","Пт","Сб","Вс"))</f>
        <v/>
      </c>
      <c r="C957" s="59" t="n"/>
      <c r="D957" s="59" t="n"/>
      <c r="E957" s="60">
        <f>IF(OR(C957="",D957=""),"",MOD(D957-C957,1)*24)</f>
        <v/>
      </c>
      <c r="F957" s="50" t="n"/>
      <c r="G957" s="51" t="n"/>
      <c r="H957" s="51" t="n"/>
      <c r="I957" s="51" t="n"/>
      <c r="J957" s="51" t="n"/>
      <c r="K957" s="51" t="n"/>
      <c r="L957" s="54">
        <f>IF(OR(A957="",C957="",D957=""),"",IF(COUNTIFS($A$5:$A$3004,A957,$C$5:$C$3004,"&lt;"&amp;D957,$D$5:$D$3004,"&gt;"&amp;C957)&gt;1,"⚠️ пересечение",""))</f>
        <v/>
      </c>
      <c r="M957" s="54">
        <f>IF(F957="","",IF(J957="✅ Сделано","✔ ",IF(J957="❌ Пропущено","✖ ","⏰ "))&amp;IF(C957="","",RIGHT("0"&amp;HOUR(C957),2)&amp;":"&amp;RIGHT("0"&amp;MINUTE(C957),2)&amp;IF(D957="","","–"&amp;RIGHT("0"&amp;HOUR(D957),2)&amp;":"&amp;RIGHT("0"&amp;MINUTE(D957),2))&amp;" ")&amp;F957)</f>
        <v/>
      </c>
      <c r="N957" s="54">
        <f>IF(OR(A957="",F957=""),"",A957&amp;"#"&amp;(COUNTIFS($A$5:$A$3004,A957,$F$5:$F$3004,"?*",$O$5:$O$3004,"&lt;"&amp;O957)+COUNTIFS($A$5:A957,A957,$F$5:F957,"?*",$O$5:O957,O957)))</f>
        <v/>
      </c>
      <c r="O957" s="54">
        <f>IF(A957="","",IF(C957="",0,C957))</f>
        <v/>
      </c>
    </row>
    <row r="958">
      <c r="A958" s="58" t="n"/>
      <c r="B958" s="49">
        <f>IF(A958="","",CHOOSE(WEEKDAY(A958,2),"Пн","Вт","Ср","Чт","Пт","Сб","Вс"))</f>
        <v/>
      </c>
      <c r="C958" s="59" t="n"/>
      <c r="D958" s="59" t="n"/>
      <c r="E958" s="60">
        <f>IF(OR(C958="",D958=""),"",MOD(D958-C958,1)*24)</f>
        <v/>
      </c>
      <c r="F958" s="50" t="n"/>
      <c r="G958" s="51" t="n"/>
      <c r="H958" s="51" t="n"/>
      <c r="I958" s="51" t="n"/>
      <c r="J958" s="51" t="n"/>
      <c r="K958" s="51" t="n"/>
      <c r="L958" s="54">
        <f>IF(OR(A958="",C958="",D958=""),"",IF(COUNTIFS($A$5:$A$3004,A958,$C$5:$C$3004,"&lt;"&amp;D958,$D$5:$D$3004,"&gt;"&amp;C958)&gt;1,"⚠️ пересечение",""))</f>
        <v/>
      </c>
      <c r="M958" s="54">
        <f>IF(F958="","",IF(J958="✅ Сделано","✔ ",IF(J958="❌ Пропущено","✖ ","⏰ "))&amp;IF(C958="","",RIGHT("0"&amp;HOUR(C958),2)&amp;":"&amp;RIGHT("0"&amp;MINUTE(C958),2)&amp;IF(D958="","","–"&amp;RIGHT("0"&amp;HOUR(D958),2)&amp;":"&amp;RIGHT("0"&amp;MINUTE(D958),2))&amp;" ")&amp;F958)</f>
        <v/>
      </c>
      <c r="N958" s="54">
        <f>IF(OR(A958="",F958=""),"",A958&amp;"#"&amp;(COUNTIFS($A$5:$A$3004,A958,$F$5:$F$3004,"?*",$O$5:$O$3004,"&lt;"&amp;O958)+COUNTIFS($A$5:A958,A958,$F$5:F958,"?*",$O$5:O958,O958)))</f>
        <v/>
      </c>
      <c r="O958" s="54">
        <f>IF(A958="","",IF(C958="",0,C958))</f>
        <v/>
      </c>
    </row>
    <row r="959">
      <c r="A959" s="58" t="n"/>
      <c r="B959" s="49">
        <f>IF(A959="","",CHOOSE(WEEKDAY(A959,2),"Пн","Вт","Ср","Чт","Пт","Сб","Вс"))</f>
        <v/>
      </c>
      <c r="C959" s="59" t="n"/>
      <c r="D959" s="59" t="n"/>
      <c r="E959" s="60">
        <f>IF(OR(C959="",D959=""),"",MOD(D959-C959,1)*24)</f>
        <v/>
      </c>
      <c r="F959" s="50" t="n"/>
      <c r="G959" s="51" t="n"/>
      <c r="H959" s="51" t="n"/>
      <c r="I959" s="51" t="n"/>
      <c r="J959" s="51" t="n"/>
      <c r="K959" s="51" t="n"/>
      <c r="L959" s="54">
        <f>IF(OR(A959="",C959="",D959=""),"",IF(COUNTIFS($A$5:$A$3004,A959,$C$5:$C$3004,"&lt;"&amp;D959,$D$5:$D$3004,"&gt;"&amp;C959)&gt;1,"⚠️ пересечение",""))</f>
        <v/>
      </c>
      <c r="M959" s="54">
        <f>IF(F959="","",IF(J959="✅ Сделано","✔ ",IF(J959="❌ Пропущено","✖ ","⏰ "))&amp;IF(C959="","",RIGHT("0"&amp;HOUR(C959),2)&amp;":"&amp;RIGHT("0"&amp;MINUTE(C959),2)&amp;IF(D959="","","–"&amp;RIGHT("0"&amp;HOUR(D959),2)&amp;":"&amp;RIGHT("0"&amp;MINUTE(D959),2))&amp;" ")&amp;F959)</f>
        <v/>
      </c>
      <c r="N959" s="54">
        <f>IF(OR(A959="",F959=""),"",A959&amp;"#"&amp;(COUNTIFS($A$5:$A$3004,A959,$F$5:$F$3004,"?*",$O$5:$O$3004,"&lt;"&amp;O959)+COUNTIFS($A$5:A959,A959,$F$5:F959,"?*",$O$5:O959,O959)))</f>
        <v/>
      </c>
      <c r="O959" s="54">
        <f>IF(A959="","",IF(C959="",0,C959))</f>
        <v/>
      </c>
    </row>
    <row r="960">
      <c r="A960" s="58" t="n"/>
      <c r="B960" s="49">
        <f>IF(A960="","",CHOOSE(WEEKDAY(A960,2),"Пн","Вт","Ср","Чт","Пт","Сб","Вс"))</f>
        <v/>
      </c>
      <c r="C960" s="59" t="n"/>
      <c r="D960" s="59" t="n"/>
      <c r="E960" s="60">
        <f>IF(OR(C960="",D960=""),"",MOD(D960-C960,1)*24)</f>
        <v/>
      </c>
      <c r="F960" s="50" t="n"/>
      <c r="G960" s="51" t="n"/>
      <c r="H960" s="51" t="n"/>
      <c r="I960" s="51" t="n"/>
      <c r="J960" s="51" t="n"/>
      <c r="K960" s="51" t="n"/>
      <c r="L960" s="54">
        <f>IF(OR(A960="",C960="",D960=""),"",IF(COUNTIFS($A$5:$A$3004,A960,$C$5:$C$3004,"&lt;"&amp;D960,$D$5:$D$3004,"&gt;"&amp;C960)&gt;1,"⚠️ пересечение",""))</f>
        <v/>
      </c>
      <c r="M960" s="54">
        <f>IF(F960="","",IF(J960="✅ Сделано","✔ ",IF(J960="❌ Пропущено","✖ ","⏰ "))&amp;IF(C960="","",RIGHT("0"&amp;HOUR(C960),2)&amp;":"&amp;RIGHT("0"&amp;MINUTE(C960),2)&amp;IF(D960="","","–"&amp;RIGHT("0"&amp;HOUR(D960),2)&amp;":"&amp;RIGHT("0"&amp;MINUTE(D960),2))&amp;" ")&amp;F960)</f>
        <v/>
      </c>
      <c r="N960" s="54">
        <f>IF(OR(A960="",F960=""),"",A960&amp;"#"&amp;(COUNTIFS($A$5:$A$3004,A960,$F$5:$F$3004,"?*",$O$5:$O$3004,"&lt;"&amp;O960)+COUNTIFS($A$5:A960,A960,$F$5:F960,"?*",$O$5:O960,O960)))</f>
        <v/>
      </c>
      <c r="O960" s="54">
        <f>IF(A960="","",IF(C960="",0,C960))</f>
        <v/>
      </c>
    </row>
    <row r="961">
      <c r="A961" s="58" t="n"/>
      <c r="B961" s="49">
        <f>IF(A961="","",CHOOSE(WEEKDAY(A961,2),"Пн","Вт","Ср","Чт","Пт","Сб","Вс"))</f>
        <v/>
      </c>
      <c r="C961" s="59" t="n"/>
      <c r="D961" s="59" t="n"/>
      <c r="E961" s="60">
        <f>IF(OR(C961="",D961=""),"",MOD(D961-C961,1)*24)</f>
        <v/>
      </c>
      <c r="F961" s="50" t="n"/>
      <c r="G961" s="51" t="n"/>
      <c r="H961" s="51" t="n"/>
      <c r="I961" s="51" t="n"/>
      <c r="J961" s="51" t="n"/>
      <c r="K961" s="51" t="n"/>
      <c r="L961" s="54">
        <f>IF(OR(A961="",C961="",D961=""),"",IF(COUNTIFS($A$5:$A$3004,A961,$C$5:$C$3004,"&lt;"&amp;D961,$D$5:$D$3004,"&gt;"&amp;C961)&gt;1,"⚠️ пересечение",""))</f>
        <v/>
      </c>
      <c r="M961" s="54">
        <f>IF(F961="","",IF(J961="✅ Сделано","✔ ",IF(J961="❌ Пропущено","✖ ","⏰ "))&amp;IF(C961="","",RIGHT("0"&amp;HOUR(C961),2)&amp;":"&amp;RIGHT("0"&amp;MINUTE(C961),2)&amp;IF(D961="","","–"&amp;RIGHT("0"&amp;HOUR(D961),2)&amp;":"&amp;RIGHT("0"&amp;MINUTE(D961),2))&amp;" ")&amp;F961)</f>
        <v/>
      </c>
      <c r="N961" s="54">
        <f>IF(OR(A961="",F961=""),"",A961&amp;"#"&amp;(COUNTIFS($A$5:$A$3004,A961,$F$5:$F$3004,"?*",$O$5:$O$3004,"&lt;"&amp;O961)+COUNTIFS($A$5:A961,A961,$F$5:F961,"?*",$O$5:O961,O961)))</f>
        <v/>
      </c>
      <c r="O961" s="54">
        <f>IF(A961="","",IF(C961="",0,C961))</f>
        <v/>
      </c>
    </row>
    <row r="962">
      <c r="A962" s="58" t="n"/>
      <c r="B962" s="49">
        <f>IF(A962="","",CHOOSE(WEEKDAY(A962,2),"Пн","Вт","Ср","Чт","Пт","Сб","Вс"))</f>
        <v/>
      </c>
      <c r="C962" s="59" t="n"/>
      <c r="D962" s="59" t="n"/>
      <c r="E962" s="60">
        <f>IF(OR(C962="",D962=""),"",MOD(D962-C962,1)*24)</f>
        <v/>
      </c>
      <c r="F962" s="50" t="n"/>
      <c r="G962" s="51" t="n"/>
      <c r="H962" s="51" t="n"/>
      <c r="I962" s="51" t="n"/>
      <c r="J962" s="51" t="n"/>
      <c r="K962" s="51" t="n"/>
      <c r="L962" s="54">
        <f>IF(OR(A962="",C962="",D962=""),"",IF(COUNTIFS($A$5:$A$3004,A962,$C$5:$C$3004,"&lt;"&amp;D962,$D$5:$D$3004,"&gt;"&amp;C962)&gt;1,"⚠️ пересечение",""))</f>
        <v/>
      </c>
      <c r="M962" s="54">
        <f>IF(F962="","",IF(J962="✅ Сделано","✔ ",IF(J962="❌ Пропущено","✖ ","⏰ "))&amp;IF(C962="","",RIGHT("0"&amp;HOUR(C962),2)&amp;":"&amp;RIGHT("0"&amp;MINUTE(C962),2)&amp;IF(D962="","","–"&amp;RIGHT("0"&amp;HOUR(D962),2)&amp;":"&amp;RIGHT("0"&amp;MINUTE(D962),2))&amp;" ")&amp;F962)</f>
        <v/>
      </c>
      <c r="N962" s="54">
        <f>IF(OR(A962="",F962=""),"",A962&amp;"#"&amp;(COUNTIFS($A$5:$A$3004,A962,$F$5:$F$3004,"?*",$O$5:$O$3004,"&lt;"&amp;O962)+COUNTIFS($A$5:A962,A962,$F$5:F962,"?*",$O$5:O962,O962)))</f>
        <v/>
      </c>
      <c r="O962" s="54">
        <f>IF(A962="","",IF(C962="",0,C962))</f>
        <v/>
      </c>
    </row>
    <row r="963">
      <c r="A963" s="58" t="n"/>
      <c r="B963" s="49">
        <f>IF(A963="","",CHOOSE(WEEKDAY(A963,2),"Пн","Вт","Ср","Чт","Пт","Сб","Вс"))</f>
        <v/>
      </c>
      <c r="C963" s="59" t="n"/>
      <c r="D963" s="59" t="n"/>
      <c r="E963" s="60">
        <f>IF(OR(C963="",D963=""),"",MOD(D963-C963,1)*24)</f>
        <v/>
      </c>
      <c r="F963" s="50" t="n"/>
      <c r="G963" s="51" t="n"/>
      <c r="H963" s="51" t="n"/>
      <c r="I963" s="51" t="n"/>
      <c r="J963" s="51" t="n"/>
      <c r="K963" s="51" t="n"/>
      <c r="L963" s="54">
        <f>IF(OR(A963="",C963="",D963=""),"",IF(COUNTIFS($A$5:$A$3004,A963,$C$5:$C$3004,"&lt;"&amp;D963,$D$5:$D$3004,"&gt;"&amp;C963)&gt;1,"⚠️ пересечение",""))</f>
        <v/>
      </c>
      <c r="M963" s="54">
        <f>IF(F963="","",IF(J963="✅ Сделано","✔ ",IF(J963="❌ Пропущено","✖ ","⏰ "))&amp;IF(C963="","",RIGHT("0"&amp;HOUR(C963),2)&amp;":"&amp;RIGHT("0"&amp;MINUTE(C963),2)&amp;IF(D963="","","–"&amp;RIGHT("0"&amp;HOUR(D963),2)&amp;":"&amp;RIGHT("0"&amp;MINUTE(D963),2))&amp;" ")&amp;F963)</f>
        <v/>
      </c>
      <c r="N963" s="54">
        <f>IF(OR(A963="",F963=""),"",A963&amp;"#"&amp;(COUNTIFS($A$5:$A$3004,A963,$F$5:$F$3004,"?*",$O$5:$O$3004,"&lt;"&amp;O963)+COUNTIFS($A$5:A963,A963,$F$5:F963,"?*",$O$5:O963,O963)))</f>
        <v/>
      </c>
      <c r="O963" s="54">
        <f>IF(A963="","",IF(C963="",0,C963))</f>
        <v/>
      </c>
    </row>
    <row r="964">
      <c r="A964" s="58" t="n"/>
      <c r="B964" s="49">
        <f>IF(A964="","",CHOOSE(WEEKDAY(A964,2),"Пн","Вт","Ср","Чт","Пт","Сб","Вс"))</f>
        <v/>
      </c>
      <c r="C964" s="59" t="n"/>
      <c r="D964" s="59" t="n"/>
      <c r="E964" s="60">
        <f>IF(OR(C964="",D964=""),"",MOD(D964-C964,1)*24)</f>
        <v/>
      </c>
      <c r="F964" s="50" t="n"/>
      <c r="G964" s="51" t="n"/>
      <c r="H964" s="51" t="n"/>
      <c r="I964" s="51" t="n"/>
      <c r="J964" s="51" t="n"/>
      <c r="K964" s="51" t="n"/>
      <c r="L964" s="54">
        <f>IF(OR(A964="",C964="",D964=""),"",IF(COUNTIFS($A$5:$A$3004,A964,$C$5:$C$3004,"&lt;"&amp;D964,$D$5:$D$3004,"&gt;"&amp;C964)&gt;1,"⚠️ пересечение",""))</f>
        <v/>
      </c>
      <c r="M964" s="54">
        <f>IF(F964="","",IF(J964="✅ Сделано","✔ ",IF(J964="❌ Пропущено","✖ ","⏰ "))&amp;IF(C964="","",RIGHT("0"&amp;HOUR(C964),2)&amp;":"&amp;RIGHT("0"&amp;MINUTE(C964),2)&amp;IF(D964="","","–"&amp;RIGHT("0"&amp;HOUR(D964),2)&amp;":"&amp;RIGHT("0"&amp;MINUTE(D964),2))&amp;" ")&amp;F964)</f>
        <v/>
      </c>
      <c r="N964" s="54">
        <f>IF(OR(A964="",F964=""),"",A964&amp;"#"&amp;(COUNTIFS($A$5:$A$3004,A964,$F$5:$F$3004,"?*",$O$5:$O$3004,"&lt;"&amp;O964)+COUNTIFS($A$5:A964,A964,$F$5:F964,"?*",$O$5:O964,O964)))</f>
        <v/>
      </c>
      <c r="O964" s="54">
        <f>IF(A964="","",IF(C964="",0,C964))</f>
        <v/>
      </c>
    </row>
    <row r="965">
      <c r="A965" s="58" t="n"/>
      <c r="B965" s="49">
        <f>IF(A965="","",CHOOSE(WEEKDAY(A965,2),"Пн","Вт","Ср","Чт","Пт","Сб","Вс"))</f>
        <v/>
      </c>
      <c r="C965" s="59" t="n"/>
      <c r="D965" s="59" t="n"/>
      <c r="E965" s="60">
        <f>IF(OR(C965="",D965=""),"",MOD(D965-C965,1)*24)</f>
        <v/>
      </c>
      <c r="F965" s="50" t="n"/>
      <c r="G965" s="51" t="n"/>
      <c r="H965" s="51" t="n"/>
      <c r="I965" s="51" t="n"/>
      <c r="J965" s="51" t="n"/>
      <c r="K965" s="51" t="n"/>
      <c r="L965" s="54">
        <f>IF(OR(A965="",C965="",D965=""),"",IF(COUNTIFS($A$5:$A$3004,A965,$C$5:$C$3004,"&lt;"&amp;D965,$D$5:$D$3004,"&gt;"&amp;C965)&gt;1,"⚠️ пересечение",""))</f>
        <v/>
      </c>
      <c r="M965" s="54">
        <f>IF(F965="","",IF(J965="✅ Сделано","✔ ",IF(J965="❌ Пропущено","✖ ","⏰ "))&amp;IF(C965="","",RIGHT("0"&amp;HOUR(C965),2)&amp;":"&amp;RIGHT("0"&amp;MINUTE(C965),2)&amp;IF(D965="","","–"&amp;RIGHT("0"&amp;HOUR(D965),2)&amp;":"&amp;RIGHT("0"&amp;MINUTE(D965),2))&amp;" ")&amp;F965)</f>
        <v/>
      </c>
      <c r="N965" s="54">
        <f>IF(OR(A965="",F965=""),"",A965&amp;"#"&amp;(COUNTIFS($A$5:$A$3004,A965,$F$5:$F$3004,"?*",$O$5:$O$3004,"&lt;"&amp;O965)+COUNTIFS($A$5:A965,A965,$F$5:F965,"?*",$O$5:O965,O965)))</f>
        <v/>
      </c>
      <c r="O965" s="54">
        <f>IF(A965="","",IF(C965="",0,C965))</f>
        <v/>
      </c>
    </row>
    <row r="966">
      <c r="A966" s="58" t="n"/>
      <c r="B966" s="49">
        <f>IF(A966="","",CHOOSE(WEEKDAY(A966,2),"Пн","Вт","Ср","Чт","Пт","Сб","Вс"))</f>
        <v/>
      </c>
      <c r="C966" s="59" t="n"/>
      <c r="D966" s="59" t="n"/>
      <c r="E966" s="60">
        <f>IF(OR(C966="",D966=""),"",MOD(D966-C966,1)*24)</f>
        <v/>
      </c>
      <c r="F966" s="50" t="n"/>
      <c r="G966" s="51" t="n"/>
      <c r="H966" s="51" t="n"/>
      <c r="I966" s="51" t="n"/>
      <c r="J966" s="51" t="n"/>
      <c r="K966" s="51" t="n"/>
      <c r="L966" s="54">
        <f>IF(OR(A966="",C966="",D966=""),"",IF(COUNTIFS($A$5:$A$3004,A966,$C$5:$C$3004,"&lt;"&amp;D966,$D$5:$D$3004,"&gt;"&amp;C966)&gt;1,"⚠️ пересечение",""))</f>
        <v/>
      </c>
      <c r="M966" s="54">
        <f>IF(F966="","",IF(J966="✅ Сделано","✔ ",IF(J966="❌ Пропущено","✖ ","⏰ "))&amp;IF(C966="","",RIGHT("0"&amp;HOUR(C966),2)&amp;":"&amp;RIGHT("0"&amp;MINUTE(C966),2)&amp;IF(D966="","","–"&amp;RIGHT("0"&amp;HOUR(D966),2)&amp;":"&amp;RIGHT("0"&amp;MINUTE(D966),2))&amp;" ")&amp;F966)</f>
        <v/>
      </c>
      <c r="N966" s="54">
        <f>IF(OR(A966="",F966=""),"",A966&amp;"#"&amp;(COUNTIFS($A$5:$A$3004,A966,$F$5:$F$3004,"?*",$O$5:$O$3004,"&lt;"&amp;O966)+COUNTIFS($A$5:A966,A966,$F$5:F966,"?*",$O$5:O966,O966)))</f>
        <v/>
      </c>
      <c r="O966" s="54">
        <f>IF(A966="","",IF(C966="",0,C966))</f>
        <v/>
      </c>
    </row>
    <row r="967">
      <c r="A967" s="58" t="n"/>
      <c r="B967" s="49">
        <f>IF(A967="","",CHOOSE(WEEKDAY(A967,2),"Пн","Вт","Ср","Чт","Пт","Сб","Вс"))</f>
        <v/>
      </c>
      <c r="C967" s="59" t="n"/>
      <c r="D967" s="59" t="n"/>
      <c r="E967" s="60">
        <f>IF(OR(C967="",D967=""),"",MOD(D967-C967,1)*24)</f>
        <v/>
      </c>
      <c r="F967" s="50" t="n"/>
      <c r="G967" s="51" t="n"/>
      <c r="H967" s="51" t="n"/>
      <c r="I967" s="51" t="n"/>
      <c r="J967" s="51" t="n"/>
      <c r="K967" s="51" t="n"/>
      <c r="L967" s="54">
        <f>IF(OR(A967="",C967="",D967=""),"",IF(COUNTIFS($A$5:$A$3004,A967,$C$5:$C$3004,"&lt;"&amp;D967,$D$5:$D$3004,"&gt;"&amp;C967)&gt;1,"⚠️ пересечение",""))</f>
        <v/>
      </c>
      <c r="M967" s="54">
        <f>IF(F967="","",IF(J967="✅ Сделано","✔ ",IF(J967="❌ Пропущено","✖ ","⏰ "))&amp;IF(C967="","",RIGHT("0"&amp;HOUR(C967),2)&amp;":"&amp;RIGHT("0"&amp;MINUTE(C967),2)&amp;IF(D967="","","–"&amp;RIGHT("0"&amp;HOUR(D967),2)&amp;":"&amp;RIGHT("0"&amp;MINUTE(D967),2))&amp;" ")&amp;F967)</f>
        <v/>
      </c>
      <c r="N967" s="54">
        <f>IF(OR(A967="",F967=""),"",A967&amp;"#"&amp;(COUNTIFS($A$5:$A$3004,A967,$F$5:$F$3004,"?*",$O$5:$O$3004,"&lt;"&amp;O967)+COUNTIFS($A$5:A967,A967,$F$5:F967,"?*",$O$5:O967,O967)))</f>
        <v/>
      </c>
      <c r="O967" s="54">
        <f>IF(A967="","",IF(C967="",0,C967))</f>
        <v/>
      </c>
    </row>
    <row r="968">
      <c r="A968" s="58" t="n"/>
      <c r="B968" s="49">
        <f>IF(A968="","",CHOOSE(WEEKDAY(A968,2),"Пн","Вт","Ср","Чт","Пт","Сб","Вс"))</f>
        <v/>
      </c>
      <c r="C968" s="59" t="n"/>
      <c r="D968" s="59" t="n"/>
      <c r="E968" s="60">
        <f>IF(OR(C968="",D968=""),"",MOD(D968-C968,1)*24)</f>
        <v/>
      </c>
      <c r="F968" s="50" t="n"/>
      <c r="G968" s="51" t="n"/>
      <c r="H968" s="51" t="n"/>
      <c r="I968" s="51" t="n"/>
      <c r="J968" s="51" t="n"/>
      <c r="K968" s="51" t="n"/>
      <c r="L968" s="54">
        <f>IF(OR(A968="",C968="",D968=""),"",IF(COUNTIFS($A$5:$A$3004,A968,$C$5:$C$3004,"&lt;"&amp;D968,$D$5:$D$3004,"&gt;"&amp;C968)&gt;1,"⚠️ пересечение",""))</f>
        <v/>
      </c>
      <c r="M968" s="54">
        <f>IF(F968="","",IF(J968="✅ Сделано","✔ ",IF(J968="❌ Пропущено","✖ ","⏰ "))&amp;IF(C968="","",RIGHT("0"&amp;HOUR(C968),2)&amp;":"&amp;RIGHT("0"&amp;MINUTE(C968),2)&amp;IF(D968="","","–"&amp;RIGHT("0"&amp;HOUR(D968),2)&amp;":"&amp;RIGHT("0"&amp;MINUTE(D968),2))&amp;" ")&amp;F968)</f>
        <v/>
      </c>
      <c r="N968" s="54">
        <f>IF(OR(A968="",F968=""),"",A968&amp;"#"&amp;(COUNTIFS($A$5:$A$3004,A968,$F$5:$F$3004,"?*",$O$5:$O$3004,"&lt;"&amp;O968)+COUNTIFS($A$5:A968,A968,$F$5:F968,"?*",$O$5:O968,O968)))</f>
        <v/>
      </c>
      <c r="O968" s="54">
        <f>IF(A968="","",IF(C968="",0,C968))</f>
        <v/>
      </c>
    </row>
    <row r="969">
      <c r="A969" s="58" t="n"/>
      <c r="B969" s="49">
        <f>IF(A969="","",CHOOSE(WEEKDAY(A969,2),"Пн","Вт","Ср","Чт","Пт","Сб","Вс"))</f>
        <v/>
      </c>
      <c r="C969" s="59" t="n"/>
      <c r="D969" s="59" t="n"/>
      <c r="E969" s="60">
        <f>IF(OR(C969="",D969=""),"",MOD(D969-C969,1)*24)</f>
        <v/>
      </c>
      <c r="F969" s="50" t="n"/>
      <c r="G969" s="51" t="n"/>
      <c r="H969" s="51" t="n"/>
      <c r="I969" s="51" t="n"/>
      <c r="J969" s="51" t="n"/>
      <c r="K969" s="51" t="n"/>
      <c r="L969" s="54">
        <f>IF(OR(A969="",C969="",D969=""),"",IF(COUNTIFS($A$5:$A$3004,A969,$C$5:$C$3004,"&lt;"&amp;D969,$D$5:$D$3004,"&gt;"&amp;C969)&gt;1,"⚠️ пересечение",""))</f>
        <v/>
      </c>
      <c r="M969" s="54">
        <f>IF(F969="","",IF(J969="✅ Сделано","✔ ",IF(J969="❌ Пропущено","✖ ","⏰ "))&amp;IF(C969="","",RIGHT("0"&amp;HOUR(C969),2)&amp;":"&amp;RIGHT("0"&amp;MINUTE(C969),2)&amp;IF(D969="","","–"&amp;RIGHT("0"&amp;HOUR(D969),2)&amp;":"&amp;RIGHT("0"&amp;MINUTE(D969),2))&amp;" ")&amp;F969)</f>
        <v/>
      </c>
      <c r="N969" s="54">
        <f>IF(OR(A969="",F969=""),"",A969&amp;"#"&amp;(COUNTIFS($A$5:$A$3004,A969,$F$5:$F$3004,"?*",$O$5:$O$3004,"&lt;"&amp;O969)+COUNTIFS($A$5:A969,A969,$F$5:F969,"?*",$O$5:O969,O969)))</f>
        <v/>
      </c>
      <c r="O969" s="54">
        <f>IF(A969="","",IF(C969="",0,C969))</f>
        <v/>
      </c>
    </row>
    <row r="970">
      <c r="A970" s="58" t="n"/>
      <c r="B970" s="49">
        <f>IF(A970="","",CHOOSE(WEEKDAY(A970,2),"Пн","Вт","Ср","Чт","Пт","Сб","Вс"))</f>
        <v/>
      </c>
      <c r="C970" s="59" t="n"/>
      <c r="D970" s="59" t="n"/>
      <c r="E970" s="60">
        <f>IF(OR(C970="",D970=""),"",MOD(D970-C970,1)*24)</f>
        <v/>
      </c>
      <c r="F970" s="50" t="n"/>
      <c r="G970" s="51" t="n"/>
      <c r="H970" s="51" t="n"/>
      <c r="I970" s="51" t="n"/>
      <c r="J970" s="51" t="n"/>
      <c r="K970" s="51" t="n"/>
      <c r="L970" s="54">
        <f>IF(OR(A970="",C970="",D970=""),"",IF(COUNTIFS($A$5:$A$3004,A970,$C$5:$C$3004,"&lt;"&amp;D970,$D$5:$D$3004,"&gt;"&amp;C970)&gt;1,"⚠️ пересечение",""))</f>
        <v/>
      </c>
      <c r="M970" s="54">
        <f>IF(F970="","",IF(J970="✅ Сделано","✔ ",IF(J970="❌ Пропущено","✖ ","⏰ "))&amp;IF(C970="","",RIGHT("0"&amp;HOUR(C970),2)&amp;":"&amp;RIGHT("0"&amp;MINUTE(C970),2)&amp;IF(D970="","","–"&amp;RIGHT("0"&amp;HOUR(D970),2)&amp;":"&amp;RIGHT("0"&amp;MINUTE(D970),2))&amp;" ")&amp;F970)</f>
        <v/>
      </c>
      <c r="N970" s="54">
        <f>IF(OR(A970="",F970=""),"",A970&amp;"#"&amp;(COUNTIFS($A$5:$A$3004,A970,$F$5:$F$3004,"?*",$O$5:$O$3004,"&lt;"&amp;O970)+COUNTIFS($A$5:A970,A970,$F$5:F970,"?*",$O$5:O970,O970)))</f>
        <v/>
      </c>
      <c r="O970" s="54">
        <f>IF(A970="","",IF(C970="",0,C970))</f>
        <v/>
      </c>
    </row>
    <row r="971">
      <c r="A971" s="58" t="n"/>
      <c r="B971" s="49">
        <f>IF(A971="","",CHOOSE(WEEKDAY(A971,2),"Пн","Вт","Ср","Чт","Пт","Сб","Вс"))</f>
        <v/>
      </c>
      <c r="C971" s="59" t="n"/>
      <c r="D971" s="59" t="n"/>
      <c r="E971" s="60">
        <f>IF(OR(C971="",D971=""),"",MOD(D971-C971,1)*24)</f>
        <v/>
      </c>
      <c r="F971" s="50" t="n"/>
      <c r="G971" s="51" t="n"/>
      <c r="H971" s="51" t="n"/>
      <c r="I971" s="51" t="n"/>
      <c r="J971" s="51" t="n"/>
      <c r="K971" s="51" t="n"/>
      <c r="L971" s="54">
        <f>IF(OR(A971="",C971="",D971=""),"",IF(COUNTIFS($A$5:$A$3004,A971,$C$5:$C$3004,"&lt;"&amp;D971,$D$5:$D$3004,"&gt;"&amp;C971)&gt;1,"⚠️ пересечение",""))</f>
        <v/>
      </c>
      <c r="M971" s="54">
        <f>IF(F971="","",IF(J971="✅ Сделано","✔ ",IF(J971="❌ Пропущено","✖ ","⏰ "))&amp;IF(C971="","",RIGHT("0"&amp;HOUR(C971),2)&amp;":"&amp;RIGHT("0"&amp;MINUTE(C971),2)&amp;IF(D971="","","–"&amp;RIGHT("0"&amp;HOUR(D971),2)&amp;":"&amp;RIGHT("0"&amp;MINUTE(D971),2))&amp;" ")&amp;F971)</f>
        <v/>
      </c>
      <c r="N971" s="54">
        <f>IF(OR(A971="",F971=""),"",A971&amp;"#"&amp;(COUNTIFS($A$5:$A$3004,A971,$F$5:$F$3004,"?*",$O$5:$O$3004,"&lt;"&amp;O971)+COUNTIFS($A$5:A971,A971,$F$5:F971,"?*",$O$5:O971,O971)))</f>
        <v/>
      </c>
      <c r="O971" s="54">
        <f>IF(A971="","",IF(C971="",0,C971))</f>
        <v/>
      </c>
    </row>
    <row r="972">
      <c r="A972" s="58" t="n"/>
      <c r="B972" s="49">
        <f>IF(A972="","",CHOOSE(WEEKDAY(A972,2),"Пн","Вт","Ср","Чт","Пт","Сб","Вс"))</f>
        <v/>
      </c>
      <c r="C972" s="59" t="n"/>
      <c r="D972" s="59" t="n"/>
      <c r="E972" s="60">
        <f>IF(OR(C972="",D972=""),"",MOD(D972-C972,1)*24)</f>
        <v/>
      </c>
      <c r="F972" s="50" t="n"/>
      <c r="G972" s="51" t="n"/>
      <c r="H972" s="51" t="n"/>
      <c r="I972" s="51" t="n"/>
      <c r="J972" s="51" t="n"/>
      <c r="K972" s="51" t="n"/>
      <c r="L972" s="54">
        <f>IF(OR(A972="",C972="",D972=""),"",IF(COUNTIFS($A$5:$A$3004,A972,$C$5:$C$3004,"&lt;"&amp;D972,$D$5:$D$3004,"&gt;"&amp;C972)&gt;1,"⚠️ пересечение",""))</f>
        <v/>
      </c>
      <c r="M972" s="54">
        <f>IF(F972="","",IF(J972="✅ Сделано","✔ ",IF(J972="❌ Пропущено","✖ ","⏰ "))&amp;IF(C972="","",RIGHT("0"&amp;HOUR(C972),2)&amp;":"&amp;RIGHT("0"&amp;MINUTE(C972),2)&amp;IF(D972="","","–"&amp;RIGHT("0"&amp;HOUR(D972),2)&amp;":"&amp;RIGHT("0"&amp;MINUTE(D972),2))&amp;" ")&amp;F972)</f>
        <v/>
      </c>
      <c r="N972" s="54">
        <f>IF(OR(A972="",F972=""),"",A972&amp;"#"&amp;(COUNTIFS($A$5:$A$3004,A972,$F$5:$F$3004,"?*",$O$5:$O$3004,"&lt;"&amp;O972)+COUNTIFS($A$5:A972,A972,$F$5:F972,"?*",$O$5:O972,O972)))</f>
        <v/>
      </c>
      <c r="O972" s="54">
        <f>IF(A972="","",IF(C972="",0,C972))</f>
        <v/>
      </c>
    </row>
    <row r="973">
      <c r="A973" s="58" t="n"/>
      <c r="B973" s="49">
        <f>IF(A973="","",CHOOSE(WEEKDAY(A973,2),"Пн","Вт","Ср","Чт","Пт","Сб","Вс"))</f>
        <v/>
      </c>
      <c r="C973" s="59" t="n"/>
      <c r="D973" s="59" t="n"/>
      <c r="E973" s="60">
        <f>IF(OR(C973="",D973=""),"",MOD(D973-C973,1)*24)</f>
        <v/>
      </c>
      <c r="F973" s="50" t="n"/>
      <c r="G973" s="51" t="n"/>
      <c r="H973" s="51" t="n"/>
      <c r="I973" s="51" t="n"/>
      <c r="J973" s="51" t="n"/>
      <c r="K973" s="51" t="n"/>
      <c r="L973" s="54">
        <f>IF(OR(A973="",C973="",D973=""),"",IF(COUNTIFS($A$5:$A$3004,A973,$C$5:$C$3004,"&lt;"&amp;D973,$D$5:$D$3004,"&gt;"&amp;C973)&gt;1,"⚠️ пересечение",""))</f>
        <v/>
      </c>
      <c r="M973" s="54">
        <f>IF(F973="","",IF(J973="✅ Сделано","✔ ",IF(J973="❌ Пропущено","✖ ","⏰ "))&amp;IF(C973="","",RIGHT("0"&amp;HOUR(C973),2)&amp;":"&amp;RIGHT("0"&amp;MINUTE(C973),2)&amp;IF(D973="","","–"&amp;RIGHT("0"&amp;HOUR(D973),2)&amp;":"&amp;RIGHT("0"&amp;MINUTE(D973),2))&amp;" ")&amp;F973)</f>
        <v/>
      </c>
      <c r="N973" s="54">
        <f>IF(OR(A973="",F973=""),"",A973&amp;"#"&amp;(COUNTIFS($A$5:$A$3004,A973,$F$5:$F$3004,"?*",$O$5:$O$3004,"&lt;"&amp;O973)+COUNTIFS($A$5:A973,A973,$F$5:F973,"?*",$O$5:O973,O973)))</f>
        <v/>
      </c>
      <c r="O973" s="54">
        <f>IF(A973="","",IF(C973="",0,C973))</f>
        <v/>
      </c>
    </row>
    <row r="974">
      <c r="A974" s="58" t="n"/>
      <c r="B974" s="49">
        <f>IF(A974="","",CHOOSE(WEEKDAY(A974,2),"Пн","Вт","Ср","Чт","Пт","Сб","Вс"))</f>
        <v/>
      </c>
      <c r="C974" s="59" t="n"/>
      <c r="D974" s="59" t="n"/>
      <c r="E974" s="60">
        <f>IF(OR(C974="",D974=""),"",MOD(D974-C974,1)*24)</f>
        <v/>
      </c>
      <c r="F974" s="50" t="n"/>
      <c r="G974" s="51" t="n"/>
      <c r="H974" s="51" t="n"/>
      <c r="I974" s="51" t="n"/>
      <c r="J974" s="51" t="n"/>
      <c r="K974" s="51" t="n"/>
      <c r="L974" s="54">
        <f>IF(OR(A974="",C974="",D974=""),"",IF(COUNTIFS($A$5:$A$3004,A974,$C$5:$C$3004,"&lt;"&amp;D974,$D$5:$D$3004,"&gt;"&amp;C974)&gt;1,"⚠️ пересечение",""))</f>
        <v/>
      </c>
      <c r="M974" s="54">
        <f>IF(F974="","",IF(J974="✅ Сделано","✔ ",IF(J974="❌ Пропущено","✖ ","⏰ "))&amp;IF(C974="","",RIGHT("0"&amp;HOUR(C974),2)&amp;":"&amp;RIGHT("0"&amp;MINUTE(C974),2)&amp;IF(D974="","","–"&amp;RIGHT("0"&amp;HOUR(D974),2)&amp;":"&amp;RIGHT("0"&amp;MINUTE(D974),2))&amp;" ")&amp;F974)</f>
        <v/>
      </c>
      <c r="N974" s="54">
        <f>IF(OR(A974="",F974=""),"",A974&amp;"#"&amp;(COUNTIFS($A$5:$A$3004,A974,$F$5:$F$3004,"?*",$O$5:$O$3004,"&lt;"&amp;O974)+COUNTIFS($A$5:A974,A974,$F$5:F974,"?*",$O$5:O974,O974)))</f>
        <v/>
      </c>
      <c r="O974" s="54">
        <f>IF(A974="","",IF(C974="",0,C974))</f>
        <v/>
      </c>
    </row>
    <row r="975">
      <c r="A975" s="58" t="n"/>
      <c r="B975" s="49">
        <f>IF(A975="","",CHOOSE(WEEKDAY(A975,2),"Пн","Вт","Ср","Чт","Пт","Сб","Вс"))</f>
        <v/>
      </c>
      <c r="C975" s="59" t="n"/>
      <c r="D975" s="59" t="n"/>
      <c r="E975" s="60">
        <f>IF(OR(C975="",D975=""),"",MOD(D975-C975,1)*24)</f>
        <v/>
      </c>
      <c r="F975" s="50" t="n"/>
      <c r="G975" s="51" t="n"/>
      <c r="H975" s="51" t="n"/>
      <c r="I975" s="51" t="n"/>
      <c r="J975" s="51" t="n"/>
      <c r="K975" s="51" t="n"/>
      <c r="L975" s="54">
        <f>IF(OR(A975="",C975="",D975=""),"",IF(COUNTIFS($A$5:$A$3004,A975,$C$5:$C$3004,"&lt;"&amp;D975,$D$5:$D$3004,"&gt;"&amp;C975)&gt;1,"⚠️ пересечение",""))</f>
        <v/>
      </c>
      <c r="M975" s="54">
        <f>IF(F975="","",IF(J975="✅ Сделано","✔ ",IF(J975="❌ Пропущено","✖ ","⏰ "))&amp;IF(C975="","",RIGHT("0"&amp;HOUR(C975),2)&amp;":"&amp;RIGHT("0"&amp;MINUTE(C975),2)&amp;IF(D975="","","–"&amp;RIGHT("0"&amp;HOUR(D975),2)&amp;":"&amp;RIGHT("0"&amp;MINUTE(D975),2))&amp;" ")&amp;F975)</f>
        <v/>
      </c>
      <c r="N975" s="54">
        <f>IF(OR(A975="",F975=""),"",A975&amp;"#"&amp;(COUNTIFS($A$5:$A$3004,A975,$F$5:$F$3004,"?*",$O$5:$O$3004,"&lt;"&amp;O975)+COUNTIFS($A$5:A975,A975,$F$5:F975,"?*",$O$5:O975,O975)))</f>
        <v/>
      </c>
      <c r="O975" s="54">
        <f>IF(A975="","",IF(C975="",0,C975))</f>
        <v/>
      </c>
    </row>
    <row r="976">
      <c r="A976" s="58" t="n"/>
      <c r="B976" s="49">
        <f>IF(A976="","",CHOOSE(WEEKDAY(A976,2),"Пн","Вт","Ср","Чт","Пт","Сб","Вс"))</f>
        <v/>
      </c>
      <c r="C976" s="59" t="n"/>
      <c r="D976" s="59" t="n"/>
      <c r="E976" s="60">
        <f>IF(OR(C976="",D976=""),"",MOD(D976-C976,1)*24)</f>
        <v/>
      </c>
      <c r="F976" s="50" t="n"/>
      <c r="G976" s="51" t="n"/>
      <c r="H976" s="51" t="n"/>
      <c r="I976" s="51" t="n"/>
      <c r="J976" s="51" t="n"/>
      <c r="K976" s="51" t="n"/>
      <c r="L976" s="54">
        <f>IF(OR(A976="",C976="",D976=""),"",IF(COUNTIFS($A$5:$A$3004,A976,$C$5:$C$3004,"&lt;"&amp;D976,$D$5:$D$3004,"&gt;"&amp;C976)&gt;1,"⚠️ пересечение",""))</f>
        <v/>
      </c>
      <c r="M976" s="54">
        <f>IF(F976="","",IF(J976="✅ Сделано","✔ ",IF(J976="❌ Пропущено","✖ ","⏰ "))&amp;IF(C976="","",RIGHT("0"&amp;HOUR(C976),2)&amp;":"&amp;RIGHT("0"&amp;MINUTE(C976),2)&amp;IF(D976="","","–"&amp;RIGHT("0"&amp;HOUR(D976),2)&amp;":"&amp;RIGHT("0"&amp;MINUTE(D976),2))&amp;" ")&amp;F976)</f>
        <v/>
      </c>
      <c r="N976" s="54">
        <f>IF(OR(A976="",F976=""),"",A976&amp;"#"&amp;(COUNTIFS($A$5:$A$3004,A976,$F$5:$F$3004,"?*",$O$5:$O$3004,"&lt;"&amp;O976)+COUNTIFS($A$5:A976,A976,$F$5:F976,"?*",$O$5:O976,O976)))</f>
        <v/>
      </c>
      <c r="O976" s="54">
        <f>IF(A976="","",IF(C976="",0,C976))</f>
        <v/>
      </c>
    </row>
    <row r="977">
      <c r="A977" s="58" t="n"/>
      <c r="B977" s="49">
        <f>IF(A977="","",CHOOSE(WEEKDAY(A977,2),"Пн","Вт","Ср","Чт","Пт","Сб","Вс"))</f>
        <v/>
      </c>
      <c r="C977" s="59" t="n"/>
      <c r="D977" s="59" t="n"/>
      <c r="E977" s="60">
        <f>IF(OR(C977="",D977=""),"",MOD(D977-C977,1)*24)</f>
        <v/>
      </c>
      <c r="F977" s="50" t="n"/>
      <c r="G977" s="51" t="n"/>
      <c r="H977" s="51" t="n"/>
      <c r="I977" s="51" t="n"/>
      <c r="J977" s="51" t="n"/>
      <c r="K977" s="51" t="n"/>
      <c r="L977" s="54">
        <f>IF(OR(A977="",C977="",D977=""),"",IF(COUNTIFS($A$5:$A$3004,A977,$C$5:$C$3004,"&lt;"&amp;D977,$D$5:$D$3004,"&gt;"&amp;C977)&gt;1,"⚠️ пересечение",""))</f>
        <v/>
      </c>
      <c r="M977" s="54">
        <f>IF(F977="","",IF(J977="✅ Сделано","✔ ",IF(J977="❌ Пропущено","✖ ","⏰ "))&amp;IF(C977="","",RIGHT("0"&amp;HOUR(C977),2)&amp;":"&amp;RIGHT("0"&amp;MINUTE(C977),2)&amp;IF(D977="","","–"&amp;RIGHT("0"&amp;HOUR(D977),2)&amp;":"&amp;RIGHT("0"&amp;MINUTE(D977),2))&amp;" ")&amp;F977)</f>
        <v/>
      </c>
      <c r="N977" s="54">
        <f>IF(OR(A977="",F977=""),"",A977&amp;"#"&amp;(COUNTIFS($A$5:$A$3004,A977,$F$5:$F$3004,"?*",$O$5:$O$3004,"&lt;"&amp;O977)+COUNTIFS($A$5:A977,A977,$F$5:F977,"?*",$O$5:O977,O977)))</f>
        <v/>
      </c>
      <c r="O977" s="54">
        <f>IF(A977="","",IF(C977="",0,C977))</f>
        <v/>
      </c>
    </row>
    <row r="978">
      <c r="A978" s="58" t="n"/>
      <c r="B978" s="49">
        <f>IF(A978="","",CHOOSE(WEEKDAY(A978,2),"Пн","Вт","Ср","Чт","Пт","Сб","Вс"))</f>
        <v/>
      </c>
      <c r="C978" s="59" t="n"/>
      <c r="D978" s="59" t="n"/>
      <c r="E978" s="60">
        <f>IF(OR(C978="",D978=""),"",MOD(D978-C978,1)*24)</f>
        <v/>
      </c>
      <c r="F978" s="50" t="n"/>
      <c r="G978" s="51" t="n"/>
      <c r="H978" s="51" t="n"/>
      <c r="I978" s="51" t="n"/>
      <c r="J978" s="51" t="n"/>
      <c r="K978" s="51" t="n"/>
      <c r="L978" s="54">
        <f>IF(OR(A978="",C978="",D978=""),"",IF(COUNTIFS($A$5:$A$3004,A978,$C$5:$C$3004,"&lt;"&amp;D978,$D$5:$D$3004,"&gt;"&amp;C978)&gt;1,"⚠️ пересечение",""))</f>
        <v/>
      </c>
      <c r="M978" s="54">
        <f>IF(F978="","",IF(J978="✅ Сделано","✔ ",IF(J978="❌ Пропущено","✖ ","⏰ "))&amp;IF(C978="","",RIGHT("0"&amp;HOUR(C978),2)&amp;":"&amp;RIGHT("0"&amp;MINUTE(C978),2)&amp;IF(D978="","","–"&amp;RIGHT("0"&amp;HOUR(D978),2)&amp;":"&amp;RIGHT("0"&amp;MINUTE(D978),2))&amp;" ")&amp;F978)</f>
        <v/>
      </c>
      <c r="N978" s="54">
        <f>IF(OR(A978="",F978=""),"",A978&amp;"#"&amp;(COUNTIFS($A$5:$A$3004,A978,$F$5:$F$3004,"?*",$O$5:$O$3004,"&lt;"&amp;O978)+COUNTIFS($A$5:A978,A978,$F$5:F978,"?*",$O$5:O978,O978)))</f>
        <v/>
      </c>
      <c r="O978" s="54">
        <f>IF(A978="","",IF(C978="",0,C978))</f>
        <v/>
      </c>
    </row>
    <row r="979">
      <c r="A979" s="58" t="n"/>
      <c r="B979" s="49">
        <f>IF(A979="","",CHOOSE(WEEKDAY(A979,2),"Пн","Вт","Ср","Чт","Пт","Сб","Вс"))</f>
        <v/>
      </c>
      <c r="C979" s="59" t="n"/>
      <c r="D979" s="59" t="n"/>
      <c r="E979" s="60">
        <f>IF(OR(C979="",D979=""),"",MOD(D979-C979,1)*24)</f>
        <v/>
      </c>
      <c r="F979" s="50" t="n"/>
      <c r="G979" s="51" t="n"/>
      <c r="H979" s="51" t="n"/>
      <c r="I979" s="51" t="n"/>
      <c r="J979" s="51" t="n"/>
      <c r="K979" s="51" t="n"/>
      <c r="L979" s="54">
        <f>IF(OR(A979="",C979="",D979=""),"",IF(COUNTIFS($A$5:$A$3004,A979,$C$5:$C$3004,"&lt;"&amp;D979,$D$5:$D$3004,"&gt;"&amp;C979)&gt;1,"⚠️ пересечение",""))</f>
        <v/>
      </c>
      <c r="M979" s="54">
        <f>IF(F979="","",IF(J979="✅ Сделано","✔ ",IF(J979="❌ Пропущено","✖ ","⏰ "))&amp;IF(C979="","",RIGHT("0"&amp;HOUR(C979),2)&amp;":"&amp;RIGHT("0"&amp;MINUTE(C979),2)&amp;IF(D979="","","–"&amp;RIGHT("0"&amp;HOUR(D979),2)&amp;":"&amp;RIGHT("0"&amp;MINUTE(D979),2))&amp;" ")&amp;F979)</f>
        <v/>
      </c>
      <c r="N979" s="54">
        <f>IF(OR(A979="",F979=""),"",A979&amp;"#"&amp;(COUNTIFS($A$5:$A$3004,A979,$F$5:$F$3004,"?*",$O$5:$O$3004,"&lt;"&amp;O979)+COUNTIFS($A$5:A979,A979,$F$5:F979,"?*",$O$5:O979,O979)))</f>
        <v/>
      </c>
      <c r="O979" s="54">
        <f>IF(A979="","",IF(C979="",0,C979))</f>
        <v/>
      </c>
    </row>
    <row r="980">
      <c r="A980" s="58" t="n"/>
      <c r="B980" s="49">
        <f>IF(A980="","",CHOOSE(WEEKDAY(A980,2),"Пн","Вт","Ср","Чт","Пт","Сб","Вс"))</f>
        <v/>
      </c>
      <c r="C980" s="59" t="n"/>
      <c r="D980" s="59" t="n"/>
      <c r="E980" s="60">
        <f>IF(OR(C980="",D980=""),"",MOD(D980-C980,1)*24)</f>
        <v/>
      </c>
      <c r="F980" s="50" t="n"/>
      <c r="G980" s="51" t="n"/>
      <c r="H980" s="51" t="n"/>
      <c r="I980" s="51" t="n"/>
      <c r="J980" s="51" t="n"/>
      <c r="K980" s="51" t="n"/>
      <c r="L980" s="54">
        <f>IF(OR(A980="",C980="",D980=""),"",IF(COUNTIFS($A$5:$A$3004,A980,$C$5:$C$3004,"&lt;"&amp;D980,$D$5:$D$3004,"&gt;"&amp;C980)&gt;1,"⚠️ пересечение",""))</f>
        <v/>
      </c>
      <c r="M980" s="54">
        <f>IF(F980="","",IF(J980="✅ Сделано","✔ ",IF(J980="❌ Пропущено","✖ ","⏰ "))&amp;IF(C980="","",RIGHT("0"&amp;HOUR(C980),2)&amp;":"&amp;RIGHT("0"&amp;MINUTE(C980),2)&amp;IF(D980="","","–"&amp;RIGHT("0"&amp;HOUR(D980),2)&amp;":"&amp;RIGHT("0"&amp;MINUTE(D980),2))&amp;" ")&amp;F980)</f>
        <v/>
      </c>
      <c r="N980" s="54">
        <f>IF(OR(A980="",F980=""),"",A980&amp;"#"&amp;(COUNTIFS($A$5:$A$3004,A980,$F$5:$F$3004,"?*",$O$5:$O$3004,"&lt;"&amp;O980)+COUNTIFS($A$5:A980,A980,$F$5:F980,"?*",$O$5:O980,O980)))</f>
        <v/>
      </c>
      <c r="O980" s="54">
        <f>IF(A980="","",IF(C980="",0,C980))</f>
        <v/>
      </c>
    </row>
    <row r="981">
      <c r="A981" s="58" t="n"/>
      <c r="B981" s="49">
        <f>IF(A981="","",CHOOSE(WEEKDAY(A981,2),"Пн","Вт","Ср","Чт","Пт","Сб","Вс"))</f>
        <v/>
      </c>
      <c r="C981" s="59" t="n"/>
      <c r="D981" s="59" t="n"/>
      <c r="E981" s="60">
        <f>IF(OR(C981="",D981=""),"",MOD(D981-C981,1)*24)</f>
        <v/>
      </c>
      <c r="F981" s="50" t="n"/>
      <c r="G981" s="51" t="n"/>
      <c r="H981" s="51" t="n"/>
      <c r="I981" s="51" t="n"/>
      <c r="J981" s="51" t="n"/>
      <c r="K981" s="51" t="n"/>
      <c r="L981" s="54">
        <f>IF(OR(A981="",C981="",D981=""),"",IF(COUNTIFS($A$5:$A$3004,A981,$C$5:$C$3004,"&lt;"&amp;D981,$D$5:$D$3004,"&gt;"&amp;C981)&gt;1,"⚠️ пересечение",""))</f>
        <v/>
      </c>
      <c r="M981" s="54">
        <f>IF(F981="","",IF(J981="✅ Сделано","✔ ",IF(J981="❌ Пропущено","✖ ","⏰ "))&amp;IF(C981="","",RIGHT("0"&amp;HOUR(C981),2)&amp;":"&amp;RIGHT("0"&amp;MINUTE(C981),2)&amp;IF(D981="","","–"&amp;RIGHT("0"&amp;HOUR(D981),2)&amp;":"&amp;RIGHT("0"&amp;MINUTE(D981),2))&amp;" ")&amp;F981)</f>
        <v/>
      </c>
      <c r="N981" s="54">
        <f>IF(OR(A981="",F981=""),"",A981&amp;"#"&amp;(COUNTIFS($A$5:$A$3004,A981,$F$5:$F$3004,"?*",$O$5:$O$3004,"&lt;"&amp;O981)+COUNTIFS($A$5:A981,A981,$F$5:F981,"?*",$O$5:O981,O981)))</f>
        <v/>
      </c>
      <c r="O981" s="54">
        <f>IF(A981="","",IF(C981="",0,C981))</f>
        <v/>
      </c>
    </row>
    <row r="982">
      <c r="A982" s="58" t="n"/>
      <c r="B982" s="49">
        <f>IF(A982="","",CHOOSE(WEEKDAY(A982,2),"Пн","Вт","Ср","Чт","Пт","Сб","Вс"))</f>
        <v/>
      </c>
      <c r="C982" s="59" t="n"/>
      <c r="D982" s="59" t="n"/>
      <c r="E982" s="60">
        <f>IF(OR(C982="",D982=""),"",MOD(D982-C982,1)*24)</f>
        <v/>
      </c>
      <c r="F982" s="50" t="n"/>
      <c r="G982" s="51" t="n"/>
      <c r="H982" s="51" t="n"/>
      <c r="I982" s="51" t="n"/>
      <c r="J982" s="51" t="n"/>
      <c r="K982" s="51" t="n"/>
      <c r="L982" s="54">
        <f>IF(OR(A982="",C982="",D982=""),"",IF(COUNTIFS($A$5:$A$3004,A982,$C$5:$C$3004,"&lt;"&amp;D982,$D$5:$D$3004,"&gt;"&amp;C982)&gt;1,"⚠️ пересечение",""))</f>
        <v/>
      </c>
      <c r="M982" s="54">
        <f>IF(F982="","",IF(J982="✅ Сделано","✔ ",IF(J982="❌ Пропущено","✖ ","⏰ "))&amp;IF(C982="","",RIGHT("0"&amp;HOUR(C982),2)&amp;":"&amp;RIGHT("0"&amp;MINUTE(C982),2)&amp;IF(D982="","","–"&amp;RIGHT("0"&amp;HOUR(D982),2)&amp;":"&amp;RIGHT("0"&amp;MINUTE(D982),2))&amp;" ")&amp;F982)</f>
        <v/>
      </c>
      <c r="N982" s="54">
        <f>IF(OR(A982="",F982=""),"",A982&amp;"#"&amp;(COUNTIFS($A$5:$A$3004,A982,$F$5:$F$3004,"?*",$O$5:$O$3004,"&lt;"&amp;O982)+COUNTIFS($A$5:A982,A982,$F$5:F982,"?*",$O$5:O982,O982)))</f>
        <v/>
      </c>
      <c r="O982" s="54">
        <f>IF(A982="","",IF(C982="",0,C982))</f>
        <v/>
      </c>
    </row>
    <row r="983">
      <c r="A983" s="58" t="n"/>
      <c r="B983" s="49">
        <f>IF(A983="","",CHOOSE(WEEKDAY(A983,2),"Пн","Вт","Ср","Чт","Пт","Сб","Вс"))</f>
        <v/>
      </c>
      <c r="C983" s="59" t="n"/>
      <c r="D983" s="59" t="n"/>
      <c r="E983" s="60">
        <f>IF(OR(C983="",D983=""),"",MOD(D983-C983,1)*24)</f>
        <v/>
      </c>
      <c r="F983" s="50" t="n"/>
      <c r="G983" s="51" t="n"/>
      <c r="H983" s="51" t="n"/>
      <c r="I983" s="51" t="n"/>
      <c r="J983" s="51" t="n"/>
      <c r="K983" s="51" t="n"/>
      <c r="L983" s="54">
        <f>IF(OR(A983="",C983="",D983=""),"",IF(COUNTIFS($A$5:$A$3004,A983,$C$5:$C$3004,"&lt;"&amp;D983,$D$5:$D$3004,"&gt;"&amp;C983)&gt;1,"⚠️ пересечение",""))</f>
        <v/>
      </c>
      <c r="M983" s="54">
        <f>IF(F983="","",IF(J983="✅ Сделано","✔ ",IF(J983="❌ Пропущено","✖ ","⏰ "))&amp;IF(C983="","",RIGHT("0"&amp;HOUR(C983),2)&amp;":"&amp;RIGHT("0"&amp;MINUTE(C983),2)&amp;IF(D983="","","–"&amp;RIGHT("0"&amp;HOUR(D983),2)&amp;":"&amp;RIGHT("0"&amp;MINUTE(D983),2))&amp;" ")&amp;F983)</f>
        <v/>
      </c>
      <c r="N983" s="54">
        <f>IF(OR(A983="",F983=""),"",A983&amp;"#"&amp;(COUNTIFS($A$5:$A$3004,A983,$F$5:$F$3004,"?*",$O$5:$O$3004,"&lt;"&amp;O983)+COUNTIFS($A$5:A983,A983,$F$5:F983,"?*",$O$5:O983,O983)))</f>
        <v/>
      </c>
      <c r="O983" s="54">
        <f>IF(A983="","",IF(C983="",0,C983))</f>
        <v/>
      </c>
    </row>
    <row r="984">
      <c r="A984" s="58" t="n"/>
      <c r="B984" s="49">
        <f>IF(A984="","",CHOOSE(WEEKDAY(A984,2),"Пн","Вт","Ср","Чт","Пт","Сб","Вс"))</f>
        <v/>
      </c>
      <c r="C984" s="59" t="n"/>
      <c r="D984" s="59" t="n"/>
      <c r="E984" s="60">
        <f>IF(OR(C984="",D984=""),"",MOD(D984-C984,1)*24)</f>
        <v/>
      </c>
      <c r="F984" s="50" t="n"/>
      <c r="G984" s="51" t="n"/>
      <c r="H984" s="51" t="n"/>
      <c r="I984" s="51" t="n"/>
      <c r="J984" s="51" t="n"/>
      <c r="K984" s="51" t="n"/>
      <c r="L984" s="54">
        <f>IF(OR(A984="",C984="",D984=""),"",IF(COUNTIFS($A$5:$A$3004,A984,$C$5:$C$3004,"&lt;"&amp;D984,$D$5:$D$3004,"&gt;"&amp;C984)&gt;1,"⚠️ пересечение",""))</f>
        <v/>
      </c>
      <c r="M984" s="54">
        <f>IF(F984="","",IF(J984="✅ Сделано","✔ ",IF(J984="❌ Пропущено","✖ ","⏰ "))&amp;IF(C984="","",RIGHT("0"&amp;HOUR(C984),2)&amp;":"&amp;RIGHT("0"&amp;MINUTE(C984),2)&amp;IF(D984="","","–"&amp;RIGHT("0"&amp;HOUR(D984),2)&amp;":"&amp;RIGHT("0"&amp;MINUTE(D984),2))&amp;" ")&amp;F984)</f>
        <v/>
      </c>
      <c r="N984" s="54">
        <f>IF(OR(A984="",F984=""),"",A984&amp;"#"&amp;(COUNTIFS($A$5:$A$3004,A984,$F$5:$F$3004,"?*",$O$5:$O$3004,"&lt;"&amp;O984)+COUNTIFS($A$5:A984,A984,$F$5:F984,"?*",$O$5:O984,O984)))</f>
        <v/>
      </c>
      <c r="O984" s="54">
        <f>IF(A984="","",IF(C984="",0,C984))</f>
        <v/>
      </c>
    </row>
    <row r="985">
      <c r="A985" s="58" t="n"/>
      <c r="B985" s="49">
        <f>IF(A985="","",CHOOSE(WEEKDAY(A985,2),"Пн","Вт","Ср","Чт","Пт","Сб","Вс"))</f>
        <v/>
      </c>
      <c r="C985" s="59" t="n"/>
      <c r="D985" s="59" t="n"/>
      <c r="E985" s="60">
        <f>IF(OR(C985="",D985=""),"",MOD(D985-C985,1)*24)</f>
        <v/>
      </c>
      <c r="F985" s="50" t="n"/>
      <c r="G985" s="51" t="n"/>
      <c r="H985" s="51" t="n"/>
      <c r="I985" s="51" t="n"/>
      <c r="J985" s="51" t="n"/>
      <c r="K985" s="51" t="n"/>
      <c r="L985" s="54">
        <f>IF(OR(A985="",C985="",D985=""),"",IF(COUNTIFS($A$5:$A$3004,A985,$C$5:$C$3004,"&lt;"&amp;D985,$D$5:$D$3004,"&gt;"&amp;C985)&gt;1,"⚠️ пересечение",""))</f>
        <v/>
      </c>
      <c r="M985" s="54">
        <f>IF(F985="","",IF(J985="✅ Сделано","✔ ",IF(J985="❌ Пропущено","✖ ","⏰ "))&amp;IF(C985="","",RIGHT("0"&amp;HOUR(C985),2)&amp;":"&amp;RIGHT("0"&amp;MINUTE(C985),2)&amp;IF(D985="","","–"&amp;RIGHT("0"&amp;HOUR(D985),2)&amp;":"&amp;RIGHT("0"&amp;MINUTE(D985),2))&amp;" ")&amp;F985)</f>
        <v/>
      </c>
      <c r="N985" s="54">
        <f>IF(OR(A985="",F985=""),"",A985&amp;"#"&amp;(COUNTIFS($A$5:$A$3004,A985,$F$5:$F$3004,"?*",$O$5:$O$3004,"&lt;"&amp;O985)+COUNTIFS($A$5:A985,A985,$F$5:F985,"?*",$O$5:O985,O985)))</f>
        <v/>
      </c>
      <c r="O985" s="54">
        <f>IF(A985="","",IF(C985="",0,C985))</f>
        <v/>
      </c>
    </row>
    <row r="986">
      <c r="A986" s="58" t="n"/>
      <c r="B986" s="49">
        <f>IF(A986="","",CHOOSE(WEEKDAY(A986,2),"Пн","Вт","Ср","Чт","Пт","Сб","Вс"))</f>
        <v/>
      </c>
      <c r="C986" s="59" t="n"/>
      <c r="D986" s="59" t="n"/>
      <c r="E986" s="60">
        <f>IF(OR(C986="",D986=""),"",MOD(D986-C986,1)*24)</f>
        <v/>
      </c>
      <c r="F986" s="50" t="n"/>
      <c r="G986" s="51" t="n"/>
      <c r="H986" s="51" t="n"/>
      <c r="I986" s="51" t="n"/>
      <c r="J986" s="51" t="n"/>
      <c r="K986" s="51" t="n"/>
      <c r="L986" s="54">
        <f>IF(OR(A986="",C986="",D986=""),"",IF(COUNTIFS($A$5:$A$3004,A986,$C$5:$C$3004,"&lt;"&amp;D986,$D$5:$D$3004,"&gt;"&amp;C986)&gt;1,"⚠️ пересечение",""))</f>
        <v/>
      </c>
      <c r="M986" s="54">
        <f>IF(F986="","",IF(J986="✅ Сделано","✔ ",IF(J986="❌ Пропущено","✖ ","⏰ "))&amp;IF(C986="","",RIGHT("0"&amp;HOUR(C986),2)&amp;":"&amp;RIGHT("0"&amp;MINUTE(C986),2)&amp;IF(D986="","","–"&amp;RIGHT("0"&amp;HOUR(D986),2)&amp;":"&amp;RIGHT("0"&amp;MINUTE(D986),2))&amp;" ")&amp;F986)</f>
        <v/>
      </c>
      <c r="N986" s="54">
        <f>IF(OR(A986="",F986=""),"",A986&amp;"#"&amp;(COUNTIFS($A$5:$A$3004,A986,$F$5:$F$3004,"?*",$O$5:$O$3004,"&lt;"&amp;O986)+COUNTIFS($A$5:A986,A986,$F$5:F986,"?*",$O$5:O986,O986)))</f>
        <v/>
      </c>
      <c r="O986" s="54">
        <f>IF(A986="","",IF(C986="",0,C986))</f>
        <v/>
      </c>
    </row>
    <row r="987">
      <c r="A987" s="58" t="n"/>
      <c r="B987" s="49">
        <f>IF(A987="","",CHOOSE(WEEKDAY(A987,2),"Пн","Вт","Ср","Чт","Пт","Сб","Вс"))</f>
        <v/>
      </c>
      <c r="C987" s="59" t="n"/>
      <c r="D987" s="59" t="n"/>
      <c r="E987" s="60">
        <f>IF(OR(C987="",D987=""),"",MOD(D987-C987,1)*24)</f>
        <v/>
      </c>
      <c r="F987" s="50" t="n"/>
      <c r="G987" s="51" t="n"/>
      <c r="H987" s="51" t="n"/>
      <c r="I987" s="51" t="n"/>
      <c r="J987" s="51" t="n"/>
      <c r="K987" s="51" t="n"/>
      <c r="L987" s="54">
        <f>IF(OR(A987="",C987="",D987=""),"",IF(COUNTIFS($A$5:$A$3004,A987,$C$5:$C$3004,"&lt;"&amp;D987,$D$5:$D$3004,"&gt;"&amp;C987)&gt;1,"⚠️ пересечение",""))</f>
        <v/>
      </c>
      <c r="M987" s="54">
        <f>IF(F987="","",IF(J987="✅ Сделано","✔ ",IF(J987="❌ Пропущено","✖ ","⏰ "))&amp;IF(C987="","",RIGHT("0"&amp;HOUR(C987),2)&amp;":"&amp;RIGHT("0"&amp;MINUTE(C987),2)&amp;IF(D987="","","–"&amp;RIGHT("0"&amp;HOUR(D987),2)&amp;":"&amp;RIGHT("0"&amp;MINUTE(D987),2))&amp;" ")&amp;F987)</f>
        <v/>
      </c>
      <c r="N987" s="54">
        <f>IF(OR(A987="",F987=""),"",A987&amp;"#"&amp;(COUNTIFS($A$5:$A$3004,A987,$F$5:$F$3004,"?*",$O$5:$O$3004,"&lt;"&amp;O987)+COUNTIFS($A$5:A987,A987,$F$5:F987,"?*",$O$5:O987,O987)))</f>
        <v/>
      </c>
      <c r="O987" s="54">
        <f>IF(A987="","",IF(C987="",0,C987))</f>
        <v/>
      </c>
    </row>
    <row r="988">
      <c r="A988" s="58" t="n"/>
      <c r="B988" s="49">
        <f>IF(A988="","",CHOOSE(WEEKDAY(A988,2),"Пн","Вт","Ср","Чт","Пт","Сб","Вс"))</f>
        <v/>
      </c>
      <c r="C988" s="59" t="n"/>
      <c r="D988" s="59" t="n"/>
      <c r="E988" s="60">
        <f>IF(OR(C988="",D988=""),"",MOD(D988-C988,1)*24)</f>
        <v/>
      </c>
      <c r="F988" s="50" t="n"/>
      <c r="G988" s="51" t="n"/>
      <c r="H988" s="51" t="n"/>
      <c r="I988" s="51" t="n"/>
      <c r="J988" s="51" t="n"/>
      <c r="K988" s="51" t="n"/>
      <c r="L988" s="54">
        <f>IF(OR(A988="",C988="",D988=""),"",IF(COUNTIFS($A$5:$A$3004,A988,$C$5:$C$3004,"&lt;"&amp;D988,$D$5:$D$3004,"&gt;"&amp;C988)&gt;1,"⚠️ пересечение",""))</f>
        <v/>
      </c>
      <c r="M988" s="54">
        <f>IF(F988="","",IF(J988="✅ Сделано","✔ ",IF(J988="❌ Пропущено","✖ ","⏰ "))&amp;IF(C988="","",RIGHT("0"&amp;HOUR(C988),2)&amp;":"&amp;RIGHT("0"&amp;MINUTE(C988),2)&amp;IF(D988="","","–"&amp;RIGHT("0"&amp;HOUR(D988),2)&amp;":"&amp;RIGHT("0"&amp;MINUTE(D988),2))&amp;" ")&amp;F988)</f>
        <v/>
      </c>
      <c r="N988" s="54">
        <f>IF(OR(A988="",F988=""),"",A988&amp;"#"&amp;(COUNTIFS($A$5:$A$3004,A988,$F$5:$F$3004,"?*",$O$5:$O$3004,"&lt;"&amp;O988)+COUNTIFS($A$5:A988,A988,$F$5:F988,"?*",$O$5:O988,O988)))</f>
        <v/>
      </c>
      <c r="O988" s="54">
        <f>IF(A988="","",IF(C988="",0,C988))</f>
        <v/>
      </c>
    </row>
    <row r="989">
      <c r="A989" s="58" t="n"/>
      <c r="B989" s="49">
        <f>IF(A989="","",CHOOSE(WEEKDAY(A989,2),"Пн","Вт","Ср","Чт","Пт","Сб","Вс"))</f>
        <v/>
      </c>
      <c r="C989" s="59" t="n"/>
      <c r="D989" s="59" t="n"/>
      <c r="E989" s="60">
        <f>IF(OR(C989="",D989=""),"",MOD(D989-C989,1)*24)</f>
        <v/>
      </c>
      <c r="F989" s="50" t="n"/>
      <c r="G989" s="51" t="n"/>
      <c r="H989" s="51" t="n"/>
      <c r="I989" s="51" t="n"/>
      <c r="J989" s="51" t="n"/>
      <c r="K989" s="51" t="n"/>
      <c r="L989" s="54">
        <f>IF(OR(A989="",C989="",D989=""),"",IF(COUNTIFS($A$5:$A$3004,A989,$C$5:$C$3004,"&lt;"&amp;D989,$D$5:$D$3004,"&gt;"&amp;C989)&gt;1,"⚠️ пересечение",""))</f>
        <v/>
      </c>
      <c r="M989" s="54">
        <f>IF(F989="","",IF(J989="✅ Сделано","✔ ",IF(J989="❌ Пропущено","✖ ","⏰ "))&amp;IF(C989="","",RIGHT("0"&amp;HOUR(C989),2)&amp;":"&amp;RIGHT("0"&amp;MINUTE(C989),2)&amp;IF(D989="","","–"&amp;RIGHT("0"&amp;HOUR(D989),2)&amp;":"&amp;RIGHT("0"&amp;MINUTE(D989),2))&amp;" ")&amp;F989)</f>
        <v/>
      </c>
      <c r="N989" s="54">
        <f>IF(OR(A989="",F989=""),"",A989&amp;"#"&amp;(COUNTIFS($A$5:$A$3004,A989,$F$5:$F$3004,"?*",$O$5:$O$3004,"&lt;"&amp;O989)+COUNTIFS($A$5:A989,A989,$F$5:F989,"?*",$O$5:O989,O989)))</f>
        <v/>
      </c>
      <c r="O989" s="54">
        <f>IF(A989="","",IF(C989="",0,C989))</f>
        <v/>
      </c>
    </row>
    <row r="990">
      <c r="A990" s="58" t="n"/>
      <c r="B990" s="49">
        <f>IF(A990="","",CHOOSE(WEEKDAY(A990,2),"Пн","Вт","Ср","Чт","Пт","Сб","Вс"))</f>
        <v/>
      </c>
      <c r="C990" s="59" t="n"/>
      <c r="D990" s="59" t="n"/>
      <c r="E990" s="60">
        <f>IF(OR(C990="",D990=""),"",MOD(D990-C990,1)*24)</f>
        <v/>
      </c>
      <c r="F990" s="50" t="n"/>
      <c r="G990" s="51" t="n"/>
      <c r="H990" s="51" t="n"/>
      <c r="I990" s="51" t="n"/>
      <c r="J990" s="51" t="n"/>
      <c r="K990" s="51" t="n"/>
      <c r="L990" s="54">
        <f>IF(OR(A990="",C990="",D990=""),"",IF(COUNTIFS($A$5:$A$3004,A990,$C$5:$C$3004,"&lt;"&amp;D990,$D$5:$D$3004,"&gt;"&amp;C990)&gt;1,"⚠️ пересечение",""))</f>
        <v/>
      </c>
      <c r="M990" s="54">
        <f>IF(F990="","",IF(J990="✅ Сделано","✔ ",IF(J990="❌ Пропущено","✖ ","⏰ "))&amp;IF(C990="","",RIGHT("0"&amp;HOUR(C990),2)&amp;":"&amp;RIGHT("0"&amp;MINUTE(C990),2)&amp;IF(D990="","","–"&amp;RIGHT("0"&amp;HOUR(D990),2)&amp;":"&amp;RIGHT("0"&amp;MINUTE(D990),2))&amp;" ")&amp;F990)</f>
        <v/>
      </c>
      <c r="N990" s="54">
        <f>IF(OR(A990="",F990=""),"",A990&amp;"#"&amp;(COUNTIFS($A$5:$A$3004,A990,$F$5:$F$3004,"?*",$O$5:$O$3004,"&lt;"&amp;O990)+COUNTIFS($A$5:A990,A990,$F$5:F990,"?*",$O$5:O990,O990)))</f>
        <v/>
      </c>
      <c r="O990" s="54">
        <f>IF(A990="","",IF(C990="",0,C990))</f>
        <v/>
      </c>
    </row>
    <row r="991">
      <c r="A991" s="58" t="n"/>
      <c r="B991" s="49">
        <f>IF(A991="","",CHOOSE(WEEKDAY(A991,2),"Пн","Вт","Ср","Чт","Пт","Сб","Вс"))</f>
        <v/>
      </c>
      <c r="C991" s="59" t="n"/>
      <c r="D991" s="59" t="n"/>
      <c r="E991" s="60">
        <f>IF(OR(C991="",D991=""),"",MOD(D991-C991,1)*24)</f>
        <v/>
      </c>
      <c r="F991" s="50" t="n"/>
      <c r="G991" s="51" t="n"/>
      <c r="H991" s="51" t="n"/>
      <c r="I991" s="51" t="n"/>
      <c r="J991" s="51" t="n"/>
      <c r="K991" s="51" t="n"/>
      <c r="L991" s="54">
        <f>IF(OR(A991="",C991="",D991=""),"",IF(COUNTIFS($A$5:$A$3004,A991,$C$5:$C$3004,"&lt;"&amp;D991,$D$5:$D$3004,"&gt;"&amp;C991)&gt;1,"⚠️ пересечение",""))</f>
        <v/>
      </c>
      <c r="M991" s="54">
        <f>IF(F991="","",IF(J991="✅ Сделано","✔ ",IF(J991="❌ Пропущено","✖ ","⏰ "))&amp;IF(C991="","",RIGHT("0"&amp;HOUR(C991),2)&amp;":"&amp;RIGHT("0"&amp;MINUTE(C991),2)&amp;IF(D991="","","–"&amp;RIGHT("0"&amp;HOUR(D991),2)&amp;":"&amp;RIGHT("0"&amp;MINUTE(D991),2))&amp;" ")&amp;F991)</f>
        <v/>
      </c>
      <c r="N991" s="54">
        <f>IF(OR(A991="",F991=""),"",A991&amp;"#"&amp;(COUNTIFS($A$5:$A$3004,A991,$F$5:$F$3004,"?*",$O$5:$O$3004,"&lt;"&amp;O991)+COUNTIFS($A$5:A991,A991,$F$5:F991,"?*",$O$5:O991,O991)))</f>
        <v/>
      </c>
      <c r="O991" s="54">
        <f>IF(A991="","",IF(C991="",0,C991))</f>
        <v/>
      </c>
    </row>
    <row r="992">
      <c r="A992" s="58" t="n"/>
      <c r="B992" s="49">
        <f>IF(A992="","",CHOOSE(WEEKDAY(A992,2),"Пн","Вт","Ср","Чт","Пт","Сб","Вс"))</f>
        <v/>
      </c>
      <c r="C992" s="59" t="n"/>
      <c r="D992" s="59" t="n"/>
      <c r="E992" s="60">
        <f>IF(OR(C992="",D992=""),"",MOD(D992-C992,1)*24)</f>
        <v/>
      </c>
      <c r="F992" s="50" t="n"/>
      <c r="G992" s="51" t="n"/>
      <c r="H992" s="51" t="n"/>
      <c r="I992" s="51" t="n"/>
      <c r="J992" s="51" t="n"/>
      <c r="K992" s="51" t="n"/>
      <c r="L992" s="54">
        <f>IF(OR(A992="",C992="",D992=""),"",IF(COUNTIFS($A$5:$A$3004,A992,$C$5:$C$3004,"&lt;"&amp;D992,$D$5:$D$3004,"&gt;"&amp;C992)&gt;1,"⚠️ пересечение",""))</f>
        <v/>
      </c>
      <c r="M992" s="54">
        <f>IF(F992="","",IF(J992="✅ Сделано","✔ ",IF(J992="❌ Пропущено","✖ ","⏰ "))&amp;IF(C992="","",RIGHT("0"&amp;HOUR(C992),2)&amp;":"&amp;RIGHT("0"&amp;MINUTE(C992),2)&amp;IF(D992="","","–"&amp;RIGHT("0"&amp;HOUR(D992),2)&amp;":"&amp;RIGHT("0"&amp;MINUTE(D992),2))&amp;" ")&amp;F992)</f>
        <v/>
      </c>
      <c r="N992" s="54">
        <f>IF(OR(A992="",F992=""),"",A992&amp;"#"&amp;(COUNTIFS($A$5:$A$3004,A992,$F$5:$F$3004,"?*",$O$5:$O$3004,"&lt;"&amp;O992)+COUNTIFS($A$5:A992,A992,$F$5:F992,"?*",$O$5:O992,O992)))</f>
        <v/>
      </c>
      <c r="O992" s="54">
        <f>IF(A992="","",IF(C992="",0,C992))</f>
        <v/>
      </c>
    </row>
    <row r="993">
      <c r="A993" s="58" t="n"/>
      <c r="B993" s="49">
        <f>IF(A993="","",CHOOSE(WEEKDAY(A993,2),"Пн","Вт","Ср","Чт","Пт","Сб","Вс"))</f>
        <v/>
      </c>
      <c r="C993" s="59" t="n"/>
      <c r="D993" s="59" t="n"/>
      <c r="E993" s="60">
        <f>IF(OR(C993="",D993=""),"",MOD(D993-C993,1)*24)</f>
        <v/>
      </c>
      <c r="F993" s="50" t="n"/>
      <c r="G993" s="51" t="n"/>
      <c r="H993" s="51" t="n"/>
      <c r="I993" s="51" t="n"/>
      <c r="J993" s="51" t="n"/>
      <c r="K993" s="51" t="n"/>
      <c r="L993" s="54">
        <f>IF(OR(A993="",C993="",D993=""),"",IF(COUNTIFS($A$5:$A$3004,A993,$C$5:$C$3004,"&lt;"&amp;D993,$D$5:$D$3004,"&gt;"&amp;C993)&gt;1,"⚠️ пересечение",""))</f>
        <v/>
      </c>
      <c r="M993" s="54">
        <f>IF(F993="","",IF(J993="✅ Сделано","✔ ",IF(J993="❌ Пропущено","✖ ","⏰ "))&amp;IF(C993="","",RIGHT("0"&amp;HOUR(C993),2)&amp;":"&amp;RIGHT("0"&amp;MINUTE(C993),2)&amp;IF(D993="","","–"&amp;RIGHT("0"&amp;HOUR(D993),2)&amp;":"&amp;RIGHT("0"&amp;MINUTE(D993),2))&amp;" ")&amp;F993)</f>
        <v/>
      </c>
      <c r="N993" s="54">
        <f>IF(OR(A993="",F993=""),"",A993&amp;"#"&amp;(COUNTIFS($A$5:$A$3004,A993,$F$5:$F$3004,"?*",$O$5:$O$3004,"&lt;"&amp;O993)+COUNTIFS($A$5:A993,A993,$F$5:F993,"?*",$O$5:O993,O993)))</f>
        <v/>
      </c>
      <c r="O993" s="54">
        <f>IF(A993="","",IF(C993="",0,C993))</f>
        <v/>
      </c>
    </row>
    <row r="994">
      <c r="A994" s="58" t="n"/>
      <c r="B994" s="49">
        <f>IF(A994="","",CHOOSE(WEEKDAY(A994,2),"Пн","Вт","Ср","Чт","Пт","Сб","Вс"))</f>
        <v/>
      </c>
      <c r="C994" s="59" t="n"/>
      <c r="D994" s="59" t="n"/>
      <c r="E994" s="60">
        <f>IF(OR(C994="",D994=""),"",MOD(D994-C994,1)*24)</f>
        <v/>
      </c>
      <c r="F994" s="50" t="n"/>
      <c r="G994" s="51" t="n"/>
      <c r="H994" s="51" t="n"/>
      <c r="I994" s="51" t="n"/>
      <c r="J994" s="51" t="n"/>
      <c r="K994" s="51" t="n"/>
      <c r="L994" s="54">
        <f>IF(OR(A994="",C994="",D994=""),"",IF(COUNTIFS($A$5:$A$3004,A994,$C$5:$C$3004,"&lt;"&amp;D994,$D$5:$D$3004,"&gt;"&amp;C994)&gt;1,"⚠️ пересечение",""))</f>
        <v/>
      </c>
      <c r="M994" s="54">
        <f>IF(F994="","",IF(J994="✅ Сделано","✔ ",IF(J994="❌ Пропущено","✖ ","⏰ "))&amp;IF(C994="","",RIGHT("0"&amp;HOUR(C994),2)&amp;":"&amp;RIGHT("0"&amp;MINUTE(C994),2)&amp;IF(D994="","","–"&amp;RIGHT("0"&amp;HOUR(D994),2)&amp;":"&amp;RIGHT("0"&amp;MINUTE(D994),2))&amp;" ")&amp;F994)</f>
        <v/>
      </c>
      <c r="N994" s="54">
        <f>IF(OR(A994="",F994=""),"",A994&amp;"#"&amp;(COUNTIFS($A$5:$A$3004,A994,$F$5:$F$3004,"?*",$O$5:$O$3004,"&lt;"&amp;O994)+COUNTIFS($A$5:A994,A994,$F$5:F994,"?*",$O$5:O994,O994)))</f>
        <v/>
      </c>
      <c r="O994" s="54">
        <f>IF(A994="","",IF(C994="",0,C994))</f>
        <v/>
      </c>
    </row>
    <row r="995">
      <c r="A995" s="58" t="n"/>
      <c r="B995" s="49">
        <f>IF(A995="","",CHOOSE(WEEKDAY(A995,2),"Пн","Вт","Ср","Чт","Пт","Сб","Вс"))</f>
        <v/>
      </c>
      <c r="C995" s="59" t="n"/>
      <c r="D995" s="59" t="n"/>
      <c r="E995" s="60">
        <f>IF(OR(C995="",D995=""),"",MOD(D995-C995,1)*24)</f>
        <v/>
      </c>
      <c r="F995" s="50" t="n"/>
      <c r="G995" s="51" t="n"/>
      <c r="H995" s="51" t="n"/>
      <c r="I995" s="51" t="n"/>
      <c r="J995" s="51" t="n"/>
      <c r="K995" s="51" t="n"/>
      <c r="L995" s="54">
        <f>IF(OR(A995="",C995="",D995=""),"",IF(COUNTIFS($A$5:$A$3004,A995,$C$5:$C$3004,"&lt;"&amp;D995,$D$5:$D$3004,"&gt;"&amp;C995)&gt;1,"⚠️ пересечение",""))</f>
        <v/>
      </c>
      <c r="M995" s="54">
        <f>IF(F995="","",IF(J995="✅ Сделано","✔ ",IF(J995="❌ Пропущено","✖ ","⏰ "))&amp;IF(C995="","",RIGHT("0"&amp;HOUR(C995),2)&amp;":"&amp;RIGHT("0"&amp;MINUTE(C995),2)&amp;IF(D995="","","–"&amp;RIGHT("0"&amp;HOUR(D995),2)&amp;":"&amp;RIGHT("0"&amp;MINUTE(D995),2))&amp;" ")&amp;F995)</f>
        <v/>
      </c>
      <c r="N995" s="54">
        <f>IF(OR(A995="",F995=""),"",A995&amp;"#"&amp;(COUNTIFS($A$5:$A$3004,A995,$F$5:$F$3004,"?*",$O$5:$O$3004,"&lt;"&amp;O995)+COUNTIFS($A$5:A995,A995,$F$5:F995,"?*",$O$5:O995,O995)))</f>
        <v/>
      </c>
      <c r="O995" s="54">
        <f>IF(A995="","",IF(C995="",0,C995))</f>
        <v/>
      </c>
    </row>
    <row r="996">
      <c r="A996" s="58" t="n"/>
      <c r="B996" s="49">
        <f>IF(A996="","",CHOOSE(WEEKDAY(A996,2),"Пн","Вт","Ср","Чт","Пт","Сб","Вс"))</f>
        <v/>
      </c>
      <c r="C996" s="59" t="n"/>
      <c r="D996" s="59" t="n"/>
      <c r="E996" s="60">
        <f>IF(OR(C996="",D996=""),"",MOD(D996-C996,1)*24)</f>
        <v/>
      </c>
      <c r="F996" s="50" t="n"/>
      <c r="G996" s="51" t="n"/>
      <c r="H996" s="51" t="n"/>
      <c r="I996" s="51" t="n"/>
      <c r="J996" s="51" t="n"/>
      <c r="K996" s="51" t="n"/>
      <c r="L996" s="54">
        <f>IF(OR(A996="",C996="",D996=""),"",IF(COUNTIFS($A$5:$A$3004,A996,$C$5:$C$3004,"&lt;"&amp;D996,$D$5:$D$3004,"&gt;"&amp;C996)&gt;1,"⚠️ пересечение",""))</f>
        <v/>
      </c>
      <c r="M996" s="54">
        <f>IF(F996="","",IF(J996="✅ Сделано","✔ ",IF(J996="❌ Пропущено","✖ ","⏰ "))&amp;IF(C996="","",RIGHT("0"&amp;HOUR(C996),2)&amp;":"&amp;RIGHT("0"&amp;MINUTE(C996),2)&amp;IF(D996="","","–"&amp;RIGHT("0"&amp;HOUR(D996),2)&amp;":"&amp;RIGHT("0"&amp;MINUTE(D996),2))&amp;" ")&amp;F996)</f>
        <v/>
      </c>
      <c r="N996" s="54">
        <f>IF(OR(A996="",F996=""),"",A996&amp;"#"&amp;(COUNTIFS($A$5:$A$3004,A996,$F$5:$F$3004,"?*",$O$5:$O$3004,"&lt;"&amp;O996)+COUNTIFS($A$5:A996,A996,$F$5:F996,"?*",$O$5:O996,O996)))</f>
        <v/>
      </c>
      <c r="O996" s="54">
        <f>IF(A996="","",IF(C996="",0,C996))</f>
        <v/>
      </c>
    </row>
    <row r="997">
      <c r="A997" s="58" t="n"/>
      <c r="B997" s="49">
        <f>IF(A997="","",CHOOSE(WEEKDAY(A997,2),"Пн","Вт","Ср","Чт","Пт","Сб","Вс"))</f>
        <v/>
      </c>
      <c r="C997" s="59" t="n"/>
      <c r="D997" s="59" t="n"/>
      <c r="E997" s="60">
        <f>IF(OR(C997="",D997=""),"",MOD(D997-C997,1)*24)</f>
        <v/>
      </c>
      <c r="F997" s="50" t="n"/>
      <c r="G997" s="51" t="n"/>
      <c r="H997" s="51" t="n"/>
      <c r="I997" s="51" t="n"/>
      <c r="J997" s="51" t="n"/>
      <c r="K997" s="51" t="n"/>
      <c r="L997" s="54">
        <f>IF(OR(A997="",C997="",D997=""),"",IF(COUNTIFS($A$5:$A$3004,A997,$C$5:$C$3004,"&lt;"&amp;D997,$D$5:$D$3004,"&gt;"&amp;C997)&gt;1,"⚠️ пересечение",""))</f>
        <v/>
      </c>
      <c r="M997" s="54">
        <f>IF(F997="","",IF(J997="✅ Сделано","✔ ",IF(J997="❌ Пропущено","✖ ","⏰ "))&amp;IF(C997="","",RIGHT("0"&amp;HOUR(C997),2)&amp;":"&amp;RIGHT("0"&amp;MINUTE(C997),2)&amp;IF(D997="","","–"&amp;RIGHT("0"&amp;HOUR(D997),2)&amp;":"&amp;RIGHT("0"&amp;MINUTE(D997),2))&amp;" ")&amp;F997)</f>
        <v/>
      </c>
      <c r="N997" s="54">
        <f>IF(OR(A997="",F997=""),"",A997&amp;"#"&amp;(COUNTIFS($A$5:$A$3004,A997,$F$5:$F$3004,"?*",$O$5:$O$3004,"&lt;"&amp;O997)+COUNTIFS($A$5:A997,A997,$F$5:F997,"?*",$O$5:O997,O997)))</f>
        <v/>
      </c>
      <c r="O997" s="54">
        <f>IF(A997="","",IF(C997="",0,C997))</f>
        <v/>
      </c>
    </row>
    <row r="998">
      <c r="A998" s="58" t="n"/>
      <c r="B998" s="49">
        <f>IF(A998="","",CHOOSE(WEEKDAY(A998,2),"Пн","Вт","Ср","Чт","Пт","Сб","Вс"))</f>
        <v/>
      </c>
      <c r="C998" s="59" t="n"/>
      <c r="D998" s="59" t="n"/>
      <c r="E998" s="60">
        <f>IF(OR(C998="",D998=""),"",MOD(D998-C998,1)*24)</f>
        <v/>
      </c>
      <c r="F998" s="50" t="n"/>
      <c r="G998" s="51" t="n"/>
      <c r="H998" s="51" t="n"/>
      <c r="I998" s="51" t="n"/>
      <c r="J998" s="51" t="n"/>
      <c r="K998" s="51" t="n"/>
      <c r="L998" s="54">
        <f>IF(OR(A998="",C998="",D998=""),"",IF(COUNTIFS($A$5:$A$3004,A998,$C$5:$C$3004,"&lt;"&amp;D998,$D$5:$D$3004,"&gt;"&amp;C998)&gt;1,"⚠️ пересечение",""))</f>
        <v/>
      </c>
      <c r="M998" s="54">
        <f>IF(F998="","",IF(J998="✅ Сделано","✔ ",IF(J998="❌ Пропущено","✖ ","⏰ "))&amp;IF(C998="","",RIGHT("0"&amp;HOUR(C998),2)&amp;":"&amp;RIGHT("0"&amp;MINUTE(C998),2)&amp;IF(D998="","","–"&amp;RIGHT("0"&amp;HOUR(D998),2)&amp;":"&amp;RIGHT("0"&amp;MINUTE(D998),2))&amp;" ")&amp;F998)</f>
        <v/>
      </c>
      <c r="N998" s="54">
        <f>IF(OR(A998="",F998=""),"",A998&amp;"#"&amp;(COUNTIFS($A$5:$A$3004,A998,$F$5:$F$3004,"?*",$O$5:$O$3004,"&lt;"&amp;O998)+COUNTIFS($A$5:A998,A998,$F$5:F998,"?*",$O$5:O998,O998)))</f>
        <v/>
      </c>
      <c r="O998" s="54">
        <f>IF(A998="","",IF(C998="",0,C998))</f>
        <v/>
      </c>
    </row>
    <row r="999">
      <c r="A999" s="58" t="n"/>
      <c r="B999" s="49">
        <f>IF(A999="","",CHOOSE(WEEKDAY(A999,2),"Пн","Вт","Ср","Чт","Пт","Сб","Вс"))</f>
        <v/>
      </c>
      <c r="C999" s="59" t="n"/>
      <c r="D999" s="59" t="n"/>
      <c r="E999" s="60">
        <f>IF(OR(C999="",D999=""),"",MOD(D999-C999,1)*24)</f>
        <v/>
      </c>
      <c r="F999" s="50" t="n"/>
      <c r="G999" s="51" t="n"/>
      <c r="H999" s="51" t="n"/>
      <c r="I999" s="51" t="n"/>
      <c r="J999" s="51" t="n"/>
      <c r="K999" s="51" t="n"/>
      <c r="L999" s="54">
        <f>IF(OR(A999="",C999="",D999=""),"",IF(COUNTIFS($A$5:$A$3004,A999,$C$5:$C$3004,"&lt;"&amp;D999,$D$5:$D$3004,"&gt;"&amp;C999)&gt;1,"⚠️ пересечение",""))</f>
        <v/>
      </c>
      <c r="M999" s="54">
        <f>IF(F999="","",IF(J999="✅ Сделано","✔ ",IF(J999="❌ Пропущено","✖ ","⏰ "))&amp;IF(C999="","",RIGHT("0"&amp;HOUR(C999),2)&amp;":"&amp;RIGHT("0"&amp;MINUTE(C999),2)&amp;IF(D999="","","–"&amp;RIGHT("0"&amp;HOUR(D999),2)&amp;":"&amp;RIGHT("0"&amp;MINUTE(D999),2))&amp;" ")&amp;F999)</f>
        <v/>
      </c>
      <c r="N999" s="54">
        <f>IF(OR(A999="",F999=""),"",A999&amp;"#"&amp;(COUNTIFS($A$5:$A$3004,A999,$F$5:$F$3004,"?*",$O$5:$O$3004,"&lt;"&amp;O999)+COUNTIFS($A$5:A999,A999,$F$5:F999,"?*",$O$5:O999,O999)))</f>
        <v/>
      </c>
      <c r="O999" s="54">
        <f>IF(A999="","",IF(C999="",0,C999))</f>
        <v/>
      </c>
    </row>
    <row r="1000">
      <c r="A1000" s="58" t="n"/>
      <c r="B1000" s="49">
        <f>IF(A1000="","",CHOOSE(WEEKDAY(A1000,2),"Пн","Вт","Ср","Чт","Пт","Сб","Вс"))</f>
        <v/>
      </c>
      <c r="C1000" s="59" t="n"/>
      <c r="D1000" s="59" t="n"/>
      <c r="E1000" s="60">
        <f>IF(OR(C1000="",D1000=""),"",MOD(D1000-C1000,1)*24)</f>
        <v/>
      </c>
      <c r="F1000" s="50" t="n"/>
      <c r="G1000" s="51" t="n"/>
      <c r="H1000" s="51" t="n"/>
      <c r="I1000" s="51" t="n"/>
      <c r="J1000" s="51" t="n"/>
      <c r="K1000" s="51" t="n"/>
      <c r="L1000" s="54">
        <f>IF(OR(A1000="",C1000="",D1000=""),"",IF(COUNTIFS($A$5:$A$3004,A1000,$C$5:$C$3004,"&lt;"&amp;D1000,$D$5:$D$3004,"&gt;"&amp;C1000)&gt;1,"⚠️ пересечение",""))</f>
        <v/>
      </c>
      <c r="M1000" s="54">
        <f>IF(F1000="","",IF(J1000="✅ Сделано","✔ ",IF(J1000="❌ Пропущено","✖ ","⏰ "))&amp;IF(C1000="","",RIGHT("0"&amp;HOUR(C1000),2)&amp;":"&amp;RIGHT("0"&amp;MINUTE(C1000),2)&amp;IF(D1000="","","–"&amp;RIGHT("0"&amp;HOUR(D1000),2)&amp;":"&amp;RIGHT("0"&amp;MINUTE(D1000),2))&amp;" ")&amp;F1000)</f>
        <v/>
      </c>
      <c r="N1000" s="54">
        <f>IF(OR(A1000="",F1000=""),"",A1000&amp;"#"&amp;(COUNTIFS($A$5:$A$3004,A1000,$F$5:$F$3004,"?*",$O$5:$O$3004,"&lt;"&amp;O1000)+COUNTIFS($A$5:A1000,A1000,$F$5:F1000,"?*",$O$5:O1000,O1000)))</f>
        <v/>
      </c>
      <c r="O1000" s="54">
        <f>IF(A1000="","",IF(C1000="",0,C1000))</f>
        <v/>
      </c>
    </row>
    <row r="1001">
      <c r="A1001" s="58" t="n"/>
      <c r="B1001" s="49">
        <f>IF(A1001="","",CHOOSE(WEEKDAY(A1001,2),"Пн","Вт","Ср","Чт","Пт","Сб","Вс"))</f>
        <v/>
      </c>
      <c r="C1001" s="59" t="n"/>
      <c r="D1001" s="59" t="n"/>
      <c r="E1001" s="60">
        <f>IF(OR(C1001="",D1001=""),"",MOD(D1001-C1001,1)*24)</f>
        <v/>
      </c>
      <c r="F1001" s="50" t="n"/>
      <c r="G1001" s="51" t="n"/>
      <c r="H1001" s="51" t="n"/>
      <c r="I1001" s="51" t="n"/>
      <c r="J1001" s="51" t="n"/>
      <c r="K1001" s="51" t="n"/>
      <c r="L1001" s="54">
        <f>IF(OR(A1001="",C1001="",D1001=""),"",IF(COUNTIFS($A$5:$A$3004,A1001,$C$5:$C$3004,"&lt;"&amp;D1001,$D$5:$D$3004,"&gt;"&amp;C1001)&gt;1,"⚠️ пересечение",""))</f>
        <v/>
      </c>
      <c r="M1001" s="54">
        <f>IF(F1001="","",IF(J1001="✅ Сделано","✔ ",IF(J1001="❌ Пропущено","✖ ","⏰ "))&amp;IF(C1001="","",RIGHT("0"&amp;HOUR(C1001),2)&amp;":"&amp;RIGHT("0"&amp;MINUTE(C1001),2)&amp;IF(D1001="","","–"&amp;RIGHT("0"&amp;HOUR(D1001),2)&amp;":"&amp;RIGHT("0"&amp;MINUTE(D1001),2))&amp;" ")&amp;F1001)</f>
        <v/>
      </c>
      <c r="N1001" s="54">
        <f>IF(OR(A1001="",F1001=""),"",A1001&amp;"#"&amp;(COUNTIFS($A$5:$A$3004,A1001,$F$5:$F$3004,"?*",$O$5:$O$3004,"&lt;"&amp;O1001)+COUNTIFS($A$5:A1001,A1001,$F$5:F1001,"?*",$O$5:O1001,O1001)))</f>
        <v/>
      </c>
      <c r="O1001" s="54">
        <f>IF(A1001="","",IF(C1001="",0,C1001))</f>
        <v/>
      </c>
    </row>
    <row r="1002">
      <c r="A1002" s="58" t="n"/>
      <c r="B1002" s="49">
        <f>IF(A1002="","",CHOOSE(WEEKDAY(A1002,2),"Пн","Вт","Ср","Чт","Пт","Сб","Вс"))</f>
        <v/>
      </c>
      <c r="C1002" s="59" t="n"/>
      <c r="D1002" s="59" t="n"/>
      <c r="E1002" s="60">
        <f>IF(OR(C1002="",D1002=""),"",MOD(D1002-C1002,1)*24)</f>
        <v/>
      </c>
      <c r="F1002" s="50" t="n"/>
      <c r="G1002" s="51" t="n"/>
      <c r="H1002" s="51" t="n"/>
      <c r="I1002" s="51" t="n"/>
      <c r="J1002" s="51" t="n"/>
      <c r="K1002" s="51" t="n"/>
      <c r="L1002" s="54">
        <f>IF(OR(A1002="",C1002="",D1002=""),"",IF(COUNTIFS($A$5:$A$3004,A1002,$C$5:$C$3004,"&lt;"&amp;D1002,$D$5:$D$3004,"&gt;"&amp;C1002)&gt;1,"⚠️ пересечение",""))</f>
        <v/>
      </c>
      <c r="M1002" s="54">
        <f>IF(F1002="","",IF(J1002="✅ Сделано","✔ ",IF(J1002="❌ Пропущено","✖ ","⏰ "))&amp;IF(C1002="","",RIGHT("0"&amp;HOUR(C1002),2)&amp;":"&amp;RIGHT("0"&amp;MINUTE(C1002),2)&amp;IF(D1002="","","–"&amp;RIGHT("0"&amp;HOUR(D1002),2)&amp;":"&amp;RIGHT("0"&amp;MINUTE(D1002),2))&amp;" ")&amp;F1002)</f>
        <v/>
      </c>
      <c r="N1002" s="54">
        <f>IF(OR(A1002="",F1002=""),"",A1002&amp;"#"&amp;(COUNTIFS($A$5:$A$3004,A1002,$F$5:$F$3004,"?*",$O$5:$O$3004,"&lt;"&amp;O1002)+COUNTIFS($A$5:A1002,A1002,$F$5:F1002,"?*",$O$5:O1002,O1002)))</f>
        <v/>
      </c>
      <c r="O1002" s="54">
        <f>IF(A1002="","",IF(C1002="",0,C1002))</f>
        <v/>
      </c>
    </row>
    <row r="1003">
      <c r="A1003" s="58" t="n"/>
      <c r="B1003" s="49">
        <f>IF(A1003="","",CHOOSE(WEEKDAY(A1003,2),"Пн","Вт","Ср","Чт","Пт","Сб","Вс"))</f>
        <v/>
      </c>
      <c r="C1003" s="59" t="n"/>
      <c r="D1003" s="59" t="n"/>
      <c r="E1003" s="60">
        <f>IF(OR(C1003="",D1003=""),"",MOD(D1003-C1003,1)*24)</f>
        <v/>
      </c>
      <c r="F1003" s="50" t="n"/>
      <c r="G1003" s="51" t="n"/>
      <c r="H1003" s="51" t="n"/>
      <c r="I1003" s="51" t="n"/>
      <c r="J1003" s="51" t="n"/>
      <c r="K1003" s="51" t="n"/>
      <c r="L1003" s="54">
        <f>IF(OR(A1003="",C1003="",D1003=""),"",IF(COUNTIFS($A$5:$A$3004,A1003,$C$5:$C$3004,"&lt;"&amp;D1003,$D$5:$D$3004,"&gt;"&amp;C1003)&gt;1,"⚠️ пересечение",""))</f>
        <v/>
      </c>
      <c r="M1003" s="54">
        <f>IF(F1003="","",IF(J1003="✅ Сделано","✔ ",IF(J1003="❌ Пропущено","✖ ","⏰ "))&amp;IF(C1003="","",RIGHT("0"&amp;HOUR(C1003),2)&amp;":"&amp;RIGHT("0"&amp;MINUTE(C1003),2)&amp;IF(D1003="","","–"&amp;RIGHT("0"&amp;HOUR(D1003),2)&amp;":"&amp;RIGHT("0"&amp;MINUTE(D1003),2))&amp;" ")&amp;F1003)</f>
        <v/>
      </c>
      <c r="N1003" s="54">
        <f>IF(OR(A1003="",F1003=""),"",A1003&amp;"#"&amp;(COUNTIFS($A$5:$A$3004,A1003,$F$5:$F$3004,"?*",$O$5:$O$3004,"&lt;"&amp;O1003)+COUNTIFS($A$5:A1003,A1003,$F$5:F1003,"?*",$O$5:O1003,O1003)))</f>
        <v/>
      </c>
      <c r="O1003" s="54">
        <f>IF(A1003="","",IF(C1003="",0,C1003))</f>
        <v/>
      </c>
    </row>
    <row r="1004">
      <c r="A1004" s="58" t="n"/>
      <c r="B1004" s="49">
        <f>IF(A1004="","",CHOOSE(WEEKDAY(A1004,2),"Пн","Вт","Ср","Чт","Пт","Сб","Вс"))</f>
        <v/>
      </c>
      <c r="C1004" s="59" t="n"/>
      <c r="D1004" s="59" t="n"/>
      <c r="E1004" s="60">
        <f>IF(OR(C1004="",D1004=""),"",MOD(D1004-C1004,1)*24)</f>
        <v/>
      </c>
      <c r="F1004" s="50" t="n"/>
      <c r="G1004" s="51" t="n"/>
      <c r="H1004" s="51" t="n"/>
      <c r="I1004" s="51" t="n"/>
      <c r="J1004" s="51" t="n"/>
      <c r="K1004" s="51" t="n"/>
      <c r="L1004" s="54">
        <f>IF(OR(A1004="",C1004="",D1004=""),"",IF(COUNTIFS($A$5:$A$3004,A1004,$C$5:$C$3004,"&lt;"&amp;D1004,$D$5:$D$3004,"&gt;"&amp;C1004)&gt;1,"⚠️ пересечение",""))</f>
        <v/>
      </c>
      <c r="M1004" s="54">
        <f>IF(F1004="","",IF(J1004="✅ Сделано","✔ ",IF(J1004="❌ Пропущено","✖ ","⏰ "))&amp;IF(C1004="","",RIGHT("0"&amp;HOUR(C1004),2)&amp;":"&amp;RIGHT("0"&amp;MINUTE(C1004),2)&amp;IF(D1004="","","–"&amp;RIGHT("0"&amp;HOUR(D1004),2)&amp;":"&amp;RIGHT("0"&amp;MINUTE(D1004),2))&amp;" ")&amp;F1004)</f>
        <v/>
      </c>
      <c r="N1004" s="54">
        <f>IF(OR(A1004="",F1004=""),"",A1004&amp;"#"&amp;(COUNTIFS($A$5:$A$3004,A1004,$F$5:$F$3004,"?*",$O$5:$O$3004,"&lt;"&amp;O1004)+COUNTIFS($A$5:A1004,A1004,$F$5:F1004,"?*",$O$5:O1004,O1004)))</f>
        <v/>
      </c>
      <c r="O1004" s="54">
        <f>IF(A1004="","",IF(C1004="",0,C1004))</f>
        <v/>
      </c>
    </row>
    <row r="1005">
      <c r="A1005" s="58" t="n"/>
      <c r="B1005" s="49">
        <f>IF(A1005="","",CHOOSE(WEEKDAY(A1005,2),"Пн","Вт","Ср","Чт","Пт","Сб","Вс"))</f>
        <v/>
      </c>
      <c r="C1005" s="59" t="n"/>
      <c r="D1005" s="59" t="n"/>
      <c r="E1005" s="60">
        <f>IF(OR(C1005="",D1005=""),"",MOD(D1005-C1005,1)*24)</f>
        <v/>
      </c>
      <c r="F1005" s="50" t="n"/>
      <c r="G1005" s="51" t="n"/>
      <c r="H1005" s="51" t="n"/>
      <c r="I1005" s="51" t="n"/>
      <c r="J1005" s="51" t="n"/>
      <c r="K1005" s="51" t="n"/>
      <c r="L1005" s="54">
        <f>IF(OR(A1005="",C1005="",D1005=""),"",IF(COUNTIFS($A$5:$A$3004,A1005,$C$5:$C$3004,"&lt;"&amp;D1005,$D$5:$D$3004,"&gt;"&amp;C1005)&gt;1,"⚠️ пересечение",""))</f>
        <v/>
      </c>
      <c r="M1005" s="54">
        <f>IF(F1005="","",IF(J1005="✅ Сделано","✔ ",IF(J1005="❌ Пропущено","✖ ","⏰ "))&amp;IF(C1005="","",RIGHT("0"&amp;HOUR(C1005),2)&amp;":"&amp;RIGHT("0"&amp;MINUTE(C1005),2)&amp;IF(D1005="","","–"&amp;RIGHT("0"&amp;HOUR(D1005),2)&amp;":"&amp;RIGHT("0"&amp;MINUTE(D1005),2))&amp;" ")&amp;F1005)</f>
        <v/>
      </c>
      <c r="N1005" s="54">
        <f>IF(OR(A1005="",F1005=""),"",A1005&amp;"#"&amp;(COUNTIFS($A$5:$A$3004,A1005,$F$5:$F$3004,"?*",$O$5:$O$3004,"&lt;"&amp;O1005)+COUNTIFS($A$5:A1005,A1005,$F$5:F1005,"?*",$O$5:O1005,O1005)))</f>
        <v/>
      </c>
      <c r="O1005" s="54">
        <f>IF(A1005="","",IF(C1005="",0,C1005))</f>
        <v/>
      </c>
    </row>
    <row r="1006">
      <c r="A1006" s="58" t="n"/>
      <c r="B1006" s="49">
        <f>IF(A1006="","",CHOOSE(WEEKDAY(A1006,2),"Пн","Вт","Ср","Чт","Пт","Сб","Вс"))</f>
        <v/>
      </c>
      <c r="C1006" s="59" t="n"/>
      <c r="D1006" s="59" t="n"/>
      <c r="E1006" s="60">
        <f>IF(OR(C1006="",D1006=""),"",MOD(D1006-C1006,1)*24)</f>
        <v/>
      </c>
      <c r="F1006" s="50" t="n"/>
      <c r="G1006" s="51" t="n"/>
      <c r="H1006" s="51" t="n"/>
      <c r="I1006" s="51" t="n"/>
      <c r="J1006" s="51" t="n"/>
      <c r="K1006" s="51" t="n"/>
      <c r="L1006" s="54">
        <f>IF(OR(A1006="",C1006="",D1006=""),"",IF(COUNTIFS($A$5:$A$3004,A1006,$C$5:$C$3004,"&lt;"&amp;D1006,$D$5:$D$3004,"&gt;"&amp;C1006)&gt;1,"⚠️ пересечение",""))</f>
        <v/>
      </c>
      <c r="M1006" s="54">
        <f>IF(F1006="","",IF(J1006="✅ Сделано","✔ ",IF(J1006="❌ Пропущено","✖ ","⏰ "))&amp;IF(C1006="","",RIGHT("0"&amp;HOUR(C1006),2)&amp;":"&amp;RIGHT("0"&amp;MINUTE(C1006),2)&amp;IF(D1006="","","–"&amp;RIGHT("0"&amp;HOUR(D1006),2)&amp;":"&amp;RIGHT("0"&amp;MINUTE(D1006),2))&amp;" ")&amp;F1006)</f>
        <v/>
      </c>
      <c r="N1006" s="54">
        <f>IF(OR(A1006="",F1006=""),"",A1006&amp;"#"&amp;(COUNTIFS($A$5:$A$3004,A1006,$F$5:$F$3004,"?*",$O$5:$O$3004,"&lt;"&amp;O1006)+COUNTIFS($A$5:A1006,A1006,$F$5:F1006,"?*",$O$5:O1006,O1006)))</f>
        <v/>
      </c>
      <c r="O1006" s="54">
        <f>IF(A1006="","",IF(C1006="",0,C1006))</f>
        <v/>
      </c>
    </row>
    <row r="1007">
      <c r="A1007" s="58" t="n"/>
      <c r="B1007" s="49">
        <f>IF(A1007="","",CHOOSE(WEEKDAY(A1007,2),"Пн","Вт","Ср","Чт","Пт","Сб","Вс"))</f>
        <v/>
      </c>
      <c r="C1007" s="59" t="n"/>
      <c r="D1007" s="59" t="n"/>
      <c r="E1007" s="60">
        <f>IF(OR(C1007="",D1007=""),"",MOD(D1007-C1007,1)*24)</f>
        <v/>
      </c>
      <c r="F1007" s="50" t="n"/>
      <c r="G1007" s="51" t="n"/>
      <c r="H1007" s="51" t="n"/>
      <c r="I1007" s="51" t="n"/>
      <c r="J1007" s="51" t="n"/>
      <c r="K1007" s="51" t="n"/>
      <c r="L1007" s="54">
        <f>IF(OR(A1007="",C1007="",D1007=""),"",IF(COUNTIFS($A$5:$A$3004,A1007,$C$5:$C$3004,"&lt;"&amp;D1007,$D$5:$D$3004,"&gt;"&amp;C1007)&gt;1,"⚠️ пересечение",""))</f>
        <v/>
      </c>
      <c r="M1007" s="54">
        <f>IF(F1007="","",IF(J1007="✅ Сделано","✔ ",IF(J1007="❌ Пропущено","✖ ","⏰ "))&amp;IF(C1007="","",RIGHT("0"&amp;HOUR(C1007),2)&amp;":"&amp;RIGHT("0"&amp;MINUTE(C1007),2)&amp;IF(D1007="","","–"&amp;RIGHT("0"&amp;HOUR(D1007),2)&amp;":"&amp;RIGHT("0"&amp;MINUTE(D1007),2))&amp;" ")&amp;F1007)</f>
        <v/>
      </c>
      <c r="N1007" s="54">
        <f>IF(OR(A1007="",F1007=""),"",A1007&amp;"#"&amp;(COUNTIFS($A$5:$A$3004,A1007,$F$5:$F$3004,"?*",$O$5:$O$3004,"&lt;"&amp;O1007)+COUNTIFS($A$5:A1007,A1007,$F$5:F1007,"?*",$O$5:O1007,O1007)))</f>
        <v/>
      </c>
      <c r="O1007" s="54">
        <f>IF(A1007="","",IF(C1007="",0,C1007))</f>
        <v/>
      </c>
    </row>
    <row r="1008">
      <c r="A1008" s="58" t="n"/>
      <c r="B1008" s="49">
        <f>IF(A1008="","",CHOOSE(WEEKDAY(A1008,2),"Пн","Вт","Ср","Чт","Пт","Сб","Вс"))</f>
        <v/>
      </c>
      <c r="C1008" s="59" t="n"/>
      <c r="D1008" s="59" t="n"/>
      <c r="E1008" s="60">
        <f>IF(OR(C1008="",D1008=""),"",MOD(D1008-C1008,1)*24)</f>
        <v/>
      </c>
      <c r="F1008" s="50" t="n"/>
      <c r="G1008" s="51" t="n"/>
      <c r="H1008" s="51" t="n"/>
      <c r="I1008" s="51" t="n"/>
      <c r="J1008" s="51" t="n"/>
      <c r="K1008" s="51" t="n"/>
      <c r="L1008" s="54">
        <f>IF(OR(A1008="",C1008="",D1008=""),"",IF(COUNTIFS($A$5:$A$3004,A1008,$C$5:$C$3004,"&lt;"&amp;D1008,$D$5:$D$3004,"&gt;"&amp;C1008)&gt;1,"⚠️ пересечение",""))</f>
        <v/>
      </c>
      <c r="M1008" s="54">
        <f>IF(F1008="","",IF(J1008="✅ Сделано","✔ ",IF(J1008="❌ Пропущено","✖ ","⏰ "))&amp;IF(C1008="","",RIGHT("0"&amp;HOUR(C1008),2)&amp;":"&amp;RIGHT("0"&amp;MINUTE(C1008),2)&amp;IF(D1008="","","–"&amp;RIGHT("0"&amp;HOUR(D1008),2)&amp;":"&amp;RIGHT("0"&amp;MINUTE(D1008),2))&amp;" ")&amp;F1008)</f>
        <v/>
      </c>
      <c r="N1008" s="54">
        <f>IF(OR(A1008="",F1008=""),"",A1008&amp;"#"&amp;(COUNTIFS($A$5:$A$3004,A1008,$F$5:$F$3004,"?*",$O$5:$O$3004,"&lt;"&amp;O1008)+COUNTIFS($A$5:A1008,A1008,$F$5:F1008,"?*",$O$5:O1008,O1008)))</f>
        <v/>
      </c>
      <c r="O1008" s="54">
        <f>IF(A1008="","",IF(C1008="",0,C1008))</f>
        <v/>
      </c>
    </row>
    <row r="1009">
      <c r="A1009" s="58" t="n"/>
      <c r="B1009" s="49">
        <f>IF(A1009="","",CHOOSE(WEEKDAY(A1009,2),"Пн","Вт","Ср","Чт","Пт","Сб","Вс"))</f>
        <v/>
      </c>
      <c r="C1009" s="59" t="n"/>
      <c r="D1009" s="59" t="n"/>
      <c r="E1009" s="60">
        <f>IF(OR(C1009="",D1009=""),"",MOD(D1009-C1009,1)*24)</f>
        <v/>
      </c>
      <c r="F1009" s="50" t="n"/>
      <c r="G1009" s="51" t="n"/>
      <c r="H1009" s="51" t="n"/>
      <c r="I1009" s="51" t="n"/>
      <c r="J1009" s="51" t="n"/>
      <c r="K1009" s="51" t="n"/>
      <c r="L1009" s="54">
        <f>IF(OR(A1009="",C1009="",D1009=""),"",IF(COUNTIFS($A$5:$A$3004,A1009,$C$5:$C$3004,"&lt;"&amp;D1009,$D$5:$D$3004,"&gt;"&amp;C1009)&gt;1,"⚠️ пересечение",""))</f>
        <v/>
      </c>
      <c r="M1009" s="54">
        <f>IF(F1009="","",IF(J1009="✅ Сделано","✔ ",IF(J1009="❌ Пропущено","✖ ","⏰ "))&amp;IF(C1009="","",RIGHT("0"&amp;HOUR(C1009),2)&amp;":"&amp;RIGHT("0"&amp;MINUTE(C1009),2)&amp;IF(D1009="","","–"&amp;RIGHT("0"&amp;HOUR(D1009),2)&amp;":"&amp;RIGHT("0"&amp;MINUTE(D1009),2))&amp;" ")&amp;F1009)</f>
        <v/>
      </c>
      <c r="N1009" s="54">
        <f>IF(OR(A1009="",F1009=""),"",A1009&amp;"#"&amp;(COUNTIFS($A$5:$A$3004,A1009,$F$5:$F$3004,"?*",$O$5:$O$3004,"&lt;"&amp;O1009)+COUNTIFS($A$5:A1009,A1009,$F$5:F1009,"?*",$O$5:O1009,O1009)))</f>
        <v/>
      </c>
      <c r="O1009" s="54">
        <f>IF(A1009="","",IF(C1009="",0,C1009))</f>
        <v/>
      </c>
    </row>
    <row r="1010">
      <c r="A1010" s="58" t="n"/>
      <c r="B1010" s="49">
        <f>IF(A1010="","",CHOOSE(WEEKDAY(A1010,2),"Пн","Вт","Ср","Чт","Пт","Сб","Вс"))</f>
        <v/>
      </c>
      <c r="C1010" s="59" t="n"/>
      <c r="D1010" s="59" t="n"/>
      <c r="E1010" s="60">
        <f>IF(OR(C1010="",D1010=""),"",MOD(D1010-C1010,1)*24)</f>
        <v/>
      </c>
      <c r="F1010" s="50" t="n"/>
      <c r="G1010" s="51" t="n"/>
      <c r="H1010" s="51" t="n"/>
      <c r="I1010" s="51" t="n"/>
      <c r="J1010" s="51" t="n"/>
      <c r="K1010" s="51" t="n"/>
      <c r="L1010" s="54">
        <f>IF(OR(A1010="",C1010="",D1010=""),"",IF(COUNTIFS($A$5:$A$3004,A1010,$C$5:$C$3004,"&lt;"&amp;D1010,$D$5:$D$3004,"&gt;"&amp;C1010)&gt;1,"⚠️ пересечение",""))</f>
        <v/>
      </c>
      <c r="M1010" s="54">
        <f>IF(F1010="","",IF(J1010="✅ Сделано","✔ ",IF(J1010="❌ Пропущено","✖ ","⏰ "))&amp;IF(C1010="","",RIGHT("0"&amp;HOUR(C1010),2)&amp;":"&amp;RIGHT("0"&amp;MINUTE(C1010),2)&amp;IF(D1010="","","–"&amp;RIGHT("0"&amp;HOUR(D1010),2)&amp;":"&amp;RIGHT("0"&amp;MINUTE(D1010),2))&amp;" ")&amp;F1010)</f>
        <v/>
      </c>
      <c r="N1010" s="54">
        <f>IF(OR(A1010="",F1010=""),"",A1010&amp;"#"&amp;(COUNTIFS($A$5:$A$3004,A1010,$F$5:$F$3004,"?*",$O$5:$O$3004,"&lt;"&amp;O1010)+COUNTIFS($A$5:A1010,A1010,$F$5:F1010,"?*",$O$5:O1010,O1010)))</f>
        <v/>
      </c>
      <c r="O1010" s="54">
        <f>IF(A1010="","",IF(C1010="",0,C1010))</f>
        <v/>
      </c>
    </row>
    <row r="1011">
      <c r="A1011" s="58" t="n"/>
      <c r="B1011" s="49">
        <f>IF(A1011="","",CHOOSE(WEEKDAY(A1011,2),"Пн","Вт","Ср","Чт","Пт","Сб","Вс"))</f>
        <v/>
      </c>
      <c r="C1011" s="59" t="n"/>
      <c r="D1011" s="59" t="n"/>
      <c r="E1011" s="60">
        <f>IF(OR(C1011="",D1011=""),"",MOD(D1011-C1011,1)*24)</f>
        <v/>
      </c>
      <c r="F1011" s="50" t="n"/>
      <c r="G1011" s="51" t="n"/>
      <c r="H1011" s="51" t="n"/>
      <c r="I1011" s="51" t="n"/>
      <c r="J1011" s="51" t="n"/>
      <c r="K1011" s="51" t="n"/>
      <c r="L1011" s="54">
        <f>IF(OR(A1011="",C1011="",D1011=""),"",IF(COUNTIFS($A$5:$A$3004,A1011,$C$5:$C$3004,"&lt;"&amp;D1011,$D$5:$D$3004,"&gt;"&amp;C1011)&gt;1,"⚠️ пересечение",""))</f>
        <v/>
      </c>
      <c r="M1011" s="54">
        <f>IF(F1011="","",IF(J1011="✅ Сделано","✔ ",IF(J1011="❌ Пропущено","✖ ","⏰ "))&amp;IF(C1011="","",RIGHT("0"&amp;HOUR(C1011),2)&amp;":"&amp;RIGHT("0"&amp;MINUTE(C1011),2)&amp;IF(D1011="","","–"&amp;RIGHT("0"&amp;HOUR(D1011),2)&amp;":"&amp;RIGHT("0"&amp;MINUTE(D1011),2))&amp;" ")&amp;F1011)</f>
        <v/>
      </c>
      <c r="N1011" s="54">
        <f>IF(OR(A1011="",F1011=""),"",A1011&amp;"#"&amp;(COUNTIFS($A$5:$A$3004,A1011,$F$5:$F$3004,"?*",$O$5:$O$3004,"&lt;"&amp;O1011)+COUNTIFS($A$5:A1011,A1011,$F$5:F1011,"?*",$O$5:O1011,O1011)))</f>
        <v/>
      </c>
      <c r="O1011" s="54">
        <f>IF(A1011="","",IF(C1011="",0,C1011))</f>
        <v/>
      </c>
    </row>
    <row r="1012">
      <c r="A1012" s="58" t="n"/>
      <c r="B1012" s="49">
        <f>IF(A1012="","",CHOOSE(WEEKDAY(A1012,2),"Пн","Вт","Ср","Чт","Пт","Сб","Вс"))</f>
        <v/>
      </c>
      <c r="C1012" s="59" t="n"/>
      <c r="D1012" s="59" t="n"/>
      <c r="E1012" s="60">
        <f>IF(OR(C1012="",D1012=""),"",MOD(D1012-C1012,1)*24)</f>
        <v/>
      </c>
      <c r="F1012" s="50" t="n"/>
      <c r="G1012" s="51" t="n"/>
      <c r="H1012" s="51" t="n"/>
      <c r="I1012" s="51" t="n"/>
      <c r="J1012" s="51" t="n"/>
      <c r="K1012" s="51" t="n"/>
      <c r="L1012" s="54">
        <f>IF(OR(A1012="",C1012="",D1012=""),"",IF(COUNTIFS($A$5:$A$3004,A1012,$C$5:$C$3004,"&lt;"&amp;D1012,$D$5:$D$3004,"&gt;"&amp;C1012)&gt;1,"⚠️ пересечение",""))</f>
        <v/>
      </c>
      <c r="M1012" s="54">
        <f>IF(F1012="","",IF(J1012="✅ Сделано","✔ ",IF(J1012="❌ Пропущено","✖ ","⏰ "))&amp;IF(C1012="","",RIGHT("0"&amp;HOUR(C1012),2)&amp;":"&amp;RIGHT("0"&amp;MINUTE(C1012),2)&amp;IF(D1012="","","–"&amp;RIGHT("0"&amp;HOUR(D1012),2)&amp;":"&amp;RIGHT("0"&amp;MINUTE(D1012),2))&amp;" ")&amp;F1012)</f>
        <v/>
      </c>
      <c r="N1012" s="54">
        <f>IF(OR(A1012="",F1012=""),"",A1012&amp;"#"&amp;(COUNTIFS($A$5:$A$3004,A1012,$F$5:$F$3004,"?*",$O$5:$O$3004,"&lt;"&amp;O1012)+COUNTIFS($A$5:A1012,A1012,$F$5:F1012,"?*",$O$5:O1012,O1012)))</f>
        <v/>
      </c>
      <c r="O1012" s="54">
        <f>IF(A1012="","",IF(C1012="",0,C1012))</f>
        <v/>
      </c>
    </row>
    <row r="1013">
      <c r="A1013" s="58" t="n"/>
      <c r="B1013" s="49">
        <f>IF(A1013="","",CHOOSE(WEEKDAY(A1013,2),"Пн","Вт","Ср","Чт","Пт","Сб","Вс"))</f>
        <v/>
      </c>
      <c r="C1013" s="59" t="n"/>
      <c r="D1013" s="59" t="n"/>
      <c r="E1013" s="60">
        <f>IF(OR(C1013="",D1013=""),"",MOD(D1013-C1013,1)*24)</f>
        <v/>
      </c>
      <c r="F1013" s="50" t="n"/>
      <c r="G1013" s="51" t="n"/>
      <c r="H1013" s="51" t="n"/>
      <c r="I1013" s="51" t="n"/>
      <c r="J1013" s="51" t="n"/>
      <c r="K1013" s="51" t="n"/>
      <c r="L1013" s="54">
        <f>IF(OR(A1013="",C1013="",D1013=""),"",IF(COUNTIFS($A$5:$A$3004,A1013,$C$5:$C$3004,"&lt;"&amp;D1013,$D$5:$D$3004,"&gt;"&amp;C1013)&gt;1,"⚠️ пересечение",""))</f>
        <v/>
      </c>
      <c r="M1013" s="54">
        <f>IF(F1013="","",IF(J1013="✅ Сделано","✔ ",IF(J1013="❌ Пропущено","✖ ","⏰ "))&amp;IF(C1013="","",RIGHT("0"&amp;HOUR(C1013),2)&amp;":"&amp;RIGHT("0"&amp;MINUTE(C1013),2)&amp;IF(D1013="","","–"&amp;RIGHT("0"&amp;HOUR(D1013),2)&amp;":"&amp;RIGHT("0"&amp;MINUTE(D1013),2))&amp;" ")&amp;F1013)</f>
        <v/>
      </c>
      <c r="N1013" s="54">
        <f>IF(OR(A1013="",F1013=""),"",A1013&amp;"#"&amp;(COUNTIFS($A$5:$A$3004,A1013,$F$5:$F$3004,"?*",$O$5:$O$3004,"&lt;"&amp;O1013)+COUNTIFS($A$5:A1013,A1013,$F$5:F1013,"?*",$O$5:O1013,O1013)))</f>
        <v/>
      </c>
      <c r="O1013" s="54">
        <f>IF(A1013="","",IF(C1013="",0,C1013))</f>
        <v/>
      </c>
    </row>
    <row r="1014">
      <c r="A1014" s="58" t="n"/>
      <c r="B1014" s="49">
        <f>IF(A1014="","",CHOOSE(WEEKDAY(A1014,2),"Пн","Вт","Ср","Чт","Пт","Сб","Вс"))</f>
        <v/>
      </c>
      <c r="C1014" s="59" t="n"/>
      <c r="D1014" s="59" t="n"/>
      <c r="E1014" s="60">
        <f>IF(OR(C1014="",D1014=""),"",MOD(D1014-C1014,1)*24)</f>
        <v/>
      </c>
      <c r="F1014" s="50" t="n"/>
      <c r="G1014" s="51" t="n"/>
      <c r="H1014" s="51" t="n"/>
      <c r="I1014" s="51" t="n"/>
      <c r="J1014" s="51" t="n"/>
      <c r="K1014" s="51" t="n"/>
      <c r="L1014" s="54">
        <f>IF(OR(A1014="",C1014="",D1014=""),"",IF(COUNTIFS($A$5:$A$3004,A1014,$C$5:$C$3004,"&lt;"&amp;D1014,$D$5:$D$3004,"&gt;"&amp;C1014)&gt;1,"⚠️ пересечение",""))</f>
        <v/>
      </c>
      <c r="M1014" s="54">
        <f>IF(F1014="","",IF(J1014="✅ Сделано","✔ ",IF(J1014="❌ Пропущено","✖ ","⏰ "))&amp;IF(C1014="","",RIGHT("0"&amp;HOUR(C1014),2)&amp;":"&amp;RIGHT("0"&amp;MINUTE(C1014),2)&amp;IF(D1014="","","–"&amp;RIGHT("0"&amp;HOUR(D1014),2)&amp;":"&amp;RIGHT("0"&amp;MINUTE(D1014),2))&amp;" ")&amp;F1014)</f>
        <v/>
      </c>
      <c r="N1014" s="54">
        <f>IF(OR(A1014="",F1014=""),"",A1014&amp;"#"&amp;(COUNTIFS($A$5:$A$3004,A1014,$F$5:$F$3004,"?*",$O$5:$O$3004,"&lt;"&amp;O1014)+COUNTIFS($A$5:A1014,A1014,$F$5:F1014,"?*",$O$5:O1014,O1014)))</f>
        <v/>
      </c>
      <c r="O1014" s="54">
        <f>IF(A1014="","",IF(C1014="",0,C1014))</f>
        <v/>
      </c>
    </row>
    <row r="1015">
      <c r="A1015" s="58" t="n"/>
      <c r="B1015" s="49">
        <f>IF(A1015="","",CHOOSE(WEEKDAY(A1015,2),"Пн","Вт","Ср","Чт","Пт","Сб","Вс"))</f>
        <v/>
      </c>
      <c r="C1015" s="59" t="n"/>
      <c r="D1015" s="59" t="n"/>
      <c r="E1015" s="60">
        <f>IF(OR(C1015="",D1015=""),"",MOD(D1015-C1015,1)*24)</f>
        <v/>
      </c>
      <c r="F1015" s="50" t="n"/>
      <c r="G1015" s="51" t="n"/>
      <c r="H1015" s="51" t="n"/>
      <c r="I1015" s="51" t="n"/>
      <c r="J1015" s="51" t="n"/>
      <c r="K1015" s="51" t="n"/>
      <c r="L1015" s="54">
        <f>IF(OR(A1015="",C1015="",D1015=""),"",IF(COUNTIFS($A$5:$A$3004,A1015,$C$5:$C$3004,"&lt;"&amp;D1015,$D$5:$D$3004,"&gt;"&amp;C1015)&gt;1,"⚠️ пересечение",""))</f>
        <v/>
      </c>
      <c r="M1015" s="54">
        <f>IF(F1015="","",IF(J1015="✅ Сделано","✔ ",IF(J1015="❌ Пропущено","✖ ","⏰ "))&amp;IF(C1015="","",RIGHT("0"&amp;HOUR(C1015),2)&amp;":"&amp;RIGHT("0"&amp;MINUTE(C1015),2)&amp;IF(D1015="","","–"&amp;RIGHT("0"&amp;HOUR(D1015),2)&amp;":"&amp;RIGHT("0"&amp;MINUTE(D1015),2))&amp;" ")&amp;F1015)</f>
        <v/>
      </c>
      <c r="N1015" s="54">
        <f>IF(OR(A1015="",F1015=""),"",A1015&amp;"#"&amp;(COUNTIFS($A$5:$A$3004,A1015,$F$5:$F$3004,"?*",$O$5:$O$3004,"&lt;"&amp;O1015)+COUNTIFS($A$5:A1015,A1015,$F$5:F1015,"?*",$O$5:O1015,O1015)))</f>
        <v/>
      </c>
      <c r="O1015" s="54">
        <f>IF(A1015="","",IF(C1015="",0,C1015))</f>
        <v/>
      </c>
    </row>
    <row r="1016">
      <c r="A1016" s="58" t="n"/>
      <c r="B1016" s="49">
        <f>IF(A1016="","",CHOOSE(WEEKDAY(A1016,2),"Пн","Вт","Ср","Чт","Пт","Сб","Вс"))</f>
        <v/>
      </c>
      <c r="C1016" s="59" t="n"/>
      <c r="D1016" s="59" t="n"/>
      <c r="E1016" s="60">
        <f>IF(OR(C1016="",D1016=""),"",MOD(D1016-C1016,1)*24)</f>
        <v/>
      </c>
      <c r="F1016" s="50" t="n"/>
      <c r="G1016" s="51" t="n"/>
      <c r="H1016" s="51" t="n"/>
      <c r="I1016" s="51" t="n"/>
      <c r="J1016" s="51" t="n"/>
      <c r="K1016" s="51" t="n"/>
      <c r="L1016" s="54">
        <f>IF(OR(A1016="",C1016="",D1016=""),"",IF(COUNTIFS($A$5:$A$3004,A1016,$C$5:$C$3004,"&lt;"&amp;D1016,$D$5:$D$3004,"&gt;"&amp;C1016)&gt;1,"⚠️ пересечение",""))</f>
        <v/>
      </c>
      <c r="M1016" s="54">
        <f>IF(F1016="","",IF(J1016="✅ Сделано","✔ ",IF(J1016="❌ Пропущено","✖ ","⏰ "))&amp;IF(C1016="","",RIGHT("0"&amp;HOUR(C1016),2)&amp;":"&amp;RIGHT("0"&amp;MINUTE(C1016),2)&amp;IF(D1016="","","–"&amp;RIGHT("0"&amp;HOUR(D1016),2)&amp;":"&amp;RIGHT("0"&amp;MINUTE(D1016),2))&amp;" ")&amp;F1016)</f>
        <v/>
      </c>
      <c r="N1016" s="54">
        <f>IF(OR(A1016="",F1016=""),"",A1016&amp;"#"&amp;(COUNTIFS($A$5:$A$3004,A1016,$F$5:$F$3004,"?*",$O$5:$O$3004,"&lt;"&amp;O1016)+COUNTIFS($A$5:A1016,A1016,$F$5:F1016,"?*",$O$5:O1016,O1016)))</f>
        <v/>
      </c>
      <c r="O1016" s="54">
        <f>IF(A1016="","",IF(C1016="",0,C1016))</f>
        <v/>
      </c>
    </row>
    <row r="1017">
      <c r="A1017" s="58" t="n"/>
      <c r="B1017" s="49">
        <f>IF(A1017="","",CHOOSE(WEEKDAY(A1017,2),"Пн","Вт","Ср","Чт","Пт","Сб","Вс"))</f>
        <v/>
      </c>
      <c r="C1017" s="59" t="n"/>
      <c r="D1017" s="59" t="n"/>
      <c r="E1017" s="60">
        <f>IF(OR(C1017="",D1017=""),"",MOD(D1017-C1017,1)*24)</f>
        <v/>
      </c>
      <c r="F1017" s="50" t="n"/>
      <c r="G1017" s="51" t="n"/>
      <c r="H1017" s="51" t="n"/>
      <c r="I1017" s="51" t="n"/>
      <c r="J1017" s="51" t="n"/>
      <c r="K1017" s="51" t="n"/>
      <c r="L1017" s="54">
        <f>IF(OR(A1017="",C1017="",D1017=""),"",IF(COUNTIFS($A$5:$A$3004,A1017,$C$5:$C$3004,"&lt;"&amp;D1017,$D$5:$D$3004,"&gt;"&amp;C1017)&gt;1,"⚠️ пересечение",""))</f>
        <v/>
      </c>
      <c r="M1017" s="54">
        <f>IF(F1017="","",IF(J1017="✅ Сделано","✔ ",IF(J1017="❌ Пропущено","✖ ","⏰ "))&amp;IF(C1017="","",RIGHT("0"&amp;HOUR(C1017),2)&amp;":"&amp;RIGHT("0"&amp;MINUTE(C1017),2)&amp;IF(D1017="","","–"&amp;RIGHT("0"&amp;HOUR(D1017),2)&amp;":"&amp;RIGHT("0"&amp;MINUTE(D1017),2))&amp;" ")&amp;F1017)</f>
        <v/>
      </c>
      <c r="N1017" s="54">
        <f>IF(OR(A1017="",F1017=""),"",A1017&amp;"#"&amp;(COUNTIFS($A$5:$A$3004,A1017,$F$5:$F$3004,"?*",$O$5:$O$3004,"&lt;"&amp;O1017)+COUNTIFS($A$5:A1017,A1017,$F$5:F1017,"?*",$O$5:O1017,O1017)))</f>
        <v/>
      </c>
      <c r="O1017" s="54">
        <f>IF(A1017="","",IF(C1017="",0,C1017))</f>
        <v/>
      </c>
    </row>
    <row r="1018">
      <c r="A1018" s="58" t="n"/>
      <c r="B1018" s="49">
        <f>IF(A1018="","",CHOOSE(WEEKDAY(A1018,2),"Пн","Вт","Ср","Чт","Пт","Сб","Вс"))</f>
        <v/>
      </c>
      <c r="C1018" s="59" t="n"/>
      <c r="D1018" s="59" t="n"/>
      <c r="E1018" s="60">
        <f>IF(OR(C1018="",D1018=""),"",MOD(D1018-C1018,1)*24)</f>
        <v/>
      </c>
      <c r="F1018" s="50" t="n"/>
      <c r="G1018" s="51" t="n"/>
      <c r="H1018" s="51" t="n"/>
      <c r="I1018" s="51" t="n"/>
      <c r="J1018" s="51" t="n"/>
      <c r="K1018" s="51" t="n"/>
      <c r="L1018" s="54">
        <f>IF(OR(A1018="",C1018="",D1018=""),"",IF(COUNTIFS($A$5:$A$3004,A1018,$C$5:$C$3004,"&lt;"&amp;D1018,$D$5:$D$3004,"&gt;"&amp;C1018)&gt;1,"⚠️ пересечение",""))</f>
        <v/>
      </c>
      <c r="M1018" s="54">
        <f>IF(F1018="","",IF(J1018="✅ Сделано","✔ ",IF(J1018="❌ Пропущено","✖ ","⏰ "))&amp;IF(C1018="","",RIGHT("0"&amp;HOUR(C1018),2)&amp;":"&amp;RIGHT("0"&amp;MINUTE(C1018),2)&amp;IF(D1018="","","–"&amp;RIGHT("0"&amp;HOUR(D1018),2)&amp;":"&amp;RIGHT("0"&amp;MINUTE(D1018),2))&amp;" ")&amp;F1018)</f>
        <v/>
      </c>
      <c r="N1018" s="54">
        <f>IF(OR(A1018="",F1018=""),"",A1018&amp;"#"&amp;(COUNTIFS($A$5:$A$3004,A1018,$F$5:$F$3004,"?*",$O$5:$O$3004,"&lt;"&amp;O1018)+COUNTIFS($A$5:A1018,A1018,$F$5:F1018,"?*",$O$5:O1018,O1018)))</f>
        <v/>
      </c>
      <c r="O1018" s="54">
        <f>IF(A1018="","",IF(C1018="",0,C1018))</f>
        <v/>
      </c>
    </row>
    <row r="1019">
      <c r="A1019" s="58" t="n"/>
      <c r="B1019" s="49">
        <f>IF(A1019="","",CHOOSE(WEEKDAY(A1019,2),"Пн","Вт","Ср","Чт","Пт","Сб","Вс"))</f>
        <v/>
      </c>
      <c r="C1019" s="59" t="n"/>
      <c r="D1019" s="59" t="n"/>
      <c r="E1019" s="60">
        <f>IF(OR(C1019="",D1019=""),"",MOD(D1019-C1019,1)*24)</f>
        <v/>
      </c>
      <c r="F1019" s="50" t="n"/>
      <c r="G1019" s="51" t="n"/>
      <c r="H1019" s="51" t="n"/>
      <c r="I1019" s="51" t="n"/>
      <c r="J1019" s="51" t="n"/>
      <c r="K1019" s="51" t="n"/>
      <c r="L1019" s="54">
        <f>IF(OR(A1019="",C1019="",D1019=""),"",IF(COUNTIFS($A$5:$A$3004,A1019,$C$5:$C$3004,"&lt;"&amp;D1019,$D$5:$D$3004,"&gt;"&amp;C1019)&gt;1,"⚠️ пересечение",""))</f>
        <v/>
      </c>
      <c r="M1019" s="54">
        <f>IF(F1019="","",IF(J1019="✅ Сделано","✔ ",IF(J1019="❌ Пропущено","✖ ","⏰ "))&amp;IF(C1019="","",RIGHT("0"&amp;HOUR(C1019),2)&amp;":"&amp;RIGHT("0"&amp;MINUTE(C1019),2)&amp;IF(D1019="","","–"&amp;RIGHT("0"&amp;HOUR(D1019),2)&amp;":"&amp;RIGHT("0"&amp;MINUTE(D1019),2))&amp;" ")&amp;F1019)</f>
        <v/>
      </c>
      <c r="N1019" s="54">
        <f>IF(OR(A1019="",F1019=""),"",A1019&amp;"#"&amp;(COUNTIFS($A$5:$A$3004,A1019,$F$5:$F$3004,"?*",$O$5:$O$3004,"&lt;"&amp;O1019)+COUNTIFS($A$5:A1019,A1019,$F$5:F1019,"?*",$O$5:O1019,O1019)))</f>
        <v/>
      </c>
      <c r="O1019" s="54">
        <f>IF(A1019="","",IF(C1019="",0,C1019))</f>
        <v/>
      </c>
    </row>
    <row r="1020">
      <c r="A1020" s="58" t="n"/>
      <c r="B1020" s="49">
        <f>IF(A1020="","",CHOOSE(WEEKDAY(A1020,2),"Пн","Вт","Ср","Чт","Пт","Сб","Вс"))</f>
        <v/>
      </c>
      <c r="C1020" s="59" t="n"/>
      <c r="D1020" s="59" t="n"/>
      <c r="E1020" s="60">
        <f>IF(OR(C1020="",D1020=""),"",MOD(D1020-C1020,1)*24)</f>
        <v/>
      </c>
      <c r="F1020" s="50" t="n"/>
      <c r="G1020" s="51" t="n"/>
      <c r="H1020" s="51" t="n"/>
      <c r="I1020" s="51" t="n"/>
      <c r="J1020" s="51" t="n"/>
      <c r="K1020" s="51" t="n"/>
      <c r="L1020" s="54">
        <f>IF(OR(A1020="",C1020="",D1020=""),"",IF(COUNTIFS($A$5:$A$3004,A1020,$C$5:$C$3004,"&lt;"&amp;D1020,$D$5:$D$3004,"&gt;"&amp;C1020)&gt;1,"⚠️ пересечение",""))</f>
        <v/>
      </c>
      <c r="M1020" s="54">
        <f>IF(F1020="","",IF(J1020="✅ Сделано","✔ ",IF(J1020="❌ Пропущено","✖ ","⏰ "))&amp;IF(C1020="","",RIGHT("0"&amp;HOUR(C1020),2)&amp;":"&amp;RIGHT("0"&amp;MINUTE(C1020),2)&amp;IF(D1020="","","–"&amp;RIGHT("0"&amp;HOUR(D1020),2)&amp;":"&amp;RIGHT("0"&amp;MINUTE(D1020),2))&amp;" ")&amp;F1020)</f>
        <v/>
      </c>
      <c r="N1020" s="54">
        <f>IF(OR(A1020="",F1020=""),"",A1020&amp;"#"&amp;(COUNTIFS($A$5:$A$3004,A1020,$F$5:$F$3004,"?*",$O$5:$O$3004,"&lt;"&amp;O1020)+COUNTIFS($A$5:A1020,A1020,$F$5:F1020,"?*",$O$5:O1020,O1020)))</f>
        <v/>
      </c>
      <c r="O1020" s="54">
        <f>IF(A1020="","",IF(C1020="",0,C1020))</f>
        <v/>
      </c>
    </row>
    <row r="1021">
      <c r="A1021" s="58" t="n"/>
      <c r="B1021" s="49">
        <f>IF(A1021="","",CHOOSE(WEEKDAY(A1021,2),"Пн","Вт","Ср","Чт","Пт","Сб","Вс"))</f>
        <v/>
      </c>
      <c r="C1021" s="59" t="n"/>
      <c r="D1021" s="59" t="n"/>
      <c r="E1021" s="60">
        <f>IF(OR(C1021="",D1021=""),"",MOD(D1021-C1021,1)*24)</f>
        <v/>
      </c>
      <c r="F1021" s="50" t="n"/>
      <c r="G1021" s="51" t="n"/>
      <c r="H1021" s="51" t="n"/>
      <c r="I1021" s="51" t="n"/>
      <c r="J1021" s="51" t="n"/>
      <c r="K1021" s="51" t="n"/>
      <c r="L1021" s="54">
        <f>IF(OR(A1021="",C1021="",D1021=""),"",IF(COUNTIFS($A$5:$A$3004,A1021,$C$5:$C$3004,"&lt;"&amp;D1021,$D$5:$D$3004,"&gt;"&amp;C1021)&gt;1,"⚠️ пересечение",""))</f>
        <v/>
      </c>
      <c r="M1021" s="54">
        <f>IF(F1021="","",IF(J1021="✅ Сделано","✔ ",IF(J1021="❌ Пропущено","✖ ","⏰ "))&amp;IF(C1021="","",RIGHT("0"&amp;HOUR(C1021),2)&amp;":"&amp;RIGHT("0"&amp;MINUTE(C1021),2)&amp;IF(D1021="","","–"&amp;RIGHT("0"&amp;HOUR(D1021),2)&amp;":"&amp;RIGHT("0"&amp;MINUTE(D1021),2))&amp;" ")&amp;F1021)</f>
        <v/>
      </c>
      <c r="N1021" s="54">
        <f>IF(OR(A1021="",F1021=""),"",A1021&amp;"#"&amp;(COUNTIFS($A$5:$A$3004,A1021,$F$5:$F$3004,"?*",$O$5:$O$3004,"&lt;"&amp;O1021)+COUNTIFS($A$5:A1021,A1021,$F$5:F1021,"?*",$O$5:O1021,O1021)))</f>
        <v/>
      </c>
      <c r="O1021" s="54">
        <f>IF(A1021="","",IF(C1021="",0,C1021))</f>
        <v/>
      </c>
    </row>
    <row r="1022">
      <c r="A1022" s="58" t="n"/>
      <c r="B1022" s="49">
        <f>IF(A1022="","",CHOOSE(WEEKDAY(A1022,2),"Пн","Вт","Ср","Чт","Пт","Сб","Вс"))</f>
        <v/>
      </c>
      <c r="C1022" s="59" t="n"/>
      <c r="D1022" s="59" t="n"/>
      <c r="E1022" s="60">
        <f>IF(OR(C1022="",D1022=""),"",MOD(D1022-C1022,1)*24)</f>
        <v/>
      </c>
      <c r="F1022" s="50" t="n"/>
      <c r="G1022" s="51" t="n"/>
      <c r="H1022" s="51" t="n"/>
      <c r="I1022" s="51" t="n"/>
      <c r="J1022" s="51" t="n"/>
      <c r="K1022" s="51" t="n"/>
      <c r="L1022" s="54">
        <f>IF(OR(A1022="",C1022="",D1022=""),"",IF(COUNTIFS($A$5:$A$3004,A1022,$C$5:$C$3004,"&lt;"&amp;D1022,$D$5:$D$3004,"&gt;"&amp;C1022)&gt;1,"⚠️ пересечение",""))</f>
        <v/>
      </c>
      <c r="M1022" s="54">
        <f>IF(F1022="","",IF(J1022="✅ Сделано","✔ ",IF(J1022="❌ Пропущено","✖ ","⏰ "))&amp;IF(C1022="","",RIGHT("0"&amp;HOUR(C1022),2)&amp;":"&amp;RIGHT("0"&amp;MINUTE(C1022),2)&amp;IF(D1022="","","–"&amp;RIGHT("0"&amp;HOUR(D1022),2)&amp;":"&amp;RIGHT("0"&amp;MINUTE(D1022),2))&amp;" ")&amp;F1022)</f>
        <v/>
      </c>
      <c r="N1022" s="54">
        <f>IF(OR(A1022="",F1022=""),"",A1022&amp;"#"&amp;(COUNTIFS($A$5:$A$3004,A1022,$F$5:$F$3004,"?*",$O$5:$O$3004,"&lt;"&amp;O1022)+COUNTIFS($A$5:A1022,A1022,$F$5:F1022,"?*",$O$5:O1022,O1022)))</f>
        <v/>
      </c>
      <c r="O1022" s="54">
        <f>IF(A1022="","",IF(C1022="",0,C1022))</f>
        <v/>
      </c>
    </row>
    <row r="1023">
      <c r="A1023" s="58" t="n"/>
      <c r="B1023" s="49">
        <f>IF(A1023="","",CHOOSE(WEEKDAY(A1023,2),"Пн","Вт","Ср","Чт","Пт","Сб","Вс"))</f>
        <v/>
      </c>
      <c r="C1023" s="59" t="n"/>
      <c r="D1023" s="59" t="n"/>
      <c r="E1023" s="60">
        <f>IF(OR(C1023="",D1023=""),"",MOD(D1023-C1023,1)*24)</f>
        <v/>
      </c>
      <c r="F1023" s="50" t="n"/>
      <c r="G1023" s="51" t="n"/>
      <c r="H1023" s="51" t="n"/>
      <c r="I1023" s="51" t="n"/>
      <c r="J1023" s="51" t="n"/>
      <c r="K1023" s="51" t="n"/>
      <c r="L1023" s="54">
        <f>IF(OR(A1023="",C1023="",D1023=""),"",IF(COUNTIFS($A$5:$A$3004,A1023,$C$5:$C$3004,"&lt;"&amp;D1023,$D$5:$D$3004,"&gt;"&amp;C1023)&gt;1,"⚠️ пересечение",""))</f>
        <v/>
      </c>
      <c r="M1023" s="54">
        <f>IF(F1023="","",IF(J1023="✅ Сделано","✔ ",IF(J1023="❌ Пропущено","✖ ","⏰ "))&amp;IF(C1023="","",RIGHT("0"&amp;HOUR(C1023),2)&amp;":"&amp;RIGHT("0"&amp;MINUTE(C1023),2)&amp;IF(D1023="","","–"&amp;RIGHT("0"&amp;HOUR(D1023),2)&amp;":"&amp;RIGHT("0"&amp;MINUTE(D1023),2))&amp;" ")&amp;F1023)</f>
        <v/>
      </c>
      <c r="N1023" s="54">
        <f>IF(OR(A1023="",F1023=""),"",A1023&amp;"#"&amp;(COUNTIFS($A$5:$A$3004,A1023,$F$5:$F$3004,"?*",$O$5:$O$3004,"&lt;"&amp;O1023)+COUNTIFS($A$5:A1023,A1023,$F$5:F1023,"?*",$O$5:O1023,O1023)))</f>
        <v/>
      </c>
      <c r="O1023" s="54">
        <f>IF(A1023="","",IF(C1023="",0,C1023))</f>
        <v/>
      </c>
    </row>
    <row r="1024">
      <c r="A1024" s="58" t="n"/>
      <c r="B1024" s="49">
        <f>IF(A1024="","",CHOOSE(WEEKDAY(A1024,2),"Пн","Вт","Ср","Чт","Пт","Сб","Вс"))</f>
        <v/>
      </c>
      <c r="C1024" s="59" t="n"/>
      <c r="D1024" s="59" t="n"/>
      <c r="E1024" s="60">
        <f>IF(OR(C1024="",D1024=""),"",MOD(D1024-C1024,1)*24)</f>
        <v/>
      </c>
      <c r="F1024" s="50" t="n"/>
      <c r="G1024" s="51" t="n"/>
      <c r="H1024" s="51" t="n"/>
      <c r="I1024" s="51" t="n"/>
      <c r="J1024" s="51" t="n"/>
      <c r="K1024" s="51" t="n"/>
      <c r="L1024" s="54">
        <f>IF(OR(A1024="",C1024="",D1024=""),"",IF(COUNTIFS($A$5:$A$3004,A1024,$C$5:$C$3004,"&lt;"&amp;D1024,$D$5:$D$3004,"&gt;"&amp;C1024)&gt;1,"⚠️ пересечение",""))</f>
        <v/>
      </c>
      <c r="M1024" s="54">
        <f>IF(F1024="","",IF(J1024="✅ Сделано","✔ ",IF(J1024="❌ Пропущено","✖ ","⏰ "))&amp;IF(C1024="","",RIGHT("0"&amp;HOUR(C1024),2)&amp;":"&amp;RIGHT("0"&amp;MINUTE(C1024),2)&amp;IF(D1024="","","–"&amp;RIGHT("0"&amp;HOUR(D1024),2)&amp;":"&amp;RIGHT("0"&amp;MINUTE(D1024),2))&amp;" ")&amp;F1024)</f>
        <v/>
      </c>
      <c r="N1024" s="54">
        <f>IF(OR(A1024="",F1024=""),"",A1024&amp;"#"&amp;(COUNTIFS($A$5:$A$3004,A1024,$F$5:$F$3004,"?*",$O$5:$O$3004,"&lt;"&amp;O1024)+COUNTIFS($A$5:A1024,A1024,$F$5:F1024,"?*",$O$5:O1024,O1024)))</f>
        <v/>
      </c>
      <c r="O1024" s="54">
        <f>IF(A1024="","",IF(C1024="",0,C1024))</f>
        <v/>
      </c>
    </row>
    <row r="1025">
      <c r="A1025" s="58" t="n"/>
      <c r="B1025" s="49">
        <f>IF(A1025="","",CHOOSE(WEEKDAY(A1025,2),"Пн","Вт","Ср","Чт","Пт","Сб","Вс"))</f>
        <v/>
      </c>
      <c r="C1025" s="59" t="n"/>
      <c r="D1025" s="59" t="n"/>
      <c r="E1025" s="60">
        <f>IF(OR(C1025="",D1025=""),"",MOD(D1025-C1025,1)*24)</f>
        <v/>
      </c>
      <c r="F1025" s="50" t="n"/>
      <c r="G1025" s="51" t="n"/>
      <c r="H1025" s="51" t="n"/>
      <c r="I1025" s="51" t="n"/>
      <c r="J1025" s="51" t="n"/>
      <c r="K1025" s="51" t="n"/>
      <c r="L1025" s="54">
        <f>IF(OR(A1025="",C1025="",D1025=""),"",IF(COUNTIFS($A$5:$A$3004,A1025,$C$5:$C$3004,"&lt;"&amp;D1025,$D$5:$D$3004,"&gt;"&amp;C1025)&gt;1,"⚠️ пересечение",""))</f>
        <v/>
      </c>
      <c r="M1025" s="54">
        <f>IF(F1025="","",IF(J1025="✅ Сделано","✔ ",IF(J1025="❌ Пропущено","✖ ","⏰ "))&amp;IF(C1025="","",RIGHT("0"&amp;HOUR(C1025),2)&amp;":"&amp;RIGHT("0"&amp;MINUTE(C1025),2)&amp;IF(D1025="","","–"&amp;RIGHT("0"&amp;HOUR(D1025),2)&amp;":"&amp;RIGHT("0"&amp;MINUTE(D1025),2))&amp;" ")&amp;F1025)</f>
        <v/>
      </c>
      <c r="N1025" s="54">
        <f>IF(OR(A1025="",F1025=""),"",A1025&amp;"#"&amp;(COUNTIFS($A$5:$A$3004,A1025,$F$5:$F$3004,"?*",$O$5:$O$3004,"&lt;"&amp;O1025)+COUNTIFS($A$5:A1025,A1025,$F$5:F1025,"?*",$O$5:O1025,O1025)))</f>
        <v/>
      </c>
      <c r="O1025" s="54">
        <f>IF(A1025="","",IF(C1025="",0,C1025))</f>
        <v/>
      </c>
    </row>
    <row r="1026">
      <c r="A1026" s="58" t="n"/>
      <c r="B1026" s="49">
        <f>IF(A1026="","",CHOOSE(WEEKDAY(A1026,2),"Пн","Вт","Ср","Чт","Пт","Сб","Вс"))</f>
        <v/>
      </c>
      <c r="C1026" s="59" t="n"/>
      <c r="D1026" s="59" t="n"/>
      <c r="E1026" s="60">
        <f>IF(OR(C1026="",D1026=""),"",MOD(D1026-C1026,1)*24)</f>
        <v/>
      </c>
      <c r="F1026" s="50" t="n"/>
      <c r="G1026" s="51" t="n"/>
      <c r="H1026" s="51" t="n"/>
      <c r="I1026" s="51" t="n"/>
      <c r="J1026" s="51" t="n"/>
      <c r="K1026" s="51" t="n"/>
      <c r="L1026" s="54">
        <f>IF(OR(A1026="",C1026="",D1026=""),"",IF(COUNTIFS($A$5:$A$3004,A1026,$C$5:$C$3004,"&lt;"&amp;D1026,$D$5:$D$3004,"&gt;"&amp;C1026)&gt;1,"⚠️ пересечение",""))</f>
        <v/>
      </c>
      <c r="M1026" s="54">
        <f>IF(F1026="","",IF(J1026="✅ Сделано","✔ ",IF(J1026="❌ Пропущено","✖ ","⏰ "))&amp;IF(C1026="","",RIGHT("0"&amp;HOUR(C1026),2)&amp;":"&amp;RIGHT("0"&amp;MINUTE(C1026),2)&amp;IF(D1026="","","–"&amp;RIGHT("0"&amp;HOUR(D1026),2)&amp;":"&amp;RIGHT("0"&amp;MINUTE(D1026),2))&amp;" ")&amp;F1026)</f>
        <v/>
      </c>
      <c r="N1026" s="54">
        <f>IF(OR(A1026="",F1026=""),"",A1026&amp;"#"&amp;(COUNTIFS($A$5:$A$3004,A1026,$F$5:$F$3004,"?*",$O$5:$O$3004,"&lt;"&amp;O1026)+COUNTIFS($A$5:A1026,A1026,$F$5:F1026,"?*",$O$5:O1026,O1026)))</f>
        <v/>
      </c>
      <c r="O1026" s="54">
        <f>IF(A1026="","",IF(C1026="",0,C1026))</f>
        <v/>
      </c>
    </row>
    <row r="1027">
      <c r="A1027" s="58" t="n"/>
      <c r="B1027" s="49">
        <f>IF(A1027="","",CHOOSE(WEEKDAY(A1027,2),"Пн","Вт","Ср","Чт","Пт","Сб","Вс"))</f>
        <v/>
      </c>
      <c r="C1027" s="59" t="n"/>
      <c r="D1027" s="59" t="n"/>
      <c r="E1027" s="60">
        <f>IF(OR(C1027="",D1027=""),"",MOD(D1027-C1027,1)*24)</f>
        <v/>
      </c>
      <c r="F1027" s="50" t="n"/>
      <c r="G1027" s="51" t="n"/>
      <c r="H1027" s="51" t="n"/>
      <c r="I1027" s="51" t="n"/>
      <c r="J1027" s="51" t="n"/>
      <c r="K1027" s="51" t="n"/>
      <c r="L1027" s="54">
        <f>IF(OR(A1027="",C1027="",D1027=""),"",IF(COUNTIFS($A$5:$A$3004,A1027,$C$5:$C$3004,"&lt;"&amp;D1027,$D$5:$D$3004,"&gt;"&amp;C1027)&gt;1,"⚠️ пересечение",""))</f>
        <v/>
      </c>
      <c r="M1027" s="54">
        <f>IF(F1027="","",IF(J1027="✅ Сделано","✔ ",IF(J1027="❌ Пропущено","✖ ","⏰ "))&amp;IF(C1027="","",RIGHT("0"&amp;HOUR(C1027),2)&amp;":"&amp;RIGHT("0"&amp;MINUTE(C1027),2)&amp;IF(D1027="","","–"&amp;RIGHT("0"&amp;HOUR(D1027),2)&amp;":"&amp;RIGHT("0"&amp;MINUTE(D1027),2))&amp;" ")&amp;F1027)</f>
        <v/>
      </c>
      <c r="N1027" s="54">
        <f>IF(OR(A1027="",F1027=""),"",A1027&amp;"#"&amp;(COUNTIFS($A$5:$A$3004,A1027,$F$5:$F$3004,"?*",$O$5:$O$3004,"&lt;"&amp;O1027)+COUNTIFS($A$5:A1027,A1027,$F$5:F1027,"?*",$O$5:O1027,O1027)))</f>
        <v/>
      </c>
      <c r="O1027" s="54">
        <f>IF(A1027="","",IF(C1027="",0,C1027))</f>
        <v/>
      </c>
    </row>
    <row r="1028">
      <c r="A1028" s="58" t="n"/>
      <c r="B1028" s="49">
        <f>IF(A1028="","",CHOOSE(WEEKDAY(A1028,2),"Пн","Вт","Ср","Чт","Пт","Сб","Вс"))</f>
        <v/>
      </c>
      <c r="C1028" s="59" t="n"/>
      <c r="D1028" s="59" t="n"/>
      <c r="E1028" s="60">
        <f>IF(OR(C1028="",D1028=""),"",MOD(D1028-C1028,1)*24)</f>
        <v/>
      </c>
      <c r="F1028" s="50" t="n"/>
      <c r="G1028" s="51" t="n"/>
      <c r="H1028" s="51" t="n"/>
      <c r="I1028" s="51" t="n"/>
      <c r="J1028" s="51" t="n"/>
      <c r="K1028" s="51" t="n"/>
      <c r="L1028" s="54">
        <f>IF(OR(A1028="",C1028="",D1028=""),"",IF(COUNTIFS($A$5:$A$3004,A1028,$C$5:$C$3004,"&lt;"&amp;D1028,$D$5:$D$3004,"&gt;"&amp;C1028)&gt;1,"⚠️ пересечение",""))</f>
        <v/>
      </c>
      <c r="M1028" s="54">
        <f>IF(F1028="","",IF(J1028="✅ Сделано","✔ ",IF(J1028="❌ Пропущено","✖ ","⏰ "))&amp;IF(C1028="","",RIGHT("0"&amp;HOUR(C1028),2)&amp;":"&amp;RIGHT("0"&amp;MINUTE(C1028),2)&amp;IF(D1028="","","–"&amp;RIGHT("0"&amp;HOUR(D1028),2)&amp;":"&amp;RIGHT("0"&amp;MINUTE(D1028),2))&amp;" ")&amp;F1028)</f>
        <v/>
      </c>
      <c r="N1028" s="54">
        <f>IF(OR(A1028="",F1028=""),"",A1028&amp;"#"&amp;(COUNTIFS($A$5:$A$3004,A1028,$F$5:$F$3004,"?*",$O$5:$O$3004,"&lt;"&amp;O1028)+COUNTIFS($A$5:A1028,A1028,$F$5:F1028,"?*",$O$5:O1028,O1028)))</f>
        <v/>
      </c>
      <c r="O1028" s="54">
        <f>IF(A1028="","",IF(C1028="",0,C1028))</f>
        <v/>
      </c>
    </row>
    <row r="1029">
      <c r="A1029" s="58" t="n"/>
      <c r="B1029" s="49">
        <f>IF(A1029="","",CHOOSE(WEEKDAY(A1029,2),"Пн","Вт","Ср","Чт","Пт","Сб","Вс"))</f>
        <v/>
      </c>
      <c r="C1029" s="59" t="n"/>
      <c r="D1029" s="59" t="n"/>
      <c r="E1029" s="60">
        <f>IF(OR(C1029="",D1029=""),"",MOD(D1029-C1029,1)*24)</f>
        <v/>
      </c>
      <c r="F1029" s="50" t="n"/>
      <c r="G1029" s="51" t="n"/>
      <c r="H1029" s="51" t="n"/>
      <c r="I1029" s="51" t="n"/>
      <c r="J1029" s="51" t="n"/>
      <c r="K1029" s="51" t="n"/>
      <c r="L1029" s="54">
        <f>IF(OR(A1029="",C1029="",D1029=""),"",IF(COUNTIFS($A$5:$A$3004,A1029,$C$5:$C$3004,"&lt;"&amp;D1029,$D$5:$D$3004,"&gt;"&amp;C1029)&gt;1,"⚠️ пересечение",""))</f>
        <v/>
      </c>
      <c r="M1029" s="54">
        <f>IF(F1029="","",IF(J1029="✅ Сделано","✔ ",IF(J1029="❌ Пропущено","✖ ","⏰ "))&amp;IF(C1029="","",RIGHT("0"&amp;HOUR(C1029),2)&amp;":"&amp;RIGHT("0"&amp;MINUTE(C1029),2)&amp;IF(D1029="","","–"&amp;RIGHT("0"&amp;HOUR(D1029),2)&amp;":"&amp;RIGHT("0"&amp;MINUTE(D1029),2))&amp;" ")&amp;F1029)</f>
        <v/>
      </c>
      <c r="N1029" s="54">
        <f>IF(OR(A1029="",F1029=""),"",A1029&amp;"#"&amp;(COUNTIFS($A$5:$A$3004,A1029,$F$5:$F$3004,"?*",$O$5:$O$3004,"&lt;"&amp;O1029)+COUNTIFS($A$5:A1029,A1029,$F$5:F1029,"?*",$O$5:O1029,O1029)))</f>
        <v/>
      </c>
      <c r="O1029" s="54">
        <f>IF(A1029="","",IF(C1029="",0,C1029))</f>
        <v/>
      </c>
    </row>
    <row r="1030">
      <c r="A1030" s="58" t="n"/>
      <c r="B1030" s="49">
        <f>IF(A1030="","",CHOOSE(WEEKDAY(A1030,2),"Пн","Вт","Ср","Чт","Пт","Сб","Вс"))</f>
        <v/>
      </c>
      <c r="C1030" s="59" t="n"/>
      <c r="D1030" s="59" t="n"/>
      <c r="E1030" s="60">
        <f>IF(OR(C1030="",D1030=""),"",MOD(D1030-C1030,1)*24)</f>
        <v/>
      </c>
      <c r="F1030" s="50" t="n"/>
      <c r="G1030" s="51" t="n"/>
      <c r="H1030" s="51" t="n"/>
      <c r="I1030" s="51" t="n"/>
      <c r="J1030" s="51" t="n"/>
      <c r="K1030" s="51" t="n"/>
      <c r="L1030" s="54">
        <f>IF(OR(A1030="",C1030="",D1030=""),"",IF(COUNTIFS($A$5:$A$3004,A1030,$C$5:$C$3004,"&lt;"&amp;D1030,$D$5:$D$3004,"&gt;"&amp;C1030)&gt;1,"⚠️ пересечение",""))</f>
        <v/>
      </c>
      <c r="M1030" s="54">
        <f>IF(F1030="","",IF(J1030="✅ Сделано","✔ ",IF(J1030="❌ Пропущено","✖ ","⏰ "))&amp;IF(C1030="","",RIGHT("0"&amp;HOUR(C1030),2)&amp;":"&amp;RIGHT("0"&amp;MINUTE(C1030),2)&amp;IF(D1030="","","–"&amp;RIGHT("0"&amp;HOUR(D1030),2)&amp;":"&amp;RIGHT("0"&amp;MINUTE(D1030),2))&amp;" ")&amp;F1030)</f>
        <v/>
      </c>
      <c r="N1030" s="54">
        <f>IF(OR(A1030="",F1030=""),"",A1030&amp;"#"&amp;(COUNTIFS($A$5:$A$3004,A1030,$F$5:$F$3004,"?*",$O$5:$O$3004,"&lt;"&amp;O1030)+COUNTIFS($A$5:A1030,A1030,$F$5:F1030,"?*",$O$5:O1030,O1030)))</f>
        <v/>
      </c>
      <c r="O1030" s="54">
        <f>IF(A1030="","",IF(C1030="",0,C1030))</f>
        <v/>
      </c>
    </row>
    <row r="1031">
      <c r="A1031" s="58" t="n"/>
      <c r="B1031" s="49">
        <f>IF(A1031="","",CHOOSE(WEEKDAY(A1031,2),"Пн","Вт","Ср","Чт","Пт","Сб","Вс"))</f>
        <v/>
      </c>
      <c r="C1031" s="59" t="n"/>
      <c r="D1031" s="59" t="n"/>
      <c r="E1031" s="60">
        <f>IF(OR(C1031="",D1031=""),"",MOD(D1031-C1031,1)*24)</f>
        <v/>
      </c>
      <c r="F1031" s="50" t="n"/>
      <c r="G1031" s="51" t="n"/>
      <c r="H1031" s="51" t="n"/>
      <c r="I1031" s="51" t="n"/>
      <c r="J1031" s="51" t="n"/>
      <c r="K1031" s="51" t="n"/>
      <c r="L1031" s="54">
        <f>IF(OR(A1031="",C1031="",D1031=""),"",IF(COUNTIFS($A$5:$A$3004,A1031,$C$5:$C$3004,"&lt;"&amp;D1031,$D$5:$D$3004,"&gt;"&amp;C1031)&gt;1,"⚠️ пересечение",""))</f>
        <v/>
      </c>
      <c r="M1031" s="54">
        <f>IF(F1031="","",IF(J1031="✅ Сделано","✔ ",IF(J1031="❌ Пропущено","✖ ","⏰ "))&amp;IF(C1031="","",RIGHT("0"&amp;HOUR(C1031),2)&amp;":"&amp;RIGHT("0"&amp;MINUTE(C1031),2)&amp;IF(D1031="","","–"&amp;RIGHT("0"&amp;HOUR(D1031),2)&amp;":"&amp;RIGHT("0"&amp;MINUTE(D1031),2))&amp;" ")&amp;F1031)</f>
        <v/>
      </c>
      <c r="N1031" s="54">
        <f>IF(OR(A1031="",F1031=""),"",A1031&amp;"#"&amp;(COUNTIFS($A$5:$A$3004,A1031,$F$5:$F$3004,"?*",$O$5:$O$3004,"&lt;"&amp;O1031)+COUNTIFS($A$5:A1031,A1031,$F$5:F1031,"?*",$O$5:O1031,O1031)))</f>
        <v/>
      </c>
      <c r="O1031" s="54">
        <f>IF(A1031="","",IF(C1031="",0,C1031))</f>
        <v/>
      </c>
    </row>
    <row r="1032">
      <c r="A1032" s="58" t="n"/>
      <c r="B1032" s="49">
        <f>IF(A1032="","",CHOOSE(WEEKDAY(A1032,2),"Пн","Вт","Ср","Чт","Пт","Сб","Вс"))</f>
        <v/>
      </c>
      <c r="C1032" s="59" t="n"/>
      <c r="D1032" s="59" t="n"/>
      <c r="E1032" s="60">
        <f>IF(OR(C1032="",D1032=""),"",MOD(D1032-C1032,1)*24)</f>
        <v/>
      </c>
      <c r="F1032" s="50" t="n"/>
      <c r="G1032" s="51" t="n"/>
      <c r="H1032" s="51" t="n"/>
      <c r="I1032" s="51" t="n"/>
      <c r="J1032" s="51" t="n"/>
      <c r="K1032" s="51" t="n"/>
      <c r="L1032" s="54">
        <f>IF(OR(A1032="",C1032="",D1032=""),"",IF(COUNTIFS($A$5:$A$3004,A1032,$C$5:$C$3004,"&lt;"&amp;D1032,$D$5:$D$3004,"&gt;"&amp;C1032)&gt;1,"⚠️ пересечение",""))</f>
        <v/>
      </c>
      <c r="M1032" s="54">
        <f>IF(F1032="","",IF(J1032="✅ Сделано","✔ ",IF(J1032="❌ Пропущено","✖ ","⏰ "))&amp;IF(C1032="","",RIGHT("0"&amp;HOUR(C1032),2)&amp;":"&amp;RIGHT("0"&amp;MINUTE(C1032),2)&amp;IF(D1032="","","–"&amp;RIGHT("0"&amp;HOUR(D1032),2)&amp;":"&amp;RIGHT("0"&amp;MINUTE(D1032),2))&amp;" ")&amp;F1032)</f>
        <v/>
      </c>
      <c r="N1032" s="54">
        <f>IF(OR(A1032="",F1032=""),"",A1032&amp;"#"&amp;(COUNTIFS($A$5:$A$3004,A1032,$F$5:$F$3004,"?*",$O$5:$O$3004,"&lt;"&amp;O1032)+COUNTIFS($A$5:A1032,A1032,$F$5:F1032,"?*",$O$5:O1032,O1032)))</f>
        <v/>
      </c>
      <c r="O1032" s="54">
        <f>IF(A1032="","",IF(C1032="",0,C1032))</f>
        <v/>
      </c>
    </row>
    <row r="1033">
      <c r="A1033" s="58" t="n"/>
      <c r="B1033" s="49">
        <f>IF(A1033="","",CHOOSE(WEEKDAY(A1033,2),"Пн","Вт","Ср","Чт","Пт","Сб","Вс"))</f>
        <v/>
      </c>
      <c r="C1033" s="59" t="n"/>
      <c r="D1033" s="59" t="n"/>
      <c r="E1033" s="60">
        <f>IF(OR(C1033="",D1033=""),"",MOD(D1033-C1033,1)*24)</f>
        <v/>
      </c>
      <c r="F1033" s="50" t="n"/>
      <c r="G1033" s="51" t="n"/>
      <c r="H1033" s="51" t="n"/>
      <c r="I1033" s="51" t="n"/>
      <c r="J1033" s="51" t="n"/>
      <c r="K1033" s="51" t="n"/>
      <c r="L1033" s="54">
        <f>IF(OR(A1033="",C1033="",D1033=""),"",IF(COUNTIFS($A$5:$A$3004,A1033,$C$5:$C$3004,"&lt;"&amp;D1033,$D$5:$D$3004,"&gt;"&amp;C1033)&gt;1,"⚠️ пересечение",""))</f>
        <v/>
      </c>
      <c r="M1033" s="54">
        <f>IF(F1033="","",IF(J1033="✅ Сделано","✔ ",IF(J1033="❌ Пропущено","✖ ","⏰ "))&amp;IF(C1033="","",RIGHT("0"&amp;HOUR(C1033),2)&amp;":"&amp;RIGHT("0"&amp;MINUTE(C1033),2)&amp;IF(D1033="","","–"&amp;RIGHT("0"&amp;HOUR(D1033),2)&amp;":"&amp;RIGHT("0"&amp;MINUTE(D1033),2))&amp;" ")&amp;F1033)</f>
        <v/>
      </c>
      <c r="N1033" s="54">
        <f>IF(OR(A1033="",F1033=""),"",A1033&amp;"#"&amp;(COUNTIFS($A$5:$A$3004,A1033,$F$5:$F$3004,"?*",$O$5:$O$3004,"&lt;"&amp;O1033)+COUNTIFS($A$5:A1033,A1033,$F$5:F1033,"?*",$O$5:O1033,O1033)))</f>
        <v/>
      </c>
      <c r="O1033" s="54">
        <f>IF(A1033="","",IF(C1033="",0,C1033))</f>
        <v/>
      </c>
    </row>
    <row r="1034">
      <c r="A1034" s="58" t="n"/>
      <c r="B1034" s="49">
        <f>IF(A1034="","",CHOOSE(WEEKDAY(A1034,2),"Пн","Вт","Ср","Чт","Пт","Сб","Вс"))</f>
        <v/>
      </c>
      <c r="C1034" s="59" t="n"/>
      <c r="D1034" s="59" t="n"/>
      <c r="E1034" s="60">
        <f>IF(OR(C1034="",D1034=""),"",MOD(D1034-C1034,1)*24)</f>
        <v/>
      </c>
      <c r="F1034" s="50" t="n"/>
      <c r="G1034" s="51" t="n"/>
      <c r="H1034" s="51" t="n"/>
      <c r="I1034" s="51" t="n"/>
      <c r="J1034" s="51" t="n"/>
      <c r="K1034" s="51" t="n"/>
      <c r="L1034" s="54">
        <f>IF(OR(A1034="",C1034="",D1034=""),"",IF(COUNTIFS($A$5:$A$3004,A1034,$C$5:$C$3004,"&lt;"&amp;D1034,$D$5:$D$3004,"&gt;"&amp;C1034)&gt;1,"⚠️ пересечение",""))</f>
        <v/>
      </c>
      <c r="M1034" s="54">
        <f>IF(F1034="","",IF(J1034="✅ Сделано","✔ ",IF(J1034="❌ Пропущено","✖ ","⏰ "))&amp;IF(C1034="","",RIGHT("0"&amp;HOUR(C1034),2)&amp;":"&amp;RIGHT("0"&amp;MINUTE(C1034),2)&amp;IF(D1034="","","–"&amp;RIGHT("0"&amp;HOUR(D1034),2)&amp;":"&amp;RIGHT("0"&amp;MINUTE(D1034),2))&amp;" ")&amp;F1034)</f>
        <v/>
      </c>
      <c r="N1034" s="54">
        <f>IF(OR(A1034="",F1034=""),"",A1034&amp;"#"&amp;(COUNTIFS($A$5:$A$3004,A1034,$F$5:$F$3004,"?*",$O$5:$O$3004,"&lt;"&amp;O1034)+COUNTIFS($A$5:A1034,A1034,$F$5:F1034,"?*",$O$5:O1034,O1034)))</f>
        <v/>
      </c>
      <c r="O1034" s="54">
        <f>IF(A1034="","",IF(C1034="",0,C1034))</f>
        <v/>
      </c>
    </row>
    <row r="1035">
      <c r="A1035" s="58" t="n"/>
      <c r="B1035" s="49">
        <f>IF(A1035="","",CHOOSE(WEEKDAY(A1035,2),"Пн","Вт","Ср","Чт","Пт","Сб","Вс"))</f>
        <v/>
      </c>
      <c r="C1035" s="59" t="n"/>
      <c r="D1035" s="59" t="n"/>
      <c r="E1035" s="60">
        <f>IF(OR(C1035="",D1035=""),"",MOD(D1035-C1035,1)*24)</f>
        <v/>
      </c>
      <c r="F1035" s="50" t="n"/>
      <c r="G1035" s="51" t="n"/>
      <c r="H1035" s="51" t="n"/>
      <c r="I1035" s="51" t="n"/>
      <c r="J1035" s="51" t="n"/>
      <c r="K1035" s="51" t="n"/>
      <c r="L1035" s="54">
        <f>IF(OR(A1035="",C1035="",D1035=""),"",IF(COUNTIFS($A$5:$A$3004,A1035,$C$5:$C$3004,"&lt;"&amp;D1035,$D$5:$D$3004,"&gt;"&amp;C1035)&gt;1,"⚠️ пересечение",""))</f>
        <v/>
      </c>
      <c r="M1035" s="54">
        <f>IF(F1035="","",IF(J1035="✅ Сделано","✔ ",IF(J1035="❌ Пропущено","✖ ","⏰ "))&amp;IF(C1035="","",RIGHT("0"&amp;HOUR(C1035),2)&amp;":"&amp;RIGHT("0"&amp;MINUTE(C1035),2)&amp;IF(D1035="","","–"&amp;RIGHT("0"&amp;HOUR(D1035),2)&amp;":"&amp;RIGHT("0"&amp;MINUTE(D1035),2))&amp;" ")&amp;F1035)</f>
        <v/>
      </c>
      <c r="N1035" s="54">
        <f>IF(OR(A1035="",F1035=""),"",A1035&amp;"#"&amp;(COUNTIFS($A$5:$A$3004,A1035,$F$5:$F$3004,"?*",$O$5:$O$3004,"&lt;"&amp;O1035)+COUNTIFS($A$5:A1035,A1035,$F$5:F1035,"?*",$O$5:O1035,O1035)))</f>
        <v/>
      </c>
      <c r="O1035" s="54">
        <f>IF(A1035="","",IF(C1035="",0,C1035))</f>
        <v/>
      </c>
    </row>
    <row r="1036">
      <c r="A1036" s="58" t="n"/>
      <c r="B1036" s="49">
        <f>IF(A1036="","",CHOOSE(WEEKDAY(A1036,2),"Пн","Вт","Ср","Чт","Пт","Сб","Вс"))</f>
        <v/>
      </c>
      <c r="C1036" s="59" t="n"/>
      <c r="D1036" s="59" t="n"/>
      <c r="E1036" s="60">
        <f>IF(OR(C1036="",D1036=""),"",MOD(D1036-C1036,1)*24)</f>
        <v/>
      </c>
      <c r="F1036" s="50" t="n"/>
      <c r="G1036" s="51" t="n"/>
      <c r="H1036" s="51" t="n"/>
      <c r="I1036" s="51" t="n"/>
      <c r="J1036" s="51" t="n"/>
      <c r="K1036" s="51" t="n"/>
      <c r="L1036" s="54">
        <f>IF(OR(A1036="",C1036="",D1036=""),"",IF(COUNTIFS($A$5:$A$3004,A1036,$C$5:$C$3004,"&lt;"&amp;D1036,$D$5:$D$3004,"&gt;"&amp;C1036)&gt;1,"⚠️ пересечение",""))</f>
        <v/>
      </c>
      <c r="M1036" s="54">
        <f>IF(F1036="","",IF(J1036="✅ Сделано","✔ ",IF(J1036="❌ Пропущено","✖ ","⏰ "))&amp;IF(C1036="","",RIGHT("0"&amp;HOUR(C1036),2)&amp;":"&amp;RIGHT("0"&amp;MINUTE(C1036),2)&amp;IF(D1036="","","–"&amp;RIGHT("0"&amp;HOUR(D1036),2)&amp;":"&amp;RIGHT("0"&amp;MINUTE(D1036),2))&amp;" ")&amp;F1036)</f>
        <v/>
      </c>
      <c r="N1036" s="54">
        <f>IF(OR(A1036="",F1036=""),"",A1036&amp;"#"&amp;(COUNTIFS($A$5:$A$3004,A1036,$F$5:$F$3004,"?*",$O$5:$O$3004,"&lt;"&amp;O1036)+COUNTIFS($A$5:A1036,A1036,$F$5:F1036,"?*",$O$5:O1036,O1036)))</f>
        <v/>
      </c>
      <c r="O1036" s="54">
        <f>IF(A1036="","",IF(C1036="",0,C1036))</f>
        <v/>
      </c>
    </row>
    <row r="1037">
      <c r="A1037" s="58" t="n"/>
      <c r="B1037" s="49">
        <f>IF(A1037="","",CHOOSE(WEEKDAY(A1037,2),"Пн","Вт","Ср","Чт","Пт","Сб","Вс"))</f>
        <v/>
      </c>
      <c r="C1037" s="59" t="n"/>
      <c r="D1037" s="59" t="n"/>
      <c r="E1037" s="60">
        <f>IF(OR(C1037="",D1037=""),"",MOD(D1037-C1037,1)*24)</f>
        <v/>
      </c>
      <c r="F1037" s="50" t="n"/>
      <c r="G1037" s="51" t="n"/>
      <c r="H1037" s="51" t="n"/>
      <c r="I1037" s="51" t="n"/>
      <c r="J1037" s="51" t="n"/>
      <c r="K1037" s="51" t="n"/>
      <c r="L1037" s="54">
        <f>IF(OR(A1037="",C1037="",D1037=""),"",IF(COUNTIFS($A$5:$A$3004,A1037,$C$5:$C$3004,"&lt;"&amp;D1037,$D$5:$D$3004,"&gt;"&amp;C1037)&gt;1,"⚠️ пересечение",""))</f>
        <v/>
      </c>
      <c r="M1037" s="54">
        <f>IF(F1037="","",IF(J1037="✅ Сделано","✔ ",IF(J1037="❌ Пропущено","✖ ","⏰ "))&amp;IF(C1037="","",RIGHT("0"&amp;HOUR(C1037),2)&amp;":"&amp;RIGHT("0"&amp;MINUTE(C1037),2)&amp;IF(D1037="","","–"&amp;RIGHT("0"&amp;HOUR(D1037),2)&amp;":"&amp;RIGHT("0"&amp;MINUTE(D1037),2))&amp;" ")&amp;F1037)</f>
        <v/>
      </c>
      <c r="N1037" s="54">
        <f>IF(OR(A1037="",F1037=""),"",A1037&amp;"#"&amp;(COUNTIFS($A$5:$A$3004,A1037,$F$5:$F$3004,"?*",$O$5:$O$3004,"&lt;"&amp;O1037)+COUNTIFS($A$5:A1037,A1037,$F$5:F1037,"?*",$O$5:O1037,O1037)))</f>
        <v/>
      </c>
      <c r="O1037" s="54">
        <f>IF(A1037="","",IF(C1037="",0,C1037))</f>
        <v/>
      </c>
    </row>
    <row r="1038">
      <c r="A1038" s="58" t="n"/>
      <c r="B1038" s="49">
        <f>IF(A1038="","",CHOOSE(WEEKDAY(A1038,2),"Пн","Вт","Ср","Чт","Пт","Сб","Вс"))</f>
        <v/>
      </c>
      <c r="C1038" s="59" t="n"/>
      <c r="D1038" s="59" t="n"/>
      <c r="E1038" s="60">
        <f>IF(OR(C1038="",D1038=""),"",MOD(D1038-C1038,1)*24)</f>
        <v/>
      </c>
      <c r="F1038" s="50" t="n"/>
      <c r="G1038" s="51" t="n"/>
      <c r="H1038" s="51" t="n"/>
      <c r="I1038" s="51" t="n"/>
      <c r="J1038" s="51" t="n"/>
      <c r="K1038" s="51" t="n"/>
      <c r="L1038" s="54">
        <f>IF(OR(A1038="",C1038="",D1038=""),"",IF(COUNTIFS($A$5:$A$3004,A1038,$C$5:$C$3004,"&lt;"&amp;D1038,$D$5:$D$3004,"&gt;"&amp;C1038)&gt;1,"⚠️ пересечение",""))</f>
        <v/>
      </c>
      <c r="M1038" s="54">
        <f>IF(F1038="","",IF(J1038="✅ Сделано","✔ ",IF(J1038="❌ Пропущено","✖ ","⏰ "))&amp;IF(C1038="","",RIGHT("0"&amp;HOUR(C1038),2)&amp;":"&amp;RIGHT("0"&amp;MINUTE(C1038),2)&amp;IF(D1038="","","–"&amp;RIGHT("0"&amp;HOUR(D1038),2)&amp;":"&amp;RIGHT("0"&amp;MINUTE(D1038),2))&amp;" ")&amp;F1038)</f>
        <v/>
      </c>
      <c r="N1038" s="54">
        <f>IF(OR(A1038="",F1038=""),"",A1038&amp;"#"&amp;(COUNTIFS($A$5:$A$3004,A1038,$F$5:$F$3004,"?*",$O$5:$O$3004,"&lt;"&amp;O1038)+COUNTIFS($A$5:A1038,A1038,$F$5:F1038,"?*",$O$5:O1038,O1038)))</f>
        <v/>
      </c>
      <c r="O1038" s="54">
        <f>IF(A1038="","",IF(C1038="",0,C1038))</f>
        <v/>
      </c>
    </row>
    <row r="1039">
      <c r="A1039" s="58" t="n"/>
      <c r="B1039" s="49">
        <f>IF(A1039="","",CHOOSE(WEEKDAY(A1039,2),"Пн","Вт","Ср","Чт","Пт","Сб","Вс"))</f>
        <v/>
      </c>
      <c r="C1039" s="59" t="n"/>
      <c r="D1039" s="59" t="n"/>
      <c r="E1039" s="60">
        <f>IF(OR(C1039="",D1039=""),"",MOD(D1039-C1039,1)*24)</f>
        <v/>
      </c>
      <c r="F1039" s="50" t="n"/>
      <c r="G1039" s="51" t="n"/>
      <c r="H1039" s="51" t="n"/>
      <c r="I1039" s="51" t="n"/>
      <c r="J1039" s="51" t="n"/>
      <c r="K1039" s="51" t="n"/>
      <c r="L1039" s="54">
        <f>IF(OR(A1039="",C1039="",D1039=""),"",IF(COUNTIFS($A$5:$A$3004,A1039,$C$5:$C$3004,"&lt;"&amp;D1039,$D$5:$D$3004,"&gt;"&amp;C1039)&gt;1,"⚠️ пересечение",""))</f>
        <v/>
      </c>
      <c r="M1039" s="54">
        <f>IF(F1039="","",IF(J1039="✅ Сделано","✔ ",IF(J1039="❌ Пропущено","✖ ","⏰ "))&amp;IF(C1039="","",RIGHT("0"&amp;HOUR(C1039),2)&amp;":"&amp;RIGHT("0"&amp;MINUTE(C1039),2)&amp;IF(D1039="","","–"&amp;RIGHT("0"&amp;HOUR(D1039),2)&amp;":"&amp;RIGHT("0"&amp;MINUTE(D1039),2))&amp;" ")&amp;F1039)</f>
        <v/>
      </c>
      <c r="N1039" s="54">
        <f>IF(OR(A1039="",F1039=""),"",A1039&amp;"#"&amp;(COUNTIFS($A$5:$A$3004,A1039,$F$5:$F$3004,"?*",$O$5:$O$3004,"&lt;"&amp;O1039)+COUNTIFS($A$5:A1039,A1039,$F$5:F1039,"?*",$O$5:O1039,O1039)))</f>
        <v/>
      </c>
      <c r="O1039" s="54">
        <f>IF(A1039="","",IF(C1039="",0,C1039))</f>
        <v/>
      </c>
    </row>
    <row r="1040">
      <c r="A1040" s="58" t="n"/>
      <c r="B1040" s="49">
        <f>IF(A1040="","",CHOOSE(WEEKDAY(A1040,2),"Пн","Вт","Ср","Чт","Пт","Сб","Вс"))</f>
        <v/>
      </c>
      <c r="C1040" s="59" t="n"/>
      <c r="D1040" s="59" t="n"/>
      <c r="E1040" s="60">
        <f>IF(OR(C1040="",D1040=""),"",MOD(D1040-C1040,1)*24)</f>
        <v/>
      </c>
      <c r="F1040" s="50" t="n"/>
      <c r="G1040" s="51" t="n"/>
      <c r="H1040" s="51" t="n"/>
      <c r="I1040" s="51" t="n"/>
      <c r="J1040" s="51" t="n"/>
      <c r="K1040" s="51" t="n"/>
      <c r="L1040" s="54">
        <f>IF(OR(A1040="",C1040="",D1040=""),"",IF(COUNTIFS($A$5:$A$3004,A1040,$C$5:$C$3004,"&lt;"&amp;D1040,$D$5:$D$3004,"&gt;"&amp;C1040)&gt;1,"⚠️ пересечение",""))</f>
        <v/>
      </c>
      <c r="M1040" s="54">
        <f>IF(F1040="","",IF(J1040="✅ Сделано","✔ ",IF(J1040="❌ Пропущено","✖ ","⏰ "))&amp;IF(C1040="","",RIGHT("0"&amp;HOUR(C1040),2)&amp;":"&amp;RIGHT("0"&amp;MINUTE(C1040),2)&amp;IF(D1040="","","–"&amp;RIGHT("0"&amp;HOUR(D1040),2)&amp;":"&amp;RIGHT("0"&amp;MINUTE(D1040),2))&amp;" ")&amp;F1040)</f>
        <v/>
      </c>
      <c r="N1040" s="54">
        <f>IF(OR(A1040="",F1040=""),"",A1040&amp;"#"&amp;(COUNTIFS($A$5:$A$3004,A1040,$F$5:$F$3004,"?*",$O$5:$O$3004,"&lt;"&amp;O1040)+COUNTIFS($A$5:A1040,A1040,$F$5:F1040,"?*",$O$5:O1040,O1040)))</f>
        <v/>
      </c>
      <c r="O1040" s="54">
        <f>IF(A1040="","",IF(C1040="",0,C1040))</f>
        <v/>
      </c>
    </row>
    <row r="1041">
      <c r="A1041" s="58" t="n"/>
      <c r="B1041" s="49">
        <f>IF(A1041="","",CHOOSE(WEEKDAY(A1041,2),"Пн","Вт","Ср","Чт","Пт","Сб","Вс"))</f>
        <v/>
      </c>
      <c r="C1041" s="59" t="n"/>
      <c r="D1041" s="59" t="n"/>
      <c r="E1041" s="60">
        <f>IF(OR(C1041="",D1041=""),"",MOD(D1041-C1041,1)*24)</f>
        <v/>
      </c>
      <c r="F1041" s="50" t="n"/>
      <c r="G1041" s="51" t="n"/>
      <c r="H1041" s="51" t="n"/>
      <c r="I1041" s="51" t="n"/>
      <c r="J1041" s="51" t="n"/>
      <c r="K1041" s="51" t="n"/>
      <c r="L1041" s="54">
        <f>IF(OR(A1041="",C1041="",D1041=""),"",IF(COUNTIFS($A$5:$A$3004,A1041,$C$5:$C$3004,"&lt;"&amp;D1041,$D$5:$D$3004,"&gt;"&amp;C1041)&gt;1,"⚠️ пересечение",""))</f>
        <v/>
      </c>
      <c r="M1041" s="54">
        <f>IF(F1041="","",IF(J1041="✅ Сделано","✔ ",IF(J1041="❌ Пропущено","✖ ","⏰ "))&amp;IF(C1041="","",RIGHT("0"&amp;HOUR(C1041),2)&amp;":"&amp;RIGHT("0"&amp;MINUTE(C1041),2)&amp;IF(D1041="","","–"&amp;RIGHT("0"&amp;HOUR(D1041),2)&amp;":"&amp;RIGHT("0"&amp;MINUTE(D1041),2))&amp;" ")&amp;F1041)</f>
        <v/>
      </c>
      <c r="N1041" s="54">
        <f>IF(OR(A1041="",F1041=""),"",A1041&amp;"#"&amp;(COUNTIFS($A$5:$A$3004,A1041,$F$5:$F$3004,"?*",$O$5:$O$3004,"&lt;"&amp;O1041)+COUNTIFS($A$5:A1041,A1041,$F$5:F1041,"?*",$O$5:O1041,O1041)))</f>
        <v/>
      </c>
      <c r="O1041" s="54">
        <f>IF(A1041="","",IF(C1041="",0,C1041))</f>
        <v/>
      </c>
    </row>
    <row r="1042">
      <c r="A1042" s="58" t="n"/>
      <c r="B1042" s="49">
        <f>IF(A1042="","",CHOOSE(WEEKDAY(A1042,2),"Пн","Вт","Ср","Чт","Пт","Сб","Вс"))</f>
        <v/>
      </c>
      <c r="C1042" s="59" t="n"/>
      <c r="D1042" s="59" t="n"/>
      <c r="E1042" s="60">
        <f>IF(OR(C1042="",D1042=""),"",MOD(D1042-C1042,1)*24)</f>
        <v/>
      </c>
      <c r="F1042" s="50" t="n"/>
      <c r="G1042" s="51" t="n"/>
      <c r="H1042" s="51" t="n"/>
      <c r="I1042" s="51" t="n"/>
      <c r="J1042" s="51" t="n"/>
      <c r="K1042" s="51" t="n"/>
      <c r="L1042" s="54">
        <f>IF(OR(A1042="",C1042="",D1042=""),"",IF(COUNTIFS($A$5:$A$3004,A1042,$C$5:$C$3004,"&lt;"&amp;D1042,$D$5:$D$3004,"&gt;"&amp;C1042)&gt;1,"⚠️ пересечение",""))</f>
        <v/>
      </c>
      <c r="M1042" s="54">
        <f>IF(F1042="","",IF(J1042="✅ Сделано","✔ ",IF(J1042="❌ Пропущено","✖ ","⏰ "))&amp;IF(C1042="","",RIGHT("0"&amp;HOUR(C1042),2)&amp;":"&amp;RIGHT("0"&amp;MINUTE(C1042),2)&amp;IF(D1042="","","–"&amp;RIGHT("0"&amp;HOUR(D1042),2)&amp;":"&amp;RIGHT("0"&amp;MINUTE(D1042),2))&amp;" ")&amp;F1042)</f>
        <v/>
      </c>
      <c r="N1042" s="54">
        <f>IF(OR(A1042="",F1042=""),"",A1042&amp;"#"&amp;(COUNTIFS($A$5:$A$3004,A1042,$F$5:$F$3004,"?*",$O$5:$O$3004,"&lt;"&amp;O1042)+COUNTIFS($A$5:A1042,A1042,$F$5:F1042,"?*",$O$5:O1042,O1042)))</f>
        <v/>
      </c>
      <c r="O1042" s="54">
        <f>IF(A1042="","",IF(C1042="",0,C1042))</f>
        <v/>
      </c>
    </row>
    <row r="1043">
      <c r="A1043" s="58" t="n"/>
      <c r="B1043" s="49">
        <f>IF(A1043="","",CHOOSE(WEEKDAY(A1043,2),"Пн","Вт","Ср","Чт","Пт","Сб","Вс"))</f>
        <v/>
      </c>
      <c r="C1043" s="59" t="n"/>
      <c r="D1043" s="59" t="n"/>
      <c r="E1043" s="60">
        <f>IF(OR(C1043="",D1043=""),"",MOD(D1043-C1043,1)*24)</f>
        <v/>
      </c>
      <c r="F1043" s="50" t="n"/>
      <c r="G1043" s="51" t="n"/>
      <c r="H1043" s="51" t="n"/>
      <c r="I1043" s="51" t="n"/>
      <c r="J1043" s="51" t="n"/>
      <c r="K1043" s="51" t="n"/>
      <c r="L1043" s="54">
        <f>IF(OR(A1043="",C1043="",D1043=""),"",IF(COUNTIFS($A$5:$A$3004,A1043,$C$5:$C$3004,"&lt;"&amp;D1043,$D$5:$D$3004,"&gt;"&amp;C1043)&gt;1,"⚠️ пересечение",""))</f>
        <v/>
      </c>
      <c r="M1043" s="54">
        <f>IF(F1043="","",IF(J1043="✅ Сделано","✔ ",IF(J1043="❌ Пропущено","✖ ","⏰ "))&amp;IF(C1043="","",RIGHT("0"&amp;HOUR(C1043),2)&amp;":"&amp;RIGHT("0"&amp;MINUTE(C1043),2)&amp;IF(D1043="","","–"&amp;RIGHT("0"&amp;HOUR(D1043),2)&amp;":"&amp;RIGHT("0"&amp;MINUTE(D1043),2))&amp;" ")&amp;F1043)</f>
        <v/>
      </c>
      <c r="N1043" s="54">
        <f>IF(OR(A1043="",F1043=""),"",A1043&amp;"#"&amp;(COUNTIFS($A$5:$A$3004,A1043,$F$5:$F$3004,"?*",$O$5:$O$3004,"&lt;"&amp;O1043)+COUNTIFS($A$5:A1043,A1043,$F$5:F1043,"?*",$O$5:O1043,O1043)))</f>
        <v/>
      </c>
      <c r="O1043" s="54">
        <f>IF(A1043="","",IF(C1043="",0,C1043))</f>
        <v/>
      </c>
    </row>
    <row r="1044">
      <c r="A1044" s="58" t="n"/>
      <c r="B1044" s="49">
        <f>IF(A1044="","",CHOOSE(WEEKDAY(A1044,2),"Пн","Вт","Ср","Чт","Пт","Сб","Вс"))</f>
        <v/>
      </c>
      <c r="C1044" s="59" t="n"/>
      <c r="D1044" s="59" t="n"/>
      <c r="E1044" s="60">
        <f>IF(OR(C1044="",D1044=""),"",MOD(D1044-C1044,1)*24)</f>
        <v/>
      </c>
      <c r="F1044" s="50" t="n"/>
      <c r="G1044" s="51" t="n"/>
      <c r="H1044" s="51" t="n"/>
      <c r="I1044" s="51" t="n"/>
      <c r="J1044" s="51" t="n"/>
      <c r="K1044" s="51" t="n"/>
      <c r="L1044" s="54">
        <f>IF(OR(A1044="",C1044="",D1044=""),"",IF(COUNTIFS($A$5:$A$3004,A1044,$C$5:$C$3004,"&lt;"&amp;D1044,$D$5:$D$3004,"&gt;"&amp;C1044)&gt;1,"⚠️ пересечение",""))</f>
        <v/>
      </c>
      <c r="M1044" s="54">
        <f>IF(F1044="","",IF(J1044="✅ Сделано","✔ ",IF(J1044="❌ Пропущено","✖ ","⏰ "))&amp;IF(C1044="","",RIGHT("0"&amp;HOUR(C1044),2)&amp;":"&amp;RIGHT("0"&amp;MINUTE(C1044),2)&amp;IF(D1044="","","–"&amp;RIGHT("0"&amp;HOUR(D1044),2)&amp;":"&amp;RIGHT("0"&amp;MINUTE(D1044),2))&amp;" ")&amp;F1044)</f>
        <v/>
      </c>
      <c r="N1044" s="54">
        <f>IF(OR(A1044="",F1044=""),"",A1044&amp;"#"&amp;(COUNTIFS($A$5:$A$3004,A1044,$F$5:$F$3004,"?*",$O$5:$O$3004,"&lt;"&amp;O1044)+COUNTIFS($A$5:A1044,A1044,$F$5:F1044,"?*",$O$5:O1044,O1044)))</f>
        <v/>
      </c>
      <c r="O1044" s="54">
        <f>IF(A1044="","",IF(C1044="",0,C1044))</f>
        <v/>
      </c>
    </row>
    <row r="1045">
      <c r="A1045" s="58" t="n"/>
      <c r="B1045" s="49">
        <f>IF(A1045="","",CHOOSE(WEEKDAY(A1045,2),"Пн","Вт","Ср","Чт","Пт","Сб","Вс"))</f>
        <v/>
      </c>
      <c r="C1045" s="59" t="n"/>
      <c r="D1045" s="59" t="n"/>
      <c r="E1045" s="60">
        <f>IF(OR(C1045="",D1045=""),"",MOD(D1045-C1045,1)*24)</f>
        <v/>
      </c>
      <c r="F1045" s="50" t="n"/>
      <c r="G1045" s="51" t="n"/>
      <c r="H1045" s="51" t="n"/>
      <c r="I1045" s="51" t="n"/>
      <c r="J1045" s="51" t="n"/>
      <c r="K1045" s="51" t="n"/>
      <c r="L1045" s="54">
        <f>IF(OR(A1045="",C1045="",D1045=""),"",IF(COUNTIFS($A$5:$A$3004,A1045,$C$5:$C$3004,"&lt;"&amp;D1045,$D$5:$D$3004,"&gt;"&amp;C1045)&gt;1,"⚠️ пересечение",""))</f>
        <v/>
      </c>
      <c r="M1045" s="54">
        <f>IF(F1045="","",IF(J1045="✅ Сделано","✔ ",IF(J1045="❌ Пропущено","✖ ","⏰ "))&amp;IF(C1045="","",RIGHT("0"&amp;HOUR(C1045),2)&amp;":"&amp;RIGHT("0"&amp;MINUTE(C1045),2)&amp;IF(D1045="","","–"&amp;RIGHT("0"&amp;HOUR(D1045),2)&amp;":"&amp;RIGHT("0"&amp;MINUTE(D1045),2))&amp;" ")&amp;F1045)</f>
        <v/>
      </c>
      <c r="N1045" s="54">
        <f>IF(OR(A1045="",F1045=""),"",A1045&amp;"#"&amp;(COUNTIFS($A$5:$A$3004,A1045,$F$5:$F$3004,"?*",$O$5:$O$3004,"&lt;"&amp;O1045)+COUNTIFS($A$5:A1045,A1045,$F$5:F1045,"?*",$O$5:O1045,O1045)))</f>
        <v/>
      </c>
      <c r="O1045" s="54">
        <f>IF(A1045="","",IF(C1045="",0,C1045))</f>
        <v/>
      </c>
    </row>
    <row r="1046">
      <c r="A1046" s="58" t="n"/>
      <c r="B1046" s="49">
        <f>IF(A1046="","",CHOOSE(WEEKDAY(A1046,2),"Пн","Вт","Ср","Чт","Пт","Сб","Вс"))</f>
        <v/>
      </c>
      <c r="C1046" s="59" t="n"/>
      <c r="D1046" s="59" t="n"/>
      <c r="E1046" s="60">
        <f>IF(OR(C1046="",D1046=""),"",MOD(D1046-C1046,1)*24)</f>
        <v/>
      </c>
      <c r="F1046" s="50" t="n"/>
      <c r="G1046" s="51" t="n"/>
      <c r="H1046" s="51" t="n"/>
      <c r="I1046" s="51" t="n"/>
      <c r="J1046" s="51" t="n"/>
      <c r="K1046" s="51" t="n"/>
      <c r="L1046" s="54">
        <f>IF(OR(A1046="",C1046="",D1046=""),"",IF(COUNTIFS($A$5:$A$3004,A1046,$C$5:$C$3004,"&lt;"&amp;D1046,$D$5:$D$3004,"&gt;"&amp;C1046)&gt;1,"⚠️ пересечение",""))</f>
        <v/>
      </c>
      <c r="M1046" s="54">
        <f>IF(F1046="","",IF(J1046="✅ Сделано","✔ ",IF(J1046="❌ Пропущено","✖ ","⏰ "))&amp;IF(C1046="","",RIGHT("0"&amp;HOUR(C1046),2)&amp;":"&amp;RIGHT("0"&amp;MINUTE(C1046),2)&amp;IF(D1046="","","–"&amp;RIGHT("0"&amp;HOUR(D1046),2)&amp;":"&amp;RIGHT("0"&amp;MINUTE(D1046),2))&amp;" ")&amp;F1046)</f>
        <v/>
      </c>
      <c r="N1046" s="54">
        <f>IF(OR(A1046="",F1046=""),"",A1046&amp;"#"&amp;(COUNTIFS($A$5:$A$3004,A1046,$F$5:$F$3004,"?*",$O$5:$O$3004,"&lt;"&amp;O1046)+COUNTIFS($A$5:A1046,A1046,$F$5:F1046,"?*",$O$5:O1046,O1046)))</f>
        <v/>
      </c>
      <c r="O1046" s="54">
        <f>IF(A1046="","",IF(C1046="",0,C1046))</f>
        <v/>
      </c>
    </row>
    <row r="1047">
      <c r="A1047" s="58" t="n"/>
      <c r="B1047" s="49">
        <f>IF(A1047="","",CHOOSE(WEEKDAY(A1047,2),"Пн","Вт","Ср","Чт","Пт","Сб","Вс"))</f>
        <v/>
      </c>
      <c r="C1047" s="59" t="n"/>
      <c r="D1047" s="59" t="n"/>
      <c r="E1047" s="60">
        <f>IF(OR(C1047="",D1047=""),"",MOD(D1047-C1047,1)*24)</f>
        <v/>
      </c>
      <c r="F1047" s="50" t="n"/>
      <c r="G1047" s="51" t="n"/>
      <c r="H1047" s="51" t="n"/>
      <c r="I1047" s="51" t="n"/>
      <c r="J1047" s="51" t="n"/>
      <c r="K1047" s="51" t="n"/>
      <c r="L1047" s="54">
        <f>IF(OR(A1047="",C1047="",D1047=""),"",IF(COUNTIFS($A$5:$A$3004,A1047,$C$5:$C$3004,"&lt;"&amp;D1047,$D$5:$D$3004,"&gt;"&amp;C1047)&gt;1,"⚠️ пересечение",""))</f>
        <v/>
      </c>
      <c r="M1047" s="54">
        <f>IF(F1047="","",IF(J1047="✅ Сделано","✔ ",IF(J1047="❌ Пропущено","✖ ","⏰ "))&amp;IF(C1047="","",RIGHT("0"&amp;HOUR(C1047),2)&amp;":"&amp;RIGHT("0"&amp;MINUTE(C1047),2)&amp;IF(D1047="","","–"&amp;RIGHT("0"&amp;HOUR(D1047),2)&amp;":"&amp;RIGHT("0"&amp;MINUTE(D1047),2))&amp;" ")&amp;F1047)</f>
        <v/>
      </c>
      <c r="N1047" s="54">
        <f>IF(OR(A1047="",F1047=""),"",A1047&amp;"#"&amp;(COUNTIFS($A$5:$A$3004,A1047,$F$5:$F$3004,"?*",$O$5:$O$3004,"&lt;"&amp;O1047)+COUNTIFS($A$5:A1047,A1047,$F$5:F1047,"?*",$O$5:O1047,O1047)))</f>
        <v/>
      </c>
      <c r="O1047" s="54">
        <f>IF(A1047="","",IF(C1047="",0,C1047))</f>
        <v/>
      </c>
    </row>
    <row r="1048">
      <c r="A1048" s="58" t="n"/>
      <c r="B1048" s="49">
        <f>IF(A1048="","",CHOOSE(WEEKDAY(A1048,2),"Пн","Вт","Ср","Чт","Пт","Сб","Вс"))</f>
        <v/>
      </c>
      <c r="C1048" s="59" t="n"/>
      <c r="D1048" s="59" t="n"/>
      <c r="E1048" s="60">
        <f>IF(OR(C1048="",D1048=""),"",MOD(D1048-C1048,1)*24)</f>
        <v/>
      </c>
      <c r="F1048" s="50" t="n"/>
      <c r="G1048" s="51" t="n"/>
      <c r="H1048" s="51" t="n"/>
      <c r="I1048" s="51" t="n"/>
      <c r="J1048" s="51" t="n"/>
      <c r="K1048" s="51" t="n"/>
      <c r="L1048" s="54">
        <f>IF(OR(A1048="",C1048="",D1048=""),"",IF(COUNTIFS($A$5:$A$3004,A1048,$C$5:$C$3004,"&lt;"&amp;D1048,$D$5:$D$3004,"&gt;"&amp;C1048)&gt;1,"⚠️ пересечение",""))</f>
        <v/>
      </c>
      <c r="M1048" s="54">
        <f>IF(F1048="","",IF(J1048="✅ Сделано","✔ ",IF(J1048="❌ Пропущено","✖ ","⏰ "))&amp;IF(C1048="","",RIGHT("0"&amp;HOUR(C1048),2)&amp;":"&amp;RIGHT("0"&amp;MINUTE(C1048),2)&amp;IF(D1048="","","–"&amp;RIGHT("0"&amp;HOUR(D1048),2)&amp;":"&amp;RIGHT("0"&amp;MINUTE(D1048),2))&amp;" ")&amp;F1048)</f>
        <v/>
      </c>
      <c r="N1048" s="54">
        <f>IF(OR(A1048="",F1048=""),"",A1048&amp;"#"&amp;(COUNTIFS($A$5:$A$3004,A1048,$F$5:$F$3004,"?*",$O$5:$O$3004,"&lt;"&amp;O1048)+COUNTIFS($A$5:A1048,A1048,$F$5:F1048,"?*",$O$5:O1048,O1048)))</f>
        <v/>
      </c>
      <c r="O1048" s="54">
        <f>IF(A1048="","",IF(C1048="",0,C1048))</f>
        <v/>
      </c>
    </row>
    <row r="1049">
      <c r="A1049" s="58" t="n"/>
      <c r="B1049" s="49">
        <f>IF(A1049="","",CHOOSE(WEEKDAY(A1049,2),"Пн","Вт","Ср","Чт","Пт","Сб","Вс"))</f>
        <v/>
      </c>
      <c r="C1049" s="59" t="n"/>
      <c r="D1049" s="59" t="n"/>
      <c r="E1049" s="60">
        <f>IF(OR(C1049="",D1049=""),"",MOD(D1049-C1049,1)*24)</f>
        <v/>
      </c>
      <c r="F1049" s="50" t="n"/>
      <c r="G1049" s="51" t="n"/>
      <c r="H1049" s="51" t="n"/>
      <c r="I1049" s="51" t="n"/>
      <c r="J1049" s="51" t="n"/>
      <c r="K1049" s="51" t="n"/>
      <c r="L1049" s="54">
        <f>IF(OR(A1049="",C1049="",D1049=""),"",IF(COUNTIFS($A$5:$A$3004,A1049,$C$5:$C$3004,"&lt;"&amp;D1049,$D$5:$D$3004,"&gt;"&amp;C1049)&gt;1,"⚠️ пересечение",""))</f>
        <v/>
      </c>
      <c r="M1049" s="54">
        <f>IF(F1049="","",IF(J1049="✅ Сделано","✔ ",IF(J1049="❌ Пропущено","✖ ","⏰ "))&amp;IF(C1049="","",RIGHT("0"&amp;HOUR(C1049),2)&amp;":"&amp;RIGHT("0"&amp;MINUTE(C1049),2)&amp;IF(D1049="","","–"&amp;RIGHT("0"&amp;HOUR(D1049),2)&amp;":"&amp;RIGHT("0"&amp;MINUTE(D1049),2))&amp;" ")&amp;F1049)</f>
        <v/>
      </c>
      <c r="N1049" s="54">
        <f>IF(OR(A1049="",F1049=""),"",A1049&amp;"#"&amp;(COUNTIFS($A$5:$A$3004,A1049,$F$5:$F$3004,"?*",$O$5:$O$3004,"&lt;"&amp;O1049)+COUNTIFS($A$5:A1049,A1049,$F$5:F1049,"?*",$O$5:O1049,O1049)))</f>
        <v/>
      </c>
      <c r="O1049" s="54">
        <f>IF(A1049="","",IF(C1049="",0,C1049))</f>
        <v/>
      </c>
    </row>
    <row r="1050">
      <c r="A1050" s="58" t="n"/>
      <c r="B1050" s="49">
        <f>IF(A1050="","",CHOOSE(WEEKDAY(A1050,2),"Пн","Вт","Ср","Чт","Пт","Сб","Вс"))</f>
        <v/>
      </c>
      <c r="C1050" s="59" t="n"/>
      <c r="D1050" s="59" t="n"/>
      <c r="E1050" s="60">
        <f>IF(OR(C1050="",D1050=""),"",MOD(D1050-C1050,1)*24)</f>
        <v/>
      </c>
      <c r="F1050" s="50" t="n"/>
      <c r="G1050" s="51" t="n"/>
      <c r="H1050" s="51" t="n"/>
      <c r="I1050" s="51" t="n"/>
      <c r="J1050" s="51" t="n"/>
      <c r="K1050" s="51" t="n"/>
      <c r="L1050" s="54">
        <f>IF(OR(A1050="",C1050="",D1050=""),"",IF(COUNTIFS($A$5:$A$3004,A1050,$C$5:$C$3004,"&lt;"&amp;D1050,$D$5:$D$3004,"&gt;"&amp;C1050)&gt;1,"⚠️ пересечение",""))</f>
        <v/>
      </c>
      <c r="M1050" s="54">
        <f>IF(F1050="","",IF(J1050="✅ Сделано","✔ ",IF(J1050="❌ Пропущено","✖ ","⏰ "))&amp;IF(C1050="","",RIGHT("0"&amp;HOUR(C1050),2)&amp;":"&amp;RIGHT("0"&amp;MINUTE(C1050),2)&amp;IF(D1050="","","–"&amp;RIGHT("0"&amp;HOUR(D1050),2)&amp;":"&amp;RIGHT("0"&amp;MINUTE(D1050),2))&amp;" ")&amp;F1050)</f>
        <v/>
      </c>
      <c r="N1050" s="54">
        <f>IF(OR(A1050="",F1050=""),"",A1050&amp;"#"&amp;(COUNTIFS($A$5:$A$3004,A1050,$F$5:$F$3004,"?*",$O$5:$O$3004,"&lt;"&amp;O1050)+COUNTIFS($A$5:A1050,A1050,$F$5:F1050,"?*",$O$5:O1050,O1050)))</f>
        <v/>
      </c>
      <c r="O1050" s="54">
        <f>IF(A1050="","",IF(C1050="",0,C1050))</f>
        <v/>
      </c>
    </row>
    <row r="1051">
      <c r="A1051" s="58" t="n"/>
      <c r="B1051" s="49">
        <f>IF(A1051="","",CHOOSE(WEEKDAY(A1051,2),"Пн","Вт","Ср","Чт","Пт","Сб","Вс"))</f>
        <v/>
      </c>
      <c r="C1051" s="59" t="n"/>
      <c r="D1051" s="59" t="n"/>
      <c r="E1051" s="60">
        <f>IF(OR(C1051="",D1051=""),"",MOD(D1051-C1051,1)*24)</f>
        <v/>
      </c>
      <c r="F1051" s="50" t="n"/>
      <c r="G1051" s="51" t="n"/>
      <c r="H1051" s="51" t="n"/>
      <c r="I1051" s="51" t="n"/>
      <c r="J1051" s="51" t="n"/>
      <c r="K1051" s="51" t="n"/>
      <c r="L1051" s="54">
        <f>IF(OR(A1051="",C1051="",D1051=""),"",IF(COUNTIFS($A$5:$A$3004,A1051,$C$5:$C$3004,"&lt;"&amp;D1051,$D$5:$D$3004,"&gt;"&amp;C1051)&gt;1,"⚠️ пересечение",""))</f>
        <v/>
      </c>
      <c r="M1051" s="54">
        <f>IF(F1051="","",IF(J1051="✅ Сделано","✔ ",IF(J1051="❌ Пропущено","✖ ","⏰ "))&amp;IF(C1051="","",RIGHT("0"&amp;HOUR(C1051),2)&amp;":"&amp;RIGHT("0"&amp;MINUTE(C1051),2)&amp;IF(D1051="","","–"&amp;RIGHT("0"&amp;HOUR(D1051),2)&amp;":"&amp;RIGHT("0"&amp;MINUTE(D1051),2))&amp;" ")&amp;F1051)</f>
        <v/>
      </c>
      <c r="N1051" s="54">
        <f>IF(OR(A1051="",F1051=""),"",A1051&amp;"#"&amp;(COUNTIFS($A$5:$A$3004,A1051,$F$5:$F$3004,"?*",$O$5:$O$3004,"&lt;"&amp;O1051)+COUNTIFS($A$5:A1051,A1051,$F$5:F1051,"?*",$O$5:O1051,O1051)))</f>
        <v/>
      </c>
      <c r="O1051" s="54">
        <f>IF(A1051="","",IF(C1051="",0,C1051))</f>
        <v/>
      </c>
    </row>
    <row r="1052">
      <c r="A1052" s="58" t="n"/>
      <c r="B1052" s="49">
        <f>IF(A1052="","",CHOOSE(WEEKDAY(A1052,2),"Пн","Вт","Ср","Чт","Пт","Сб","Вс"))</f>
        <v/>
      </c>
      <c r="C1052" s="59" t="n"/>
      <c r="D1052" s="59" t="n"/>
      <c r="E1052" s="60">
        <f>IF(OR(C1052="",D1052=""),"",MOD(D1052-C1052,1)*24)</f>
        <v/>
      </c>
      <c r="F1052" s="50" t="n"/>
      <c r="G1052" s="51" t="n"/>
      <c r="H1052" s="51" t="n"/>
      <c r="I1052" s="51" t="n"/>
      <c r="J1052" s="51" t="n"/>
      <c r="K1052" s="51" t="n"/>
      <c r="L1052" s="54">
        <f>IF(OR(A1052="",C1052="",D1052=""),"",IF(COUNTIFS($A$5:$A$3004,A1052,$C$5:$C$3004,"&lt;"&amp;D1052,$D$5:$D$3004,"&gt;"&amp;C1052)&gt;1,"⚠️ пересечение",""))</f>
        <v/>
      </c>
      <c r="M1052" s="54">
        <f>IF(F1052="","",IF(J1052="✅ Сделано","✔ ",IF(J1052="❌ Пропущено","✖ ","⏰ "))&amp;IF(C1052="","",RIGHT("0"&amp;HOUR(C1052),2)&amp;":"&amp;RIGHT("0"&amp;MINUTE(C1052),2)&amp;IF(D1052="","","–"&amp;RIGHT("0"&amp;HOUR(D1052),2)&amp;":"&amp;RIGHT("0"&amp;MINUTE(D1052),2))&amp;" ")&amp;F1052)</f>
        <v/>
      </c>
      <c r="N1052" s="54">
        <f>IF(OR(A1052="",F1052=""),"",A1052&amp;"#"&amp;(COUNTIFS($A$5:$A$3004,A1052,$F$5:$F$3004,"?*",$O$5:$O$3004,"&lt;"&amp;O1052)+COUNTIFS($A$5:A1052,A1052,$F$5:F1052,"?*",$O$5:O1052,O1052)))</f>
        <v/>
      </c>
      <c r="O1052" s="54">
        <f>IF(A1052="","",IF(C1052="",0,C1052))</f>
        <v/>
      </c>
    </row>
    <row r="1053">
      <c r="A1053" s="58" t="n"/>
      <c r="B1053" s="49">
        <f>IF(A1053="","",CHOOSE(WEEKDAY(A1053,2),"Пн","Вт","Ср","Чт","Пт","Сб","Вс"))</f>
        <v/>
      </c>
      <c r="C1053" s="59" t="n"/>
      <c r="D1053" s="59" t="n"/>
      <c r="E1053" s="60">
        <f>IF(OR(C1053="",D1053=""),"",MOD(D1053-C1053,1)*24)</f>
        <v/>
      </c>
      <c r="F1053" s="50" t="n"/>
      <c r="G1053" s="51" t="n"/>
      <c r="H1053" s="51" t="n"/>
      <c r="I1053" s="51" t="n"/>
      <c r="J1053" s="51" t="n"/>
      <c r="K1053" s="51" t="n"/>
      <c r="L1053" s="54">
        <f>IF(OR(A1053="",C1053="",D1053=""),"",IF(COUNTIFS($A$5:$A$3004,A1053,$C$5:$C$3004,"&lt;"&amp;D1053,$D$5:$D$3004,"&gt;"&amp;C1053)&gt;1,"⚠️ пересечение",""))</f>
        <v/>
      </c>
      <c r="M1053" s="54">
        <f>IF(F1053="","",IF(J1053="✅ Сделано","✔ ",IF(J1053="❌ Пропущено","✖ ","⏰ "))&amp;IF(C1053="","",RIGHT("0"&amp;HOUR(C1053),2)&amp;":"&amp;RIGHT("0"&amp;MINUTE(C1053),2)&amp;IF(D1053="","","–"&amp;RIGHT("0"&amp;HOUR(D1053),2)&amp;":"&amp;RIGHT("0"&amp;MINUTE(D1053),2))&amp;" ")&amp;F1053)</f>
        <v/>
      </c>
      <c r="N1053" s="54">
        <f>IF(OR(A1053="",F1053=""),"",A1053&amp;"#"&amp;(COUNTIFS($A$5:$A$3004,A1053,$F$5:$F$3004,"?*",$O$5:$O$3004,"&lt;"&amp;O1053)+COUNTIFS($A$5:A1053,A1053,$F$5:F1053,"?*",$O$5:O1053,O1053)))</f>
        <v/>
      </c>
      <c r="O1053" s="54">
        <f>IF(A1053="","",IF(C1053="",0,C1053))</f>
        <v/>
      </c>
    </row>
    <row r="1054">
      <c r="A1054" s="58" t="n"/>
      <c r="B1054" s="49">
        <f>IF(A1054="","",CHOOSE(WEEKDAY(A1054,2),"Пн","Вт","Ср","Чт","Пт","Сб","Вс"))</f>
        <v/>
      </c>
      <c r="C1054" s="59" t="n"/>
      <c r="D1054" s="59" t="n"/>
      <c r="E1054" s="60">
        <f>IF(OR(C1054="",D1054=""),"",MOD(D1054-C1054,1)*24)</f>
        <v/>
      </c>
      <c r="F1054" s="50" t="n"/>
      <c r="G1054" s="51" t="n"/>
      <c r="H1054" s="51" t="n"/>
      <c r="I1054" s="51" t="n"/>
      <c r="J1054" s="51" t="n"/>
      <c r="K1054" s="51" t="n"/>
      <c r="L1054" s="54">
        <f>IF(OR(A1054="",C1054="",D1054=""),"",IF(COUNTIFS($A$5:$A$3004,A1054,$C$5:$C$3004,"&lt;"&amp;D1054,$D$5:$D$3004,"&gt;"&amp;C1054)&gt;1,"⚠️ пересечение",""))</f>
        <v/>
      </c>
      <c r="M1054" s="54">
        <f>IF(F1054="","",IF(J1054="✅ Сделано","✔ ",IF(J1054="❌ Пропущено","✖ ","⏰ "))&amp;IF(C1054="","",RIGHT("0"&amp;HOUR(C1054),2)&amp;":"&amp;RIGHT("0"&amp;MINUTE(C1054),2)&amp;IF(D1054="","","–"&amp;RIGHT("0"&amp;HOUR(D1054),2)&amp;":"&amp;RIGHT("0"&amp;MINUTE(D1054),2))&amp;" ")&amp;F1054)</f>
        <v/>
      </c>
      <c r="N1054" s="54">
        <f>IF(OR(A1054="",F1054=""),"",A1054&amp;"#"&amp;(COUNTIFS($A$5:$A$3004,A1054,$F$5:$F$3004,"?*",$O$5:$O$3004,"&lt;"&amp;O1054)+COUNTIFS($A$5:A1054,A1054,$F$5:F1054,"?*",$O$5:O1054,O1054)))</f>
        <v/>
      </c>
      <c r="O1054" s="54">
        <f>IF(A1054="","",IF(C1054="",0,C1054))</f>
        <v/>
      </c>
    </row>
    <row r="1055">
      <c r="A1055" s="58" t="n"/>
      <c r="B1055" s="49">
        <f>IF(A1055="","",CHOOSE(WEEKDAY(A1055,2),"Пн","Вт","Ср","Чт","Пт","Сб","Вс"))</f>
        <v/>
      </c>
      <c r="C1055" s="59" t="n"/>
      <c r="D1055" s="59" t="n"/>
      <c r="E1055" s="60">
        <f>IF(OR(C1055="",D1055=""),"",MOD(D1055-C1055,1)*24)</f>
        <v/>
      </c>
      <c r="F1055" s="50" t="n"/>
      <c r="G1055" s="51" t="n"/>
      <c r="H1055" s="51" t="n"/>
      <c r="I1055" s="51" t="n"/>
      <c r="J1055" s="51" t="n"/>
      <c r="K1055" s="51" t="n"/>
      <c r="L1055" s="54">
        <f>IF(OR(A1055="",C1055="",D1055=""),"",IF(COUNTIFS($A$5:$A$3004,A1055,$C$5:$C$3004,"&lt;"&amp;D1055,$D$5:$D$3004,"&gt;"&amp;C1055)&gt;1,"⚠️ пересечение",""))</f>
        <v/>
      </c>
      <c r="M1055" s="54">
        <f>IF(F1055="","",IF(J1055="✅ Сделано","✔ ",IF(J1055="❌ Пропущено","✖ ","⏰ "))&amp;IF(C1055="","",RIGHT("0"&amp;HOUR(C1055),2)&amp;":"&amp;RIGHT("0"&amp;MINUTE(C1055),2)&amp;IF(D1055="","","–"&amp;RIGHT("0"&amp;HOUR(D1055),2)&amp;":"&amp;RIGHT("0"&amp;MINUTE(D1055),2))&amp;" ")&amp;F1055)</f>
        <v/>
      </c>
      <c r="N1055" s="54">
        <f>IF(OR(A1055="",F1055=""),"",A1055&amp;"#"&amp;(COUNTIFS($A$5:$A$3004,A1055,$F$5:$F$3004,"?*",$O$5:$O$3004,"&lt;"&amp;O1055)+COUNTIFS($A$5:A1055,A1055,$F$5:F1055,"?*",$O$5:O1055,O1055)))</f>
        <v/>
      </c>
      <c r="O1055" s="54">
        <f>IF(A1055="","",IF(C1055="",0,C1055))</f>
        <v/>
      </c>
    </row>
    <row r="1056">
      <c r="A1056" s="58" t="n"/>
      <c r="B1056" s="49">
        <f>IF(A1056="","",CHOOSE(WEEKDAY(A1056,2),"Пн","Вт","Ср","Чт","Пт","Сб","Вс"))</f>
        <v/>
      </c>
      <c r="C1056" s="59" t="n"/>
      <c r="D1056" s="59" t="n"/>
      <c r="E1056" s="60">
        <f>IF(OR(C1056="",D1056=""),"",MOD(D1056-C1056,1)*24)</f>
        <v/>
      </c>
      <c r="F1056" s="50" t="n"/>
      <c r="G1056" s="51" t="n"/>
      <c r="H1056" s="51" t="n"/>
      <c r="I1056" s="51" t="n"/>
      <c r="J1056" s="51" t="n"/>
      <c r="K1056" s="51" t="n"/>
      <c r="L1056" s="54">
        <f>IF(OR(A1056="",C1056="",D1056=""),"",IF(COUNTIFS($A$5:$A$3004,A1056,$C$5:$C$3004,"&lt;"&amp;D1056,$D$5:$D$3004,"&gt;"&amp;C1056)&gt;1,"⚠️ пересечение",""))</f>
        <v/>
      </c>
      <c r="M1056" s="54">
        <f>IF(F1056="","",IF(J1056="✅ Сделано","✔ ",IF(J1056="❌ Пропущено","✖ ","⏰ "))&amp;IF(C1056="","",RIGHT("0"&amp;HOUR(C1056),2)&amp;":"&amp;RIGHT("0"&amp;MINUTE(C1056),2)&amp;IF(D1056="","","–"&amp;RIGHT("0"&amp;HOUR(D1056),2)&amp;":"&amp;RIGHT("0"&amp;MINUTE(D1056),2))&amp;" ")&amp;F1056)</f>
        <v/>
      </c>
      <c r="N1056" s="54">
        <f>IF(OR(A1056="",F1056=""),"",A1056&amp;"#"&amp;(COUNTIFS($A$5:$A$3004,A1056,$F$5:$F$3004,"?*",$O$5:$O$3004,"&lt;"&amp;O1056)+COUNTIFS($A$5:A1056,A1056,$F$5:F1056,"?*",$O$5:O1056,O1056)))</f>
        <v/>
      </c>
      <c r="O1056" s="54">
        <f>IF(A1056="","",IF(C1056="",0,C1056))</f>
        <v/>
      </c>
    </row>
    <row r="1057">
      <c r="A1057" s="58" t="n"/>
      <c r="B1057" s="49">
        <f>IF(A1057="","",CHOOSE(WEEKDAY(A1057,2),"Пн","Вт","Ср","Чт","Пт","Сб","Вс"))</f>
        <v/>
      </c>
      <c r="C1057" s="59" t="n"/>
      <c r="D1057" s="59" t="n"/>
      <c r="E1057" s="60">
        <f>IF(OR(C1057="",D1057=""),"",MOD(D1057-C1057,1)*24)</f>
        <v/>
      </c>
      <c r="F1057" s="50" t="n"/>
      <c r="G1057" s="51" t="n"/>
      <c r="H1057" s="51" t="n"/>
      <c r="I1057" s="51" t="n"/>
      <c r="J1057" s="51" t="n"/>
      <c r="K1057" s="51" t="n"/>
      <c r="L1057" s="54">
        <f>IF(OR(A1057="",C1057="",D1057=""),"",IF(COUNTIFS($A$5:$A$3004,A1057,$C$5:$C$3004,"&lt;"&amp;D1057,$D$5:$D$3004,"&gt;"&amp;C1057)&gt;1,"⚠️ пересечение",""))</f>
        <v/>
      </c>
      <c r="M1057" s="54">
        <f>IF(F1057="","",IF(J1057="✅ Сделано","✔ ",IF(J1057="❌ Пропущено","✖ ","⏰ "))&amp;IF(C1057="","",RIGHT("0"&amp;HOUR(C1057),2)&amp;":"&amp;RIGHT("0"&amp;MINUTE(C1057),2)&amp;IF(D1057="","","–"&amp;RIGHT("0"&amp;HOUR(D1057),2)&amp;":"&amp;RIGHT("0"&amp;MINUTE(D1057),2))&amp;" ")&amp;F1057)</f>
        <v/>
      </c>
      <c r="N1057" s="54">
        <f>IF(OR(A1057="",F1057=""),"",A1057&amp;"#"&amp;(COUNTIFS($A$5:$A$3004,A1057,$F$5:$F$3004,"?*",$O$5:$O$3004,"&lt;"&amp;O1057)+COUNTIFS($A$5:A1057,A1057,$F$5:F1057,"?*",$O$5:O1057,O1057)))</f>
        <v/>
      </c>
      <c r="O1057" s="54">
        <f>IF(A1057="","",IF(C1057="",0,C1057))</f>
        <v/>
      </c>
    </row>
    <row r="1058">
      <c r="A1058" s="58" t="n"/>
      <c r="B1058" s="49">
        <f>IF(A1058="","",CHOOSE(WEEKDAY(A1058,2),"Пн","Вт","Ср","Чт","Пт","Сб","Вс"))</f>
        <v/>
      </c>
      <c r="C1058" s="59" t="n"/>
      <c r="D1058" s="59" t="n"/>
      <c r="E1058" s="60">
        <f>IF(OR(C1058="",D1058=""),"",MOD(D1058-C1058,1)*24)</f>
        <v/>
      </c>
      <c r="F1058" s="50" t="n"/>
      <c r="G1058" s="51" t="n"/>
      <c r="H1058" s="51" t="n"/>
      <c r="I1058" s="51" t="n"/>
      <c r="J1058" s="51" t="n"/>
      <c r="K1058" s="51" t="n"/>
      <c r="L1058" s="54">
        <f>IF(OR(A1058="",C1058="",D1058=""),"",IF(COUNTIFS($A$5:$A$3004,A1058,$C$5:$C$3004,"&lt;"&amp;D1058,$D$5:$D$3004,"&gt;"&amp;C1058)&gt;1,"⚠️ пересечение",""))</f>
        <v/>
      </c>
      <c r="M1058" s="54">
        <f>IF(F1058="","",IF(J1058="✅ Сделано","✔ ",IF(J1058="❌ Пропущено","✖ ","⏰ "))&amp;IF(C1058="","",RIGHT("0"&amp;HOUR(C1058),2)&amp;":"&amp;RIGHT("0"&amp;MINUTE(C1058),2)&amp;IF(D1058="","","–"&amp;RIGHT("0"&amp;HOUR(D1058),2)&amp;":"&amp;RIGHT("0"&amp;MINUTE(D1058),2))&amp;" ")&amp;F1058)</f>
        <v/>
      </c>
      <c r="N1058" s="54">
        <f>IF(OR(A1058="",F1058=""),"",A1058&amp;"#"&amp;(COUNTIFS($A$5:$A$3004,A1058,$F$5:$F$3004,"?*",$O$5:$O$3004,"&lt;"&amp;O1058)+COUNTIFS($A$5:A1058,A1058,$F$5:F1058,"?*",$O$5:O1058,O1058)))</f>
        <v/>
      </c>
      <c r="O1058" s="54">
        <f>IF(A1058="","",IF(C1058="",0,C1058))</f>
        <v/>
      </c>
    </row>
    <row r="1059">
      <c r="A1059" s="58" t="n"/>
      <c r="B1059" s="49">
        <f>IF(A1059="","",CHOOSE(WEEKDAY(A1059,2),"Пн","Вт","Ср","Чт","Пт","Сб","Вс"))</f>
        <v/>
      </c>
      <c r="C1059" s="59" t="n"/>
      <c r="D1059" s="59" t="n"/>
      <c r="E1059" s="60">
        <f>IF(OR(C1059="",D1059=""),"",MOD(D1059-C1059,1)*24)</f>
        <v/>
      </c>
      <c r="F1059" s="50" t="n"/>
      <c r="G1059" s="51" t="n"/>
      <c r="H1059" s="51" t="n"/>
      <c r="I1059" s="51" t="n"/>
      <c r="J1059" s="51" t="n"/>
      <c r="K1059" s="51" t="n"/>
      <c r="L1059" s="54">
        <f>IF(OR(A1059="",C1059="",D1059=""),"",IF(COUNTIFS($A$5:$A$3004,A1059,$C$5:$C$3004,"&lt;"&amp;D1059,$D$5:$D$3004,"&gt;"&amp;C1059)&gt;1,"⚠️ пересечение",""))</f>
        <v/>
      </c>
      <c r="M1059" s="54">
        <f>IF(F1059="","",IF(J1059="✅ Сделано","✔ ",IF(J1059="❌ Пропущено","✖ ","⏰ "))&amp;IF(C1059="","",RIGHT("0"&amp;HOUR(C1059),2)&amp;":"&amp;RIGHT("0"&amp;MINUTE(C1059),2)&amp;IF(D1059="","","–"&amp;RIGHT("0"&amp;HOUR(D1059),2)&amp;":"&amp;RIGHT("0"&amp;MINUTE(D1059),2))&amp;" ")&amp;F1059)</f>
        <v/>
      </c>
      <c r="N1059" s="54">
        <f>IF(OR(A1059="",F1059=""),"",A1059&amp;"#"&amp;(COUNTIFS($A$5:$A$3004,A1059,$F$5:$F$3004,"?*",$O$5:$O$3004,"&lt;"&amp;O1059)+COUNTIFS($A$5:A1059,A1059,$F$5:F1059,"?*",$O$5:O1059,O1059)))</f>
        <v/>
      </c>
      <c r="O1059" s="54">
        <f>IF(A1059="","",IF(C1059="",0,C1059))</f>
        <v/>
      </c>
    </row>
    <row r="1060">
      <c r="A1060" s="58" t="n"/>
      <c r="B1060" s="49">
        <f>IF(A1060="","",CHOOSE(WEEKDAY(A1060,2),"Пн","Вт","Ср","Чт","Пт","Сб","Вс"))</f>
        <v/>
      </c>
      <c r="C1060" s="59" t="n"/>
      <c r="D1060" s="59" t="n"/>
      <c r="E1060" s="60">
        <f>IF(OR(C1060="",D1060=""),"",MOD(D1060-C1060,1)*24)</f>
        <v/>
      </c>
      <c r="F1060" s="50" t="n"/>
      <c r="G1060" s="51" t="n"/>
      <c r="H1060" s="51" t="n"/>
      <c r="I1060" s="51" t="n"/>
      <c r="J1060" s="51" t="n"/>
      <c r="K1060" s="51" t="n"/>
      <c r="L1060" s="54">
        <f>IF(OR(A1060="",C1060="",D1060=""),"",IF(COUNTIFS($A$5:$A$3004,A1060,$C$5:$C$3004,"&lt;"&amp;D1060,$D$5:$D$3004,"&gt;"&amp;C1060)&gt;1,"⚠️ пересечение",""))</f>
        <v/>
      </c>
      <c r="M1060" s="54">
        <f>IF(F1060="","",IF(J1060="✅ Сделано","✔ ",IF(J1060="❌ Пропущено","✖ ","⏰ "))&amp;IF(C1060="","",RIGHT("0"&amp;HOUR(C1060),2)&amp;":"&amp;RIGHT("0"&amp;MINUTE(C1060),2)&amp;IF(D1060="","","–"&amp;RIGHT("0"&amp;HOUR(D1060),2)&amp;":"&amp;RIGHT("0"&amp;MINUTE(D1060),2))&amp;" ")&amp;F1060)</f>
        <v/>
      </c>
      <c r="N1060" s="54">
        <f>IF(OR(A1060="",F1060=""),"",A1060&amp;"#"&amp;(COUNTIFS($A$5:$A$3004,A1060,$F$5:$F$3004,"?*",$O$5:$O$3004,"&lt;"&amp;O1060)+COUNTIFS($A$5:A1060,A1060,$F$5:F1060,"?*",$O$5:O1060,O1060)))</f>
        <v/>
      </c>
      <c r="O1060" s="54">
        <f>IF(A1060="","",IF(C1060="",0,C1060))</f>
        <v/>
      </c>
    </row>
    <row r="1061">
      <c r="A1061" s="58" t="n"/>
      <c r="B1061" s="49">
        <f>IF(A1061="","",CHOOSE(WEEKDAY(A1061,2),"Пн","Вт","Ср","Чт","Пт","Сб","Вс"))</f>
        <v/>
      </c>
      <c r="C1061" s="59" t="n"/>
      <c r="D1061" s="59" t="n"/>
      <c r="E1061" s="60">
        <f>IF(OR(C1061="",D1061=""),"",MOD(D1061-C1061,1)*24)</f>
        <v/>
      </c>
      <c r="F1061" s="50" t="n"/>
      <c r="G1061" s="51" t="n"/>
      <c r="H1061" s="51" t="n"/>
      <c r="I1061" s="51" t="n"/>
      <c r="J1061" s="51" t="n"/>
      <c r="K1061" s="51" t="n"/>
      <c r="L1061" s="54">
        <f>IF(OR(A1061="",C1061="",D1061=""),"",IF(COUNTIFS($A$5:$A$3004,A1061,$C$5:$C$3004,"&lt;"&amp;D1061,$D$5:$D$3004,"&gt;"&amp;C1061)&gt;1,"⚠️ пересечение",""))</f>
        <v/>
      </c>
      <c r="M1061" s="54">
        <f>IF(F1061="","",IF(J1061="✅ Сделано","✔ ",IF(J1061="❌ Пропущено","✖ ","⏰ "))&amp;IF(C1061="","",RIGHT("0"&amp;HOUR(C1061),2)&amp;":"&amp;RIGHT("0"&amp;MINUTE(C1061),2)&amp;IF(D1061="","","–"&amp;RIGHT("0"&amp;HOUR(D1061),2)&amp;":"&amp;RIGHT("0"&amp;MINUTE(D1061),2))&amp;" ")&amp;F1061)</f>
        <v/>
      </c>
      <c r="N1061" s="54">
        <f>IF(OR(A1061="",F1061=""),"",A1061&amp;"#"&amp;(COUNTIFS($A$5:$A$3004,A1061,$F$5:$F$3004,"?*",$O$5:$O$3004,"&lt;"&amp;O1061)+COUNTIFS($A$5:A1061,A1061,$F$5:F1061,"?*",$O$5:O1061,O1061)))</f>
        <v/>
      </c>
      <c r="O1061" s="54">
        <f>IF(A1061="","",IF(C1061="",0,C1061))</f>
        <v/>
      </c>
    </row>
    <row r="1062">
      <c r="A1062" s="58" t="n"/>
      <c r="B1062" s="49">
        <f>IF(A1062="","",CHOOSE(WEEKDAY(A1062,2),"Пн","Вт","Ср","Чт","Пт","Сб","Вс"))</f>
        <v/>
      </c>
      <c r="C1062" s="59" t="n"/>
      <c r="D1062" s="59" t="n"/>
      <c r="E1062" s="60">
        <f>IF(OR(C1062="",D1062=""),"",MOD(D1062-C1062,1)*24)</f>
        <v/>
      </c>
      <c r="F1062" s="50" t="n"/>
      <c r="G1062" s="51" t="n"/>
      <c r="H1062" s="51" t="n"/>
      <c r="I1062" s="51" t="n"/>
      <c r="J1062" s="51" t="n"/>
      <c r="K1062" s="51" t="n"/>
      <c r="L1062" s="54">
        <f>IF(OR(A1062="",C1062="",D1062=""),"",IF(COUNTIFS($A$5:$A$3004,A1062,$C$5:$C$3004,"&lt;"&amp;D1062,$D$5:$D$3004,"&gt;"&amp;C1062)&gt;1,"⚠️ пересечение",""))</f>
        <v/>
      </c>
      <c r="M1062" s="54">
        <f>IF(F1062="","",IF(J1062="✅ Сделано","✔ ",IF(J1062="❌ Пропущено","✖ ","⏰ "))&amp;IF(C1062="","",RIGHT("0"&amp;HOUR(C1062),2)&amp;":"&amp;RIGHT("0"&amp;MINUTE(C1062),2)&amp;IF(D1062="","","–"&amp;RIGHT("0"&amp;HOUR(D1062),2)&amp;":"&amp;RIGHT("0"&amp;MINUTE(D1062),2))&amp;" ")&amp;F1062)</f>
        <v/>
      </c>
      <c r="N1062" s="54">
        <f>IF(OR(A1062="",F1062=""),"",A1062&amp;"#"&amp;(COUNTIFS($A$5:$A$3004,A1062,$F$5:$F$3004,"?*",$O$5:$O$3004,"&lt;"&amp;O1062)+COUNTIFS($A$5:A1062,A1062,$F$5:F1062,"?*",$O$5:O1062,O1062)))</f>
        <v/>
      </c>
      <c r="O1062" s="54">
        <f>IF(A1062="","",IF(C1062="",0,C1062))</f>
        <v/>
      </c>
    </row>
    <row r="1063">
      <c r="A1063" s="58" t="n"/>
      <c r="B1063" s="49">
        <f>IF(A1063="","",CHOOSE(WEEKDAY(A1063,2),"Пн","Вт","Ср","Чт","Пт","Сб","Вс"))</f>
        <v/>
      </c>
      <c r="C1063" s="59" t="n"/>
      <c r="D1063" s="59" t="n"/>
      <c r="E1063" s="60">
        <f>IF(OR(C1063="",D1063=""),"",MOD(D1063-C1063,1)*24)</f>
        <v/>
      </c>
      <c r="F1063" s="50" t="n"/>
      <c r="G1063" s="51" t="n"/>
      <c r="H1063" s="51" t="n"/>
      <c r="I1063" s="51" t="n"/>
      <c r="J1063" s="51" t="n"/>
      <c r="K1063" s="51" t="n"/>
      <c r="L1063" s="54">
        <f>IF(OR(A1063="",C1063="",D1063=""),"",IF(COUNTIFS($A$5:$A$3004,A1063,$C$5:$C$3004,"&lt;"&amp;D1063,$D$5:$D$3004,"&gt;"&amp;C1063)&gt;1,"⚠️ пересечение",""))</f>
        <v/>
      </c>
      <c r="M1063" s="54">
        <f>IF(F1063="","",IF(J1063="✅ Сделано","✔ ",IF(J1063="❌ Пропущено","✖ ","⏰ "))&amp;IF(C1063="","",RIGHT("0"&amp;HOUR(C1063),2)&amp;":"&amp;RIGHT("0"&amp;MINUTE(C1063),2)&amp;IF(D1063="","","–"&amp;RIGHT("0"&amp;HOUR(D1063),2)&amp;":"&amp;RIGHT("0"&amp;MINUTE(D1063),2))&amp;" ")&amp;F1063)</f>
        <v/>
      </c>
      <c r="N1063" s="54">
        <f>IF(OR(A1063="",F1063=""),"",A1063&amp;"#"&amp;(COUNTIFS($A$5:$A$3004,A1063,$F$5:$F$3004,"?*",$O$5:$O$3004,"&lt;"&amp;O1063)+COUNTIFS($A$5:A1063,A1063,$F$5:F1063,"?*",$O$5:O1063,O1063)))</f>
        <v/>
      </c>
      <c r="O1063" s="54">
        <f>IF(A1063="","",IF(C1063="",0,C1063))</f>
        <v/>
      </c>
    </row>
    <row r="1064">
      <c r="A1064" s="58" t="n"/>
      <c r="B1064" s="49">
        <f>IF(A1064="","",CHOOSE(WEEKDAY(A1064,2),"Пн","Вт","Ср","Чт","Пт","Сб","Вс"))</f>
        <v/>
      </c>
      <c r="C1064" s="59" t="n"/>
      <c r="D1064" s="59" t="n"/>
      <c r="E1064" s="60">
        <f>IF(OR(C1064="",D1064=""),"",MOD(D1064-C1064,1)*24)</f>
        <v/>
      </c>
      <c r="F1064" s="50" t="n"/>
      <c r="G1064" s="51" t="n"/>
      <c r="H1064" s="51" t="n"/>
      <c r="I1064" s="51" t="n"/>
      <c r="J1064" s="51" t="n"/>
      <c r="K1064" s="51" t="n"/>
      <c r="L1064" s="54">
        <f>IF(OR(A1064="",C1064="",D1064=""),"",IF(COUNTIFS($A$5:$A$3004,A1064,$C$5:$C$3004,"&lt;"&amp;D1064,$D$5:$D$3004,"&gt;"&amp;C1064)&gt;1,"⚠️ пересечение",""))</f>
        <v/>
      </c>
      <c r="M1064" s="54">
        <f>IF(F1064="","",IF(J1064="✅ Сделано","✔ ",IF(J1064="❌ Пропущено","✖ ","⏰ "))&amp;IF(C1064="","",RIGHT("0"&amp;HOUR(C1064),2)&amp;":"&amp;RIGHT("0"&amp;MINUTE(C1064),2)&amp;IF(D1064="","","–"&amp;RIGHT("0"&amp;HOUR(D1064),2)&amp;":"&amp;RIGHT("0"&amp;MINUTE(D1064),2))&amp;" ")&amp;F1064)</f>
        <v/>
      </c>
      <c r="N1064" s="54">
        <f>IF(OR(A1064="",F1064=""),"",A1064&amp;"#"&amp;(COUNTIFS($A$5:$A$3004,A1064,$F$5:$F$3004,"?*",$O$5:$O$3004,"&lt;"&amp;O1064)+COUNTIFS($A$5:A1064,A1064,$F$5:F1064,"?*",$O$5:O1064,O1064)))</f>
        <v/>
      </c>
      <c r="O1064" s="54">
        <f>IF(A1064="","",IF(C1064="",0,C1064))</f>
        <v/>
      </c>
    </row>
    <row r="1065">
      <c r="A1065" s="58" t="n"/>
      <c r="B1065" s="49">
        <f>IF(A1065="","",CHOOSE(WEEKDAY(A1065,2),"Пн","Вт","Ср","Чт","Пт","Сб","Вс"))</f>
        <v/>
      </c>
      <c r="C1065" s="59" t="n"/>
      <c r="D1065" s="59" t="n"/>
      <c r="E1065" s="60">
        <f>IF(OR(C1065="",D1065=""),"",MOD(D1065-C1065,1)*24)</f>
        <v/>
      </c>
      <c r="F1065" s="50" t="n"/>
      <c r="G1065" s="51" t="n"/>
      <c r="H1065" s="51" t="n"/>
      <c r="I1065" s="51" t="n"/>
      <c r="J1065" s="51" t="n"/>
      <c r="K1065" s="51" t="n"/>
      <c r="L1065" s="54">
        <f>IF(OR(A1065="",C1065="",D1065=""),"",IF(COUNTIFS($A$5:$A$3004,A1065,$C$5:$C$3004,"&lt;"&amp;D1065,$D$5:$D$3004,"&gt;"&amp;C1065)&gt;1,"⚠️ пересечение",""))</f>
        <v/>
      </c>
      <c r="M1065" s="54">
        <f>IF(F1065="","",IF(J1065="✅ Сделано","✔ ",IF(J1065="❌ Пропущено","✖ ","⏰ "))&amp;IF(C1065="","",RIGHT("0"&amp;HOUR(C1065),2)&amp;":"&amp;RIGHT("0"&amp;MINUTE(C1065),2)&amp;IF(D1065="","","–"&amp;RIGHT("0"&amp;HOUR(D1065),2)&amp;":"&amp;RIGHT("0"&amp;MINUTE(D1065),2))&amp;" ")&amp;F1065)</f>
        <v/>
      </c>
      <c r="N1065" s="54">
        <f>IF(OR(A1065="",F1065=""),"",A1065&amp;"#"&amp;(COUNTIFS($A$5:$A$3004,A1065,$F$5:$F$3004,"?*",$O$5:$O$3004,"&lt;"&amp;O1065)+COUNTIFS($A$5:A1065,A1065,$F$5:F1065,"?*",$O$5:O1065,O1065)))</f>
        <v/>
      </c>
      <c r="O1065" s="54">
        <f>IF(A1065="","",IF(C1065="",0,C1065))</f>
        <v/>
      </c>
    </row>
    <row r="1066">
      <c r="A1066" s="58" t="n"/>
      <c r="B1066" s="49">
        <f>IF(A1066="","",CHOOSE(WEEKDAY(A1066,2),"Пн","Вт","Ср","Чт","Пт","Сб","Вс"))</f>
        <v/>
      </c>
      <c r="C1066" s="59" t="n"/>
      <c r="D1066" s="59" t="n"/>
      <c r="E1066" s="60">
        <f>IF(OR(C1066="",D1066=""),"",MOD(D1066-C1066,1)*24)</f>
        <v/>
      </c>
      <c r="F1066" s="50" t="n"/>
      <c r="G1066" s="51" t="n"/>
      <c r="H1066" s="51" t="n"/>
      <c r="I1066" s="51" t="n"/>
      <c r="J1066" s="51" t="n"/>
      <c r="K1066" s="51" t="n"/>
      <c r="L1066" s="54">
        <f>IF(OR(A1066="",C1066="",D1066=""),"",IF(COUNTIFS($A$5:$A$3004,A1066,$C$5:$C$3004,"&lt;"&amp;D1066,$D$5:$D$3004,"&gt;"&amp;C1066)&gt;1,"⚠️ пересечение",""))</f>
        <v/>
      </c>
      <c r="M1066" s="54">
        <f>IF(F1066="","",IF(J1066="✅ Сделано","✔ ",IF(J1066="❌ Пропущено","✖ ","⏰ "))&amp;IF(C1066="","",RIGHT("0"&amp;HOUR(C1066),2)&amp;":"&amp;RIGHT("0"&amp;MINUTE(C1066),2)&amp;IF(D1066="","","–"&amp;RIGHT("0"&amp;HOUR(D1066),2)&amp;":"&amp;RIGHT("0"&amp;MINUTE(D1066),2))&amp;" ")&amp;F1066)</f>
        <v/>
      </c>
      <c r="N1066" s="54">
        <f>IF(OR(A1066="",F1066=""),"",A1066&amp;"#"&amp;(COUNTIFS($A$5:$A$3004,A1066,$F$5:$F$3004,"?*",$O$5:$O$3004,"&lt;"&amp;O1066)+COUNTIFS($A$5:A1066,A1066,$F$5:F1066,"?*",$O$5:O1066,O1066)))</f>
        <v/>
      </c>
      <c r="O1066" s="54">
        <f>IF(A1066="","",IF(C1066="",0,C1066))</f>
        <v/>
      </c>
    </row>
    <row r="1067">
      <c r="A1067" s="58" t="n"/>
      <c r="B1067" s="49">
        <f>IF(A1067="","",CHOOSE(WEEKDAY(A1067,2),"Пн","Вт","Ср","Чт","Пт","Сб","Вс"))</f>
        <v/>
      </c>
      <c r="C1067" s="59" t="n"/>
      <c r="D1067" s="59" t="n"/>
      <c r="E1067" s="60">
        <f>IF(OR(C1067="",D1067=""),"",MOD(D1067-C1067,1)*24)</f>
        <v/>
      </c>
      <c r="F1067" s="50" t="n"/>
      <c r="G1067" s="51" t="n"/>
      <c r="H1067" s="51" t="n"/>
      <c r="I1067" s="51" t="n"/>
      <c r="J1067" s="51" t="n"/>
      <c r="K1067" s="51" t="n"/>
      <c r="L1067" s="54">
        <f>IF(OR(A1067="",C1067="",D1067=""),"",IF(COUNTIFS($A$5:$A$3004,A1067,$C$5:$C$3004,"&lt;"&amp;D1067,$D$5:$D$3004,"&gt;"&amp;C1067)&gt;1,"⚠️ пересечение",""))</f>
        <v/>
      </c>
      <c r="M1067" s="54">
        <f>IF(F1067="","",IF(J1067="✅ Сделано","✔ ",IF(J1067="❌ Пропущено","✖ ","⏰ "))&amp;IF(C1067="","",RIGHT("0"&amp;HOUR(C1067),2)&amp;":"&amp;RIGHT("0"&amp;MINUTE(C1067),2)&amp;IF(D1067="","","–"&amp;RIGHT("0"&amp;HOUR(D1067),2)&amp;":"&amp;RIGHT("0"&amp;MINUTE(D1067),2))&amp;" ")&amp;F1067)</f>
        <v/>
      </c>
      <c r="N1067" s="54">
        <f>IF(OR(A1067="",F1067=""),"",A1067&amp;"#"&amp;(COUNTIFS($A$5:$A$3004,A1067,$F$5:$F$3004,"?*",$O$5:$O$3004,"&lt;"&amp;O1067)+COUNTIFS($A$5:A1067,A1067,$F$5:F1067,"?*",$O$5:O1067,O1067)))</f>
        <v/>
      </c>
      <c r="O1067" s="54">
        <f>IF(A1067="","",IF(C1067="",0,C1067))</f>
        <v/>
      </c>
    </row>
    <row r="1068">
      <c r="A1068" s="58" t="n"/>
      <c r="B1068" s="49">
        <f>IF(A1068="","",CHOOSE(WEEKDAY(A1068,2),"Пн","Вт","Ср","Чт","Пт","Сб","Вс"))</f>
        <v/>
      </c>
      <c r="C1068" s="59" t="n"/>
      <c r="D1068" s="59" t="n"/>
      <c r="E1068" s="60">
        <f>IF(OR(C1068="",D1068=""),"",MOD(D1068-C1068,1)*24)</f>
        <v/>
      </c>
      <c r="F1068" s="50" t="n"/>
      <c r="G1068" s="51" t="n"/>
      <c r="H1068" s="51" t="n"/>
      <c r="I1068" s="51" t="n"/>
      <c r="J1068" s="51" t="n"/>
      <c r="K1068" s="51" t="n"/>
      <c r="L1068" s="54">
        <f>IF(OR(A1068="",C1068="",D1068=""),"",IF(COUNTIFS($A$5:$A$3004,A1068,$C$5:$C$3004,"&lt;"&amp;D1068,$D$5:$D$3004,"&gt;"&amp;C1068)&gt;1,"⚠️ пересечение",""))</f>
        <v/>
      </c>
      <c r="M1068" s="54">
        <f>IF(F1068="","",IF(J1068="✅ Сделано","✔ ",IF(J1068="❌ Пропущено","✖ ","⏰ "))&amp;IF(C1068="","",RIGHT("0"&amp;HOUR(C1068),2)&amp;":"&amp;RIGHT("0"&amp;MINUTE(C1068),2)&amp;IF(D1068="","","–"&amp;RIGHT("0"&amp;HOUR(D1068),2)&amp;":"&amp;RIGHT("0"&amp;MINUTE(D1068),2))&amp;" ")&amp;F1068)</f>
        <v/>
      </c>
      <c r="N1068" s="54">
        <f>IF(OR(A1068="",F1068=""),"",A1068&amp;"#"&amp;(COUNTIFS($A$5:$A$3004,A1068,$F$5:$F$3004,"?*",$O$5:$O$3004,"&lt;"&amp;O1068)+COUNTIFS($A$5:A1068,A1068,$F$5:F1068,"?*",$O$5:O1068,O1068)))</f>
        <v/>
      </c>
      <c r="O1068" s="54">
        <f>IF(A1068="","",IF(C1068="",0,C1068))</f>
        <v/>
      </c>
    </row>
    <row r="1069">
      <c r="A1069" s="58" t="n"/>
      <c r="B1069" s="49">
        <f>IF(A1069="","",CHOOSE(WEEKDAY(A1069,2),"Пн","Вт","Ср","Чт","Пт","Сб","Вс"))</f>
        <v/>
      </c>
      <c r="C1069" s="59" t="n"/>
      <c r="D1069" s="59" t="n"/>
      <c r="E1069" s="60">
        <f>IF(OR(C1069="",D1069=""),"",MOD(D1069-C1069,1)*24)</f>
        <v/>
      </c>
      <c r="F1069" s="50" t="n"/>
      <c r="G1069" s="51" t="n"/>
      <c r="H1069" s="51" t="n"/>
      <c r="I1069" s="51" t="n"/>
      <c r="J1069" s="51" t="n"/>
      <c r="K1069" s="51" t="n"/>
      <c r="L1069" s="54">
        <f>IF(OR(A1069="",C1069="",D1069=""),"",IF(COUNTIFS($A$5:$A$3004,A1069,$C$5:$C$3004,"&lt;"&amp;D1069,$D$5:$D$3004,"&gt;"&amp;C1069)&gt;1,"⚠️ пересечение",""))</f>
        <v/>
      </c>
      <c r="M1069" s="54">
        <f>IF(F1069="","",IF(J1069="✅ Сделано","✔ ",IF(J1069="❌ Пропущено","✖ ","⏰ "))&amp;IF(C1069="","",RIGHT("0"&amp;HOUR(C1069),2)&amp;":"&amp;RIGHT("0"&amp;MINUTE(C1069),2)&amp;IF(D1069="","","–"&amp;RIGHT("0"&amp;HOUR(D1069),2)&amp;":"&amp;RIGHT("0"&amp;MINUTE(D1069),2))&amp;" ")&amp;F1069)</f>
        <v/>
      </c>
      <c r="N1069" s="54">
        <f>IF(OR(A1069="",F1069=""),"",A1069&amp;"#"&amp;(COUNTIFS($A$5:$A$3004,A1069,$F$5:$F$3004,"?*",$O$5:$O$3004,"&lt;"&amp;O1069)+COUNTIFS($A$5:A1069,A1069,$F$5:F1069,"?*",$O$5:O1069,O1069)))</f>
        <v/>
      </c>
      <c r="O1069" s="54">
        <f>IF(A1069="","",IF(C1069="",0,C1069))</f>
        <v/>
      </c>
    </row>
    <row r="1070">
      <c r="A1070" s="58" t="n"/>
      <c r="B1070" s="49">
        <f>IF(A1070="","",CHOOSE(WEEKDAY(A1070,2),"Пн","Вт","Ср","Чт","Пт","Сб","Вс"))</f>
        <v/>
      </c>
      <c r="C1070" s="59" t="n"/>
      <c r="D1070" s="59" t="n"/>
      <c r="E1070" s="60">
        <f>IF(OR(C1070="",D1070=""),"",MOD(D1070-C1070,1)*24)</f>
        <v/>
      </c>
      <c r="F1070" s="50" t="n"/>
      <c r="G1070" s="51" t="n"/>
      <c r="H1070" s="51" t="n"/>
      <c r="I1070" s="51" t="n"/>
      <c r="J1070" s="51" t="n"/>
      <c r="K1070" s="51" t="n"/>
      <c r="L1070" s="54">
        <f>IF(OR(A1070="",C1070="",D1070=""),"",IF(COUNTIFS($A$5:$A$3004,A1070,$C$5:$C$3004,"&lt;"&amp;D1070,$D$5:$D$3004,"&gt;"&amp;C1070)&gt;1,"⚠️ пересечение",""))</f>
        <v/>
      </c>
      <c r="M1070" s="54">
        <f>IF(F1070="","",IF(J1070="✅ Сделано","✔ ",IF(J1070="❌ Пропущено","✖ ","⏰ "))&amp;IF(C1070="","",RIGHT("0"&amp;HOUR(C1070),2)&amp;":"&amp;RIGHT("0"&amp;MINUTE(C1070),2)&amp;IF(D1070="","","–"&amp;RIGHT("0"&amp;HOUR(D1070),2)&amp;":"&amp;RIGHT("0"&amp;MINUTE(D1070),2))&amp;" ")&amp;F1070)</f>
        <v/>
      </c>
      <c r="N1070" s="54">
        <f>IF(OR(A1070="",F1070=""),"",A1070&amp;"#"&amp;(COUNTIFS($A$5:$A$3004,A1070,$F$5:$F$3004,"?*",$O$5:$O$3004,"&lt;"&amp;O1070)+COUNTIFS($A$5:A1070,A1070,$F$5:F1070,"?*",$O$5:O1070,O1070)))</f>
        <v/>
      </c>
      <c r="O1070" s="54">
        <f>IF(A1070="","",IF(C1070="",0,C1070))</f>
        <v/>
      </c>
    </row>
    <row r="1071">
      <c r="A1071" s="58" t="n"/>
      <c r="B1071" s="49">
        <f>IF(A1071="","",CHOOSE(WEEKDAY(A1071,2),"Пн","Вт","Ср","Чт","Пт","Сб","Вс"))</f>
        <v/>
      </c>
      <c r="C1071" s="59" t="n"/>
      <c r="D1071" s="59" t="n"/>
      <c r="E1071" s="60">
        <f>IF(OR(C1071="",D1071=""),"",MOD(D1071-C1071,1)*24)</f>
        <v/>
      </c>
      <c r="F1071" s="50" t="n"/>
      <c r="G1071" s="51" t="n"/>
      <c r="H1071" s="51" t="n"/>
      <c r="I1071" s="51" t="n"/>
      <c r="J1071" s="51" t="n"/>
      <c r="K1071" s="51" t="n"/>
      <c r="L1071" s="54">
        <f>IF(OR(A1071="",C1071="",D1071=""),"",IF(COUNTIFS($A$5:$A$3004,A1071,$C$5:$C$3004,"&lt;"&amp;D1071,$D$5:$D$3004,"&gt;"&amp;C1071)&gt;1,"⚠️ пересечение",""))</f>
        <v/>
      </c>
      <c r="M1071" s="54">
        <f>IF(F1071="","",IF(J1071="✅ Сделано","✔ ",IF(J1071="❌ Пропущено","✖ ","⏰ "))&amp;IF(C1071="","",RIGHT("0"&amp;HOUR(C1071),2)&amp;":"&amp;RIGHT("0"&amp;MINUTE(C1071),2)&amp;IF(D1071="","","–"&amp;RIGHT("0"&amp;HOUR(D1071),2)&amp;":"&amp;RIGHT("0"&amp;MINUTE(D1071),2))&amp;" ")&amp;F1071)</f>
        <v/>
      </c>
      <c r="N1071" s="54">
        <f>IF(OR(A1071="",F1071=""),"",A1071&amp;"#"&amp;(COUNTIFS($A$5:$A$3004,A1071,$F$5:$F$3004,"?*",$O$5:$O$3004,"&lt;"&amp;O1071)+COUNTIFS($A$5:A1071,A1071,$F$5:F1071,"?*",$O$5:O1071,O1071)))</f>
        <v/>
      </c>
      <c r="O1071" s="54">
        <f>IF(A1071="","",IF(C1071="",0,C1071))</f>
        <v/>
      </c>
    </row>
    <row r="1072">
      <c r="A1072" s="58" t="n"/>
      <c r="B1072" s="49">
        <f>IF(A1072="","",CHOOSE(WEEKDAY(A1072,2),"Пн","Вт","Ср","Чт","Пт","Сб","Вс"))</f>
        <v/>
      </c>
      <c r="C1072" s="59" t="n"/>
      <c r="D1072" s="59" t="n"/>
      <c r="E1072" s="60">
        <f>IF(OR(C1072="",D1072=""),"",MOD(D1072-C1072,1)*24)</f>
        <v/>
      </c>
      <c r="F1072" s="50" t="n"/>
      <c r="G1072" s="51" t="n"/>
      <c r="H1072" s="51" t="n"/>
      <c r="I1072" s="51" t="n"/>
      <c r="J1072" s="51" t="n"/>
      <c r="K1072" s="51" t="n"/>
      <c r="L1072" s="54">
        <f>IF(OR(A1072="",C1072="",D1072=""),"",IF(COUNTIFS($A$5:$A$3004,A1072,$C$5:$C$3004,"&lt;"&amp;D1072,$D$5:$D$3004,"&gt;"&amp;C1072)&gt;1,"⚠️ пересечение",""))</f>
        <v/>
      </c>
      <c r="M1072" s="54">
        <f>IF(F1072="","",IF(J1072="✅ Сделано","✔ ",IF(J1072="❌ Пропущено","✖ ","⏰ "))&amp;IF(C1072="","",RIGHT("0"&amp;HOUR(C1072),2)&amp;":"&amp;RIGHT("0"&amp;MINUTE(C1072),2)&amp;IF(D1072="","","–"&amp;RIGHT("0"&amp;HOUR(D1072),2)&amp;":"&amp;RIGHT("0"&amp;MINUTE(D1072),2))&amp;" ")&amp;F1072)</f>
        <v/>
      </c>
      <c r="N1072" s="54">
        <f>IF(OR(A1072="",F1072=""),"",A1072&amp;"#"&amp;(COUNTIFS($A$5:$A$3004,A1072,$F$5:$F$3004,"?*",$O$5:$O$3004,"&lt;"&amp;O1072)+COUNTIFS($A$5:A1072,A1072,$F$5:F1072,"?*",$O$5:O1072,O1072)))</f>
        <v/>
      </c>
      <c r="O1072" s="54">
        <f>IF(A1072="","",IF(C1072="",0,C1072))</f>
        <v/>
      </c>
    </row>
    <row r="1073">
      <c r="A1073" s="58" t="n"/>
      <c r="B1073" s="49">
        <f>IF(A1073="","",CHOOSE(WEEKDAY(A1073,2),"Пн","Вт","Ср","Чт","Пт","Сб","Вс"))</f>
        <v/>
      </c>
      <c r="C1073" s="59" t="n"/>
      <c r="D1073" s="59" t="n"/>
      <c r="E1073" s="60">
        <f>IF(OR(C1073="",D1073=""),"",MOD(D1073-C1073,1)*24)</f>
        <v/>
      </c>
      <c r="F1073" s="50" t="n"/>
      <c r="G1073" s="51" t="n"/>
      <c r="H1073" s="51" t="n"/>
      <c r="I1073" s="51" t="n"/>
      <c r="J1073" s="51" t="n"/>
      <c r="K1073" s="51" t="n"/>
      <c r="L1073" s="54">
        <f>IF(OR(A1073="",C1073="",D1073=""),"",IF(COUNTIFS($A$5:$A$3004,A1073,$C$5:$C$3004,"&lt;"&amp;D1073,$D$5:$D$3004,"&gt;"&amp;C1073)&gt;1,"⚠️ пересечение",""))</f>
        <v/>
      </c>
      <c r="M1073" s="54">
        <f>IF(F1073="","",IF(J1073="✅ Сделано","✔ ",IF(J1073="❌ Пропущено","✖ ","⏰ "))&amp;IF(C1073="","",RIGHT("0"&amp;HOUR(C1073),2)&amp;":"&amp;RIGHT("0"&amp;MINUTE(C1073),2)&amp;IF(D1073="","","–"&amp;RIGHT("0"&amp;HOUR(D1073),2)&amp;":"&amp;RIGHT("0"&amp;MINUTE(D1073),2))&amp;" ")&amp;F1073)</f>
        <v/>
      </c>
      <c r="N1073" s="54">
        <f>IF(OR(A1073="",F1073=""),"",A1073&amp;"#"&amp;(COUNTIFS($A$5:$A$3004,A1073,$F$5:$F$3004,"?*",$O$5:$O$3004,"&lt;"&amp;O1073)+COUNTIFS($A$5:A1073,A1073,$F$5:F1073,"?*",$O$5:O1073,O1073)))</f>
        <v/>
      </c>
      <c r="O1073" s="54">
        <f>IF(A1073="","",IF(C1073="",0,C1073))</f>
        <v/>
      </c>
    </row>
    <row r="1074">
      <c r="A1074" s="58" t="n"/>
      <c r="B1074" s="49">
        <f>IF(A1074="","",CHOOSE(WEEKDAY(A1074,2),"Пн","Вт","Ср","Чт","Пт","Сб","Вс"))</f>
        <v/>
      </c>
      <c r="C1074" s="59" t="n"/>
      <c r="D1074" s="59" t="n"/>
      <c r="E1074" s="60">
        <f>IF(OR(C1074="",D1074=""),"",MOD(D1074-C1074,1)*24)</f>
        <v/>
      </c>
      <c r="F1074" s="50" t="n"/>
      <c r="G1074" s="51" t="n"/>
      <c r="H1074" s="51" t="n"/>
      <c r="I1074" s="51" t="n"/>
      <c r="J1074" s="51" t="n"/>
      <c r="K1074" s="51" t="n"/>
      <c r="L1074" s="54">
        <f>IF(OR(A1074="",C1074="",D1074=""),"",IF(COUNTIFS($A$5:$A$3004,A1074,$C$5:$C$3004,"&lt;"&amp;D1074,$D$5:$D$3004,"&gt;"&amp;C1074)&gt;1,"⚠️ пересечение",""))</f>
        <v/>
      </c>
      <c r="M1074" s="54">
        <f>IF(F1074="","",IF(J1074="✅ Сделано","✔ ",IF(J1074="❌ Пропущено","✖ ","⏰ "))&amp;IF(C1074="","",RIGHT("0"&amp;HOUR(C1074),2)&amp;":"&amp;RIGHT("0"&amp;MINUTE(C1074),2)&amp;IF(D1074="","","–"&amp;RIGHT("0"&amp;HOUR(D1074),2)&amp;":"&amp;RIGHT("0"&amp;MINUTE(D1074),2))&amp;" ")&amp;F1074)</f>
        <v/>
      </c>
      <c r="N1074" s="54">
        <f>IF(OR(A1074="",F1074=""),"",A1074&amp;"#"&amp;(COUNTIFS($A$5:$A$3004,A1074,$F$5:$F$3004,"?*",$O$5:$O$3004,"&lt;"&amp;O1074)+COUNTIFS($A$5:A1074,A1074,$F$5:F1074,"?*",$O$5:O1074,O1074)))</f>
        <v/>
      </c>
      <c r="O1074" s="54">
        <f>IF(A1074="","",IF(C1074="",0,C1074))</f>
        <v/>
      </c>
    </row>
    <row r="1075">
      <c r="A1075" s="58" t="n"/>
      <c r="B1075" s="49">
        <f>IF(A1075="","",CHOOSE(WEEKDAY(A1075,2),"Пн","Вт","Ср","Чт","Пт","Сб","Вс"))</f>
        <v/>
      </c>
      <c r="C1075" s="59" t="n"/>
      <c r="D1075" s="59" t="n"/>
      <c r="E1075" s="60">
        <f>IF(OR(C1075="",D1075=""),"",MOD(D1075-C1075,1)*24)</f>
        <v/>
      </c>
      <c r="F1075" s="50" t="n"/>
      <c r="G1075" s="51" t="n"/>
      <c r="H1075" s="51" t="n"/>
      <c r="I1075" s="51" t="n"/>
      <c r="J1075" s="51" t="n"/>
      <c r="K1075" s="51" t="n"/>
      <c r="L1075" s="54">
        <f>IF(OR(A1075="",C1075="",D1075=""),"",IF(COUNTIFS($A$5:$A$3004,A1075,$C$5:$C$3004,"&lt;"&amp;D1075,$D$5:$D$3004,"&gt;"&amp;C1075)&gt;1,"⚠️ пересечение",""))</f>
        <v/>
      </c>
      <c r="M1075" s="54">
        <f>IF(F1075="","",IF(J1075="✅ Сделано","✔ ",IF(J1075="❌ Пропущено","✖ ","⏰ "))&amp;IF(C1075="","",RIGHT("0"&amp;HOUR(C1075),2)&amp;":"&amp;RIGHT("0"&amp;MINUTE(C1075),2)&amp;IF(D1075="","","–"&amp;RIGHT("0"&amp;HOUR(D1075),2)&amp;":"&amp;RIGHT("0"&amp;MINUTE(D1075),2))&amp;" ")&amp;F1075)</f>
        <v/>
      </c>
      <c r="N1075" s="54">
        <f>IF(OR(A1075="",F1075=""),"",A1075&amp;"#"&amp;(COUNTIFS($A$5:$A$3004,A1075,$F$5:$F$3004,"?*",$O$5:$O$3004,"&lt;"&amp;O1075)+COUNTIFS($A$5:A1075,A1075,$F$5:F1075,"?*",$O$5:O1075,O1075)))</f>
        <v/>
      </c>
      <c r="O1075" s="54">
        <f>IF(A1075="","",IF(C1075="",0,C1075))</f>
        <v/>
      </c>
    </row>
    <row r="1076">
      <c r="A1076" s="58" t="n"/>
      <c r="B1076" s="49">
        <f>IF(A1076="","",CHOOSE(WEEKDAY(A1076,2),"Пн","Вт","Ср","Чт","Пт","Сб","Вс"))</f>
        <v/>
      </c>
      <c r="C1076" s="59" t="n"/>
      <c r="D1076" s="59" t="n"/>
      <c r="E1076" s="60">
        <f>IF(OR(C1076="",D1076=""),"",MOD(D1076-C1076,1)*24)</f>
        <v/>
      </c>
      <c r="F1076" s="50" t="n"/>
      <c r="G1076" s="51" t="n"/>
      <c r="H1076" s="51" t="n"/>
      <c r="I1076" s="51" t="n"/>
      <c r="J1076" s="51" t="n"/>
      <c r="K1076" s="51" t="n"/>
      <c r="L1076" s="54">
        <f>IF(OR(A1076="",C1076="",D1076=""),"",IF(COUNTIFS($A$5:$A$3004,A1076,$C$5:$C$3004,"&lt;"&amp;D1076,$D$5:$D$3004,"&gt;"&amp;C1076)&gt;1,"⚠️ пересечение",""))</f>
        <v/>
      </c>
      <c r="M1076" s="54">
        <f>IF(F1076="","",IF(J1076="✅ Сделано","✔ ",IF(J1076="❌ Пропущено","✖ ","⏰ "))&amp;IF(C1076="","",RIGHT("0"&amp;HOUR(C1076),2)&amp;":"&amp;RIGHT("0"&amp;MINUTE(C1076),2)&amp;IF(D1076="","","–"&amp;RIGHT("0"&amp;HOUR(D1076),2)&amp;":"&amp;RIGHT("0"&amp;MINUTE(D1076),2))&amp;" ")&amp;F1076)</f>
        <v/>
      </c>
      <c r="N1076" s="54">
        <f>IF(OR(A1076="",F1076=""),"",A1076&amp;"#"&amp;(COUNTIFS($A$5:$A$3004,A1076,$F$5:$F$3004,"?*",$O$5:$O$3004,"&lt;"&amp;O1076)+COUNTIFS($A$5:A1076,A1076,$F$5:F1076,"?*",$O$5:O1076,O1076)))</f>
        <v/>
      </c>
      <c r="O1076" s="54">
        <f>IF(A1076="","",IF(C1076="",0,C1076))</f>
        <v/>
      </c>
    </row>
    <row r="1077">
      <c r="A1077" s="58" t="n"/>
      <c r="B1077" s="49">
        <f>IF(A1077="","",CHOOSE(WEEKDAY(A1077,2),"Пн","Вт","Ср","Чт","Пт","Сб","Вс"))</f>
        <v/>
      </c>
      <c r="C1077" s="59" t="n"/>
      <c r="D1077" s="59" t="n"/>
      <c r="E1077" s="60">
        <f>IF(OR(C1077="",D1077=""),"",MOD(D1077-C1077,1)*24)</f>
        <v/>
      </c>
      <c r="F1077" s="50" t="n"/>
      <c r="G1077" s="51" t="n"/>
      <c r="H1077" s="51" t="n"/>
      <c r="I1077" s="51" t="n"/>
      <c r="J1077" s="51" t="n"/>
      <c r="K1077" s="51" t="n"/>
      <c r="L1077" s="54">
        <f>IF(OR(A1077="",C1077="",D1077=""),"",IF(COUNTIFS($A$5:$A$3004,A1077,$C$5:$C$3004,"&lt;"&amp;D1077,$D$5:$D$3004,"&gt;"&amp;C1077)&gt;1,"⚠️ пересечение",""))</f>
        <v/>
      </c>
      <c r="M1077" s="54">
        <f>IF(F1077="","",IF(J1077="✅ Сделано","✔ ",IF(J1077="❌ Пропущено","✖ ","⏰ "))&amp;IF(C1077="","",RIGHT("0"&amp;HOUR(C1077),2)&amp;":"&amp;RIGHT("0"&amp;MINUTE(C1077),2)&amp;IF(D1077="","","–"&amp;RIGHT("0"&amp;HOUR(D1077),2)&amp;":"&amp;RIGHT("0"&amp;MINUTE(D1077),2))&amp;" ")&amp;F1077)</f>
        <v/>
      </c>
      <c r="N1077" s="54">
        <f>IF(OR(A1077="",F1077=""),"",A1077&amp;"#"&amp;(COUNTIFS($A$5:$A$3004,A1077,$F$5:$F$3004,"?*",$O$5:$O$3004,"&lt;"&amp;O1077)+COUNTIFS($A$5:A1077,A1077,$F$5:F1077,"?*",$O$5:O1077,O1077)))</f>
        <v/>
      </c>
      <c r="O1077" s="54">
        <f>IF(A1077="","",IF(C1077="",0,C1077))</f>
        <v/>
      </c>
    </row>
    <row r="1078">
      <c r="A1078" s="58" t="n"/>
      <c r="B1078" s="49">
        <f>IF(A1078="","",CHOOSE(WEEKDAY(A1078,2),"Пн","Вт","Ср","Чт","Пт","Сб","Вс"))</f>
        <v/>
      </c>
      <c r="C1078" s="59" t="n"/>
      <c r="D1078" s="59" t="n"/>
      <c r="E1078" s="60">
        <f>IF(OR(C1078="",D1078=""),"",MOD(D1078-C1078,1)*24)</f>
        <v/>
      </c>
      <c r="F1078" s="50" t="n"/>
      <c r="G1078" s="51" t="n"/>
      <c r="H1078" s="51" t="n"/>
      <c r="I1078" s="51" t="n"/>
      <c r="J1078" s="51" t="n"/>
      <c r="K1078" s="51" t="n"/>
      <c r="L1078" s="54">
        <f>IF(OR(A1078="",C1078="",D1078=""),"",IF(COUNTIFS($A$5:$A$3004,A1078,$C$5:$C$3004,"&lt;"&amp;D1078,$D$5:$D$3004,"&gt;"&amp;C1078)&gt;1,"⚠️ пересечение",""))</f>
        <v/>
      </c>
      <c r="M1078" s="54">
        <f>IF(F1078="","",IF(J1078="✅ Сделано","✔ ",IF(J1078="❌ Пропущено","✖ ","⏰ "))&amp;IF(C1078="","",RIGHT("0"&amp;HOUR(C1078),2)&amp;":"&amp;RIGHT("0"&amp;MINUTE(C1078),2)&amp;IF(D1078="","","–"&amp;RIGHT("0"&amp;HOUR(D1078),2)&amp;":"&amp;RIGHT("0"&amp;MINUTE(D1078),2))&amp;" ")&amp;F1078)</f>
        <v/>
      </c>
      <c r="N1078" s="54">
        <f>IF(OR(A1078="",F1078=""),"",A1078&amp;"#"&amp;(COUNTIFS($A$5:$A$3004,A1078,$F$5:$F$3004,"?*",$O$5:$O$3004,"&lt;"&amp;O1078)+COUNTIFS($A$5:A1078,A1078,$F$5:F1078,"?*",$O$5:O1078,O1078)))</f>
        <v/>
      </c>
      <c r="O1078" s="54">
        <f>IF(A1078="","",IF(C1078="",0,C1078))</f>
        <v/>
      </c>
    </row>
    <row r="1079">
      <c r="A1079" s="58" t="n"/>
      <c r="B1079" s="49">
        <f>IF(A1079="","",CHOOSE(WEEKDAY(A1079,2),"Пн","Вт","Ср","Чт","Пт","Сб","Вс"))</f>
        <v/>
      </c>
      <c r="C1079" s="59" t="n"/>
      <c r="D1079" s="59" t="n"/>
      <c r="E1079" s="60">
        <f>IF(OR(C1079="",D1079=""),"",MOD(D1079-C1079,1)*24)</f>
        <v/>
      </c>
      <c r="F1079" s="50" t="n"/>
      <c r="G1079" s="51" t="n"/>
      <c r="H1079" s="51" t="n"/>
      <c r="I1079" s="51" t="n"/>
      <c r="J1079" s="51" t="n"/>
      <c r="K1079" s="51" t="n"/>
      <c r="L1079" s="54">
        <f>IF(OR(A1079="",C1079="",D1079=""),"",IF(COUNTIFS($A$5:$A$3004,A1079,$C$5:$C$3004,"&lt;"&amp;D1079,$D$5:$D$3004,"&gt;"&amp;C1079)&gt;1,"⚠️ пересечение",""))</f>
        <v/>
      </c>
      <c r="M1079" s="54">
        <f>IF(F1079="","",IF(J1079="✅ Сделано","✔ ",IF(J1079="❌ Пропущено","✖ ","⏰ "))&amp;IF(C1079="","",RIGHT("0"&amp;HOUR(C1079),2)&amp;":"&amp;RIGHT("0"&amp;MINUTE(C1079),2)&amp;IF(D1079="","","–"&amp;RIGHT("0"&amp;HOUR(D1079),2)&amp;":"&amp;RIGHT("0"&amp;MINUTE(D1079),2))&amp;" ")&amp;F1079)</f>
        <v/>
      </c>
      <c r="N1079" s="54">
        <f>IF(OR(A1079="",F1079=""),"",A1079&amp;"#"&amp;(COUNTIFS($A$5:$A$3004,A1079,$F$5:$F$3004,"?*",$O$5:$O$3004,"&lt;"&amp;O1079)+COUNTIFS($A$5:A1079,A1079,$F$5:F1079,"?*",$O$5:O1079,O1079)))</f>
        <v/>
      </c>
      <c r="O1079" s="54">
        <f>IF(A1079="","",IF(C1079="",0,C1079))</f>
        <v/>
      </c>
    </row>
    <row r="1080">
      <c r="A1080" s="58" t="n"/>
      <c r="B1080" s="49">
        <f>IF(A1080="","",CHOOSE(WEEKDAY(A1080,2),"Пн","Вт","Ср","Чт","Пт","Сб","Вс"))</f>
        <v/>
      </c>
      <c r="C1080" s="59" t="n"/>
      <c r="D1080" s="59" t="n"/>
      <c r="E1080" s="60">
        <f>IF(OR(C1080="",D1080=""),"",MOD(D1080-C1080,1)*24)</f>
        <v/>
      </c>
      <c r="F1080" s="50" t="n"/>
      <c r="G1080" s="51" t="n"/>
      <c r="H1080" s="51" t="n"/>
      <c r="I1080" s="51" t="n"/>
      <c r="J1080" s="51" t="n"/>
      <c r="K1080" s="51" t="n"/>
      <c r="L1080" s="54">
        <f>IF(OR(A1080="",C1080="",D1080=""),"",IF(COUNTIFS($A$5:$A$3004,A1080,$C$5:$C$3004,"&lt;"&amp;D1080,$D$5:$D$3004,"&gt;"&amp;C1080)&gt;1,"⚠️ пересечение",""))</f>
        <v/>
      </c>
      <c r="M1080" s="54">
        <f>IF(F1080="","",IF(J1080="✅ Сделано","✔ ",IF(J1080="❌ Пропущено","✖ ","⏰ "))&amp;IF(C1080="","",RIGHT("0"&amp;HOUR(C1080),2)&amp;":"&amp;RIGHT("0"&amp;MINUTE(C1080),2)&amp;IF(D1080="","","–"&amp;RIGHT("0"&amp;HOUR(D1080),2)&amp;":"&amp;RIGHT("0"&amp;MINUTE(D1080),2))&amp;" ")&amp;F1080)</f>
        <v/>
      </c>
      <c r="N1080" s="54">
        <f>IF(OR(A1080="",F1080=""),"",A1080&amp;"#"&amp;(COUNTIFS($A$5:$A$3004,A1080,$F$5:$F$3004,"?*",$O$5:$O$3004,"&lt;"&amp;O1080)+COUNTIFS($A$5:A1080,A1080,$F$5:F1080,"?*",$O$5:O1080,O1080)))</f>
        <v/>
      </c>
      <c r="O1080" s="54">
        <f>IF(A1080="","",IF(C1080="",0,C1080))</f>
        <v/>
      </c>
    </row>
    <row r="1081">
      <c r="A1081" s="58" t="n"/>
      <c r="B1081" s="49">
        <f>IF(A1081="","",CHOOSE(WEEKDAY(A1081,2),"Пн","Вт","Ср","Чт","Пт","Сб","Вс"))</f>
        <v/>
      </c>
      <c r="C1081" s="59" t="n"/>
      <c r="D1081" s="59" t="n"/>
      <c r="E1081" s="60">
        <f>IF(OR(C1081="",D1081=""),"",MOD(D1081-C1081,1)*24)</f>
        <v/>
      </c>
      <c r="F1081" s="50" t="n"/>
      <c r="G1081" s="51" t="n"/>
      <c r="H1081" s="51" t="n"/>
      <c r="I1081" s="51" t="n"/>
      <c r="J1081" s="51" t="n"/>
      <c r="K1081" s="51" t="n"/>
      <c r="L1081" s="54">
        <f>IF(OR(A1081="",C1081="",D1081=""),"",IF(COUNTIFS($A$5:$A$3004,A1081,$C$5:$C$3004,"&lt;"&amp;D1081,$D$5:$D$3004,"&gt;"&amp;C1081)&gt;1,"⚠️ пересечение",""))</f>
        <v/>
      </c>
      <c r="M1081" s="54">
        <f>IF(F1081="","",IF(J1081="✅ Сделано","✔ ",IF(J1081="❌ Пропущено","✖ ","⏰ "))&amp;IF(C1081="","",RIGHT("0"&amp;HOUR(C1081),2)&amp;":"&amp;RIGHT("0"&amp;MINUTE(C1081),2)&amp;IF(D1081="","","–"&amp;RIGHT("0"&amp;HOUR(D1081),2)&amp;":"&amp;RIGHT("0"&amp;MINUTE(D1081),2))&amp;" ")&amp;F1081)</f>
        <v/>
      </c>
      <c r="N1081" s="54">
        <f>IF(OR(A1081="",F1081=""),"",A1081&amp;"#"&amp;(COUNTIFS($A$5:$A$3004,A1081,$F$5:$F$3004,"?*",$O$5:$O$3004,"&lt;"&amp;O1081)+COUNTIFS($A$5:A1081,A1081,$F$5:F1081,"?*",$O$5:O1081,O1081)))</f>
        <v/>
      </c>
      <c r="O1081" s="54">
        <f>IF(A1081="","",IF(C1081="",0,C1081))</f>
        <v/>
      </c>
    </row>
    <row r="1082">
      <c r="A1082" s="58" t="n"/>
      <c r="B1082" s="49">
        <f>IF(A1082="","",CHOOSE(WEEKDAY(A1082,2),"Пн","Вт","Ср","Чт","Пт","Сб","Вс"))</f>
        <v/>
      </c>
      <c r="C1082" s="59" t="n"/>
      <c r="D1082" s="59" t="n"/>
      <c r="E1082" s="60">
        <f>IF(OR(C1082="",D1082=""),"",MOD(D1082-C1082,1)*24)</f>
        <v/>
      </c>
      <c r="F1082" s="50" t="n"/>
      <c r="G1082" s="51" t="n"/>
      <c r="H1082" s="51" t="n"/>
      <c r="I1082" s="51" t="n"/>
      <c r="J1082" s="51" t="n"/>
      <c r="K1082" s="51" t="n"/>
      <c r="L1082" s="54">
        <f>IF(OR(A1082="",C1082="",D1082=""),"",IF(COUNTIFS($A$5:$A$3004,A1082,$C$5:$C$3004,"&lt;"&amp;D1082,$D$5:$D$3004,"&gt;"&amp;C1082)&gt;1,"⚠️ пересечение",""))</f>
        <v/>
      </c>
      <c r="M1082" s="54">
        <f>IF(F1082="","",IF(J1082="✅ Сделано","✔ ",IF(J1082="❌ Пропущено","✖ ","⏰ "))&amp;IF(C1082="","",RIGHT("0"&amp;HOUR(C1082),2)&amp;":"&amp;RIGHT("0"&amp;MINUTE(C1082),2)&amp;IF(D1082="","","–"&amp;RIGHT("0"&amp;HOUR(D1082),2)&amp;":"&amp;RIGHT("0"&amp;MINUTE(D1082),2))&amp;" ")&amp;F1082)</f>
        <v/>
      </c>
      <c r="N1082" s="54">
        <f>IF(OR(A1082="",F1082=""),"",A1082&amp;"#"&amp;(COUNTIFS($A$5:$A$3004,A1082,$F$5:$F$3004,"?*",$O$5:$O$3004,"&lt;"&amp;O1082)+COUNTIFS($A$5:A1082,A1082,$F$5:F1082,"?*",$O$5:O1082,O1082)))</f>
        <v/>
      </c>
      <c r="O1082" s="54">
        <f>IF(A1082="","",IF(C1082="",0,C1082))</f>
        <v/>
      </c>
    </row>
    <row r="1083">
      <c r="A1083" s="58" t="n"/>
      <c r="B1083" s="49">
        <f>IF(A1083="","",CHOOSE(WEEKDAY(A1083,2),"Пн","Вт","Ср","Чт","Пт","Сб","Вс"))</f>
        <v/>
      </c>
      <c r="C1083" s="59" t="n"/>
      <c r="D1083" s="59" t="n"/>
      <c r="E1083" s="60">
        <f>IF(OR(C1083="",D1083=""),"",MOD(D1083-C1083,1)*24)</f>
        <v/>
      </c>
      <c r="F1083" s="50" t="n"/>
      <c r="G1083" s="51" t="n"/>
      <c r="H1083" s="51" t="n"/>
      <c r="I1083" s="51" t="n"/>
      <c r="J1083" s="51" t="n"/>
      <c r="K1083" s="51" t="n"/>
      <c r="L1083" s="54">
        <f>IF(OR(A1083="",C1083="",D1083=""),"",IF(COUNTIFS($A$5:$A$3004,A1083,$C$5:$C$3004,"&lt;"&amp;D1083,$D$5:$D$3004,"&gt;"&amp;C1083)&gt;1,"⚠️ пересечение",""))</f>
        <v/>
      </c>
      <c r="M1083" s="54">
        <f>IF(F1083="","",IF(J1083="✅ Сделано","✔ ",IF(J1083="❌ Пропущено","✖ ","⏰ "))&amp;IF(C1083="","",RIGHT("0"&amp;HOUR(C1083),2)&amp;":"&amp;RIGHT("0"&amp;MINUTE(C1083),2)&amp;IF(D1083="","","–"&amp;RIGHT("0"&amp;HOUR(D1083),2)&amp;":"&amp;RIGHT("0"&amp;MINUTE(D1083),2))&amp;" ")&amp;F1083)</f>
        <v/>
      </c>
      <c r="N1083" s="54">
        <f>IF(OR(A1083="",F1083=""),"",A1083&amp;"#"&amp;(COUNTIFS($A$5:$A$3004,A1083,$F$5:$F$3004,"?*",$O$5:$O$3004,"&lt;"&amp;O1083)+COUNTIFS($A$5:A1083,A1083,$F$5:F1083,"?*",$O$5:O1083,O1083)))</f>
        <v/>
      </c>
      <c r="O1083" s="54">
        <f>IF(A1083="","",IF(C1083="",0,C1083))</f>
        <v/>
      </c>
    </row>
    <row r="1084">
      <c r="A1084" s="58" t="n"/>
      <c r="B1084" s="49">
        <f>IF(A1084="","",CHOOSE(WEEKDAY(A1084,2),"Пн","Вт","Ср","Чт","Пт","Сб","Вс"))</f>
        <v/>
      </c>
      <c r="C1084" s="59" t="n"/>
      <c r="D1084" s="59" t="n"/>
      <c r="E1084" s="60">
        <f>IF(OR(C1084="",D1084=""),"",MOD(D1084-C1084,1)*24)</f>
        <v/>
      </c>
      <c r="F1084" s="50" t="n"/>
      <c r="G1084" s="51" t="n"/>
      <c r="H1084" s="51" t="n"/>
      <c r="I1084" s="51" t="n"/>
      <c r="J1084" s="51" t="n"/>
      <c r="K1084" s="51" t="n"/>
      <c r="L1084" s="54">
        <f>IF(OR(A1084="",C1084="",D1084=""),"",IF(COUNTIFS($A$5:$A$3004,A1084,$C$5:$C$3004,"&lt;"&amp;D1084,$D$5:$D$3004,"&gt;"&amp;C1084)&gt;1,"⚠️ пересечение",""))</f>
        <v/>
      </c>
      <c r="M1084" s="54">
        <f>IF(F1084="","",IF(J1084="✅ Сделано","✔ ",IF(J1084="❌ Пропущено","✖ ","⏰ "))&amp;IF(C1084="","",RIGHT("0"&amp;HOUR(C1084),2)&amp;":"&amp;RIGHT("0"&amp;MINUTE(C1084),2)&amp;IF(D1084="","","–"&amp;RIGHT("0"&amp;HOUR(D1084),2)&amp;":"&amp;RIGHT("0"&amp;MINUTE(D1084),2))&amp;" ")&amp;F1084)</f>
        <v/>
      </c>
      <c r="N1084" s="54">
        <f>IF(OR(A1084="",F1084=""),"",A1084&amp;"#"&amp;(COUNTIFS($A$5:$A$3004,A1084,$F$5:$F$3004,"?*",$O$5:$O$3004,"&lt;"&amp;O1084)+COUNTIFS($A$5:A1084,A1084,$F$5:F1084,"?*",$O$5:O1084,O1084)))</f>
        <v/>
      </c>
      <c r="O1084" s="54">
        <f>IF(A1084="","",IF(C1084="",0,C1084))</f>
        <v/>
      </c>
    </row>
    <row r="1085">
      <c r="A1085" s="58" t="n"/>
      <c r="B1085" s="49">
        <f>IF(A1085="","",CHOOSE(WEEKDAY(A1085,2),"Пн","Вт","Ср","Чт","Пт","Сб","Вс"))</f>
        <v/>
      </c>
      <c r="C1085" s="59" t="n"/>
      <c r="D1085" s="59" t="n"/>
      <c r="E1085" s="60">
        <f>IF(OR(C1085="",D1085=""),"",MOD(D1085-C1085,1)*24)</f>
        <v/>
      </c>
      <c r="F1085" s="50" t="n"/>
      <c r="G1085" s="51" t="n"/>
      <c r="H1085" s="51" t="n"/>
      <c r="I1085" s="51" t="n"/>
      <c r="J1085" s="51" t="n"/>
      <c r="K1085" s="51" t="n"/>
      <c r="L1085" s="54">
        <f>IF(OR(A1085="",C1085="",D1085=""),"",IF(COUNTIFS($A$5:$A$3004,A1085,$C$5:$C$3004,"&lt;"&amp;D1085,$D$5:$D$3004,"&gt;"&amp;C1085)&gt;1,"⚠️ пересечение",""))</f>
        <v/>
      </c>
      <c r="M1085" s="54">
        <f>IF(F1085="","",IF(J1085="✅ Сделано","✔ ",IF(J1085="❌ Пропущено","✖ ","⏰ "))&amp;IF(C1085="","",RIGHT("0"&amp;HOUR(C1085),2)&amp;":"&amp;RIGHT("0"&amp;MINUTE(C1085),2)&amp;IF(D1085="","","–"&amp;RIGHT("0"&amp;HOUR(D1085),2)&amp;":"&amp;RIGHT("0"&amp;MINUTE(D1085),2))&amp;" ")&amp;F1085)</f>
        <v/>
      </c>
      <c r="N1085" s="54">
        <f>IF(OR(A1085="",F1085=""),"",A1085&amp;"#"&amp;(COUNTIFS($A$5:$A$3004,A1085,$F$5:$F$3004,"?*",$O$5:$O$3004,"&lt;"&amp;O1085)+COUNTIFS($A$5:A1085,A1085,$F$5:F1085,"?*",$O$5:O1085,O1085)))</f>
        <v/>
      </c>
      <c r="O1085" s="54">
        <f>IF(A1085="","",IF(C1085="",0,C1085))</f>
        <v/>
      </c>
    </row>
    <row r="1086">
      <c r="A1086" s="58" t="n"/>
      <c r="B1086" s="49">
        <f>IF(A1086="","",CHOOSE(WEEKDAY(A1086,2),"Пн","Вт","Ср","Чт","Пт","Сб","Вс"))</f>
        <v/>
      </c>
      <c r="C1086" s="59" t="n"/>
      <c r="D1086" s="59" t="n"/>
      <c r="E1086" s="60">
        <f>IF(OR(C1086="",D1086=""),"",MOD(D1086-C1086,1)*24)</f>
        <v/>
      </c>
      <c r="F1086" s="50" t="n"/>
      <c r="G1086" s="51" t="n"/>
      <c r="H1086" s="51" t="n"/>
      <c r="I1086" s="51" t="n"/>
      <c r="J1086" s="51" t="n"/>
      <c r="K1086" s="51" t="n"/>
      <c r="L1086" s="54">
        <f>IF(OR(A1086="",C1086="",D1086=""),"",IF(COUNTIFS($A$5:$A$3004,A1086,$C$5:$C$3004,"&lt;"&amp;D1086,$D$5:$D$3004,"&gt;"&amp;C1086)&gt;1,"⚠️ пересечение",""))</f>
        <v/>
      </c>
      <c r="M1086" s="54">
        <f>IF(F1086="","",IF(J1086="✅ Сделано","✔ ",IF(J1086="❌ Пропущено","✖ ","⏰ "))&amp;IF(C1086="","",RIGHT("0"&amp;HOUR(C1086),2)&amp;":"&amp;RIGHT("0"&amp;MINUTE(C1086),2)&amp;IF(D1086="","","–"&amp;RIGHT("0"&amp;HOUR(D1086),2)&amp;":"&amp;RIGHT("0"&amp;MINUTE(D1086),2))&amp;" ")&amp;F1086)</f>
        <v/>
      </c>
      <c r="N1086" s="54">
        <f>IF(OR(A1086="",F1086=""),"",A1086&amp;"#"&amp;(COUNTIFS($A$5:$A$3004,A1086,$F$5:$F$3004,"?*",$O$5:$O$3004,"&lt;"&amp;O1086)+COUNTIFS($A$5:A1086,A1086,$F$5:F1086,"?*",$O$5:O1086,O1086)))</f>
        <v/>
      </c>
      <c r="O1086" s="54">
        <f>IF(A1086="","",IF(C1086="",0,C1086))</f>
        <v/>
      </c>
    </row>
    <row r="1087">
      <c r="A1087" s="58" t="n"/>
      <c r="B1087" s="49">
        <f>IF(A1087="","",CHOOSE(WEEKDAY(A1087,2),"Пн","Вт","Ср","Чт","Пт","Сб","Вс"))</f>
        <v/>
      </c>
      <c r="C1087" s="59" t="n"/>
      <c r="D1087" s="59" t="n"/>
      <c r="E1087" s="60">
        <f>IF(OR(C1087="",D1087=""),"",MOD(D1087-C1087,1)*24)</f>
        <v/>
      </c>
      <c r="F1087" s="50" t="n"/>
      <c r="G1087" s="51" t="n"/>
      <c r="H1087" s="51" t="n"/>
      <c r="I1087" s="51" t="n"/>
      <c r="J1087" s="51" t="n"/>
      <c r="K1087" s="51" t="n"/>
      <c r="L1087" s="54">
        <f>IF(OR(A1087="",C1087="",D1087=""),"",IF(COUNTIFS($A$5:$A$3004,A1087,$C$5:$C$3004,"&lt;"&amp;D1087,$D$5:$D$3004,"&gt;"&amp;C1087)&gt;1,"⚠️ пересечение",""))</f>
        <v/>
      </c>
      <c r="M1087" s="54">
        <f>IF(F1087="","",IF(J1087="✅ Сделано","✔ ",IF(J1087="❌ Пропущено","✖ ","⏰ "))&amp;IF(C1087="","",RIGHT("0"&amp;HOUR(C1087),2)&amp;":"&amp;RIGHT("0"&amp;MINUTE(C1087),2)&amp;IF(D1087="","","–"&amp;RIGHT("0"&amp;HOUR(D1087),2)&amp;":"&amp;RIGHT("0"&amp;MINUTE(D1087),2))&amp;" ")&amp;F1087)</f>
        <v/>
      </c>
      <c r="N1087" s="54">
        <f>IF(OR(A1087="",F1087=""),"",A1087&amp;"#"&amp;(COUNTIFS($A$5:$A$3004,A1087,$F$5:$F$3004,"?*",$O$5:$O$3004,"&lt;"&amp;O1087)+COUNTIFS($A$5:A1087,A1087,$F$5:F1087,"?*",$O$5:O1087,O1087)))</f>
        <v/>
      </c>
      <c r="O1087" s="54">
        <f>IF(A1087="","",IF(C1087="",0,C1087))</f>
        <v/>
      </c>
    </row>
    <row r="1088">
      <c r="A1088" s="58" t="n"/>
      <c r="B1088" s="49">
        <f>IF(A1088="","",CHOOSE(WEEKDAY(A1088,2),"Пн","Вт","Ср","Чт","Пт","Сб","Вс"))</f>
        <v/>
      </c>
      <c r="C1088" s="59" t="n"/>
      <c r="D1088" s="59" t="n"/>
      <c r="E1088" s="60">
        <f>IF(OR(C1088="",D1088=""),"",MOD(D1088-C1088,1)*24)</f>
        <v/>
      </c>
      <c r="F1088" s="50" t="n"/>
      <c r="G1088" s="51" t="n"/>
      <c r="H1088" s="51" t="n"/>
      <c r="I1088" s="51" t="n"/>
      <c r="J1088" s="51" t="n"/>
      <c r="K1088" s="51" t="n"/>
      <c r="L1088" s="54">
        <f>IF(OR(A1088="",C1088="",D1088=""),"",IF(COUNTIFS($A$5:$A$3004,A1088,$C$5:$C$3004,"&lt;"&amp;D1088,$D$5:$D$3004,"&gt;"&amp;C1088)&gt;1,"⚠️ пересечение",""))</f>
        <v/>
      </c>
      <c r="M1088" s="54">
        <f>IF(F1088="","",IF(J1088="✅ Сделано","✔ ",IF(J1088="❌ Пропущено","✖ ","⏰ "))&amp;IF(C1088="","",RIGHT("0"&amp;HOUR(C1088),2)&amp;":"&amp;RIGHT("0"&amp;MINUTE(C1088),2)&amp;IF(D1088="","","–"&amp;RIGHT("0"&amp;HOUR(D1088),2)&amp;":"&amp;RIGHT("0"&amp;MINUTE(D1088),2))&amp;" ")&amp;F1088)</f>
        <v/>
      </c>
      <c r="N1088" s="54">
        <f>IF(OR(A1088="",F1088=""),"",A1088&amp;"#"&amp;(COUNTIFS($A$5:$A$3004,A1088,$F$5:$F$3004,"?*",$O$5:$O$3004,"&lt;"&amp;O1088)+COUNTIFS($A$5:A1088,A1088,$F$5:F1088,"?*",$O$5:O1088,O1088)))</f>
        <v/>
      </c>
      <c r="O1088" s="54">
        <f>IF(A1088="","",IF(C1088="",0,C1088))</f>
        <v/>
      </c>
    </row>
    <row r="1089">
      <c r="A1089" s="58" t="n"/>
      <c r="B1089" s="49">
        <f>IF(A1089="","",CHOOSE(WEEKDAY(A1089,2),"Пн","Вт","Ср","Чт","Пт","Сб","Вс"))</f>
        <v/>
      </c>
      <c r="C1089" s="59" t="n"/>
      <c r="D1089" s="59" t="n"/>
      <c r="E1089" s="60">
        <f>IF(OR(C1089="",D1089=""),"",MOD(D1089-C1089,1)*24)</f>
        <v/>
      </c>
      <c r="F1089" s="50" t="n"/>
      <c r="G1089" s="51" t="n"/>
      <c r="H1089" s="51" t="n"/>
      <c r="I1089" s="51" t="n"/>
      <c r="J1089" s="51" t="n"/>
      <c r="K1089" s="51" t="n"/>
      <c r="L1089" s="54">
        <f>IF(OR(A1089="",C1089="",D1089=""),"",IF(COUNTIFS($A$5:$A$3004,A1089,$C$5:$C$3004,"&lt;"&amp;D1089,$D$5:$D$3004,"&gt;"&amp;C1089)&gt;1,"⚠️ пересечение",""))</f>
        <v/>
      </c>
      <c r="M1089" s="54">
        <f>IF(F1089="","",IF(J1089="✅ Сделано","✔ ",IF(J1089="❌ Пропущено","✖ ","⏰ "))&amp;IF(C1089="","",RIGHT("0"&amp;HOUR(C1089),2)&amp;":"&amp;RIGHT("0"&amp;MINUTE(C1089),2)&amp;IF(D1089="","","–"&amp;RIGHT("0"&amp;HOUR(D1089),2)&amp;":"&amp;RIGHT("0"&amp;MINUTE(D1089),2))&amp;" ")&amp;F1089)</f>
        <v/>
      </c>
      <c r="N1089" s="54">
        <f>IF(OR(A1089="",F1089=""),"",A1089&amp;"#"&amp;(COUNTIFS($A$5:$A$3004,A1089,$F$5:$F$3004,"?*",$O$5:$O$3004,"&lt;"&amp;O1089)+COUNTIFS($A$5:A1089,A1089,$F$5:F1089,"?*",$O$5:O1089,O1089)))</f>
        <v/>
      </c>
      <c r="O1089" s="54">
        <f>IF(A1089="","",IF(C1089="",0,C1089))</f>
        <v/>
      </c>
    </row>
    <row r="1090">
      <c r="A1090" s="58" t="n"/>
      <c r="B1090" s="49">
        <f>IF(A1090="","",CHOOSE(WEEKDAY(A1090,2),"Пн","Вт","Ср","Чт","Пт","Сб","Вс"))</f>
        <v/>
      </c>
      <c r="C1090" s="59" t="n"/>
      <c r="D1090" s="59" t="n"/>
      <c r="E1090" s="60">
        <f>IF(OR(C1090="",D1090=""),"",MOD(D1090-C1090,1)*24)</f>
        <v/>
      </c>
      <c r="F1090" s="50" t="n"/>
      <c r="G1090" s="51" t="n"/>
      <c r="H1090" s="51" t="n"/>
      <c r="I1090" s="51" t="n"/>
      <c r="J1090" s="51" t="n"/>
      <c r="K1090" s="51" t="n"/>
      <c r="L1090" s="54">
        <f>IF(OR(A1090="",C1090="",D1090=""),"",IF(COUNTIFS($A$5:$A$3004,A1090,$C$5:$C$3004,"&lt;"&amp;D1090,$D$5:$D$3004,"&gt;"&amp;C1090)&gt;1,"⚠️ пересечение",""))</f>
        <v/>
      </c>
      <c r="M1090" s="54">
        <f>IF(F1090="","",IF(J1090="✅ Сделано","✔ ",IF(J1090="❌ Пропущено","✖ ","⏰ "))&amp;IF(C1090="","",RIGHT("0"&amp;HOUR(C1090),2)&amp;":"&amp;RIGHT("0"&amp;MINUTE(C1090),2)&amp;IF(D1090="","","–"&amp;RIGHT("0"&amp;HOUR(D1090),2)&amp;":"&amp;RIGHT("0"&amp;MINUTE(D1090),2))&amp;" ")&amp;F1090)</f>
        <v/>
      </c>
      <c r="N1090" s="54">
        <f>IF(OR(A1090="",F1090=""),"",A1090&amp;"#"&amp;(COUNTIFS($A$5:$A$3004,A1090,$F$5:$F$3004,"?*",$O$5:$O$3004,"&lt;"&amp;O1090)+COUNTIFS($A$5:A1090,A1090,$F$5:F1090,"?*",$O$5:O1090,O1090)))</f>
        <v/>
      </c>
      <c r="O1090" s="54">
        <f>IF(A1090="","",IF(C1090="",0,C1090))</f>
        <v/>
      </c>
    </row>
    <row r="1091">
      <c r="A1091" s="58" t="n"/>
      <c r="B1091" s="49">
        <f>IF(A1091="","",CHOOSE(WEEKDAY(A1091,2),"Пн","Вт","Ср","Чт","Пт","Сб","Вс"))</f>
        <v/>
      </c>
      <c r="C1091" s="59" t="n"/>
      <c r="D1091" s="59" t="n"/>
      <c r="E1091" s="60">
        <f>IF(OR(C1091="",D1091=""),"",MOD(D1091-C1091,1)*24)</f>
        <v/>
      </c>
      <c r="F1091" s="50" t="n"/>
      <c r="G1091" s="51" t="n"/>
      <c r="H1091" s="51" t="n"/>
      <c r="I1091" s="51" t="n"/>
      <c r="J1091" s="51" t="n"/>
      <c r="K1091" s="51" t="n"/>
      <c r="L1091" s="54">
        <f>IF(OR(A1091="",C1091="",D1091=""),"",IF(COUNTIFS($A$5:$A$3004,A1091,$C$5:$C$3004,"&lt;"&amp;D1091,$D$5:$D$3004,"&gt;"&amp;C1091)&gt;1,"⚠️ пересечение",""))</f>
        <v/>
      </c>
      <c r="M1091" s="54">
        <f>IF(F1091="","",IF(J1091="✅ Сделано","✔ ",IF(J1091="❌ Пропущено","✖ ","⏰ "))&amp;IF(C1091="","",RIGHT("0"&amp;HOUR(C1091),2)&amp;":"&amp;RIGHT("0"&amp;MINUTE(C1091),2)&amp;IF(D1091="","","–"&amp;RIGHT("0"&amp;HOUR(D1091),2)&amp;":"&amp;RIGHT("0"&amp;MINUTE(D1091),2))&amp;" ")&amp;F1091)</f>
        <v/>
      </c>
      <c r="N1091" s="54">
        <f>IF(OR(A1091="",F1091=""),"",A1091&amp;"#"&amp;(COUNTIFS($A$5:$A$3004,A1091,$F$5:$F$3004,"?*",$O$5:$O$3004,"&lt;"&amp;O1091)+COUNTIFS($A$5:A1091,A1091,$F$5:F1091,"?*",$O$5:O1091,O1091)))</f>
        <v/>
      </c>
      <c r="O1091" s="54">
        <f>IF(A1091="","",IF(C1091="",0,C1091))</f>
        <v/>
      </c>
    </row>
    <row r="1092">
      <c r="A1092" s="58" t="n"/>
      <c r="B1092" s="49">
        <f>IF(A1092="","",CHOOSE(WEEKDAY(A1092,2),"Пн","Вт","Ср","Чт","Пт","Сб","Вс"))</f>
        <v/>
      </c>
      <c r="C1092" s="59" t="n"/>
      <c r="D1092" s="59" t="n"/>
      <c r="E1092" s="60">
        <f>IF(OR(C1092="",D1092=""),"",MOD(D1092-C1092,1)*24)</f>
        <v/>
      </c>
      <c r="F1092" s="50" t="n"/>
      <c r="G1092" s="51" t="n"/>
      <c r="H1092" s="51" t="n"/>
      <c r="I1092" s="51" t="n"/>
      <c r="J1092" s="51" t="n"/>
      <c r="K1092" s="51" t="n"/>
      <c r="L1092" s="54">
        <f>IF(OR(A1092="",C1092="",D1092=""),"",IF(COUNTIFS($A$5:$A$3004,A1092,$C$5:$C$3004,"&lt;"&amp;D1092,$D$5:$D$3004,"&gt;"&amp;C1092)&gt;1,"⚠️ пересечение",""))</f>
        <v/>
      </c>
      <c r="M1092" s="54">
        <f>IF(F1092="","",IF(J1092="✅ Сделано","✔ ",IF(J1092="❌ Пропущено","✖ ","⏰ "))&amp;IF(C1092="","",RIGHT("0"&amp;HOUR(C1092),2)&amp;":"&amp;RIGHT("0"&amp;MINUTE(C1092),2)&amp;IF(D1092="","","–"&amp;RIGHT("0"&amp;HOUR(D1092),2)&amp;":"&amp;RIGHT("0"&amp;MINUTE(D1092),2))&amp;" ")&amp;F1092)</f>
        <v/>
      </c>
      <c r="N1092" s="54">
        <f>IF(OR(A1092="",F1092=""),"",A1092&amp;"#"&amp;(COUNTIFS($A$5:$A$3004,A1092,$F$5:$F$3004,"?*",$O$5:$O$3004,"&lt;"&amp;O1092)+COUNTIFS($A$5:A1092,A1092,$F$5:F1092,"?*",$O$5:O1092,O1092)))</f>
        <v/>
      </c>
      <c r="O1092" s="54">
        <f>IF(A1092="","",IF(C1092="",0,C1092))</f>
        <v/>
      </c>
    </row>
    <row r="1093">
      <c r="A1093" s="58" t="n"/>
      <c r="B1093" s="49">
        <f>IF(A1093="","",CHOOSE(WEEKDAY(A1093,2),"Пн","Вт","Ср","Чт","Пт","Сб","Вс"))</f>
        <v/>
      </c>
      <c r="C1093" s="59" t="n"/>
      <c r="D1093" s="59" t="n"/>
      <c r="E1093" s="60">
        <f>IF(OR(C1093="",D1093=""),"",MOD(D1093-C1093,1)*24)</f>
        <v/>
      </c>
      <c r="F1093" s="50" t="n"/>
      <c r="G1093" s="51" t="n"/>
      <c r="H1093" s="51" t="n"/>
      <c r="I1093" s="51" t="n"/>
      <c r="J1093" s="51" t="n"/>
      <c r="K1093" s="51" t="n"/>
      <c r="L1093" s="54">
        <f>IF(OR(A1093="",C1093="",D1093=""),"",IF(COUNTIFS($A$5:$A$3004,A1093,$C$5:$C$3004,"&lt;"&amp;D1093,$D$5:$D$3004,"&gt;"&amp;C1093)&gt;1,"⚠️ пересечение",""))</f>
        <v/>
      </c>
      <c r="M1093" s="54">
        <f>IF(F1093="","",IF(J1093="✅ Сделано","✔ ",IF(J1093="❌ Пропущено","✖ ","⏰ "))&amp;IF(C1093="","",RIGHT("0"&amp;HOUR(C1093),2)&amp;":"&amp;RIGHT("0"&amp;MINUTE(C1093),2)&amp;IF(D1093="","","–"&amp;RIGHT("0"&amp;HOUR(D1093),2)&amp;":"&amp;RIGHT("0"&amp;MINUTE(D1093),2))&amp;" ")&amp;F1093)</f>
        <v/>
      </c>
      <c r="N1093" s="54">
        <f>IF(OR(A1093="",F1093=""),"",A1093&amp;"#"&amp;(COUNTIFS($A$5:$A$3004,A1093,$F$5:$F$3004,"?*",$O$5:$O$3004,"&lt;"&amp;O1093)+COUNTIFS($A$5:A1093,A1093,$F$5:F1093,"?*",$O$5:O1093,O1093)))</f>
        <v/>
      </c>
      <c r="O1093" s="54">
        <f>IF(A1093="","",IF(C1093="",0,C1093))</f>
        <v/>
      </c>
    </row>
    <row r="1094">
      <c r="A1094" s="58" t="n"/>
      <c r="B1094" s="49">
        <f>IF(A1094="","",CHOOSE(WEEKDAY(A1094,2),"Пн","Вт","Ср","Чт","Пт","Сб","Вс"))</f>
        <v/>
      </c>
      <c r="C1094" s="59" t="n"/>
      <c r="D1094" s="59" t="n"/>
      <c r="E1094" s="60">
        <f>IF(OR(C1094="",D1094=""),"",MOD(D1094-C1094,1)*24)</f>
        <v/>
      </c>
      <c r="F1094" s="50" t="n"/>
      <c r="G1094" s="51" t="n"/>
      <c r="H1094" s="51" t="n"/>
      <c r="I1094" s="51" t="n"/>
      <c r="J1094" s="51" t="n"/>
      <c r="K1094" s="51" t="n"/>
      <c r="L1094" s="54">
        <f>IF(OR(A1094="",C1094="",D1094=""),"",IF(COUNTIFS($A$5:$A$3004,A1094,$C$5:$C$3004,"&lt;"&amp;D1094,$D$5:$D$3004,"&gt;"&amp;C1094)&gt;1,"⚠️ пересечение",""))</f>
        <v/>
      </c>
      <c r="M1094" s="54">
        <f>IF(F1094="","",IF(J1094="✅ Сделано","✔ ",IF(J1094="❌ Пропущено","✖ ","⏰ "))&amp;IF(C1094="","",RIGHT("0"&amp;HOUR(C1094),2)&amp;":"&amp;RIGHT("0"&amp;MINUTE(C1094),2)&amp;IF(D1094="","","–"&amp;RIGHT("0"&amp;HOUR(D1094),2)&amp;":"&amp;RIGHT("0"&amp;MINUTE(D1094),2))&amp;" ")&amp;F1094)</f>
        <v/>
      </c>
      <c r="N1094" s="54">
        <f>IF(OR(A1094="",F1094=""),"",A1094&amp;"#"&amp;(COUNTIFS($A$5:$A$3004,A1094,$F$5:$F$3004,"?*",$O$5:$O$3004,"&lt;"&amp;O1094)+COUNTIFS($A$5:A1094,A1094,$F$5:F1094,"?*",$O$5:O1094,O1094)))</f>
        <v/>
      </c>
      <c r="O1094" s="54">
        <f>IF(A1094="","",IF(C1094="",0,C1094))</f>
        <v/>
      </c>
    </row>
    <row r="1095">
      <c r="A1095" s="58" t="n"/>
      <c r="B1095" s="49">
        <f>IF(A1095="","",CHOOSE(WEEKDAY(A1095,2),"Пн","Вт","Ср","Чт","Пт","Сб","Вс"))</f>
        <v/>
      </c>
      <c r="C1095" s="59" t="n"/>
      <c r="D1095" s="59" t="n"/>
      <c r="E1095" s="60">
        <f>IF(OR(C1095="",D1095=""),"",MOD(D1095-C1095,1)*24)</f>
        <v/>
      </c>
      <c r="F1095" s="50" t="n"/>
      <c r="G1095" s="51" t="n"/>
      <c r="H1095" s="51" t="n"/>
      <c r="I1095" s="51" t="n"/>
      <c r="J1095" s="51" t="n"/>
      <c r="K1095" s="51" t="n"/>
      <c r="L1095" s="54">
        <f>IF(OR(A1095="",C1095="",D1095=""),"",IF(COUNTIFS($A$5:$A$3004,A1095,$C$5:$C$3004,"&lt;"&amp;D1095,$D$5:$D$3004,"&gt;"&amp;C1095)&gt;1,"⚠️ пересечение",""))</f>
        <v/>
      </c>
      <c r="M1095" s="54">
        <f>IF(F1095="","",IF(J1095="✅ Сделано","✔ ",IF(J1095="❌ Пропущено","✖ ","⏰ "))&amp;IF(C1095="","",RIGHT("0"&amp;HOUR(C1095),2)&amp;":"&amp;RIGHT("0"&amp;MINUTE(C1095),2)&amp;IF(D1095="","","–"&amp;RIGHT("0"&amp;HOUR(D1095),2)&amp;":"&amp;RIGHT("0"&amp;MINUTE(D1095),2))&amp;" ")&amp;F1095)</f>
        <v/>
      </c>
      <c r="N1095" s="54">
        <f>IF(OR(A1095="",F1095=""),"",A1095&amp;"#"&amp;(COUNTIFS($A$5:$A$3004,A1095,$F$5:$F$3004,"?*",$O$5:$O$3004,"&lt;"&amp;O1095)+COUNTIFS($A$5:A1095,A1095,$F$5:F1095,"?*",$O$5:O1095,O1095)))</f>
        <v/>
      </c>
      <c r="O1095" s="54">
        <f>IF(A1095="","",IF(C1095="",0,C1095))</f>
        <v/>
      </c>
    </row>
    <row r="1096">
      <c r="A1096" s="58" t="n"/>
      <c r="B1096" s="49">
        <f>IF(A1096="","",CHOOSE(WEEKDAY(A1096,2),"Пн","Вт","Ср","Чт","Пт","Сб","Вс"))</f>
        <v/>
      </c>
      <c r="C1096" s="59" t="n"/>
      <c r="D1096" s="59" t="n"/>
      <c r="E1096" s="60">
        <f>IF(OR(C1096="",D1096=""),"",MOD(D1096-C1096,1)*24)</f>
        <v/>
      </c>
      <c r="F1096" s="50" t="n"/>
      <c r="G1096" s="51" t="n"/>
      <c r="H1096" s="51" t="n"/>
      <c r="I1096" s="51" t="n"/>
      <c r="J1096" s="51" t="n"/>
      <c r="K1096" s="51" t="n"/>
      <c r="L1096" s="54">
        <f>IF(OR(A1096="",C1096="",D1096=""),"",IF(COUNTIFS($A$5:$A$3004,A1096,$C$5:$C$3004,"&lt;"&amp;D1096,$D$5:$D$3004,"&gt;"&amp;C1096)&gt;1,"⚠️ пересечение",""))</f>
        <v/>
      </c>
      <c r="M1096" s="54">
        <f>IF(F1096="","",IF(J1096="✅ Сделано","✔ ",IF(J1096="❌ Пропущено","✖ ","⏰ "))&amp;IF(C1096="","",RIGHT("0"&amp;HOUR(C1096),2)&amp;":"&amp;RIGHT("0"&amp;MINUTE(C1096),2)&amp;IF(D1096="","","–"&amp;RIGHT("0"&amp;HOUR(D1096),2)&amp;":"&amp;RIGHT("0"&amp;MINUTE(D1096),2))&amp;" ")&amp;F1096)</f>
        <v/>
      </c>
      <c r="N1096" s="54">
        <f>IF(OR(A1096="",F1096=""),"",A1096&amp;"#"&amp;(COUNTIFS($A$5:$A$3004,A1096,$F$5:$F$3004,"?*",$O$5:$O$3004,"&lt;"&amp;O1096)+COUNTIFS($A$5:A1096,A1096,$F$5:F1096,"?*",$O$5:O1096,O1096)))</f>
        <v/>
      </c>
      <c r="O1096" s="54">
        <f>IF(A1096="","",IF(C1096="",0,C1096))</f>
        <v/>
      </c>
    </row>
    <row r="1097">
      <c r="A1097" s="58" t="n"/>
      <c r="B1097" s="49">
        <f>IF(A1097="","",CHOOSE(WEEKDAY(A1097,2),"Пн","Вт","Ср","Чт","Пт","Сб","Вс"))</f>
        <v/>
      </c>
      <c r="C1097" s="59" t="n"/>
      <c r="D1097" s="59" t="n"/>
      <c r="E1097" s="60">
        <f>IF(OR(C1097="",D1097=""),"",MOD(D1097-C1097,1)*24)</f>
        <v/>
      </c>
      <c r="F1097" s="50" t="n"/>
      <c r="G1097" s="51" t="n"/>
      <c r="H1097" s="51" t="n"/>
      <c r="I1097" s="51" t="n"/>
      <c r="J1097" s="51" t="n"/>
      <c r="K1097" s="51" t="n"/>
      <c r="L1097" s="54">
        <f>IF(OR(A1097="",C1097="",D1097=""),"",IF(COUNTIFS($A$5:$A$3004,A1097,$C$5:$C$3004,"&lt;"&amp;D1097,$D$5:$D$3004,"&gt;"&amp;C1097)&gt;1,"⚠️ пересечение",""))</f>
        <v/>
      </c>
      <c r="M1097" s="54">
        <f>IF(F1097="","",IF(J1097="✅ Сделано","✔ ",IF(J1097="❌ Пропущено","✖ ","⏰ "))&amp;IF(C1097="","",RIGHT("0"&amp;HOUR(C1097),2)&amp;":"&amp;RIGHT("0"&amp;MINUTE(C1097),2)&amp;IF(D1097="","","–"&amp;RIGHT("0"&amp;HOUR(D1097),2)&amp;":"&amp;RIGHT("0"&amp;MINUTE(D1097),2))&amp;" ")&amp;F1097)</f>
        <v/>
      </c>
      <c r="N1097" s="54">
        <f>IF(OR(A1097="",F1097=""),"",A1097&amp;"#"&amp;(COUNTIFS($A$5:$A$3004,A1097,$F$5:$F$3004,"?*",$O$5:$O$3004,"&lt;"&amp;O1097)+COUNTIFS($A$5:A1097,A1097,$F$5:F1097,"?*",$O$5:O1097,O1097)))</f>
        <v/>
      </c>
      <c r="O1097" s="54">
        <f>IF(A1097="","",IF(C1097="",0,C1097))</f>
        <v/>
      </c>
    </row>
    <row r="1098">
      <c r="A1098" s="58" t="n"/>
      <c r="B1098" s="49">
        <f>IF(A1098="","",CHOOSE(WEEKDAY(A1098,2),"Пн","Вт","Ср","Чт","Пт","Сб","Вс"))</f>
        <v/>
      </c>
      <c r="C1098" s="59" t="n"/>
      <c r="D1098" s="59" t="n"/>
      <c r="E1098" s="60">
        <f>IF(OR(C1098="",D1098=""),"",MOD(D1098-C1098,1)*24)</f>
        <v/>
      </c>
      <c r="F1098" s="50" t="n"/>
      <c r="G1098" s="51" t="n"/>
      <c r="H1098" s="51" t="n"/>
      <c r="I1098" s="51" t="n"/>
      <c r="J1098" s="51" t="n"/>
      <c r="K1098" s="51" t="n"/>
      <c r="L1098" s="54">
        <f>IF(OR(A1098="",C1098="",D1098=""),"",IF(COUNTIFS($A$5:$A$3004,A1098,$C$5:$C$3004,"&lt;"&amp;D1098,$D$5:$D$3004,"&gt;"&amp;C1098)&gt;1,"⚠️ пересечение",""))</f>
        <v/>
      </c>
      <c r="M1098" s="54">
        <f>IF(F1098="","",IF(J1098="✅ Сделано","✔ ",IF(J1098="❌ Пропущено","✖ ","⏰ "))&amp;IF(C1098="","",RIGHT("0"&amp;HOUR(C1098),2)&amp;":"&amp;RIGHT("0"&amp;MINUTE(C1098),2)&amp;IF(D1098="","","–"&amp;RIGHT("0"&amp;HOUR(D1098),2)&amp;":"&amp;RIGHT("0"&amp;MINUTE(D1098),2))&amp;" ")&amp;F1098)</f>
        <v/>
      </c>
      <c r="N1098" s="54">
        <f>IF(OR(A1098="",F1098=""),"",A1098&amp;"#"&amp;(COUNTIFS($A$5:$A$3004,A1098,$F$5:$F$3004,"?*",$O$5:$O$3004,"&lt;"&amp;O1098)+COUNTIFS($A$5:A1098,A1098,$F$5:F1098,"?*",$O$5:O1098,O1098)))</f>
        <v/>
      </c>
      <c r="O1098" s="54">
        <f>IF(A1098="","",IF(C1098="",0,C1098))</f>
        <v/>
      </c>
    </row>
    <row r="1099">
      <c r="A1099" s="58" t="n"/>
      <c r="B1099" s="49">
        <f>IF(A1099="","",CHOOSE(WEEKDAY(A1099,2),"Пн","Вт","Ср","Чт","Пт","Сб","Вс"))</f>
        <v/>
      </c>
      <c r="C1099" s="59" t="n"/>
      <c r="D1099" s="59" t="n"/>
      <c r="E1099" s="60">
        <f>IF(OR(C1099="",D1099=""),"",MOD(D1099-C1099,1)*24)</f>
        <v/>
      </c>
      <c r="F1099" s="50" t="n"/>
      <c r="G1099" s="51" t="n"/>
      <c r="H1099" s="51" t="n"/>
      <c r="I1099" s="51" t="n"/>
      <c r="J1099" s="51" t="n"/>
      <c r="K1099" s="51" t="n"/>
      <c r="L1099" s="54">
        <f>IF(OR(A1099="",C1099="",D1099=""),"",IF(COUNTIFS($A$5:$A$3004,A1099,$C$5:$C$3004,"&lt;"&amp;D1099,$D$5:$D$3004,"&gt;"&amp;C1099)&gt;1,"⚠️ пересечение",""))</f>
        <v/>
      </c>
      <c r="M1099" s="54">
        <f>IF(F1099="","",IF(J1099="✅ Сделано","✔ ",IF(J1099="❌ Пропущено","✖ ","⏰ "))&amp;IF(C1099="","",RIGHT("0"&amp;HOUR(C1099),2)&amp;":"&amp;RIGHT("0"&amp;MINUTE(C1099),2)&amp;IF(D1099="","","–"&amp;RIGHT("0"&amp;HOUR(D1099),2)&amp;":"&amp;RIGHT("0"&amp;MINUTE(D1099),2))&amp;" ")&amp;F1099)</f>
        <v/>
      </c>
      <c r="N1099" s="54">
        <f>IF(OR(A1099="",F1099=""),"",A1099&amp;"#"&amp;(COUNTIFS($A$5:$A$3004,A1099,$F$5:$F$3004,"?*",$O$5:$O$3004,"&lt;"&amp;O1099)+COUNTIFS($A$5:A1099,A1099,$F$5:F1099,"?*",$O$5:O1099,O1099)))</f>
        <v/>
      </c>
      <c r="O1099" s="54">
        <f>IF(A1099="","",IF(C1099="",0,C1099))</f>
        <v/>
      </c>
    </row>
    <row r="1100">
      <c r="A1100" s="58" t="n"/>
      <c r="B1100" s="49">
        <f>IF(A1100="","",CHOOSE(WEEKDAY(A1100,2),"Пн","Вт","Ср","Чт","Пт","Сб","Вс"))</f>
        <v/>
      </c>
      <c r="C1100" s="59" t="n"/>
      <c r="D1100" s="59" t="n"/>
      <c r="E1100" s="60">
        <f>IF(OR(C1100="",D1100=""),"",MOD(D1100-C1100,1)*24)</f>
        <v/>
      </c>
      <c r="F1100" s="50" t="n"/>
      <c r="G1100" s="51" t="n"/>
      <c r="H1100" s="51" t="n"/>
      <c r="I1100" s="51" t="n"/>
      <c r="J1100" s="51" t="n"/>
      <c r="K1100" s="51" t="n"/>
      <c r="L1100" s="54">
        <f>IF(OR(A1100="",C1100="",D1100=""),"",IF(COUNTIFS($A$5:$A$3004,A1100,$C$5:$C$3004,"&lt;"&amp;D1100,$D$5:$D$3004,"&gt;"&amp;C1100)&gt;1,"⚠️ пересечение",""))</f>
        <v/>
      </c>
      <c r="M1100" s="54">
        <f>IF(F1100="","",IF(J1100="✅ Сделано","✔ ",IF(J1100="❌ Пропущено","✖ ","⏰ "))&amp;IF(C1100="","",RIGHT("0"&amp;HOUR(C1100),2)&amp;":"&amp;RIGHT("0"&amp;MINUTE(C1100),2)&amp;IF(D1100="","","–"&amp;RIGHT("0"&amp;HOUR(D1100),2)&amp;":"&amp;RIGHT("0"&amp;MINUTE(D1100),2))&amp;" ")&amp;F1100)</f>
        <v/>
      </c>
      <c r="N1100" s="54">
        <f>IF(OR(A1100="",F1100=""),"",A1100&amp;"#"&amp;(COUNTIFS($A$5:$A$3004,A1100,$F$5:$F$3004,"?*",$O$5:$O$3004,"&lt;"&amp;O1100)+COUNTIFS($A$5:A1100,A1100,$F$5:F1100,"?*",$O$5:O1100,O1100)))</f>
        <v/>
      </c>
      <c r="O1100" s="54">
        <f>IF(A1100="","",IF(C1100="",0,C1100))</f>
        <v/>
      </c>
    </row>
    <row r="1101">
      <c r="A1101" s="58" t="n"/>
      <c r="B1101" s="49">
        <f>IF(A1101="","",CHOOSE(WEEKDAY(A1101,2),"Пн","Вт","Ср","Чт","Пт","Сб","Вс"))</f>
        <v/>
      </c>
      <c r="C1101" s="59" t="n"/>
      <c r="D1101" s="59" t="n"/>
      <c r="E1101" s="60">
        <f>IF(OR(C1101="",D1101=""),"",MOD(D1101-C1101,1)*24)</f>
        <v/>
      </c>
      <c r="F1101" s="50" t="n"/>
      <c r="G1101" s="51" t="n"/>
      <c r="H1101" s="51" t="n"/>
      <c r="I1101" s="51" t="n"/>
      <c r="J1101" s="51" t="n"/>
      <c r="K1101" s="51" t="n"/>
      <c r="L1101" s="54">
        <f>IF(OR(A1101="",C1101="",D1101=""),"",IF(COUNTIFS($A$5:$A$3004,A1101,$C$5:$C$3004,"&lt;"&amp;D1101,$D$5:$D$3004,"&gt;"&amp;C1101)&gt;1,"⚠️ пересечение",""))</f>
        <v/>
      </c>
      <c r="M1101" s="54">
        <f>IF(F1101="","",IF(J1101="✅ Сделано","✔ ",IF(J1101="❌ Пропущено","✖ ","⏰ "))&amp;IF(C1101="","",RIGHT("0"&amp;HOUR(C1101),2)&amp;":"&amp;RIGHT("0"&amp;MINUTE(C1101),2)&amp;IF(D1101="","","–"&amp;RIGHT("0"&amp;HOUR(D1101),2)&amp;":"&amp;RIGHT("0"&amp;MINUTE(D1101),2))&amp;" ")&amp;F1101)</f>
        <v/>
      </c>
      <c r="N1101" s="54">
        <f>IF(OR(A1101="",F1101=""),"",A1101&amp;"#"&amp;(COUNTIFS($A$5:$A$3004,A1101,$F$5:$F$3004,"?*",$O$5:$O$3004,"&lt;"&amp;O1101)+COUNTIFS($A$5:A1101,A1101,$F$5:F1101,"?*",$O$5:O1101,O1101)))</f>
        <v/>
      </c>
      <c r="O1101" s="54">
        <f>IF(A1101="","",IF(C1101="",0,C1101))</f>
        <v/>
      </c>
    </row>
    <row r="1102">
      <c r="A1102" s="58" t="n"/>
      <c r="B1102" s="49">
        <f>IF(A1102="","",CHOOSE(WEEKDAY(A1102,2),"Пн","Вт","Ср","Чт","Пт","Сб","Вс"))</f>
        <v/>
      </c>
      <c r="C1102" s="59" t="n"/>
      <c r="D1102" s="59" t="n"/>
      <c r="E1102" s="60">
        <f>IF(OR(C1102="",D1102=""),"",MOD(D1102-C1102,1)*24)</f>
        <v/>
      </c>
      <c r="F1102" s="50" t="n"/>
      <c r="G1102" s="51" t="n"/>
      <c r="H1102" s="51" t="n"/>
      <c r="I1102" s="51" t="n"/>
      <c r="J1102" s="51" t="n"/>
      <c r="K1102" s="51" t="n"/>
      <c r="L1102" s="54">
        <f>IF(OR(A1102="",C1102="",D1102=""),"",IF(COUNTIFS($A$5:$A$3004,A1102,$C$5:$C$3004,"&lt;"&amp;D1102,$D$5:$D$3004,"&gt;"&amp;C1102)&gt;1,"⚠️ пересечение",""))</f>
        <v/>
      </c>
      <c r="M1102" s="54">
        <f>IF(F1102="","",IF(J1102="✅ Сделано","✔ ",IF(J1102="❌ Пропущено","✖ ","⏰ "))&amp;IF(C1102="","",RIGHT("0"&amp;HOUR(C1102),2)&amp;":"&amp;RIGHT("0"&amp;MINUTE(C1102),2)&amp;IF(D1102="","","–"&amp;RIGHT("0"&amp;HOUR(D1102),2)&amp;":"&amp;RIGHT("0"&amp;MINUTE(D1102),2))&amp;" ")&amp;F1102)</f>
        <v/>
      </c>
      <c r="N1102" s="54">
        <f>IF(OR(A1102="",F1102=""),"",A1102&amp;"#"&amp;(COUNTIFS($A$5:$A$3004,A1102,$F$5:$F$3004,"?*",$O$5:$O$3004,"&lt;"&amp;O1102)+COUNTIFS($A$5:A1102,A1102,$F$5:F1102,"?*",$O$5:O1102,O1102)))</f>
        <v/>
      </c>
      <c r="O1102" s="54">
        <f>IF(A1102="","",IF(C1102="",0,C1102))</f>
        <v/>
      </c>
    </row>
    <row r="1103">
      <c r="A1103" s="58" t="n"/>
      <c r="B1103" s="49">
        <f>IF(A1103="","",CHOOSE(WEEKDAY(A1103,2),"Пн","Вт","Ср","Чт","Пт","Сб","Вс"))</f>
        <v/>
      </c>
      <c r="C1103" s="59" t="n"/>
      <c r="D1103" s="59" t="n"/>
      <c r="E1103" s="60">
        <f>IF(OR(C1103="",D1103=""),"",MOD(D1103-C1103,1)*24)</f>
        <v/>
      </c>
      <c r="F1103" s="50" t="n"/>
      <c r="G1103" s="51" t="n"/>
      <c r="H1103" s="51" t="n"/>
      <c r="I1103" s="51" t="n"/>
      <c r="J1103" s="51" t="n"/>
      <c r="K1103" s="51" t="n"/>
      <c r="L1103" s="54">
        <f>IF(OR(A1103="",C1103="",D1103=""),"",IF(COUNTIFS($A$5:$A$3004,A1103,$C$5:$C$3004,"&lt;"&amp;D1103,$D$5:$D$3004,"&gt;"&amp;C1103)&gt;1,"⚠️ пересечение",""))</f>
        <v/>
      </c>
      <c r="M1103" s="54">
        <f>IF(F1103="","",IF(J1103="✅ Сделано","✔ ",IF(J1103="❌ Пропущено","✖ ","⏰ "))&amp;IF(C1103="","",RIGHT("0"&amp;HOUR(C1103),2)&amp;":"&amp;RIGHT("0"&amp;MINUTE(C1103),2)&amp;IF(D1103="","","–"&amp;RIGHT("0"&amp;HOUR(D1103),2)&amp;":"&amp;RIGHT("0"&amp;MINUTE(D1103),2))&amp;" ")&amp;F1103)</f>
        <v/>
      </c>
      <c r="N1103" s="54">
        <f>IF(OR(A1103="",F1103=""),"",A1103&amp;"#"&amp;(COUNTIFS($A$5:$A$3004,A1103,$F$5:$F$3004,"?*",$O$5:$O$3004,"&lt;"&amp;O1103)+COUNTIFS($A$5:A1103,A1103,$F$5:F1103,"?*",$O$5:O1103,O1103)))</f>
        <v/>
      </c>
      <c r="O1103" s="54">
        <f>IF(A1103="","",IF(C1103="",0,C1103))</f>
        <v/>
      </c>
    </row>
    <row r="1104">
      <c r="A1104" s="58" t="n"/>
      <c r="B1104" s="49">
        <f>IF(A1104="","",CHOOSE(WEEKDAY(A1104,2),"Пн","Вт","Ср","Чт","Пт","Сб","Вс"))</f>
        <v/>
      </c>
      <c r="C1104" s="59" t="n"/>
      <c r="D1104" s="59" t="n"/>
      <c r="E1104" s="60">
        <f>IF(OR(C1104="",D1104=""),"",MOD(D1104-C1104,1)*24)</f>
        <v/>
      </c>
      <c r="F1104" s="50" t="n"/>
      <c r="G1104" s="51" t="n"/>
      <c r="H1104" s="51" t="n"/>
      <c r="I1104" s="51" t="n"/>
      <c r="J1104" s="51" t="n"/>
      <c r="K1104" s="51" t="n"/>
      <c r="L1104" s="54">
        <f>IF(OR(A1104="",C1104="",D1104=""),"",IF(COUNTIFS($A$5:$A$3004,A1104,$C$5:$C$3004,"&lt;"&amp;D1104,$D$5:$D$3004,"&gt;"&amp;C1104)&gt;1,"⚠️ пересечение",""))</f>
        <v/>
      </c>
      <c r="M1104" s="54">
        <f>IF(F1104="","",IF(J1104="✅ Сделано","✔ ",IF(J1104="❌ Пропущено","✖ ","⏰ "))&amp;IF(C1104="","",RIGHT("0"&amp;HOUR(C1104),2)&amp;":"&amp;RIGHT("0"&amp;MINUTE(C1104),2)&amp;IF(D1104="","","–"&amp;RIGHT("0"&amp;HOUR(D1104),2)&amp;":"&amp;RIGHT("0"&amp;MINUTE(D1104),2))&amp;" ")&amp;F1104)</f>
        <v/>
      </c>
      <c r="N1104" s="54">
        <f>IF(OR(A1104="",F1104=""),"",A1104&amp;"#"&amp;(COUNTIFS($A$5:$A$3004,A1104,$F$5:$F$3004,"?*",$O$5:$O$3004,"&lt;"&amp;O1104)+COUNTIFS($A$5:A1104,A1104,$F$5:F1104,"?*",$O$5:O1104,O1104)))</f>
        <v/>
      </c>
      <c r="O1104" s="54">
        <f>IF(A1104="","",IF(C1104="",0,C1104))</f>
        <v/>
      </c>
    </row>
    <row r="1105">
      <c r="A1105" s="58" t="n"/>
      <c r="B1105" s="49">
        <f>IF(A1105="","",CHOOSE(WEEKDAY(A1105,2),"Пн","Вт","Ср","Чт","Пт","Сб","Вс"))</f>
        <v/>
      </c>
      <c r="C1105" s="59" t="n"/>
      <c r="D1105" s="59" t="n"/>
      <c r="E1105" s="60">
        <f>IF(OR(C1105="",D1105=""),"",MOD(D1105-C1105,1)*24)</f>
        <v/>
      </c>
      <c r="F1105" s="50" t="n"/>
      <c r="G1105" s="51" t="n"/>
      <c r="H1105" s="51" t="n"/>
      <c r="I1105" s="51" t="n"/>
      <c r="J1105" s="51" t="n"/>
      <c r="K1105" s="51" t="n"/>
      <c r="L1105" s="54">
        <f>IF(OR(A1105="",C1105="",D1105=""),"",IF(COUNTIFS($A$5:$A$3004,A1105,$C$5:$C$3004,"&lt;"&amp;D1105,$D$5:$D$3004,"&gt;"&amp;C1105)&gt;1,"⚠️ пересечение",""))</f>
        <v/>
      </c>
      <c r="M1105" s="54">
        <f>IF(F1105="","",IF(J1105="✅ Сделано","✔ ",IF(J1105="❌ Пропущено","✖ ","⏰ "))&amp;IF(C1105="","",RIGHT("0"&amp;HOUR(C1105),2)&amp;":"&amp;RIGHT("0"&amp;MINUTE(C1105),2)&amp;IF(D1105="","","–"&amp;RIGHT("0"&amp;HOUR(D1105),2)&amp;":"&amp;RIGHT("0"&amp;MINUTE(D1105),2))&amp;" ")&amp;F1105)</f>
        <v/>
      </c>
      <c r="N1105" s="54">
        <f>IF(OR(A1105="",F1105=""),"",A1105&amp;"#"&amp;(COUNTIFS($A$5:$A$3004,A1105,$F$5:$F$3004,"?*",$O$5:$O$3004,"&lt;"&amp;O1105)+COUNTIFS($A$5:A1105,A1105,$F$5:F1105,"?*",$O$5:O1105,O1105)))</f>
        <v/>
      </c>
      <c r="O1105" s="54">
        <f>IF(A1105="","",IF(C1105="",0,C1105))</f>
        <v/>
      </c>
    </row>
    <row r="1106">
      <c r="A1106" s="58" t="n"/>
      <c r="B1106" s="49">
        <f>IF(A1106="","",CHOOSE(WEEKDAY(A1106,2),"Пн","Вт","Ср","Чт","Пт","Сб","Вс"))</f>
        <v/>
      </c>
      <c r="C1106" s="59" t="n"/>
      <c r="D1106" s="59" t="n"/>
      <c r="E1106" s="60">
        <f>IF(OR(C1106="",D1106=""),"",MOD(D1106-C1106,1)*24)</f>
        <v/>
      </c>
      <c r="F1106" s="50" t="n"/>
      <c r="G1106" s="51" t="n"/>
      <c r="H1106" s="51" t="n"/>
      <c r="I1106" s="51" t="n"/>
      <c r="J1106" s="51" t="n"/>
      <c r="K1106" s="51" t="n"/>
      <c r="L1106" s="54">
        <f>IF(OR(A1106="",C1106="",D1106=""),"",IF(COUNTIFS($A$5:$A$3004,A1106,$C$5:$C$3004,"&lt;"&amp;D1106,$D$5:$D$3004,"&gt;"&amp;C1106)&gt;1,"⚠️ пересечение",""))</f>
        <v/>
      </c>
      <c r="M1106" s="54">
        <f>IF(F1106="","",IF(J1106="✅ Сделано","✔ ",IF(J1106="❌ Пропущено","✖ ","⏰ "))&amp;IF(C1106="","",RIGHT("0"&amp;HOUR(C1106),2)&amp;":"&amp;RIGHT("0"&amp;MINUTE(C1106),2)&amp;IF(D1106="","","–"&amp;RIGHT("0"&amp;HOUR(D1106),2)&amp;":"&amp;RIGHT("0"&amp;MINUTE(D1106),2))&amp;" ")&amp;F1106)</f>
        <v/>
      </c>
      <c r="N1106" s="54">
        <f>IF(OR(A1106="",F1106=""),"",A1106&amp;"#"&amp;(COUNTIFS($A$5:$A$3004,A1106,$F$5:$F$3004,"?*",$O$5:$O$3004,"&lt;"&amp;O1106)+COUNTIFS($A$5:A1106,A1106,$F$5:F1106,"?*",$O$5:O1106,O1106)))</f>
        <v/>
      </c>
      <c r="O1106" s="54">
        <f>IF(A1106="","",IF(C1106="",0,C1106))</f>
        <v/>
      </c>
    </row>
    <row r="1107">
      <c r="A1107" s="58" t="n"/>
      <c r="B1107" s="49">
        <f>IF(A1107="","",CHOOSE(WEEKDAY(A1107,2),"Пн","Вт","Ср","Чт","Пт","Сб","Вс"))</f>
        <v/>
      </c>
      <c r="C1107" s="59" t="n"/>
      <c r="D1107" s="59" t="n"/>
      <c r="E1107" s="60">
        <f>IF(OR(C1107="",D1107=""),"",MOD(D1107-C1107,1)*24)</f>
        <v/>
      </c>
      <c r="F1107" s="50" t="n"/>
      <c r="G1107" s="51" t="n"/>
      <c r="H1107" s="51" t="n"/>
      <c r="I1107" s="51" t="n"/>
      <c r="J1107" s="51" t="n"/>
      <c r="K1107" s="51" t="n"/>
      <c r="L1107" s="54">
        <f>IF(OR(A1107="",C1107="",D1107=""),"",IF(COUNTIFS($A$5:$A$3004,A1107,$C$5:$C$3004,"&lt;"&amp;D1107,$D$5:$D$3004,"&gt;"&amp;C1107)&gt;1,"⚠️ пересечение",""))</f>
        <v/>
      </c>
      <c r="M1107" s="54">
        <f>IF(F1107="","",IF(J1107="✅ Сделано","✔ ",IF(J1107="❌ Пропущено","✖ ","⏰ "))&amp;IF(C1107="","",RIGHT("0"&amp;HOUR(C1107),2)&amp;":"&amp;RIGHT("0"&amp;MINUTE(C1107),2)&amp;IF(D1107="","","–"&amp;RIGHT("0"&amp;HOUR(D1107),2)&amp;":"&amp;RIGHT("0"&amp;MINUTE(D1107),2))&amp;" ")&amp;F1107)</f>
        <v/>
      </c>
      <c r="N1107" s="54">
        <f>IF(OR(A1107="",F1107=""),"",A1107&amp;"#"&amp;(COUNTIFS($A$5:$A$3004,A1107,$F$5:$F$3004,"?*",$O$5:$O$3004,"&lt;"&amp;O1107)+COUNTIFS($A$5:A1107,A1107,$F$5:F1107,"?*",$O$5:O1107,O1107)))</f>
        <v/>
      </c>
      <c r="O1107" s="54">
        <f>IF(A1107="","",IF(C1107="",0,C1107))</f>
        <v/>
      </c>
    </row>
    <row r="1108">
      <c r="A1108" s="58" t="n"/>
      <c r="B1108" s="49">
        <f>IF(A1108="","",CHOOSE(WEEKDAY(A1108,2),"Пн","Вт","Ср","Чт","Пт","Сб","Вс"))</f>
        <v/>
      </c>
      <c r="C1108" s="59" t="n"/>
      <c r="D1108" s="59" t="n"/>
      <c r="E1108" s="60">
        <f>IF(OR(C1108="",D1108=""),"",MOD(D1108-C1108,1)*24)</f>
        <v/>
      </c>
      <c r="F1108" s="50" t="n"/>
      <c r="G1108" s="51" t="n"/>
      <c r="H1108" s="51" t="n"/>
      <c r="I1108" s="51" t="n"/>
      <c r="J1108" s="51" t="n"/>
      <c r="K1108" s="51" t="n"/>
      <c r="L1108" s="54">
        <f>IF(OR(A1108="",C1108="",D1108=""),"",IF(COUNTIFS($A$5:$A$3004,A1108,$C$5:$C$3004,"&lt;"&amp;D1108,$D$5:$D$3004,"&gt;"&amp;C1108)&gt;1,"⚠️ пересечение",""))</f>
        <v/>
      </c>
      <c r="M1108" s="54">
        <f>IF(F1108="","",IF(J1108="✅ Сделано","✔ ",IF(J1108="❌ Пропущено","✖ ","⏰ "))&amp;IF(C1108="","",RIGHT("0"&amp;HOUR(C1108),2)&amp;":"&amp;RIGHT("0"&amp;MINUTE(C1108),2)&amp;IF(D1108="","","–"&amp;RIGHT("0"&amp;HOUR(D1108),2)&amp;":"&amp;RIGHT("0"&amp;MINUTE(D1108),2))&amp;" ")&amp;F1108)</f>
        <v/>
      </c>
      <c r="N1108" s="54">
        <f>IF(OR(A1108="",F1108=""),"",A1108&amp;"#"&amp;(COUNTIFS($A$5:$A$3004,A1108,$F$5:$F$3004,"?*",$O$5:$O$3004,"&lt;"&amp;O1108)+COUNTIFS($A$5:A1108,A1108,$F$5:F1108,"?*",$O$5:O1108,O1108)))</f>
        <v/>
      </c>
      <c r="O1108" s="54">
        <f>IF(A1108="","",IF(C1108="",0,C1108))</f>
        <v/>
      </c>
    </row>
    <row r="1109">
      <c r="A1109" s="58" t="n"/>
      <c r="B1109" s="49">
        <f>IF(A1109="","",CHOOSE(WEEKDAY(A1109,2),"Пн","Вт","Ср","Чт","Пт","Сб","Вс"))</f>
        <v/>
      </c>
      <c r="C1109" s="59" t="n"/>
      <c r="D1109" s="59" t="n"/>
      <c r="E1109" s="60">
        <f>IF(OR(C1109="",D1109=""),"",MOD(D1109-C1109,1)*24)</f>
        <v/>
      </c>
      <c r="F1109" s="50" t="n"/>
      <c r="G1109" s="51" t="n"/>
      <c r="H1109" s="51" t="n"/>
      <c r="I1109" s="51" t="n"/>
      <c r="J1109" s="51" t="n"/>
      <c r="K1109" s="51" t="n"/>
      <c r="L1109" s="54">
        <f>IF(OR(A1109="",C1109="",D1109=""),"",IF(COUNTIFS($A$5:$A$3004,A1109,$C$5:$C$3004,"&lt;"&amp;D1109,$D$5:$D$3004,"&gt;"&amp;C1109)&gt;1,"⚠️ пересечение",""))</f>
        <v/>
      </c>
      <c r="M1109" s="54">
        <f>IF(F1109="","",IF(J1109="✅ Сделано","✔ ",IF(J1109="❌ Пропущено","✖ ","⏰ "))&amp;IF(C1109="","",RIGHT("0"&amp;HOUR(C1109),2)&amp;":"&amp;RIGHT("0"&amp;MINUTE(C1109),2)&amp;IF(D1109="","","–"&amp;RIGHT("0"&amp;HOUR(D1109),2)&amp;":"&amp;RIGHT("0"&amp;MINUTE(D1109),2))&amp;" ")&amp;F1109)</f>
        <v/>
      </c>
      <c r="N1109" s="54">
        <f>IF(OR(A1109="",F1109=""),"",A1109&amp;"#"&amp;(COUNTIFS($A$5:$A$3004,A1109,$F$5:$F$3004,"?*",$O$5:$O$3004,"&lt;"&amp;O1109)+COUNTIFS($A$5:A1109,A1109,$F$5:F1109,"?*",$O$5:O1109,O1109)))</f>
        <v/>
      </c>
      <c r="O1109" s="54">
        <f>IF(A1109="","",IF(C1109="",0,C1109))</f>
        <v/>
      </c>
    </row>
    <row r="1110">
      <c r="A1110" s="58" t="n"/>
      <c r="B1110" s="49">
        <f>IF(A1110="","",CHOOSE(WEEKDAY(A1110,2),"Пн","Вт","Ср","Чт","Пт","Сб","Вс"))</f>
        <v/>
      </c>
      <c r="C1110" s="59" t="n"/>
      <c r="D1110" s="59" t="n"/>
      <c r="E1110" s="60">
        <f>IF(OR(C1110="",D1110=""),"",MOD(D1110-C1110,1)*24)</f>
        <v/>
      </c>
      <c r="F1110" s="50" t="n"/>
      <c r="G1110" s="51" t="n"/>
      <c r="H1110" s="51" t="n"/>
      <c r="I1110" s="51" t="n"/>
      <c r="J1110" s="51" t="n"/>
      <c r="K1110" s="51" t="n"/>
      <c r="L1110" s="54">
        <f>IF(OR(A1110="",C1110="",D1110=""),"",IF(COUNTIFS($A$5:$A$3004,A1110,$C$5:$C$3004,"&lt;"&amp;D1110,$D$5:$D$3004,"&gt;"&amp;C1110)&gt;1,"⚠️ пересечение",""))</f>
        <v/>
      </c>
      <c r="M1110" s="54">
        <f>IF(F1110="","",IF(J1110="✅ Сделано","✔ ",IF(J1110="❌ Пропущено","✖ ","⏰ "))&amp;IF(C1110="","",RIGHT("0"&amp;HOUR(C1110),2)&amp;":"&amp;RIGHT("0"&amp;MINUTE(C1110),2)&amp;IF(D1110="","","–"&amp;RIGHT("0"&amp;HOUR(D1110),2)&amp;":"&amp;RIGHT("0"&amp;MINUTE(D1110),2))&amp;" ")&amp;F1110)</f>
        <v/>
      </c>
      <c r="N1110" s="54">
        <f>IF(OR(A1110="",F1110=""),"",A1110&amp;"#"&amp;(COUNTIFS($A$5:$A$3004,A1110,$F$5:$F$3004,"?*",$O$5:$O$3004,"&lt;"&amp;O1110)+COUNTIFS($A$5:A1110,A1110,$F$5:F1110,"?*",$O$5:O1110,O1110)))</f>
        <v/>
      </c>
      <c r="O1110" s="54">
        <f>IF(A1110="","",IF(C1110="",0,C1110))</f>
        <v/>
      </c>
    </row>
    <row r="1111">
      <c r="A1111" s="58" t="n"/>
      <c r="B1111" s="49">
        <f>IF(A1111="","",CHOOSE(WEEKDAY(A1111,2),"Пн","Вт","Ср","Чт","Пт","Сб","Вс"))</f>
        <v/>
      </c>
      <c r="C1111" s="59" t="n"/>
      <c r="D1111" s="59" t="n"/>
      <c r="E1111" s="60">
        <f>IF(OR(C1111="",D1111=""),"",MOD(D1111-C1111,1)*24)</f>
        <v/>
      </c>
      <c r="F1111" s="50" t="n"/>
      <c r="G1111" s="51" t="n"/>
      <c r="H1111" s="51" t="n"/>
      <c r="I1111" s="51" t="n"/>
      <c r="J1111" s="51" t="n"/>
      <c r="K1111" s="51" t="n"/>
      <c r="L1111" s="54">
        <f>IF(OR(A1111="",C1111="",D1111=""),"",IF(COUNTIFS($A$5:$A$3004,A1111,$C$5:$C$3004,"&lt;"&amp;D1111,$D$5:$D$3004,"&gt;"&amp;C1111)&gt;1,"⚠️ пересечение",""))</f>
        <v/>
      </c>
      <c r="M1111" s="54">
        <f>IF(F1111="","",IF(J1111="✅ Сделано","✔ ",IF(J1111="❌ Пропущено","✖ ","⏰ "))&amp;IF(C1111="","",RIGHT("0"&amp;HOUR(C1111),2)&amp;":"&amp;RIGHT("0"&amp;MINUTE(C1111),2)&amp;IF(D1111="","","–"&amp;RIGHT("0"&amp;HOUR(D1111),2)&amp;":"&amp;RIGHT("0"&amp;MINUTE(D1111),2))&amp;" ")&amp;F1111)</f>
        <v/>
      </c>
      <c r="N1111" s="54">
        <f>IF(OR(A1111="",F1111=""),"",A1111&amp;"#"&amp;(COUNTIFS($A$5:$A$3004,A1111,$F$5:$F$3004,"?*",$O$5:$O$3004,"&lt;"&amp;O1111)+COUNTIFS($A$5:A1111,A1111,$F$5:F1111,"?*",$O$5:O1111,O1111)))</f>
        <v/>
      </c>
      <c r="O1111" s="54">
        <f>IF(A1111="","",IF(C1111="",0,C1111))</f>
        <v/>
      </c>
    </row>
    <row r="1112">
      <c r="A1112" s="58" t="n"/>
      <c r="B1112" s="49">
        <f>IF(A1112="","",CHOOSE(WEEKDAY(A1112,2),"Пн","Вт","Ср","Чт","Пт","Сб","Вс"))</f>
        <v/>
      </c>
      <c r="C1112" s="59" t="n"/>
      <c r="D1112" s="59" t="n"/>
      <c r="E1112" s="60">
        <f>IF(OR(C1112="",D1112=""),"",MOD(D1112-C1112,1)*24)</f>
        <v/>
      </c>
      <c r="F1112" s="50" t="n"/>
      <c r="G1112" s="51" t="n"/>
      <c r="H1112" s="51" t="n"/>
      <c r="I1112" s="51" t="n"/>
      <c r="J1112" s="51" t="n"/>
      <c r="K1112" s="51" t="n"/>
      <c r="L1112" s="54">
        <f>IF(OR(A1112="",C1112="",D1112=""),"",IF(COUNTIFS($A$5:$A$3004,A1112,$C$5:$C$3004,"&lt;"&amp;D1112,$D$5:$D$3004,"&gt;"&amp;C1112)&gt;1,"⚠️ пересечение",""))</f>
        <v/>
      </c>
      <c r="M1112" s="54">
        <f>IF(F1112="","",IF(J1112="✅ Сделано","✔ ",IF(J1112="❌ Пропущено","✖ ","⏰ "))&amp;IF(C1112="","",RIGHT("0"&amp;HOUR(C1112),2)&amp;":"&amp;RIGHT("0"&amp;MINUTE(C1112),2)&amp;IF(D1112="","","–"&amp;RIGHT("0"&amp;HOUR(D1112),2)&amp;":"&amp;RIGHT("0"&amp;MINUTE(D1112),2))&amp;" ")&amp;F1112)</f>
        <v/>
      </c>
      <c r="N1112" s="54">
        <f>IF(OR(A1112="",F1112=""),"",A1112&amp;"#"&amp;(COUNTIFS($A$5:$A$3004,A1112,$F$5:$F$3004,"?*",$O$5:$O$3004,"&lt;"&amp;O1112)+COUNTIFS($A$5:A1112,A1112,$F$5:F1112,"?*",$O$5:O1112,O1112)))</f>
        <v/>
      </c>
      <c r="O1112" s="54">
        <f>IF(A1112="","",IF(C1112="",0,C1112))</f>
        <v/>
      </c>
    </row>
    <row r="1113">
      <c r="A1113" s="58" t="n"/>
      <c r="B1113" s="49">
        <f>IF(A1113="","",CHOOSE(WEEKDAY(A1113,2),"Пн","Вт","Ср","Чт","Пт","Сб","Вс"))</f>
        <v/>
      </c>
      <c r="C1113" s="59" t="n"/>
      <c r="D1113" s="59" t="n"/>
      <c r="E1113" s="60">
        <f>IF(OR(C1113="",D1113=""),"",MOD(D1113-C1113,1)*24)</f>
        <v/>
      </c>
      <c r="F1113" s="50" t="n"/>
      <c r="G1113" s="51" t="n"/>
      <c r="H1113" s="51" t="n"/>
      <c r="I1113" s="51" t="n"/>
      <c r="J1113" s="51" t="n"/>
      <c r="K1113" s="51" t="n"/>
      <c r="L1113" s="54">
        <f>IF(OR(A1113="",C1113="",D1113=""),"",IF(COUNTIFS($A$5:$A$3004,A1113,$C$5:$C$3004,"&lt;"&amp;D1113,$D$5:$D$3004,"&gt;"&amp;C1113)&gt;1,"⚠️ пересечение",""))</f>
        <v/>
      </c>
      <c r="M1113" s="54">
        <f>IF(F1113="","",IF(J1113="✅ Сделано","✔ ",IF(J1113="❌ Пропущено","✖ ","⏰ "))&amp;IF(C1113="","",RIGHT("0"&amp;HOUR(C1113),2)&amp;":"&amp;RIGHT("0"&amp;MINUTE(C1113),2)&amp;IF(D1113="","","–"&amp;RIGHT("0"&amp;HOUR(D1113),2)&amp;":"&amp;RIGHT("0"&amp;MINUTE(D1113),2))&amp;" ")&amp;F1113)</f>
        <v/>
      </c>
      <c r="N1113" s="54">
        <f>IF(OR(A1113="",F1113=""),"",A1113&amp;"#"&amp;(COUNTIFS($A$5:$A$3004,A1113,$F$5:$F$3004,"?*",$O$5:$O$3004,"&lt;"&amp;O1113)+COUNTIFS($A$5:A1113,A1113,$F$5:F1113,"?*",$O$5:O1113,O1113)))</f>
        <v/>
      </c>
      <c r="O1113" s="54">
        <f>IF(A1113="","",IF(C1113="",0,C1113))</f>
        <v/>
      </c>
    </row>
    <row r="1114">
      <c r="A1114" s="58" t="n"/>
      <c r="B1114" s="49">
        <f>IF(A1114="","",CHOOSE(WEEKDAY(A1114,2),"Пн","Вт","Ср","Чт","Пт","Сб","Вс"))</f>
        <v/>
      </c>
      <c r="C1114" s="59" t="n"/>
      <c r="D1114" s="59" t="n"/>
      <c r="E1114" s="60">
        <f>IF(OR(C1114="",D1114=""),"",MOD(D1114-C1114,1)*24)</f>
        <v/>
      </c>
      <c r="F1114" s="50" t="n"/>
      <c r="G1114" s="51" t="n"/>
      <c r="H1114" s="51" t="n"/>
      <c r="I1114" s="51" t="n"/>
      <c r="J1114" s="51" t="n"/>
      <c r="K1114" s="51" t="n"/>
      <c r="L1114" s="54">
        <f>IF(OR(A1114="",C1114="",D1114=""),"",IF(COUNTIFS($A$5:$A$3004,A1114,$C$5:$C$3004,"&lt;"&amp;D1114,$D$5:$D$3004,"&gt;"&amp;C1114)&gt;1,"⚠️ пересечение",""))</f>
        <v/>
      </c>
      <c r="M1114" s="54">
        <f>IF(F1114="","",IF(J1114="✅ Сделано","✔ ",IF(J1114="❌ Пропущено","✖ ","⏰ "))&amp;IF(C1114="","",RIGHT("0"&amp;HOUR(C1114),2)&amp;":"&amp;RIGHT("0"&amp;MINUTE(C1114),2)&amp;IF(D1114="","","–"&amp;RIGHT("0"&amp;HOUR(D1114),2)&amp;":"&amp;RIGHT("0"&amp;MINUTE(D1114),2))&amp;" ")&amp;F1114)</f>
        <v/>
      </c>
      <c r="N1114" s="54">
        <f>IF(OR(A1114="",F1114=""),"",A1114&amp;"#"&amp;(COUNTIFS($A$5:$A$3004,A1114,$F$5:$F$3004,"?*",$O$5:$O$3004,"&lt;"&amp;O1114)+COUNTIFS($A$5:A1114,A1114,$F$5:F1114,"?*",$O$5:O1114,O1114)))</f>
        <v/>
      </c>
      <c r="O1114" s="54">
        <f>IF(A1114="","",IF(C1114="",0,C1114))</f>
        <v/>
      </c>
    </row>
    <row r="1115">
      <c r="A1115" s="58" t="n"/>
      <c r="B1115" s="49">
        <f>IF(A1115="","",CHOOSE(WEEKDAY(A1115,2),"Пн","Вт","Ср","Чт","Пт","Сб","Вс"))</f>
        <v/>
      </c>
      <c r="C1115" s="59" t="n"/>
      <c r="D1115" s="59" t="n"/>
      <c r="E1115" s="60">
        <f>IF(OR(C1115="",D1115=""),"",MOD(D1115-C1115,1)*24)</f>
        <v/>
      </c>
      <c r="F1115" s="50" t="n"/>
      <c r="G1115" s="51" t="n"/>
      <c r="H1115" s="51" t="n"/>
      <c r="I1115" s="51" t="n"/>
      <c r="J1115" s="51" t="n"/>
      <c r="K1115" s="51" t="n"/>
      <c r="L1115" s="54">
        <f>IF(OR(A1115="",C1115="",D1115=""),"",IF(COUNTIFS($A$5:$A$3004,A1115,$C$5:$C$3004,"&lt;"&amp;D1115,$D$5:$D$3004,"&gt;"&amp;C1115)&gt;1,"⚠️ пересечение",""))</f>
        <v/>
      </c>
      <c r="M1115" s="54">
        <f>IF(F1115="","",IF(J1115="✅ Сделано","✔ ",IF(J1115="❌ Пропущено","✖ ","⏰ "))&amp;IF(C1115="","",RIGHT("0"&amp;HOUR(C1115),2)&amp;":"&amp;RIGHT("0"&amp;MINUTE(C1115),2)&amp;IF(D1115="","","–"&amp;RIGHT("0"&amp;HOUR(D1115),2)&amp;":"&amp;RIGHT("0"&amp;MINUTE(D1115),2))&amp;" ")&amp;F1115)</f>
        <v/>
      </c>
      <c r="N1115" s="54">
        <f>IF(OR(A1115="",F1115=""),"",A1115&amp;"#"&amp;(COUNTIFS($A$5:$A$3004,A1115,$F$5:$F$3004,"?*",$O$5:$O$3004,"&lt;"&amp;O1115)+COUNTIFS($A$5:A1115,A1115,$F$5:F1115,"?*",$O$5:O1115,O1115)))</f>
        <v/>
      </c>
      <c r="O1115" s="54">
        <f>IF(A1115="","",IF(C1115="",0,C1115))</f>
        <v/>
      </c>
    </row>
    <row r="1116">
      <c r="A1116" s="58" t="n"/>
      <c r="B1116" s="49">
        <f>IF(A1116="","",CHOOSE(WEEKDAY(A1116,2),"Пн","Вт","Ср","Чт","Пт","Сб","Вс"))</f>
        <v/>
      </c>
      <c r="C1116" s="59" t="n"/>
      <c r="D1116" s="59" t="n"/>
      <c r="E1116" s="60">
        <f>IF(OR(C1116="",D1116=""),"",MOD(D1116-C1116,1)*24)</f>
        <v/>
      </c>
      <c r="F1116" s="50" t="n"/>
      <c r="G1116" s="51" t="n"/>
      <c r="H1116" s="51" t="n"/>
      <c r="I1116" s="51" t="n"/>
      <c r="J1116" s="51" t="n"/>
      <c r="K1116" s="51" t="n"/>
      <c r="L1116" s="54">
        <f>IF(OR(A1116="",C1116="",D1116=""),"",IF(COUNTIFS($A$5:$A$3004,A1116,$C$5:$C$3004,"&lt;"&amp;D1116,$D$5:$D$3004,"&gt;"&amp;C1116)&gt;1,"⚠️ пересечение",""))</f>
        <v/>
      </c>
      <c r="M1116" s="54">
        <f>IF(F1116="","",IF(J1116="✅ Сделано","✔ ",IF(J1116="❌ Пропущено","✖ ","⏰ "))&amp;IF(C1116="","",RIGHT("0"&amp;HOUR(C1116),2)&amp;":"&amp;RIGHT("0"&amp;MINUTE(C1116),2)&amp;IF(D1116="","","–"&amp;RIGHT("0"&amp;HOUR(D1116),2)&amp;":"&amp;RIGHT("0"&amp;MINUTE(D1116),2))&amp;" ")&amp;F1116)</f>
        <v/>
      </c>
      <c r="N1116" s="54">
        <f>IF(OR(A1116="",F1116=""),"",A1116&amp;"#"&amp;(COUNTIFS($A$5:$A$3004,A1116,$F$5:$F$3004,"?*",$O$5:$O$3004,"&lt;"&amp;O1116)+COUNTIFS($A$5:A1116,A1116,$F$5:F1116,"?*",$O$5:O1116,O1116)))</f>
        <v/>
      </c>
      <c r="O1116" s="54">
        <f>IF(A1116="","",IF(C1116="",0,C1116))</f>
        <v/>
      </c>
    </row>
    <row r="1117">
      <c r="A1117" s="58" t="n"/>
      <c r="B1117" s="49">
        <f>IF(A1117="","",CHOOSE(WEEKDAY(A1117,2),"Пн","Вт","Ср","Чт","Пт","Сб","Вс"))</f>
        <v/>
      </c>
      <c r="C1117" s="59" t="n"/>
      <c r="D1117" s="59" t="n"/>
      <c r="E1117" s="60">
        <f>IF(OR(C1117="",D1117=""),"",MOD(D1117-C1117,1)*24)</f>
        <v/>
      </c>
      <c r="F1117" s="50" t="n"/>
      <c r="G1117" s="51" t="n"/>
      <c r="H1117" s="51" t="n"/>
      <c r="I1117" s="51" t="n"/>
      <c r="J1117" s="51" t="n"/>
      <c r="K1117" s="51" t="n"/>
      <c r="L1117" s="54">
        <f>IF(OR(A1117="",C1117="",D1117=""),"",IF(COUNTIFS($A$5:$A$3004,A1117,$C$5:$C$3004,"&lt;"&amp;D1117,$D$5:$D$3004,"&gt;"&amp;C1117)&gt;1,"⚠️ пересечение",""))</f>
        <v/>
      </c>
      <c r="M1117" s="54">
        <f>IF(F1117="","",IF(J1117="✅ Сделано","✔ ",IF(J1117="❌ Пропущено","✖ ","⏰ "))&amp;IF(C1117="","",RIGHT("0"&amp;HOUR(C1117),2)&amp;":"&amp;RIGHT("0"&amp;MINUTE(C1117),2)&amp;IF(D1117="","","–"&amp;RIGHT("0"&amp;HOUR(D1117),2)&amp;":"&amp;RIGHT("0"&amp;MINUTE(D1117),2))&amp;" ")&amp;F1117)</f>
        <v/>
      </c>
      <c r="N1117" s="54">
        <f>IF(OR(A1117="",F1117=""),"",A1117&amp;"#"&amp;(COUNTIFS($A$5:$A$3004,A1117,$F$5:$F$3004,"?*",$O$5:$O$3004,"&lt;"&amp;O1117)+COUNTIFS($A$5:A1117,A1117,$F$5:F1117,"?*",$O$5:O1117,O1117)))</f>
        <v/>
      </c>
      <c r="O1117" s="54">
        <f>IF(A1117="","",IF(C1117="",0,C1117))</f>
        <v/>
      </c>
    </row>
    <row r="1118">
      <c r="A1118" s="58" t="n"/>
      <c r="B1118" s="49">
        <f>IF(A1118="","",CHOOSE(WEEKDAY(A1118,2),"Пн","Вт","Ср","Чт","Пт","Сб","Вс"))</f>
        <v/>
      </c>
      <c r="C1118" s="59" t="n"/>
      <c r="D1118" s="59" t="n"/>
      <c r="E1118" s="60">
        <f>IF(OR(C1118="",D1118=""),"",MOD(D1118-C1118,1)*24)</f>
        <v/>
      </c>
      <c r="F1118" s="50" t="n"/>
      <c r="G1118" s="51" t="n"/>
      <c r="H1118" s="51" t="n"/>
      <c r="I1118" s="51" t="n"/>
      <c r="J1118" s="51" t="n"/>
      <c r="K1118" s="51" t="n"/>
      <c r="L1118" s="54">
        <f>IF(OR(A1118="",C1118="",D1118=""),"",IF(COUNTIFS($A$5:$A$3004,A1118,$C$5:$C$3004,"&lt;"&amp;D1118,$D$5:$D$3004,"&gt;"&amp;C1118)&gt;1,"⚠️ пересечение",""))</f>
        <v/>
      </c>
      <c r="M1118" s="54">
        <f>IF(F1118="","",IF(J1118="✅ Сделано","✔ ",IF(J1118="❌ Пропущено","✖ ","⏰ "))&amp;IF(C1118="","",RIGHT("0"&amp;HOUR(C1118),2)&amp;":"&amp;RIGHT("0"&amp;MINUTE(C1118),2)&amp;IF(D1118="","","–"&amp;RIGHT("0"&amp;HOUR(D1118),2)&amp;":"&amp;RIGHT("0"&amp;MINUTE(D1118),2))&amp;" ")&amp;F1118)</f>
        <v/>
      </c>
      <c r="N1118" s="54">
        <f>IF(OR(A1118="",F1118=""),"",A1118&amp;"#"&amp;(COUNTIFS($A$5:$A$3004,A1118,$F$5:$F$3004,"?*",$O$5:$O$3004,"&lt;"&amp;O1118)+COUNTIFS($A$5:A1118,A1118,$F$5:F1118,"?*",$O$5:O1118,O1118)))</f>
        <v/>
      </c>
      <c r="O1118" s="54">
        <f>IF(A1118="","",IF(C1118="",0,C1118))</f>
        <v/>
      </c>
    </row>
    <row r="1119">
      <c r="A1119" s="58" t="n"/>
      <c r="B1119" s="49">
        <f>IF(A1119="","",CHOOSE(WEEKDAY(A1119,2),"Пн","Вт","Ср","Чт","Пт","Сб","Вс"))</f>
        <v/>
      </c>
      <c r="C1119" s="59" t="n"/>
      <c r="D1119" s="59" t="n"/>
      <c r="E1119" s="60">
        <f>IF(OR(C1119="",D1119=""),"",MOD(D1119-C1119,1)*24)</f>
        <v/>
      </c>
      <c r="F1119" s="50" t="n"/>
      <c r="G1119" s="51" t="n"/>
      <c r="H1119" s="51" t="n"/>
      <c r="I1119" s="51" t="n"/>
      <c r="J1119" s="51" t="n"/>
      <c r="K1119" s="51" t="n"/>
      <c r="L1119" s="54">
        <f>IF(OR(A1119="",C1119="",D1119=""),"",IF(COUNTIFS($A$5:$A$3004,A1119,$C$5:$C$3004,"&lt;"&amp;D1119,$D$5:$D$3004,"&gt;"&amp;C1119)&gt;1,"⚠️ пересечение",""))</f>
        <v/>
      </c>
      <c r="M1119" s="54">
        <f>IF(F1119="","",IF(J1119="✅ Сделано","✔ ",IF(J1119="❌ Пропущено","✖ ","⏰ "))&amp;IF(C1119="","",RIGHT("0"&amp;HOUR(C1119),2)&amp;":"&amp;RIGHT("0"&amp;MINUTE(C1119),2)&amp;IF(D1119="","","–"&amp;RIGHT("0"&amp;HOUR(D1119),2)&amp;":"&amp;RIGHT("0"&amp;MINUTE(D1119),2))&amp;" ")&amp;F1119)</f>
        <v/>
      </c>
      <c r="N1119" s="54">
        <f>IF(OR(A1119="",F1119=""),"",A1119&amp;"#"&amp;(COUNTIFS($A$5:$A$3004,A1119,$F$5:$F$3004,"?*",$O$5:$O$3004,"&lt;"&amp;O1119)+COUNTIFS($A$5:A1119,A1119,$F$5:F1119,"?*",$O$5:O1119,O1119)))</f>
        <v/>
      </c>
      <c r="O1119" s="54">
        <f>IF(A1119="","",IF(C1119="",0,C1119))</f>
        <v/>
      </c>
    </row>
    <row r="1120">
      <c r="A1120" s="58" t="n"/>
      <c r="B1120" s="49">
        <f>IF(A1120="","",CHOOSE(WEEKDAY(A1120,2),"Пн","Вт","Ср","Чт","Пт","Сб","Вс"))</f>
        <v/>
      </c>
      <c r="C1120" s="59" t="n"/>
      <c r="D1120" s="59" t="n"/>
      <c r="E1120" s="60">
        <f>IF(OR(C1120="",D1120=""),"",MOD(D1120-C1120,1)*24)</f>
        <v/>
      </c>
      <c r="F1120" s="50" t="n"/>
      <c r="G1120" s="51" t="n"/>
      <c r="H1120" s="51" t="n"/>
      <c r="I1120" s="51" t="n"/>
      <c r="J1120" s="51" t="n"/>
      <c r="K1120" s="51" t="n"/>
      <c r="L1120" s="54">
        <f>IF(OR(A1120="",C1120="",D1120=""),"",IF(COUNTIFS($A$5:$A$3004,A1120,$C$5:$C$3004,"&lt;"&amp;D1120,$D$5:$D$3004,"&gt;"&amp;C1120)&gt;1,"⚠️ пересечение",""))</f>
        <v/>
      </c>
      <c r="M1120" s="54">
        <f>IF(F1120="","",IF(J1120="✅ Сделано","✔ ",IF(J1120="❌ Пропущено","✖ ","⏰ "))&amp;IF(C1120="","",RIGHT("0"&amp;HOUR(C1120),2)&amp;":"&amp;RIGHT("0"&amp;MINUTE(C1120),2)&amp;IF(D1120="","","–"&amp;RIGHT("0"&amp;HOUR(D1120),2)&amp;":"&amp;RIGHT("0"&amp;MINUTE(D1120),2))&amp;" ")&amp;F1120)</f>
        <v/>
      </c>
      <c r="N1120" s="54">
        <f>IF(OR(A1120="",F1120=""),"",A1120&amp;"#"&amp;(COUNTIFS($A$5:$A$3004,A1120,$F$5:$F$3004,"?*",$O$5:$O$3004,"&lt;"&amp;O1120)+COUNTIFS($A$5:A1120,A1120,$F$5:F1120,"?*",$O$5:O1120,O1120)))</f>
        <v/>
      </c>
      <c r="O1120" s="54">
        <f>IF(A1120="","",IF(C1120="",0,C1120))</f>
        <v/>
      </c>
    </row>
    <row r="1121">
      <c r="A1121" s="58" t="n"/>
      <c r="B1121" s="49">
        <f>IF(A1121="","",CHOOSE(WEEKDAY(A1121,2),"Пн","Вт","Ср","Чт","Пт","Сб","Вс"))</f>
        <v/>
      </c>
      <c r="C1121" s="59" t="n"/>
      <c r="D1121" s="59" t="n"/>
      <c r="E1121" s="60">
        <f>IF(OR(C1121="",D1121=""),"",MOD(D1121-C1121,1)*24)</f>
        <v/>
      </c>
      <c r="F1121" s="50" t="n"/>
      <c r="G1121" s="51" t="n"/>
      <c r="H1121" s="51" t="n"/>
      <c r="I1121" s="51" t="n"/>
      <c r="J1121" s="51" t="n"/>
      <c r="K1121" s="51" t="n"/>
      <c r="L1121" s="54">
        <f>IF(OR(A1121="",C1121="",D1121=""),"",IF(COUNTIFS($A$5:$A$3004,A1121,$C$5:$C$3004,"&lt;"&amp;D1121,$D$5:$D$3004,"&gt;"&amp;C1121)&gt;1,"⚠️ пересечение",""))</f>
        <v/>
      </c>
      <c r="M1121" s="54">
        <f>IF(F1121="","",IF(J1121="✅ Сделано","✔ ",IF(J1121="❌ Пропущено","✖ ","⏰ "))&amp;IF(C1121="","",RIGHT("0"&amp;HOUR(C1121),2)&amp;":"&amp;RIGHT("0"&amp;MINUTE(C1121),2)&amp;IF(D1121="","","–"&amp;RIGHT("0"&amp;HOUR(D1121),2)&amp;":"&amp;RIGHT("0"&amp;MINUTE(D1121),2))&amp;" ")&amp;F1121)</f>
        <v/>
      </c>
      <c r="N1121" s="54">
        <f>IF(OR(A1121="",F1121=""),"",A1121&amp;"#"&amp;(COUNTIFS($A$5:$A$3004,A1121,$F$5:$F$3004,"?*",$O$5:$O$3004,"&lt;"&amp;O1121)+COUNTIFS($A$5:A1121,A1121,$F$5:F1121,"?*",$O$5:O1121,O1121)))</f>
        <v/>
      </c>
      <c r="O1121" s="54">
        <f>IF(A1121="","",IF(C1121="",0,C1121))</f>
        <v/>
      </c>
    </row>
    <row r="1122">
      <c r="A1122" s="58" t="n"/>
      <c r="B1122" s="49">
        <f>IF(A1122="","",CHOOSE(WEEKDAY(A1122,2),"Пн","Вт","Ср","Чт","Пт","Сб","Вс"))</f>
        <v/>
      </c>
      <c r="C1122" s="59" t="n"/>
      <c r="D1122" s="59" t="n"/>
      <c r="E1122" s="60">
        <f>IF(OR(C1122="",D1122=""),"",MOD(D1122-C1122,1)*24)</f>
        <v/>
      </c>
      <c r="F1122" s="50" t="n"/>
      <c r="G1122" s="51" t="n"/>
      <c r="H1122" s="51" t="n"/>
      <c r="I1122" s="51" t="n"/>
      <c r="J1122" s="51" t="n"/>
      <c r="K1122" s="51" t="n"/>
      <c r="L1122" s="54">
        <f>IF(OR(A1122="",C1122="",D1122=""),"",IF(COUNTIFS($A$5:$A$3004,A1122,$C$5:$C$3004,"&lt;"&amp;D1122,$D$5:$D$3004,"&gt;"&amp;C1122)&gt;1,"⚠️ пересечение",""))</f>
        <v/>
      </c>
      <c r="M1122" s="54">
        <f>IF(F1122="","",IF(J1122="✅ Сделано","✔ ",IF(J1122="❌ Пропущено","✖ ","⏰ "))&amp;IF(C1122="","",RIGHT("0"&amp;HOUR(C1122),2)&amp;":"&amp;RIGHT("0"&amp;MINUTE(C1122),2)&amp;IF(D1122="","","–"&amp;RIGHT("0"&amp;HOUR(D1122),2)&amp;":"&amp;RIGHT("0"&amp;MINUTE(D1122),2))&amp;" ")&amp;F1122)</f>
        <v/>
      </c>
      <c r="N1122" s="54">
        <f>IF(OR(A1122="",F1122=""),"",A1122&amp;"#"&amp;(COUNTIFS($A$5:$A$3004,A1122,$F$5:$F$3004,"?*",$O$5:$O$3004,"&lt;"&amp;O1122)+COUNTIFS($A$5:A1122,A1122,$F$5:F1122,"?*",$O$5:O1122,O1122)))</f>
        <v/>
      </c>
      <c r="O1122" s="54">
        <f>IF(A1122="","",IF(C1122="",0,C1122))</f>
        <v/>
      </c>
    </row>
    <row r="1123">
      <c r="A1123" s="58" t="n"/>
      <c r="B1123" s="49">
        <f>IF(A1123="","",CHOOSE(WEEKDAY(A1123,2),"Пн","Вт","Ср","Чт","Пт","Сб","Вс"))</f>
        <v/>
      </c>
      <c r="C1123" s="59" t="n"/>
      <c r="D1123" s="59" t="n"/>
      <c r="E1123" s="60">
        <f>IF(OR(C1123="",D1123=""),"",MOD(D1123-C1123,1)*24)</f>
        <v/>
      </c>
      <c r="F1123" s="50" t="n"/>
      <c r="G1123" s="51" t="n"/>
      <c r="H1123" s="51" t="n"/>
      <c r="I1123" s="51" t="n"/>
      <c r="J1123" s="51" t="n"/>
      <c r="K1123" s="51" t="n"/>
      <c r="L1123" s="54">
        <f>IF(OR(A1123="",C1123="",D1123=""),"",IF(COUNTIFS($A$5:$A$3004,A1123,$C$5:$C$3004,"&lt;"&amp;D1123,$D$5:$D$3004,"&gt;"&amp;C1123)&gt;1,"⚠️ пересечение",""))</f>
        <v/>
      </c>
      <c r="M1123" s="54">
        <f>IF(F1123="","",IF(J1123="✅ Сделано","✔ ",IF(J1123="❌ Пропущено","✖ ","⏰ "))&amp;IF(C1123="","",RIGHT("0"&amp;HOUR(C1123),2)&amp;":"&amp;RIGHT("0"&amp;MINUTE(C1123),2)&amp;IF(D1123="","","–"&amp;RIGHT("0"&amp;HOUR(D1123),2)&amp;":"&amp;RIGHT("0"&amp;MINUTE(D1123),2))&amp;" ")&amp;F1123)</f>
        <v/>
      </c>
      <c r="N1123" s="54">
        <f>IF(OR(A1123="",F1123=""),"",A1123&amp;"#"&amp;(COUNTIFS($A$5:$A$3004,A1123,$F$5:$F$3004,"?*",$O$5:$O$3004,"&lt;"&amp;O1123)+COUNTIFS($A$5:A1123,A1123,$F$5:F1123,"?*",$O$5:O1123,O1123)))</f>
        <v/>
      </c>
      <c r="O1123" s="54">
        <f>IF(A1123="","",IF(C1123="",0,C1123))</f>
        <v/>
      </c>
    </row>
    <row r="1124">
      <c r="A1124" s="58" t="n"/>
      <c r="B1124" s="49">
        <f>IF(A1124="","",CHOOSE(WEEKDAY(A1124,2),"Пн","Вт","Ср","Чт","Пт","Сб","Вс"))</f>
        <v/>
      </c>
      <c r="C1124" s="59" t="n"/>
      <c r="D1124" s="59" t="n"/>
      <c r="E1124" s="60">
        <f>IF(OR(C1124="",D1124=""),"",MOD(D1124-C1124,1)*24)</f>
        <v/>
      </c>
      <c r="F1124" s="50" t="n"/>
      <c r="G1124" s="51" t="n"/>
      <c r="H1124" s="51" t="n"/>
      <c r="I1124" s="51" t="n"/>
      <c r="J1124" s="51" t="n"/>
      <c r="K1124" s="51" t="n"/>
      <c r="L1124" s="54">
        <f>IF(OR(A1124="",C1124="",D1124=""),"",IF(COUNTIFS($A$5:$A$3004,A1124,$C$5:$C$3004,"&lt;"&amp;D1124,$D$5:$D$3004,"&gt;"&amp;C1124)&gt;1,"⚠️ пересечение",""))</f>
        <v/>
      </c>
      <c r="M1124" s="54">
        <f>IF(F1124="","",IF(J1124="✅ Сделано","✔ ",IF(J1124="❌ Пропущено","✖ ","⏰ "))&amp;IF(C1124="","",RIGHT("0"&amp;HOUR(C1124),2)&amp;":"&amp;RIGHT("0"&amp;MINUTE(C1124),2)&amp;IF(D1124="","","–"&amp;RIGHT("0"&amp;HOUR(D1124),2)&amp;":"&amp;RIGHT("0"&amp;MINUTE(D1124),2))&amp;" ")&amp;F1124)</f>
        <v/>
      </c>
      <c r="N1124" s="54">
        <f>IF(OR(A1124="",F1124=""),"",A1124&amp;"#"&amp;(COUNTIFS($A$5:$A$3004,A1124,$F$5:$F$3004,"?*",$O$5:$O$3004,"&lt;"&amp;O1124)+COUNTIFS($A$5:A1124,A1124,$F$5:F1124,"?*",$O$5:O1124,O1124)))</f>
        <v/>
      </c>
      <c r="O1124" s="54">
        <f>IF(A1124="","",IF(C1124="",0,C1124))</f>
        <v/>
      </c>
    </row>
    <row r="1125">
      <c r="A1125" s="58" t="n"/>
      <c r="B1125" s="49">
        <f>IF(A1125="","",CHOOSE(WEEKDAY(A1125,2),"Пн","Вт","Ср","Чт","Пт","Сб","Вс"))</f>
        <v/>
      </c>
      <c r="C1125" s="59" t="n"/>
      <c r="D1125" s="59" t="n"/>
      <c r="E1125" s="60">
        <f>IF(OR(C1125="",D1125=""),"",MOD(D1125-C1125,1)*24)</f>
        <v/>
      </c>
      <c r="F1125" s="50" t="n"/>
      <c r="G1125" s="51" t="n"/>
      <c r="H1125" s="51" t="n"/>
      <c r="I1125" s="51" t="n"/>
      <c r="J1125" s="51" t="n"/>
      <c r="K1125" s="51" t="n"/>
      <c r="L1125" s="54">
        <f>IF(OR(A1125="",C1125="",D1125=""),"",IF(COUNTIFS($A$5:$A$3004,A1125,$C$5:$C$3004,"&lt;"&amp;D1125,$D$5:$D$3004,"&gt;"&amp;C1125)&gt;1,"⚠️ пересечение",""))</f>
        <v/>
      </c>
      <c r="M1125" s="54">
        <f>IF(F1125="","",IF(J1125="✅ Сделано","✔ ",IF(J1125="❌ Пропущено","✖ ","⏰ "))&amp;IF(C1125="","",RIGHT("0"&amp;HOUR(C1125),2)&amp;":"&amp;RIGHT("0"&amp;MINUTE(C1125),2)&amp;IF(D1125="","","–"&amp;RIGHT("0"&amp;HOUR(D1125),2)&amp;":"&amp;RIGHT("0"&amp;MINUTE(D1125),2))&amp;" ")&amp;F1125)</f>
        <v/>
      </c>
      <c r="N1125" s="54">
        <f>IF(OR(A1125="",F1125=""),"",A1125&amp;"#"&amp;(COUNTIFS($A$5:$A$3004,A1125,$F$5:$F$3004,"?*",$O$5:$O$3004,"&lt;"&amp;O1125)+COUNTIFS($A$5:A1125,A1125,$F$5:F1125,"?*",$O$5:O1125,O1125)))</f>
        <v/>
      </c>
      <c r="O1125" s="54">
        <f>IF(A1125="","",IF(C1125="",0,C1125))</f>
        <v/>
      </c>
    </row>
    <row r="1126">
      <c r="A1126" s="58" t="n"/>
      <c r="B1126" s="49">
        <f>IF(A1126="","",CHOOSE(WEEKDAY(A1126,2),"Пн","Вт","Ср","Чт","Пт","Сб","Вс"))</f>
        <v/>
      </c>
      <c r="C1126" s="59" t="n"/>
      <c r="D1126" s="59" t="n"/>
      <c r="E1126" s="60">
        <f>IF(OR(C1126="",D1126=""),"",MOD(D1126-C1126,1)*24)</f>
        <v/>
      </c>
      <c r="F1126" s="50" t="n"/>
      <c r="G1126" s="51" t="n"/>
      <c r="H1126" s="51" t="n"/>
      <c r="I1126" s="51" t="n"/>
      <c r="J1126" s="51" t="n"/>
      <c r="K1126" s="51" t="n"/>
      <c r="L1126" s="54">
        <f>IF(OR(A1126="",C1126="",D1126=""),"",IF(COUNTIFS($A$5:$A$3004,A1126,$C$5:$C$3004,"&lt;"&amp;D1126,$D$5:$D$3004,"&gt;"&amp;C1126)&gt;1,"⚠️ пересечение",""))</f>
        <v/>
      </c>
      <c r="M1126" s="54">
        <f>IF(F1126="","",IF(J1126="✅ Сделано","✔ ",IF(J1126="❌ Пропущено","✖ ","⏰ "))&amp;IF(C1126="","",RIGHT("0"&amp;HOUR(C1126),2)&amp;":"&amp;RIGHT("0"&amp;MINUTE(C1126),2)&amp;IF(D1126="","","–"&amp;RIGHT("0"&amp;HOUR(D1126),2)&amp;":"&amp;RIGHT("0"&amp;MINUTE(D1126),2))&amp;" ")&amp;F1126)</f>
        <v/>
      </c>
      <c r="N1126" s="54">
        <f>IF(OR(A1126="",F1126=""),"",A1126&amp;"#"&amp;(COUNTIFS($A$5:$A$3004,A1126,$F$5:$F$3004,"?*",$O$5:$O$3004,"&lt;"&amp;O1126)+COUNTIFS($A$5:A1126,A1126,$F$5:F1126,"?*",$O$5:O1126,O1126)))</f>
        <v/>
      </c>
      <c r="O1126" s="54">
        <f>IF(A1126="","",IF(C1126="",0,C1126))</f>
        <v/>
      </c>
    </row>
    <row r="1127">
      <c r="A1127" s="58" t="n"/>
      <c r="B1127" s="49">
        <f>IF(A1127="","",CHOOSE(WEEKDAY(A1127,2),"Пн","Вт","Ср","Чт","Пт","Сб","Вс"))</f>
        <v/>
      </c>
      <c r="C1127" s="59" t="n"/>
      <c r="D1127" s="59" t="n"/>
      <c r="E1127" s="60">
        <f>IF(OR(C1127="",D1127=""),"",MOD(D1127-C1127,1)*24)</f>
        <v/>
      </c>
      <c r="F1127" s="50" t="n"/>
      <c r="G1127" s="51" t="n"/>
      <c r="H1127" s="51" t="n"/>
      <c r="I1127" s="51" t="n"/>
      <c r="J1127" s="51" t="n"/>
      <c r="K1127" s="51" t="n"/>
      <c r="L1127" s="54">
        <f>IF(OR(A1127="",C1127="",D1127=""),"",IF(COUNTIFS($A$5:$A$3004,A1127,$C$5:$C$3004,"&lt;"&amp;D1127,$D$5:$D$3004,"&gt;"&amp;C1127)&gt;1,"⚠️ пересечение",""))</f>
        <v/>
      </c>
      <c r="M1127" s="54">
        <f>IF(F1127="","",IF(J1127="✅ Сделано","✔ ",IF(J1127="❌ Пропущено","✖ ","⏰ "))&amp;IF(C1127="","",RIGHT("0"&amp;HOUR(C1127),2)&amp;":"&amp;RIGHT("0"&amp;MINUTE(C1127),2)&amp;IF(D1127="","","–"&amp;RIGHT("0"&amp;HOUR(D1127),2)&amp;":"&amp;RIGHT("0"&amp;MINUTE(D1127),2))&amp;" ")&amp;F1127)</f>
        <v/>
      </c>
      <c r="N1127" s="54">
        <f>IF(OR(A1127="",F1127=""),"",A1127&amp;"#"&amp;(COUNTIFS($A$5:$A$3004,A1127,$F$5:$F$3004,"?*",$O$5:$O$3004,"&lt;"&amp;O1127)+COUNTIFS($A$5:A1127,A1127,$F$5:F1127,"?*",$O$5:O1127,O1127)))</f>
        <v/>
      </c>
      <c r="O1127" s="54">
        <f>IF(A1127="","",IF(C1127="",0,C1127))</f>
        <v/>
      </c>
    </row>
    <row r="1128">
      <c r="A1128" s="58" t="n"/>
      <c r="B1128" s="49">
        <f>IF(A1128="","",CHOOSE(WEEKDAY(A1128,2),"Пн","Вт","Ср","Чт","Пт","Сб","Вс"))</f>
        <v/>
      </c>
      <c r="C1128" s="59" t="n"/>
      <c r="D1128" s="59" t="n"/>
      <c r="E1128" s="60">
        <f>IF(OR(C1128="",D1128=""),"",MOD(D1128-C1128,1)*24)</f>
        <v/>
      </c>
      <c r="F1128" s="50" t="n"/>
      <c r="G1128" s="51" t="n"/>
      <c r="H1128" s="51" t="n"/>
      <c r="I1128" s="51" t="n"/>
      <c r="J1128" s="51" t="n"/>
      <c r="K1128" s="51" t="n"/>
      <c r="L1128" s="54">
        <f>IF(OR(A1128="",C1128="",D1128=""),"",IF(COUNTIFS($A$5:$A$3004,A1128,$C$5:$C$3004,"&lt;"&amp;D1128,$D$5:$D$3004,"&gt;"&amp;C1128)&gt;1,"⚠️ пересечение",""))</f>
        <v/>
      </c>
      <c r="M1128" s="54">
        <f>IF(F1128="","",IF(J1128="✅ Сделано","✔ ",IF(J1128="❌ Пропущено","✖ ","⏰ "))&amp;IF(C1128="","",RIGHT("0"&amp;HOUR(C1128),2)&amp;":"&amp;RIGHT("0"&amp;MINUTE(C1128),2)&amp;IF(D1128="","","–"&amp;RIGHT("0"&amp;HOUR(D1128),2)&amp;":"&amp;RIGHT("0"&amp;MINUTE(D1128),2))&amp;" ")&amp;F1128)</f>
        <v/>
      </c>
      <c r="N1128" s="54">
        <f>IF(OR(A1128="",F1128=""),"",A1128&amp;"#"&amp;(COUNTIFS($A$5:$A$3004,A1128,$F$5:$F$3004,"?*",$O$5:$O$3004,"&lt;"&amp;O1128)+COUNTIFS($A$5:A1128,A1128,$F$5:F1128,"?*",$O$5:O1128,O1128)))</f>
        <v/>
      </c>
      <c r="O1128" s="54">
        <f>IF(A1128="","",IF(C1128="",0,C1128))</f>
        <v/>
      </c>
    </row>
    <row r="1129">
      <c r="A1129" s="58" t="n"/>
      <c r="B1129" s="49">
        <f>IF(A1129="","",CHOOSE(WEEKDAY(A1129,2),"Пн","Вт","Ср","Чт","Пт","Сб","Вс"))</f>
        <v/>
      </c>
      <c r="C1129" s="59" t="n"/>
      <c r="D1129" s="59" t="n"/>
      <c r="E1129" s="60">
        <f>IF(OR(C1129="",D1129=""),"",MOD(D1129-C1129,1)*24)</f>
        <v/>
      </c>
      <c r="F1129" s="50" t="n"/>
      <c r="G1129" s="51" t="n"/>
      <c r="H1129" s="51" t="n"/>
      <c r="I1129" s="51" t="n"/>
      <c r="J1129" s="51" t="n"/>
      <c r="K1129" s="51" t="n"/>
      <c r="L1129" s="54">
        <f>IF(OR(A1129="",C1129="",D1129=""),"",IF(COUNTIFS($A$5:$A$3004,A1129,$C$5:$C$3004,"&lt;"&amp;D1129,$D$5:$D$3004,"&gt;"&amp;C1129)&gt;1,"⚠️ пересечение",""))</f>
        <v/>
      </c>
      <c r="M1129" s="54">
        <f>IF(F1129="","",IF(J1129="✅ Сделано","✔ ",IF(J1129="❌ Пропущено","✖ ","⏰ "))&amp;IF(C1129="","",RIGHT("0"&amp;HOUR(C1129),2)&amp;":"&amp;RIGHT("0"&amp;MINUTE(C1129),2)&amp;IF(D1129="","","–"&amp;RIGHT("0"&amp;HOUR(D1129),2)&amp;":"&amp;RIGHT("0"&amp;MINUTE(D1129),2))&amp;" ")&amp;F1129)</f>
        <v/>
      </c>
      <c r="N1129" s="54">
        <f>IF(OR(A1129="",F1129=""),"",A1129&amp;"#"&amp;(COUNTIFS($A$5:$A$3004,A1129,$F$5:$F$3004,"?*",$O$5:$O$3004,"&lt;"&amp;O1129)+COUNTIFS($A$5:A1129,A1129,$F$5:F1129,"?*",$O$5:O1129,O1129)))</f>
        <v/>
      </c>
      <c r="O1129" s="54">
        <f>IF(A1129="","",IF(C1129="",0,C1129))</f>
        <v/>
      </c>
    </row>
    <row r="1130">
      <c r="A1130" s="58" t="n"/>
      <c r="B1130" s="49">
        <f>IF(A1130="","",CHOOSE(WEEKDAY(A1130,2),"Пн","Вт","Ср","Чт","Пт","Сб","Вс"))</f>
        <v/>
      </c>
      <c r="C1130" s="59" t="n"/>
      <c r="D1130" s="59" t="n"/>
      <c r="E1130" s="60">
        <f>IF(OR(C1130="",D1130=""),"",MOD(D1130-C1130,1)*24)</f>
        <v/>
      </c>
      <c r="F1130" s="50" t="n"/>
      <c r="G1130" s="51" t="n"/>
      <c r="H1130" s="51" t="n"/>
      <c r="I1130" s="51" t="n"/>
      <c r="J1130" s="51" t="n"/>
      <c r="K1130" s="51" t="n"/>
      <c r="L1130" s="54">
        <f>IF(OR(A1130="",C1130="",D1130=""),"",IF(COUNTIFS($A$5:$A$3004,A1130,$C$5:$C$3004,"&lt;"&amp;D1130,$D$5:$D$3004,"&gt;"&amp;C1130)&gt;1,"⚠️ пересечение",""))</f>
        <v/>
      </c>
      <c r="M1130" s="54">
        <f>IF(F1130="","",IF(J1130="✅ Сделано","✔ ",IF(J1130="❌ Пропущено","✖ ","⏰ "))&amp;IF(C1130="","",RIGHT("0"&amp;HOUR(C1130),2)&amp;":"&amp;RIGHT("0"&amp;MINUTE(C1130),2)&amp;IF(D1130="","","–"&amp;RIGHT("0"&amp;HOUR(D1130),2)&amp;":"&amp;RIGHT("0"&amp;MINUTE(D1130),2))&amp;" ")&amp;F1130)</f>
        <v/>
      </c>
      <c r="N1130" s="54">
        <f>IF(OR(A1130="",F1130=""),"",A1130&amp;"#"&amp;(COUNTIFS($A$5:$A$3004,A1130,$F$5:$F$3004,"?*",$O$5:$O$3004,"&lt;"&amp;O1130)+COUNTIFS($A$5:A1130,A1130,$F$5:F1130,"?*",$O$5:O1130,O1130)))</f>
        <v/>
      </c>
      <c r="O1130" s="54">
        <f>IF(A1130="","",IF(C1130="",0,C1130))</f>
        <v/>
      </c>
    </row>
    <row r="1131">
      <c r="A1131" s="58" t="n"/>
      <c r="B1131" s="49">
        <f>IF(A1131="","",CHOOSE(WEEKDAY(A1131,2),"Пн","Вт","Ср","Чт","Пт","Сб","Вс"))</f>
        <v/>
      </c>
      <c r="C1131" s="59" t="n"/>
      <c r="D1131" s="59" t="n"/>
      <c r="E1131" s="60">
        <f>IF(OR(C1131="",D1131=""),"",MOD(D1131-C1131,1)*24)</f>
        <v/>
      </c>
      <c r="F1131" s="50" t="n"/>
      <c r="G1131" s="51" t="n"/>
      <c r="H1131" s="51" t="n"/>
      <c r="I1131" s="51" t="n"/>
      <c r="J1131" s="51" t="n"/>
      <c r="K1131" s="51" t="n"/>
      <c r="L1131" s="54">
        <f>IF(OR(A1131="",C1131="",D1131=""),"",IF(COUNTIFS($A$5:$A$3004,A1131,$C$5:$C$3004,"&lt;"&amp;D1131,$D$5:$D$3004,"&gt;"&amp;C1131)&gt;1,"⚠️ пересечение",""))</f>
        <v/>
      </c>
      <c r="M1131" s="54">
        <f>IF(F1131="","",IF(J1131="✅ Сделано","✔ ",IF(J1131="❌ Пропущено","✖ ","⏰ "))&amp;IF(C1131="","",RIGHT("0"&amp;HOUR(C1131),2)&amp;":"&amp;RIGHT("0"&amp;MINUTE(C1131),2)&amp;IF(D1131="","","–"&amp;RIGHT("0"&amp;HOUR(D1131),2)&amp;":"&amp;RIGHT("0"&amp;MINUTE(D1131),2))&amp;" ")&amp;F1131)</f>
        <v/>
      </c>
      <c r="N1131" s="54">
        <f>IF(OR(A1131="",F1131=""),"",A1131&amp;"#"&amp;(COUNTIFS($A$5:$A$3004,A1131,$F$5:$F$3004,"?*",$O$5:$O$3004,"&lt;"&amp;O1131)+COUNTIFS($A$5:A1131,A1131,$F$5:F1131,"?*",$O$5:O1131,O1131)))</f>
        <v/>
      </c>
      <c r="O1131" s="54">
        <f>IF(A1131="","",IF(C1131="",0,C1131))</f>
        <v/>
      </c>
    </row>
    <row r="1132">
      <c r="A1132" s="58" t="n"/>
      <c r="B1132" s="49">
        <f>IF(A1132="","",CHOOSE(WEEKDAY(A1132,2),"Пн","Вт","Ср","Чт","Пт","Сб","Вс"))</f>
        <v/>
      </c>
      <c r="C1132" s="59" t="n"/>
      <c r="D1132" s="59" t="n"/>
      <c r="E1132" s="60">
        <f>IF(OR(C1132="",D1132=""),"",MOD(D1132-C1132,1)*24)</f>
        <v/>
      </c>
      <c r="F1132" s="50" t="n"/>
      <c r="G1132" s="51" t="n"/>
      <c r="H1132" s="51" t="n"/>
      <c r="I1132" s="51" t="n"/>
      <c r="J1132" s="51" t="n"/>
      <c r="K1132" s="51" t="n"/>
      <c r="L1132" s="54">
        <f>IF(OR(A1132="",C1132="",D1132=""),"",IF(COUNTIFS($A$5:$A$3004,A1132,$C$5:$C$3004,"&lt;"&amp;D1132,$D$5:$D$3004,"&gt;"&amp;C1132)&gt;1,"⚠️ пересечение",""))</f>
        <v/>
      </c>
      <c r="M1132" s="54">
        <f>IF(F1132="","",IF(J1132="✅ Сделано","✔ ",IF(J1132="❌ Пропущено","✖ ","⏰ "))&amp;IF(C1132="","",RIGHT("0"&amp;HOUR(C1132),2)&amp;":"&amp;RIGHT("0"&amp;MINUTE(C1132),2)&amp;IF(D1132="","","–"&amp;RIGHT("0"&amp;HOUR(D1132),2)&amp;":"&amp;RIGHT("0"&amp;MINUTE(D1132),2))&amp;" ")&amp;F1132)</f>
        <v/>
      </c>
      <c r="N1132" s="54">
        <f>IF(OR(A1132="",F1132=""),"",A1132&amp;"#"&amp;(COUNTIFS($A$5:$A$3004,A1132,$F$5:$F$3004,"?*",$O$5:$O$3004,"&lt;"&amp;O1132)+COUNTIFS($A$5:A1132,A1132,$F$5:F1132,"?*",$O$5:O1132,O1132)))</f>
        <v/>
      </c>
      <c r="O1132" s="54">
        <f>IF(A1132="","",IF(C1132="",0,C1132))</f>
        <v/>
      </c>
    </row>
    <row r="1133">
      <c r="A1133" s="58" t="n"/>
      <c r="B1133" s="49">
        <f>IF(A1133="","",CHOOSE(WEEKDAY(A1133,2),"Пн","Вт","Ср","Чт","Пт","Сб","Вс"))</f>
        <v/>
      </c>
      <c r="C1133" s="59" t="n"/>
      <c r="D1133" s="59" t="n"/>
      <c r="E1133" s="60">
        <f>IF(OR(C1133="",D1133=""),"",MOD(D1133-C1133,1)*24)</f>
        <v/>
      </c>
      <c r="F1133" s="50" t="n"/>
      <c r="G1133" s="51" t="n"/>
      <c r="H1133" s="51" t="n"/>
      <c r="I1133" s="51" t="n"/>
      <c r="J1133" s="51" t="n"/>
      <c r="K1133" s="51" t="n"/>
      <c r="L1133" s="54">
        <f>IF(OR(A1133="",C1133="",D1133=""),"",IF(COUNTIFS($A$5:$A$3004,A1133,$C$5:$C$3004,"&lt;"&amp;D1133,$D$5:$D$3004,"&gt;"&amp;C1133)&gt;1,"⚠️ пересечение",""))</f>
        <v/>
      </c>
      <c r="M1133" s="54">
        <f>IF(F1133="","",IF(J1133="✅ Сделано","✔ ",IF(J1133="❌ Пропущено","✖ ","⏰ "))&amp;IF(C1133="","",RIGHT("0"&amp;HOUR(C1133),2)&amp;":"&amp;RIGHT("0"&amp;MINUTE(C1133),2)&amp;IF(D1133="","","–"&amp;RIGHT("0"&amp;HOUR(D1133),2)&amp;":"&amp;RIGHT("0"&amp;MINUTE(D1133),2))&amp;" ")&amp;F1133)</f>
        <v/>
      </c>
      <c r="N1133" s="54">
        <f>IF(OR(A1133="",F1133=""),"",A1133&amp;"#"&amp;(COUNTIFS($A$5:$A$3004,A1133,$F$5:$F$3004,"?*",$O$5:$O$3004,"&lt;"&amp;O1133)+COUNTIFS($A$5:A1133,A1133,$F$5:F1133,"?*",$O$5:O1133,O1133)))</f>
        <v/>
      </c>
      <c r="O1133" s="54">
        <f>IF(A1133="","",IF(C1133="",0,C1133))</f>
        <v/>
      </c>
    </row>
    <row r="1134">
      <c r="A1134" s="58" t="n"/>
      <c r="B1134" s="49">
        <f>IF(A1134="","",CHOOSE(WEEKDAY(A1134,2),"Пн","Вт","Ср","Чт","Пт","Сб","Вс"))</f>
        <v/>
      </c>
      <c r="C1134" s="59" t="n"/>
      <c r="D1134" s="59" t="n"/>
      <c r="E1134" s="60">
        <f>IF(OR(C1134="",D1134=""),"",MOD(D1134-C1134,1)*24)</f>
        <v/>
      </c>
      <c r="F1134" s="50" t="n"/>
      <c r="G1134" s="51" t="n"/>
      <c r="H1134" s="51" t="n"/>
      <c r="I1134" s="51" t="n"/>
      <c r="J1134" s="51" t="n"/>
      <c r="K1134" s="51" t="n"/>
      <c r="L1134" s="54">
        <f>IF(OR(A1134="",C1134="",D1134=""),"",IF(COUNTIFS($A$5:$A$3004,A1134,$C$5:$C$3004,"&lt;"&amp;D1134,$D$5:$D$3004,"&gt;"&amp;C1134)&gt;1,"⚠️ пересечение",""))</f>
        <v/>
      </c>
      <c r="M1134" s="54">
        <f>IF(F1134="","",IF(J1134="✅ Сделано","✔ ",IF(J1134="❌ Пропущено","✖ ","⏰ "))&amp;IF(C1134="","",RIGHT("0"&amp;HOUR(C1134),2)&amp;":"&amp;RIGHT("0"&amp;MINUTE(C1134),2)&amp;IF(D1134="","","–"&amp;RIGHT("0"&amp;HOUR(D1134),2)&amp;":"&amp;RIGHT("0"&amp;MINUTE(D1134),2))&amp;" ")&amp;F1134)</f>
        <v/>
      </c>
      <c r="N1134" s="54">
        <f>IF(OR(A1134="",F1134=""),"",A1134&amp;"#"&amp;(COUNTIFS($A$5:$A$3004,A1134,$F$5:$F$3004,"?*",$O$5:$O$3004,"&lt;"&amp;O1134)+COUNTIFS($A$5:A1134,A1134,$F$5:F1134,"?*",$O$5:O1134,O1134)))</f>
        <v/>
      </c>
      <c r="O1134" s="54">
        <f>IF(A1134="","",IF(C1134="",0,C1134))</f>
        <v/>
      </c>
    </row>
    <row r="1135">
      <c r="A1135" s="58" t="n"/>
      <c r="B1135" s="49">
        <f>IF(A1135="","",CHOOSE(WEEKDAY(A1135,2),"Пн","Вт","Ср","Чт","Пт","Сб","Вс"))</f>
        <v/>
      </c>
      <c r="C1135" s="59" t="n"/>
      <c r="D1135" s="59" t="n"/>
      <c r="E1135" s="60">
        <f>IF(OR(C1135="",D1135=""),"",MOD(D1135-C1135,1)*24)</f>
        <v/>
      </c>
      <c r="F1135" s="50" t="n"/>
      <c r="G1135" s="51" t="n"/>
      <c r="H1135" s="51" t="n"/>
      <c r="I1135" s="51" t="n"/>
      <c r="J1135" s="51" t="n"/>
      <c r="K1135" s="51" t="n"/>
      <c r="L1135" s="54">
        <f>IF(OR(A1135="",C1135="",D1135=""),"",IF(COUNTIFS($A$5:$A$3004,A1135,$C$5:$C$3004,"&lt;"&amp;D1135,$D$5:$D$3004,"&gt;"&amp;C1135)&gt;1,"⚠️ пересечение",""))</f>
        <v/>
      </c>
      <c r="M1135" s="54">
        <f>IF(F1135="","",IF(J1135="✅ Сделано","✔ ",IF(J1135="❌ Пропущено","✖ ","⏰ "))&amp;IF(C1135="","",RIGHT("0"&amp;HOUR(C1135),2)&amp;":"&amp;RIGHT("0"&amp;MINUTE(C1135),2)&amp;IF(D1135="","","–"&amp;RIGHT("0"&amp;HOUR(D1135),2)&amp;":"&amp;RIGHT("0"&amp;MINUTE(D1135),2))&amp;" ")&amp;F1135)</f>
        <v/>
      </c>
      <c r="N1135" s="54">
        <f>IF(OR(A1135="",F1135=""),"",A1135&amp;"#"&amp;(COUNTIFS($A$5:$A$3004,A1135,$F$5:$F$3004,"?*",$O$5:$O$3004,"&lt;"&amp;O1135)+COUNTIFS($A$5:A1135,A1135,$F$5:F1135,"?*",$O$5:O1135,O1135)))</f>
        <v/>
      </c>
      <c r="O1135" s="54">
        <f>IF(A1135="","",IF(C1135="",0,C1135))</f>
        <v/>
      </c>
    </row>
    <row r="1136">
      <c r="A1136" s="58" t="n"/>
      <c r="B1136" s="49">
        <f>IF(A1136="","",CHOOSE(WEEKDAY(A1136,2),"Пн","Вт","Ср","Чт","Пт","Сб","Вс"))</f>
        <v/>
      </c>
      <c r="C1136" s="59" t="n"/>
      <c r="D1136" s="59" t="n"/>
      <c r="E1136" s="60">
        <f>IF(OR(C1136="",D1136=""),"",MOD(D1136-C1136,1)*24)</f>
        <v/>
      </c>
      <c r="F1136" s="50" t="n"/>
      <c r="G1136" s="51" t="n"/>
      <c r="H1136" s="51" t="n"/>
      <c r="I1136" s="51" t="n"/>
      <c r="J1136" s="51" t="n"/>
      <c r="K1136" s="51" t="n"/>
      <c r="L1136" s="54">
        <f>IF(OR(A1136="",C1136="",D1136=""),"",IF(COUNTIFS($A$5:$A$3004,A1136,$C$5:$C$3004,"&lt;"&amp;D1136,$D$5:$D$3004,"&gt;"&amp;C1136)&gt;1,"⚠️ пересечение",""))</f>
        <v/>
      </c>
      <c r="M1136" s="54">
        <f>IF(F1136="","",IF(J1136="✅ Сделано","✔ ",IF(J1136="❌ Пропущено","✖ ","⏰ "))&amp;IF(C1136="","",RIGHT("0"&amp;HOUR(C1136),2)&amp;":"&amp;RIGHT("0"&amp;MINUTE(C1136),2)&amp;IF(D1136="","","–"&amp;RIGHT("0"&amp;HOUR(D1136),2)&amp;":"&amp;RIGHT("0"&amp;MINUTE(D1136),2))&amp;" ")&amp;F1136)</f>
        <v/>
      </c>
      <c r="N1136" s="54">
        <f>IF(OR(A1136="",F1136=""),"",A1136&amp;"#"&amp;(COUNTIFS($A$5:$A$3004,A1136,$F$5:$F$3004,"?*",$O$5:$O$3004,"&lt;"&amp;O1136)+COUNTIFS($A$5:A1136,A1136,$F$5:F1136,"?*",$O$5:O1136,O1136)))</f>
        <v/>
      </c>
      <c r="O1136" s="54">
        <f>IF(A1136="","",IF(C1136="",0,C1136))</f>
        <v/>
      </c>
    </row>
    <row r="1137">
      <c r="A1137" s="58" t="n"/>
      <c r="B1137" s="49">
        <f>IF(A1137="","",CHOOSE(WEEKDAY(A1137,2),"Пн","Вт","Ср","Чт","Пт","Сб","Вс"))</f>
        <v/>
      </c>
      <c r="C1137" s="59" t="n"/>
      <c r="D1137" s="59" t="n"/>
      <c r="E1137" s="60">
        <f>IF(OR(C1137="",D1137=""),"",MOD(D1137-C1137,1)*24)</f>
        <v/>
      </c>
      <c r="F1137" s="50" t="n"/>
      <c r="G1137" s="51" t="n"/>
      <c r="H1137" s="51" t="n"/>
      <c r="I1137" s="51" t="n"/>
      <c r="J1137" s="51" t="n"/>
      <c r="K1137" s="51" t="n"/>
      <c r="L1137" s="54">
        <f>IF(OR(A1137="",C1137="",D1137=""),"",IF(COUNTIFS($A$5:$A$3004,A1137,$C$5:$C$3004,"&lt;"&amp;D1137,$D$5:$D$3004,"&gt;"&amp;C1137)&gt;1,"⚠️ пересечение",""))</f>
        <v/>
      </c>
      <c r="M1137" s="54">
        <f>IF(F1137="","",IF(J1137="✅ Сделано","✔ ",IF(J1137="❌ Пропущено","✖ ","⏰ "))&amp;IF(C1137="","",RIGHT("0"&amp;HOUR(C1137),2)&amp;":"&amp;RIGHT("0"&amp;MINUTE(C1137),2)&amp;IF(D1137="","","–"&amp;RIGHT("0"&amp;HOUR(D1137),2)&amp;":"&amp;RIGHT("0"&amp;MINUTE(D1137),2))&amp;" ")&amp;F1137)</f>
        <v/>
      </c>
      <c r="N1137" s="54">
        <f>IF(OR(A1137="",F1137=""),"",A1137&amp;"#"&amp;(COUNTIFS($A$5:$A$3004,A1137,$F$5:$F$3004,"?*",$O$5:$O$3004,"&lt;"&amp;O1137)+COUNTIFS($A$5:A1137,A1137,$F$5:F1137,"?*",$O$5:O1137,O1137)))</f>
        <v/>
      </c>
      <c r="O1137" s="54">
        <f>IF(A1137="","",IF(C1137="",0,C1137))</f>
        <v/>
      </c>
    </row>
    <row r="1138">
      <c r="A1138" s="58" t="n"/>
      <c r="B1138" s="49">
        <f>IF(A1138="","",CHOOSE(WEEKDAY(A1138,2),"Пн","Вт","Ср","Чт","Пт","Сб","Вс"))</f>
        <v/>
      </c>
      <c r="C1138" s="59" t="n"/>
      <c r="D1138" s="59" t="n"/>
      <c r="E1138" s="60">
        <f>IF(OR(C1138="",D1138=""),"",MOD(D1138-C1138,1)*24)</f>
        <v/>
      </c>
      <c r="F1138" s="50" t="n"/>
      <c r="G1138" s="51" t="n"/>
      <c r="H1138" s="51" t="n"/>
      <c r="I1138" s="51" t="n"/>
      <c r="J1138" s="51" t="n"/>
      <c r="K1138" s="51" t="n"/>
      <c r="L1138" s="54">
        <f>IF(OR(A1138="",C1138="",D1138=""),"",IF(COUNTIFS($A$5:$A$3004,A1138,$C$5:$C$3004,"&lt;"&amp;D1138,$D$5:$D$3004,"&gt;"&amp;C1138)&gt;1,"⚠️ пересечение",""))</f>
        <v/>
      </c>
      <c r="M1138" s="54">
        <f>IF(F1138="","",IF(J1138="✅ Сделано","✔ ",IF(J1138="❌ Пропущено","✖ ","⏰ "))&amp;IF(C1138="","",RIGHT("0"&amp;HOUR(C1138),2)&amp;":"&amp;RIGHT("0"&amp;MINUTE(C1138),2)&amp;IF(D1138="","","–"&amp;RIGHT("0"&amp;HOUR(D1138),2)&amp;":"&amp;RIGHT("0"&amp;MINUTE(D1138),2))&amp;" ")&amp;F1138)</f>
        <v/>
      </c>
      <c r="N1138" s="54">
        <f>IF(OR(A1138="",F1138=""),"",A1138&amp;"#"&amp;(COUNTIFS($A$5:$A$3004,A1138,$F$5:$F$3004,"?*",$O$5:$O$3004,"&lt;"&amp;O1138)+COUNTIFS($A$5:A1138,A1138,$F$5:F1138,"?*",$O$5:O1138,O1138)))</f>
        <v/>
      </c>
      <c r="O1138" s="54">
        <f>IF(A1138="","",IF(C1138="",0,C1138))</f>
        <v/>
      </c>
    </row>
    <row r="1139">
      <c r="A1139" s="58" t="n"/>
      <c r="B1139" s="49">
        <f>IF(A1139="","",CHOOSE(WEEKDAY(A1139,2),"Пн","Вт","Ср","Чт","Пт","Сб","Вс"))</f>
        <v/>
      </c>
      <c r="C1139" s="59" t="n"/>
      <c r="D1139" s="59" t="n"/>
      <c r="E1139" s="60">
        <f>IF(OR(C1139="",D1139=""),"",MOD(D1139-C1139,1)*24)</f>
        <v/>
      </c>
      <c r="F1139" s="50" t="n"/>
      <c r="G1139" s="51" t="n"/>
      <c r="H1139" s="51" t="n"/>
      <c r="I1139" s="51" t="n"/>
      <c r="J1139" s="51" t="n"/>
      <c r="K1139" s="51" t="n"/>
      <c r="L1139" s="54">
        <f>IF(OR(A1139="",C1139="",D1139=""),"",IF(COUNTIFS($A$5:$A$3004,A1139,$C$5:$C$3004,"&lt;"&amp;D1139,$D$5:$D$3004,"&gt;"&amp;C1139)&gt;1,"⚠️ пересечение",""))</f>
        <v/>
      </c>
      <c r="M1139" s="54">
        <f>IF(F1139="","",IF(J1139="✅ Сделано","✔ ",IF(J1139="❌ Пропущено","✖ ","⏰ "))&amp;IF(C1139="","",RIGHT("0"&amp;HOUR(C1139),2)&amp;":"&amp;RIGHT("0"&amp;MINUTE(C1139),2)&amp;IF(D1139="","","–"&amp;RIGHT("0"&amp;HOUR(D1139),2)&amp;":"&amp;RIGHT("0"&amp;MINUTE(D1139),2))&amp;" ")&amp;F1139)</f>
        <v/>
      </c>
      <c r="N1139" s="54">
        <f>IF(OR(A1139="",F1139=""),"",A1139&amp;"#"&amp;(COUNTIFS($A$5:$A$3004,A1139,$F$5:$F$3004,"?*",$O$5:$O$3004,"&lt;"&amp;O1139)+COUNTIFS($A$5:A1139,A1139,$F$5:F1139,"?*",$O$5:O1139,O1139)))</f>
        <v/>
      </c>
      <c r="O1139" s="54">
        <f>IF(A1139="","",IF(C1139="",0,C1139))</f>
        <v/>
      </c>
    </row>
    <row r="1140">
      <c r="A1140" s="58" t="n"/>
      <c r="B1140" s="49">
        <f>IF(A1140="","",CHOOSE(WEEKDAY(A1140,2),"Пн","Вт","Ср","Чт","Пт","Сб","Вс"))</f>
        <v/>
      </c>
      <c r="C1140" s="59" t="n"/>
      <c r="D1140" s="59" t="n"/>
      <c r="E1140" s="60">
        <f>IF(OR(C1140="",D1140=""),"",MOD(D1140-C1140,1)*24)</f>
        <v/>
      </c>
      <c r="F1140" s="50" t="n"/>
      <c r="G1140" s="51" t="n"/>
      <c r="H1140" s="51" t="n"/>
      <c r="I1140" s="51" t="n"/>
      <c r="J1140" s="51" t="n"/>
      <c r="K1140" s="51" t="n"/>
      <c r="L1140" s="54">
        <f>IF(OR(A1140="",C1140="",D1140=""),"",IF(COUNTIFS($A$5:$A$3004,A1140,$C$5:$C$3004,"&lt;"&amp;D1140,$D$5:$D$3004,"&gt;"&amp;C1140)&gt;1,"⚠️ пересечение",""))</f>
        <v/>
      </c>
      <c r="M1140" s="54">
        <f>IF(F1140="","",IF(J1140="✅ Сделано","✔ ",IF(J1140="❌ Пропущено","✖ ","⏰ "))&amp;IF(C1140="","",RIGHT("0"&amp;HOUR(C1140),2)&amp;":"&amp;RIGHT("0"&amp;MINUTE(C1140),2)&amp;IF(D1140="","","–"&amp;RIGHT("0"&amp;HOUR(D1140),2)&amp;":"&amp;RIGHT("0"&amp;MINUTE(D1140),2))&amp;" ")&amp;F1140)</f>
        <v/>
      </c>
      <c r="N1140" s="54">
        <f>IF(OR(A1140="",F1140=""),"",A1140&amp;"#"&amp;(COUNTIFS($A$5:$A$3004,A1140,$F$5:$F$3004,"?*",$O$5:$O$3004,"&lt;"&amp;O1140)+COUNTIFS($A$5:A1140,A1140,$F$5:F1140,"?*",$O$5:O1140,O1140)))</f>
        <v/>
      </c>
      <c r="O1140" s="54">
        <f>IF(A1140="","",IF(C1140="",0,C1140))</f>
        <v/>
      </c>
    </row>
    <row r="1141">
      <c r="A1141" s="58" t="n"/>
      <c r="B1141" s="49">
        <f>IF(A1141="","",CHOOSE(WEEKDAY(A1141,2),"Пн","Вт","Ср","Чт","Пт","Сб","Вс"))</f>
        <v/>
      </c>
      <c r="C1141" s="59" t="n"/>
      <c r="D1141" s="59" t="n"/>
      <c r="E1141" s="60">
        <f>IF(OR(C1141="",D1141=""),"",MOD(D1141-C1141,1)*24)</f>
        <v/>
      </c>
      <c r="F1141" s="50" t="n"/>
      <c r="G1141" s="51" t="n"/>
      <c r="H1141" s="51" t="n"/>
      <c r="I1141" s="51" t="n"/>
      <c r="J1141" s="51" t="n"/>
      <c r="K1141" s="51" t="n"/>
      <c r="L1141" s="54">
        <f>IF(OR(A1141="",C1141="",D1141=""),"",IF(COUNTIFS($A$5:$A$3004,A1141,$C$5:$C$3004,"&lt;"&amp;D1141,$D$5:$D$3004,"&gt;"&amp;C1141)&gt;1,"⚠️ пересечение",""))</f>
        <v/>
      </c>
      <c r="M1141" s="54">
        <f>IF(F1141="","",IF(J1141="✅ Сделано","✔ ",IF(J1141="❌ Пропущено","✖ ","⏰ "))&amp;IF(C1141="","",RIGHT("0"&amp;HOUR(C1141),2)&amp;":"&amp;RIGHT("0"&amp;MINUTE(C1141),2)&amp;IF(D1141="","","–"&amp;RIGHT("0"&amp;HOUR(D1141),2)&amp;":"&amp;RIGHT("0"&amp;MINUTE(D1141),2))&amp;" ")&amp;F1141)</f>
        <v/>
      </c>
      <c r="N1141" s="54">
        <f>IF(OR(A1141="",F1141=""),"",A1141&amp;"#"&amp;(COUNTIFS($A$5:$A$3004,A1141,$F$5:$F$3004,"?*",$O$5:$O$3004,"&lt;"&amp;O1141)+COUNTIFS($A$5:A1141,A1141,$F$5:F1141,"?*",$O$5:O1141,O1141)))</f>
        <v/>
      </c>
      <c r="O1141" s="54">
        <f>IF(A1141="","",IF(C1141="",0,C1141))</f>
        <v/>
      </c>
    </row>
    <row r="1142">
      <c r="A1142" s="58" t="n"/>
      <c r="B1142" s="49">
        <f>IF(A1142="","",CHOOSE(WEEKDAY(A1142,2),"Пн","Вт","Ср","Чт","Пт","Сб","Вс"))</f>
        <v/>
      </c>
      <c r="C1142" s="59" t="n"/>
      <c r="D1142" s="59" t="n"/>
      <c r="E1142" s="60">
        <f>IF(OR(C1142="",D1142=""),"",MOD(D1142-C1142,1)*24)</f>
        <v/>
      </c>
      <c r="F1142" s="50" t="n"/>
      <c r="G1142" s="51" t="n"/>
      <c r="H1142" s="51" t="n"/>
      <c r="I1142" s="51" t="n"/>
      <c r="J1142" s="51" t="n"/>
      <c r="K1142" s="51" t="n"/>
      <c r="L1142" s="54">
        <f>IF(OR(A1142="",C1142="",D1142=""),"",IF(COUNTIFS($A$5:$A$3004,A1142,$C$5:$C$3004,"&lt;"&amp;D1142,$D$5:$D$3004,"&gt;"&amp;C1142)&gt;1,"⚠️ пересечение",""))</f>
        <v/>
      </c>
      <c r="M1142" s="54">
        <f>IF(F1142="","",IF(J1142="✅ Сделано","✔ ",IF(J1142="❌ Пропущено","✖ ","⏰ "))&amp;IF(C1142="","",RIGHT("0"&amp;HOUR(C1142),2)&amp;":"&amp;RIGHT("0"&amp;MINUTE(C1142),2)&amp;IF(D1142="","","–"&amp;RIGHT("0"&amp;HOUR(D1142),2)&amp;":"&amp;RIGHT("0"&amp;MINUTE(D1142),2))&amp;" ")&amp;F1142)</f>
        <v/>
      </c>
      <c r="N1142" s="54">
        <f>IF(OR(A1142="",F1142=""),"",A1142&amp;"#"&amp;(COUNTIFS($A$5:$A$3004,A1142,$F$5:$F$3004,"?*",$O$5:$O$3004,"&lt;"&amp;O1142)+COUNTIFS($A$5:A1142,A1142,$F$5:F1142,"?*",$O$5:O1142,O1142)))</f>
        <v/>
      </c>
      <c r="O1142" s="54">
        <f>IF(A1142="","",IF(C1142="",0,C1142))</f>
        <v/>
      </c>
    </row>
    <row r="1143">
      <c r="A1143" s="58" t="n"/>
      <c r="B1143" s="49">
        <f>IF(A1143="","",CHOOSE(WEEKDAY(A1143,2),"Пн","Вт","Ср","Чт","Пт","Сб","Вс"))</f>
        <v/>
      </c>
      <c r="C1143" s="59" t="n"/>
      <c r="D1143" s="59" t="n"/>
      <c r="E1143" s="60">
        <f>IF(OR(C1143="",D1143=""),"",MOD(D1143-C1143,1)*24)</f>
        <v/>
      </c>
      <c r="F1143" s="50" t="n"/>
      <c r="G1143" s="51" t="n"/>
      <c r="H1143" s="51" t="n"/>
      <c r="I1143" s="51" t="n"/>
      <c r="J1143" s="51" t="n"/>
      <c r="K1143" s="51" t="n"/>
      <c r="L1143" s="54">
        <f>IF(OR(A1143="",C1143="",D1143=""),"",IF(COUNTIFS($A$5:$A$3004,A1143,$C$5:$C$3004,"&lt;"&amp;D1143,$D$5:$D$3004,"&gt;"&amp;C1143)&gt;1,"⚠️ пересечение",""))</f>
        <v/>
      </c>
      <c r="M1143" s="54">
        <f>IF(F1143="","",IF(J1143="✅ Сделано","✔ ",IF(J1143="❌ Пропущено","✖ ","⏰ "))&amp;IF(C1143="","",RIGHT("0"&amp;HOUR(C1143),2)&amp;":"&amp;RIGHT("0"&amp;MINUTE(C1143),2)&amp;IF(D1143="","","–"&amp;RIGHT("0"&amp;HOUR(D1143),2)&amp;":"&amp;RIGHT("0"&amp;MINUTE(D1143),2))&amp;" ")&amp;F1143)</f>
        <v/>
      </c>
      <c r="N1143" s="54">
        <f>IF(OR(A1143="",F1143=""),"",A1143&amp;"#"&amp;(COUNTIFS($A$5:$A$3004,A1143,$F$5:$F$3004,"?*",$O$5:$O$3004,"&lt;"&amp;O1143)+COUNTIFS($A$5:A1143,A1143,$F$5:F1143,"?*",$O$5:O1143,O1143)))</f>
        <v/>
      </c>
      <c r="O1143" s="54">
        <f>IF(A1143="","",IF(C1143="",0,C1143))</f>
        <v/>
      </c>
    </row>
    <row r="1144">
      <c r="A1144" s="58" t="n"/>
      <c r="B1144" s="49">
        <f>IF(A1144="","",CHOOSE(WEEKDAY(A1144,2),"Пн","Вт","Ср","Чт","Пт","Сб","Вс"))</f>
        <v/>
      </c>
      <c r="C1144" s="59" t="n"/>
      <c r="D1144" s="59" t="n"/>
      <c r="E1144" s="60">
        <f>IF(OR(C1144="",D1144=""),"",MOD(D1144-C1144,1)*24)</f>
        <v/>
      </c>
      <c r="F1144" s="50" t="n"/>
      <c r="G1144" s="51" t="n"/>
      <c r="H1144" s="51" t="n"/>
      <c r="I1144" s="51" t="n"/>
      <c r="J1144" s="51" t="n"/>
      <c r="K1144" s="51" t="n"/>
      <c r="L1144" s="54">
        <f>IF(OR(A1144="",C1144="",D1144=""),"",IF(COUNTIFS($A$5:$A$3004,A1144,$C$5:$C$3004,"&lt;"&amp;D1144,$D$5:$D$3004,"&gt;"&amp;C1144)&gt;1,"⚠️ пересечение",""))</f>
        <v/>
      </c>
      <c r="M1144" s="54">
        <f>IF(F1144="","",IF(J1144="✅ Сделано","✔ ",IF(J1144="❌ Пропущено","✖ ","⏰ "))&amp;IF(C1144="","",RIGHT("0"&amp;HOUR(C1144),2)&amp;":"&amp;RIGHT("0"&amp;MINUTE(C1144),2)&amp;IF(D1144="","","–"&amp;RIGHT("0"&amp;HOUR(D1144),2)&amp;":"&amp;RIGHT("0"&amp;MINUTE(D1144),2))&amp;" ")&amp;F1144)</f>
        <v/>
      </c>
      <c r="N1144" s="54">
        <f>IF(OR(A1144="",F1144=""),"",A1144&amp;"#"&amp;(COUNTIFS($A$5:$A$3004,A1144,$F$5:$F$3004,"?*",$O$5:$O$3004,"&lt;"&amp;O1144)+COUNTIFS($A$5:A1144,A1144,$F$5:F1144,"?*",$O$5:O1144,O1144)))</f>
        <v/>
      </c>
      <c r="O1144" s="54">
        <f>IF(A1144="","",IF(C1144="",0,C1144))</f>
        <v/>
      </c>
    </row>
    <row r="1145">
      <c r="A1145" s="58" t="n"/>
      <c r="B1145" s="49">
        <f>IF(A1145="","",CHOOSE(WEEKDAY(A1145,2),"Пн","Вт","Ср","Чт","Пт","Сб","Вс"))</f>
        <v/>
      </c>
      <c r="C1145" s="59" t="n"/>
      <c r="D1145" s="59" t="n"/>
      <c r="E1145" s="60">
        <f>IF(OR(C1145="",D1145=""),"",MOD(D1145-C1145,1)*24)</f>
        <v/>
      </c>
      <c r="F1145" s="50" t="n"/>
      <c r="G1145" s="51" t="n"/>
      <c r="H1145" s="51" t="n"/>
      <c r="I1145" s="51" t="n"/>
      <c r="J1145" s="51" t="n"/>
      <c r="K1145" s="51" t="n"/>
      <c r="L1145" s="54">
        <f>IF(OR(A1145="",C1145="",D1145=""),"",IF(COUNTIFS($A$5:$A$3004,A1145,$C$5:$C$3004,"&lt;"&amp;D1145,$D$5:$D$3004,"&gt;"&amp;C1145)&gt;1,"⚠️ пересечение",""))</f>
        <v/>
      </c>
      <c r="M1145" s="54">
        <f>IF(F1145="","",IF(J1145="✅ Сделано","✔ ",IF(J1145="❌ Пропущено","✖ ","⏰ "))&amp;IF(C1145="","",RIGHT("0"&amp;HOUR(C1145),2)&amp;":"&amp;RIGHT("0"&amp;MINUTE(C1145),2)&amp;IF(D1145="","","–"&amp;RIGHT("0"&amp;HOUR(D1145),2)&amp;":"&amp;RIGHT("0"&amp;MINUTE(D1145),2))&amp;" ")&amp;F1145)</f>
        <v/>
      </c>
      <c r="N1145" s="54">
        <f>IF(OR(A1145="",F1145=""),"",A1145&amp;"#"&amp;(COUNTIFS($A$5:$A$3004,A1145,$F$5:$F$3004,"?*",$O$5:$O$3004,"&lt;"&amp;O1145)+COUNTIFS($A$5:A1145,A1145,$F$5:F1145,"?*",$O$5:O1145,O1145)))</f>
        <v/>
      </c>
      <c r="O1145" s="54">
        <f>IF(A1145="","",IF(C1145="",0,C1145))</f>
        <v/>
      </c>
    </row>
    <row r="1146">
      <c r="A1146" s="58" t="n"/>
      <c r="B1146" s="49">
        <f>IF(A1146="","",CHOOSE(WEEKDAY(A1146,2),"Пн","Вт","Ср","Чт","Пт","Сб","Вс"))</f>
        <v/>
      </c>
      <c r="C1146" s="59" t="n"/>
      <c r="D1146" s="59" t="n"/>
      <c r="E1146" s="60">
        <f>IF(OR(C1146="",D1146=""),"",MOD(D1146-C1146,1)*24)</f>
        <v/>
      </c>
      <c r="F1146" s="50" t="n"/>
      <c r="G1146" s="51" t="n"/>
      <c r="H1146" s="51" t="n"/>
      <c r="I1146" s="51" t="n"/>
      <c r="J1146" s="51" t="n"/>
      <c r="K1146" s="51" t="n"/>
      <c r="L1146" s="54">
        <f>IF(OR(A1146="",C1146="",D1146=""),"",IF(COUNTIFS($A$5:$A$3004,A1146,$C$5:$C$3004,"&lt;"&amp;D1146,$D$5:$D$3004,"&gt;"&amp;C1146)&gt;1,"⚠️ пересечение",""))</f>
        <v/>
      </c>
      <c r="M1146" s="54">
        <f>IF(F1146="","",IF(J1146="✅ Сделано","✔ ",IF(J1146="❌ Пропущено","✖ ","⏰ "))&amp;IF(C1146="","",RIGHT("0"&amp;HOUR(C1146),2)&amp;":"&amp;RIGHT("0"&amp;MINUTE(C1146),2)&amp;IF(D1146="","","–"&amp;RIGHT("0"&amp;HOUR(D1146),2)&amp;":"&amp;RIGHT("0"&amp;MINUTE(D1146),2))&amp;" ")&amp;F1146)</f>
        <v/>
      </c>
      <c r="N1146" s="54">
        <f>IF(OR(A1146="",F1146=""),"",A1146&amp;"#"&amp;(COUNTIFS($A$5:$A$3004,A1146,$F$5:$F$3004,"?*",$O$5:$O$3004,"&lt;"&amp;O1146)+COUNTIFS($A$5:A1146,A1146,$F$5:F1146,"?*",$O$5:O1146,O1146)))</f>
        <v/>
      </c>
      <c r="O1146" s="54">
        <f>IF(A1146="","",IF(C1146="",0,C1146))</f>
        <v/>
      </c>
    </row>
    <row r="1147">
      <c r="A1147" s="58" t="n"/>
      <c r="B1147" s="49">
        <f>IF(A1147="","",CHOOSE(WEEKDAY(A1147,2),"Пн","Вт","Ср","Чт","Пт","Сб","Вс"))</f>
        <v/>
      </c>
      <c r="C1147" s="59" t="n"/>
      <c r="D1147" s="59" t="n"/>
      <c r="E1147" s="60">
        <f>IF(OR(C1147="",D1147=""),"",MOD(D1147-C1147,1)*24)</f>
        <v/>
      </c>
      <c r="F1147" s="50" t="n"/>
      <c r="G1147" s="51" t="n"/>
      <c r="H1147" s="51" t="n"/>
      <c r="I1147" s="51" t="n"/>
      <c r="J1147" s="51" t="n"/>
      <c r="K1147" s="51" t="n"/>
      <c r="L1147" s="54">
        <f>IF(OR(A1147="",C1147="",D1147=""),"",IF(COUNTIFS($A$5:$A$3004,A1147,$C$5:$C$3004,"&lt;"&amp;D1147,$D$5:$D$3004,"&gt;"&amp;C1147)&gt;1,"⚠️ пересечение",""))</f>
        <v/>
      </c>
      <c r="M1147" s="54">
        <f>IF(F1147="","",IF(J1147="✅ Сделано","✔ ",IF(J1147="❌ Пропущено","✖ ","⏰ "))&amp;IF(C1147="","",RIGHT("0"&amp;HOUR(C1147),2)&amp;":"&amp;RIGHT("0"&amp;MINUTE(C1147),2)&amp;IF(D1147="","","–"&amp;RIGHT("0"&amp;HOUR(D1147),2)&amp;":"&amp;RIGHT("0"&amp;MINUTE(D1147),2))&amp;" ")&amp;F1147)</f>
        <v/>
      </c>
      <c r="N1147" s="54">
        <f>IF(OR(A1147="",F1147=""),"",A1147&amp;"#"&amp;(COUNTIFS($A$5:$A$3004,A1147,$F$5:$F$3004,"?*",$O$5:$O$3004,"&lt;"&amp;O1147)+COUNTIFS($A$5:A1147,A1147,$F$5:F1147,"?*",$O$5:O1147,O1147)))</f>
        <v/>
      </c>
      <c r="O1147" s="54">
        <f>IF(A1147="","",IF(C1147="",0,C1147))</f>
        <v/>
      </c>
    </row>
    <row r="1148">
      <c r="A1148" s="58" t="n"/>
      <c r="B1148" s="49">
        <f>IF(A1148="","",CHOOSE(WEEKDAY(A1148,2),"Пн","Вт","Ср","Чт","Пт","Сб","Вс"))</f>
        <v/>
      </c>
      <c r="C1148" s="59" t="n"/>
      <c r="D1148" s="59" t="n"/>
      <c r="E1148" s="60">
        <f>IF(OR(C1148="",D1148=""),"",MOD(D1148-C1148,1)*24)</f>
        <v/>
      </c>
      <c r="F1148" s="50" t="n"/>
      <c r="G1148" s="51" t="n"/>
      <c r="H1148" s="51" t="n"/>
      <c r="I1148" s="51" t="n"/>
      <c r="J1148" s="51" t="n"/>
      <c r="K1148" s="51" t="n"/>
      <c r="L1148" s="54">
        <f>IF(OR(A1148="",C1148="",D1148=""),"",IF(COUNTIFS($A$5:$A$3004,A1148,$C$5:$C$3004,"&lt;"&amp;D1148,$D$5:$D$3004,"&gt;"&amp;C1148)&gt;1,"⚠️ пересечение",""))</f>
        <v/>
      </c>
      <c r="M1148" s="54">
        <f>IF(F1148="","",IF(J1148="✅ Сделано","✔ ",IF(J1148="❌ Пропущено","✖ ","⏰ "))&amp;IF(C1148="","",RIGHT("0"&amp;HOUR(C1148),2)&amp;":"&amp;RIGHT("0"&amp;MINUTE(C1148),2)&amp;IF(D1148="","","–"&amp;RIGHT("0"&amp;HOUR(D1148),2)&amp;":"&amp;RIGHT("0"&amp;MINUTE(D1148),2))&amp;" ")&amp;F1148)</f>
        <v/>
      </c>
      <c r="N1148" s="54">
        <f>IF(OR(A1148="",F1148=""),"",A1148&amp;"#"&amp;(COUNTIFS($A$5:$A$3004,A1148,$F$5:$F$3004,"?*",$O$5:$O$3004,"&lt;"&amp;O1148)+COUNTIFS($A$5:A1148,A1148,$F$5:F1148,"?*",$O$5:O1148,O1148)))</f>
        <v/>
      </c>
      <c r="O1148" s="54">
        <f>IF(A1148="","",IF(C1148="",0,C1148))</f>
        <v/>
      </c>
    </row>
    <row r="1149">
      <c r="A1149" s="58" t="n"/>
      <c r="B1149" s="49">
        <f>IF(A1149="","",CHOOSE(WEEKDAY(A1149,2),"Пн","Вт","Ср","Чт","Пт","Сб","Вс"))</f>
        <v/>
      </c>
      <c r="C1149" s="59" t="n"/>
      <c r="D1149" s="59" t="n"/>
      <c r="E1149" s="60">
        <f>IF(OR(C1149="",D1149=""),"",MOD(D1149-C1149,1)*24)</f>
        <v/>
      </c>
      <c r="F1149" s="50" t="n"/>
      <c r="G1149" s="51" t="n"/>
      <c r="H1149" s="51" t="n"/>
      <c r="I1149" s="51" t="n"/>
      <c r="J1149" s="51" t="n"/>
      <c r="K1149" s="51" t="n"/>
      <c r="L1149" s="54">
        <f>IF(OR(A1149="",C1149="",D1149=""),"",IF(COUNTIFS($A$5:$A$3004,A1149,$C$5:$C$3004,"&lt;"&amp;D1149,$D$5:$D$3004,"&gt;"&amp;C1149)&gt;1,"⚠️ пересечение",""))</f>
        <v/>
      </c>
      <c r="M1149" s="54">
        <f>IF(F1149="","",IF(J1149="✅ Сделано","✔ ",IF(J1149="❌ Пропущено","✖ ","⏰ "))&amp;IF(C1149="","",RIGHT("0"&amp;HOUR(C1149),2)&amp;":"&amp;RIGHT("0"&amp;MINUTE(C1149),2)&amp;IF(D1149="","","–"&amp;RIGHT("0"&amp;HOUR(D1149),2)&amp;":"&amp;RIGHT("0"&amp;MINUTE(D1149),2))&amp;" ")&amp;F1149)</f>
        <v/>
      </c>
      <c r="N1149" s="54">
        <f>IF(OR(A1149="",F1149=""),"",A1149&amp;"#"&amp;(COUNTIFS($A$5:$A$3004,A1149,$F$5:$F$3004,"?*",$O$5:$O$3004,"&lt;"&amp;O1149)+COUNTIFS($A$5:A1149,A1149,$F$5:F1149,"?*",$O$5:O1149,O1149)))</f>
        <v/>
      </c>
      <c r="O1149" s="54">
        <f>IF(A1149="","",IF(C1149="",0,C1149))</f>
        <v/>
      </c>
    </row>
    <row r="1150">
      <c r="A1150" s="58" t="n"/>
      <c r="B1150" s="49">
        <f>IF(A1150="","",CHOOSE(WEEKDAY(A1150,2),"Пн","Вт","Ср","Чт","Пт","Сб","Вс"))</f>
        <v/>
      </c>
      <c r="C1150" s="59" t="n"/>
      <c r="D1150" s="59" t="n"/>
      <c r="E1150" s="60">
        <f>IF(OR(C1150="",D1150=""),"",MOD(D1150-C1150,1)*24)</f>
        <v/>
      </c>
      <c r="F1150" s="50" t="n"/>
      <c r="G1150" s="51" t="n"/>
      <c r="H1150" s="51" t="n"/>
      <c r="I1150" s="51" t="n"/>
      <c r="J1150" s="51" t="n"/>
      <c r="K1150" s="51" t="n"/>
      <c r="L1150" s="54">
        <f>IF(OR(A1150="",C1150="",D1150=""),"",IF(COUNTIFS($A$5:$A$3004,A1150,$C$5:$C$3004,"&lt;"&amp;D1150,$D$5:$D$3004,"&gt;"&amp;C1150)&gt;1,"⚠️ пересечение",""))</f>
        <v/>
      </c>
      <c r="M1150" s="54">
        <f>IF(F1150="","",IF(J1150="✅ Сделано","✔ ",IF(J1150="❌ Пропущено","✖ ","⏰ "))&amp;IF(C1150="","",RIGHT("0"&amp;HOUR(C1150),2)&amp;":"&amp;RIGHT("0"&amp;MINUTE(C1150),2)&amp;IF(D1150="","","–"&amp;RIGHT("0"&amp;HOUR(D1150),2)&amp;":"&amp;RIGHT("0"&amp;MINUTE(D1150),2))&amp;" ")&amp;F1150)</f>
        <v/>
      </c>
      <c r="N1150" s="54">
        <f>IF(OR(A1150="",F1150=""),"",A1150&amp;"#"&amp;(COUNTIFS($A$5:$A$3004,A1150,$F$5:$F$3004,"?*",$O$5:$O$3004,"&lt;"&amp;O1150)+COUNTIFS($A$5:A1150,A1150,$F$5:F1150,"?*",$O$5:O1150,O1150)))</f>
        <v/>
      </c>
      <c r="O1150" s="54">
        <f>IF(A1150="","",IF(C1150="",0,C1150))</f>
        <v/>
      </c>
    </row>
    <row r="1151">
      <c r="A1151" s="58" t="n"/>
      <c r="B1151" s="49">
        <f>IF(A1151="","",CHOOSE(WEEKDAY(A1151,2),"Пн","Вт","Ср","Чт","Пт","Сб","Вс"))</f>
        <v/>
      </c>
      <c r="C1151" s="59" t="n"/>
      <c r="D1151" s="59" t="n"/>
      <c r="E1151" s="60">
        <f>IF(OR(C1151="",D1151=""),"",MOD(D1151-C1151,1)*24)</f>
        <v/>
      </c>
      <c r="F1151" s="50" t="n"/>
      <c r="G1151" s="51" t="n"/>
      <c r="H1151" s="51" t="n"/>
      <c r="I1151" s="51" t="n"/>
      <c r="J1151" s="51" t="n"/>
      <c r="K1151" s="51" t="n"/>
      <c r="L1151" s="54">
        <f>IF(OR(A1151="",C1151="",D1151=""),"",IF(COUNTIFS($A$5:$A$3004,A1151,$C$5:$C$3004,"&lt;"&amp;D1151,$D$5:$D$3004,"&gt;"&amp;C1151)&gt;1,"⚠️ пересечение",""))</f>
        <v/>
      </c>
      <c r="M1151" s="54">
        <f>IF(F1151="","",IF(J1151="✅ Сделано","✔ ",IF(J1151="❌ Пропущено","✖ ","⏰ "))&amp;IF(C1151="","",RIGHT("0"&amp;HOUR(C1151),2)&amp;":"&amp;RIGHT("0"&amp;MINUTE(C1151),2)&amp;IF(D1151="","","–"&amp;RIGHT("0"&amp;HOUR(D1151),2)&amp;":"&amp;RIGHT("0"&amp;MINUTE(D1151),2))&amp;" ")&amp;F1151)</f>
        <v/>
      </c>
      <c r="N1151" s="54">
        <f>IF(OR(A1151="",F1151=""),"",A1151&amp;"#"&amp;(COUNTIFS($A$5:$A$3004,A1151,$F$5:$F$3004,"?*",$O$5:$O$3004,"&lt;"&amp;O1151)+COUNTIFS($A$5:A1151,A1151,$F$5:F1151,"?*",$O$5:O1151,O1151)))</f>
        <v/>
      </c>
      <c r="O1151" s="54">
        <f>IF(A1151="","",IF(C1151="",0,C1151))</f>
        <v/>
      </c>
    </row>
    <row r="1152">
      <c r="A1152" s="58" t="n"/>
      <c r="B1152" s="49">
        <f>IF(A1152="","",CHOOSE(WEEKDAY(A1152,2),"Пн","Вт","Ср","Чт","Пт","Сб","Вс"))</f>
        <v/>
      </c>
      <c r="C1152" s="59" t="n"/>
      <c r="D1152" s="59" t="n"/>
      <c r="E1152" s="60">
        <f>IF(OR(C1152="",D1152=""),"",MOD(D1152-C1152,1)*24)</f>
        <v/>
      </c>
      <c r="F1152" s="50" t="n"/>
      <c r="G1152" s="51" t="n"/>
      <c r="H1152" s="51" t="n"/>
      <c r="I1152" s="51" t="n"/>
      <c r="J1152" s="51" t="n"/>
      <c r="K1152" s="51" t="n"/>
      <c r="L1152" s="54">
        <f>IF(OR(A1152="",C1152="",D1152=""),"",IF(COUNTIFS($A$5:$A$3004,A1152,$C$5:$C$3004,"&lt;"&amp;D1152,$D$5:$D$3004,"&gt;"&amp;C1152)&gt;1,"⚠️ пересечение",""))</f>
        <v/>
      </c>
      <c r="M1152" s="54">
        <f>IF(F1152="","",IF(J1152="✅ Сделано","✔ ",IF(J1152="❌ Пропущено","✖ ","⏰ "))&amp;IF(C1152="","",RIGHT("0"&amp;HOUR(C1152),2)&amp;":"&amp;RIGHT("0"&amp;MINUTE(C1152),2)&amp;IF(D1152="","","–"&amp;RIGHT("0"&amp;HOUR(D1152),2)&amp;":"&amp;RIGHT("0"&amp;MINUTE(D1152),2))&amp;" ")&amp;F1152)</f>
        <v/>
      </c>
      <c r="N1152" s="54">
        <f>IF(OR(A1152="",F1152=""),"",A1152&amp;"#"&amp;(COUNTIFS($A$5:$A$3004,A1152,$F$5:$F$3004,"?*",$O$5:$O$3004,"&lt;"&amp;O1152)+COUNTIFS($A$5:A1152,A1152,$F$5:F1152,"?*",$O$5:O1152,O1152)))</f>
        <v/>
      </c>
      <c r="O1152" s="54">
        <f>IF(A1152="","",IF(C1152="",0,C1152))</f>
        <v/>
      </c>
    </row>
    <row r="1153">
      <c r="A1153" s="58" t="n"/>
      <c r="B1153" s="49">
        <f>IF(A1153="","",CHOOSE(WEEKDAY(A1153,2),"Пн","Вт","Ср","Чт","Пт","Сб","Вс"))</f>
        <v/>
      </c>
      <c r="C1153" s="59" t="n"/>
      <c r="D1153" s="59" t="n"/>
      <c r="E1153" s="60">
        <f>IF(OR(C1153="",D1153=""),"",MOD(D1153-C1153,1)*24)</f>
        <v/>
      </c>
      <c r="F1153" s="50" t="n"/>
      <c r="G1153" s="51" t="n"/>
      <c r="H1153" s="51" t="n"/>
      <c r="I1153" s="51" t="n"/>
      <c r="J1153" s="51" t="n"/>
      <c r="K1153" s="51" t="n"/>
      <c r="L1153" s="54">
        <f>IF(OR(A1153="",C1153="",D1153=""),"",IF(COUNTIFS($A$5:$A$3004,A1153,$C$5:$C$3004,"&lt;"&amp;D1153,$D$5:$D$3004,"&gt;"&amp;C1153)&gt;1,"⚠️ пересечение",""))</f>
        <v/>
      </c>
      <c r="M1153" s="54">
        <f>IF(F1153="","",IF(J1153="✅ Сделано","✔ ",IF(J1153="❌ Пропущено","✖ ","⏰ "))&amp;IF(C1153="","",RIGHT("0"&amp;HOUR(C1153),2)&amp;":"&amp;RIGHT("0"&amp;MINUTE(C1153),2)&amp;IF(D1153="","","–"&amp;RIGHT("0"&amp;HOUR(D1153),2)&amp;":"&amp;RIGHT("0"&amp;MINUTE(D1153),2))&amp;" ")&amp;F1153)</f>
        <v/>
      </c>
      <c r="N1153" s="54">
        <f>IF(OR(A1153="",F1153=""),"",A1153&amp;"#"&amp;(COUNTIFS($A$5:$A$3004,A1153,$F$5:$F$3004,"?*",$O$5:$O$3004,"&lt;"&amp;O1153)+COUNTIFS($A$5:A1153,A1153,$F$5:F1153,"?*",$O$5:O1153,O1153)))</f>
        <v/>
      </c>
      <c r="O1153" s="54">
        <f>IF(A1153="","",IF(C1153="",0,C1153))</f>
        <v/>
      </c>
    </row>
    <row r="1154">
      <c r="A1154" s="58" t="n"/>
      <c r="B1154" s="49">
        <f>IF(A1154="","",CHOOSE(WEEKDAY(A1154,2),"Пн","Вт","Ср","Чт","Пт","Сб","Вс"))</f>
        <v/>
      </c>
      <c r="C1154" s="59" t="n"/>
      <c r="D1154" s="59" t="n"/>
      <c r="E1154" s="60">
        <f>IF(OR(C1154="",D1154=""),"",MOD(D1154-C1154,1)*24)</f>
        <v/>
      </c>
      <c r="F1154" s="50" t="n"/>
      <c r="G1154" s="51" t="n"/>
      <c r="H1154" s="51" t="n"/>
      <c r="I1154" s="51" t="n"/>
      <c r="J1154" s="51" t="n"/>
      <c r="K1154" s="51" t="n"/>
      <c r="L1154" s="54">
        <f>IF(OR(A1154="",C1154="",D1154=""),"",IF(COUNTIFS($A$5:$A$3004,A1154,$C$5:$C$3004,"&lt;"&amp;D1154,$D$5:$D$3004,"&gt;"&amp;C1154)&gt;1,"⚠️ пересечение",""))</f>
        <v/>
      </c>
      <c r="M1154" s="54">
        <f>IF(F1154="","",IF(J1154="✅ Сделано","✔ ",IF(J1154="❌ Пропущено","✖ ","⏰ "))&amp;IF(C1154="","",RIGHT("0"&amp;HOUR(C1154),2)&amp;":"&amp;RIGHT("0"&amp;MINUTE(C1154),2)&amp;IF(D1154="","","–"&amp;RIGHT("0"&amp;HOUR(D1154),2)&amp;":"&amp;RIGHT("0"&amp;MINUTE(D1154),2))&amp;" ")&amp;F1154)</f>
        <v/>
      </c>
      <c r="N1154" s="54">
        <f>IF(OR(A1154="",F1154=""),"",A1154&amp;"#"&amp;(COUNTIFS($A$5:$A$3004,A1154,$F$5:$F$3004,"?*",$O$5:$O$3004,"&lt;"&amp;O1154)+COUNTIFS($A$5:A1154,A1154,$F$5:F1154,"?*",$O$5:O1154,O1154)))</f>
        <v/>
      </c>
      <c r="O1154" s="54">
        <f>IF(A1154="","",IF(C1154="",0,C1154))</f>
        <v/>
      </c>
    </row>
    <row r="1155">
      <c r="A1155" s="58" t="n"/>
      <c r="B1155" s="49">
        <f>IF(A1155="","",CHOOSE(WEEKDAY(A1155,2),"Пн","Вт","Ср","Чт","Пт","Сб","Вс"))</f>
        <v/>
      </c>
      <c r="C1155" s="59" t="n"/>
      <c r="D1155" s="59" t="n"/>
      <c r="E1155" s="60">
        <f>IF(OR(C1155="",D1155=""),"",MOD(D1155-C1155,1)*24)</f>
        <v/>
      </c>
      <c r="F1155" s="50" t="n"/>
      <c r="G1155" s="51" t="n"/>
      <c r="H1155" s="51" t="n"/>
      <c r="I1155" s="51" t="n"/>
      <c r="J1155" s="51" t="n"/>
      <c r="K1155" s="51" t="n"/>
      <c r="L1155" s="54">
        <f>IF(OR(A1155="",C1155="",D1155=""),"",IF(COUNTIFS($A$5:$A$3004,A1155,$C$5:$C$3004,"&lt;"&amp;D1155,$D$5:$D$3004,"&gt;"&amp;C1155)&gt;1,"⚠️ пересечение",""))</f>
        <v/>
      </c>
      <c r="M1155" s="54">
        <f>IF(F1155="","",IF(J1155="✅ Сделано","✔ ",IF(J1155="❌ Пропущено","✖ ","⏰ "))&amp;IF(C1155="","",RIGHT("0"&amp;HOUR(C1155),2)&amp;":"&amp;RIGHT("0"&amp;MINUTE(C1155),2)&amp;IF(D1155="","","–"&amp;RIGHT("0"&amp;HOUR(D1155),2)&amp;":"&amp;RIGHT("0"&amp;MINUTE(D1155),2))&amp;" ")&amp;F1155)</f>
        <v/>
      </c>
      <c r="N1155" s="54">
        <f>IF(OR(A1155="",F1155=""),"",A1155&amp;"#"&amp;(COUNTIFS($A$5:$A$3004,A1155,$F$5:$F$3004,"?*",$O$5:$O$3004,"&lt;"&amp;O1155)+COUNTIFS($A$5:A1155,A1155,$F$5:F1155,"?*",$O$5:O1155,O1155)))</f>
        <v/>
      </c>
      <c r="O1155" s="54">
        <f>IF(A1155="","",IF(C1155="",0,C1155))</f>
        <v/>
      </c>
    </row>
    <row r="1156">
      <c r="A1156" s="58" t="n"/>
      <c r="B1156" s="49">
        <f>IF(A1156="","",CHOOSE(WEEKDAY(A1156,2),"Пн","Вт","Ср","Чт","Пт","Сб","Вс"))</f>
        <v/>
      </c>
      <c r="C1156" s="59" t="n"/>
      <c r="D1156" s="59" t="n"/>
      <c r="E1156" s="60">
        <f>IF(OR(C1156="",D1156=""),"",MOD(D1156-C1156,1)*24)</f>
        <v/>
      </c>
      <c r="F1156" s="50" t="n"/>
      <c r="G1156" s="51" t="n"/>
      <c r="H1156" s="51" t="n"/>
      <c r="I1156" s="51" t="n"/>
      <c r="J1156" s="51" t="n"/>
      <c r="K1156" s="51" t="n"/>
      <c r="L1156" s="54">
        <f>IF(OR(A1156="",C1156="",D1156=""),"",IF(COUNTIFS($A$5:$A$3004,A1156,$C$5:$C$3004,"&lt;"&amp;D1156,$D$5:$D$3004,"&gt;"&amp;C1156)&gt;1,"⚠️ пересечение",""))</f>
        <v/>
      </c>
      <c r="M1156" s="54">
        <f>IF(F1156="","",IF(J1156="✅ Сделано","✔ ",IF(J1156="❌ Пропущено","✖ ","⏰ "))&amp;IF(C1156="","",RIGHT("0"&amp;HOUR(C1156),2)&amp;":"&amp;RIGHT("0"&amp;MINUTE(C1156),2)&amp;IF(D1156="","","–"&amp;RIGHT("0"&amp;HOUR(D1156),2)&amp;":"&amp;RIGHT("0"&amp;MINUTE(D1156),2))&amp;" ")&amp;F1156)</f>
        <v/>
      </c>
      <c r="N1156" s="54">
        <f>IF(OR(A1156="",F1156=""),"",A1156&amp;"#"&amp;(COUNTIFS($A$5:$A$3004,A1156,$F$5:$F$3004,"?*",$O$5:$O$3004,"&lt;"&amp;O1156)+COUNTIFS($A$5:A1156,A1156,$F$5:F1156,"?*",$O$5:O1156,O1156)))</f>
        <v/>
      </c>
      <c r="O1156" s="54">
        <f>IF(A1156="","",IF(C1156="",0,C1156))</f>
        <v/>
      </c>
    </row>
    <row r="1157">
      <c r="A1157" s="58" t="n"/>
      <c r="B1157" s="49">
        <f>IF(A1157="","",CHOOSE(WEEKDAY(A1157,2),"Пн","Вт","Ср","Чт","Пт","Сб","Вс"))</f>
        <v/>
      </c>
      <c r="C1157" s="59" t="n"/>
      <c r="D1157" s="59" t="n"/>
      <c r="E1157" s="60">
        <f>IF(OR(C1157="",D1157=""),"",MOD(D1157-C1157,1)*24)</f>
        <v/>
      </c>
      <c r="F1157" s="50" t="n"/>
      <c r="G1157" s="51" t="n"/>
      <c r="H1157" s="51" t="n"/>
      <c r="I1157" s="51" t="n"/>
      <c r="J1157" s="51" t="n"/>
      <c r="K1157" s="51" t="n"/>
      <c r="L1157" s="54">
        <f>IF(OR(A1157="",C1157="",D1157=""),"",IF(COUNTIFS($A$5:$A$3004,A1157,$C$5:$C$3004,"&lt;"&amp;D1157,$D$5:$D$3004,"&gt;"&amp;C1157)&gt;1,"⚠️ пересечение",""))</f>
        <v/>
      </c>
      <c r="M1157" s="54">
        <f>IF(F1157="","",IF(J1157="✅ Сделано","✔ ",IF(J1157="❌ Пропущено","✖ ","⏰ "))&amp;IF(C1157="","",RIGHT("0"&amp;HOUR(C1157),2)&amp;":"&amp;RIGHT("0"&amp;MINUTE(C1157),2)&amp;IF(D1157="","","–"&amp;RIGHT("0"&amp;HOUR(D1157),2)&amp;":"&amp;RIGHT("0"&amp;MINUTE(D1157),2))&amp;" ")&amp;F1157)</f>
        <v/>
      </c>
      <c r="N1157" s="54">
        <f>IF(OR(A1157="",F1157=""),"",A1157&amp;"#"&amp;(COUNTIFS($A$5:$A$3004,A1157,$F$5:$F$3004,"?*",$O$5:$O$3004,"&lt;"&amp;O1157)+COUNTIFS($A$5:A1157,A1157,$F$5:F1157,"?*",$O$5:O1157,O1157)))</f>
        <v/>
      </c>
      <c r="O1157" s="54">
        <f>IF(A1157="","",IF(C1157="",0,C1157))</f>
        <v/>
      </c>
    </row>
    <row r="1158">
      <c r="A1158" s="58" t="n"/>
      <c r="B1158" s="49">
        <f>IF(A1158="","",CHOOSE(WEEKDAY(A1158,2),"Пн","Вт","Ср","Чт","Пт","Сб","Вс"))</f>
        <v/>
      </c>
      <c r="C1158" s="59" t="n"/>
      <c r="D1158" s="59" t="n"/>
      <c r="E1158" s="60">
        <f>IF(OR(C1158="",D1158=""),"",MOD(D1158-C1158,1)*24)</f>
        <v/>
      </c>
      <c r="F1158" s="50" t="n"/>
      <c r="G1158" s="51" t="n"/>
      <c r="H1158" s="51" t="n"/>
      <c r="I1158" s="51" t="n"/>
      <c r="J1158" s="51" t="n"/>
      <c r="K1158" s="51" t="n"/>
      <c r="L1158" s="54">
        <f>IF(OR(A1158="",C1158="",D1158=""),"",IF(COUNTIFS($A$5:$A$3004,A1158,$C$5:$C$3004,"&lt;"&amp;D1158,$D$5:$D$3004,"&gt;"&amp;C1158)&gt;1,"⚠️ пересечение",""))</f>
        <v/>
      </c>
      <c r="M1158" s="54">
        <f>IF(F1158="","",IF(J1158="✅ Сделано","✔ ",IF(J1158="❌ Пропущено","✖ ","⏰ "))&amp;IF(C1158="","",RIGHT("0"&amp;HOUR(C1158),2)&amp;":"&amp;RIGHT("0"&amp;MINUTE(C1158),2)&amp;IF(D1158="","","–"&amp;RIGHT("0"&amp;HOUR(D1158),2)&amp;":"&amp;RIGHT("0"&amp;MINUTE(D1158),2))&amp;" ")&amp;F1158)</f>
        <v/>
      </c>
      <c r="N1158" s="54">
        <f>IF(OR(A1158="",F1158=""),"",A1158&amp;"#"&amp;(COUNTIFS($A$5:$A$3004,A1158,$F$5:$F$3004,"?*",$O$5:$O$3004,"&lt;"&amp;O1158)+COUNTIFS($A$5:A1158,A1158,$F$5:F1158,"?*",$O$5:O1158,O1158)))</f>
        <v/>
      </c>
      <c r="O1158" s="54">
        <f>IF(A1158="","",IF(C1158="",0,C1158))</f>
        <v/>
      </c>
    </row>
    <row r="1159">
      <c r="A1159" s="58" t="n"/>
      <c r="B1159" s="49">
        <f>IF(A1159="","",CHOOSE(WEEKDAY(A1159,2),"Пн","Вт","Ср","Чт","Пт","Сб","Вс"))</f>
        <v/>
      </c>
      <c r="C1159" s="59" t="n"/>
      <c r="D1159" s="59" t="n"/>
      <c r="E1159" s="60">
        <f>IF(OR(C1159="",D1159=""),"",MOD(D1159-C1159,1)*24)</f>
        <v/>
      </c>
      <c r="F1159" s="50" t="n"/>
      <c r="G1159" s="51" t="n"/>
      <c r="H1159" s="51" t="n"/>
      <c r="I1159" s="51" t="n"/>
      <c r="J1159" s="51" t="n"/>
      <c r="K1159" s="51" t="n"/>
      <c r="L1159" s="54">
        <f>IF(OR(A1159="",C1159="",D1159=""),"",IF(COUNTIFS($A$5:$A$3004,A1159,$C$5:$C$3004,"&lt;"&amp;D1159,$D$5:$D$3004,"&gt;"&amp;C1159)&gt;1,"⚠️ пересечение",""))</f>
        <v/>
      </c>
      <c r="M1159" s="54">
        <f>IF(F1159="","",IF(J1159="✅ Сделано","✔ ",IF(J1159="❌ Пропущено","✖ ","⏰ "))&amp;IF(C1159="","",RIGHT("0"&amp;HOUR(C1159),2)&amp;":"&amp;RIGHT("0"&amp;MINUTE(C1159),2)&amp;IF(D1159="","","–"&amp;RIGHT("0"&amp;HOUR(D1159),2)&amp;":"&amp;RIGHT("0"&amp;MINUTE(D1159),2))&amp;" ")&amp;F1159)</f>
        <v/>
      </c>
      <c r="N1159" s="54">
        <f>IF(OR(A1159="",F1159=""),"",A1159&amp;"#"&amp;(COUNTIFS($A$5:$A$3004,A1159,$F$5:$F$3004,"?*",$O$5:$O$3004,"&lt;"&amp;O1159)+COUNTIFS($A$5:A1159,A1159,$F$5:F1159,"?*",$O$5:O1159,O1159)))</f>
        <v/>
      </c>
      <c r="O1159" s="54">
        <f>IF(A1159="","",IF(C1159="",0,C1159))</f>
        <v/>
      </c>
    </row>
    <row r="1160">
      <c r="A1160" s="58" t="n"/>
      <c r="B1160" s="49">
        <f>IF(A1160="","",CHOOSE(WEEKDAY(A1160,2),"Пн","Вт","Ср","Чт","Пт","Сб","Вс"))</f>
        <v/>
      </c>
      <c r="C1160" s="59" t="n"/>
      <c r="D1160" s="59" t="n"/>
      <c r="E1160" s="60">
        <f>IF(OR(C1160="",D1160=""),"",MOD(D1160-C1160,1)*24)</f>
        <v/>
      </c>
      <c r="F1160" s="50" t="n"/>
      <c r="G1160" s="51" t="n"/>
      <c r="H1160" s="51" t="n"/>
      <c r="I1160" s="51" t="n"/>
      <c r="J1160" s="51" t="n"/>
      <c r="K1160" s="51" t="n"/>
      <c r="L1160" s="54">
        <f>IF(OR(A1160="",C1160="",D1160=""),"",IF(COUNTIFS($A$5:$A$3004,A1160,$C$5:$C$3004,"&lt;"&amp;D1160,$D$5:$D$3004,"&gt;"&amp;C1160)&gt;1,"⚠️ пересечение",""))</f>
        <v/>
      </c>
      <c r="M1160" s="54">
        <f>IF(F1160="","",IF(J1160="✅ Сделано","✔ ",IF(J1160="❌ Пропущено","✖ ","⏰ "))&amp;IF(C1160="","",RIGHT("0"&amp;HOUR(C1160),2)&amp;":"&amp;RIGHT("0"&amp;MINUTE(C1160),2)&amp;IF(D1160="","","–"&amp;RIGHT("0"&amp;HOUR(D1160),2)&amp;":"&amp;RIGHT("0"&amp;MINUTE(D1160),2))&amp;" ")&amp;F1160)</f>
        <v/>
      </c>
      <c r="N1160" s="54">
        <f>IF(OR(A1160="",F1160=""),"",A1160&amp;"#"&amp;(COUNTIFS($A$5:$A$3004,A1160,$F$5:$F$3004,"?*",$O$5:$O$3004,"&lt;"&amp;O1160)+COUNTIFS($A$5:A1160,A1160,$F$5:F1160,"?*",$O$5:O1160,O1160)))</f>
        <v/>
      </c>
      <c r="O1160" s="54">
        <f>IF(A1160="","",IF(C1160="",0,C1160))</f>
        <v/>
      </c>
    </row>
    <row r="1161">
      <c r="A1161" s="58" t="n"/>
      <c r="B1161" s="49">
        <f>IF(A1161="","",CHOOSE(WEEKDAY(A1161,2),"Пн","Вт","Ср","Чт","Пт","Сб","Вс"))</f>
        <v/>
      </c>
      <c r="C1161" s="59" t="n"/>
      <c r="D1161" s="59" t="n"/>
      <c r="E1161" s="60">
        <f>IF(OR(C1161="",D1161=""),"",MOD(D1161-C1161,1)*24)</f>
        <v/>
      </c>
      <c r="F1161" s="50" t="n"/>
      <c r="G1161" s="51" t="n"/>
      <c r="H1161" s="51" t="n"/>
      <c r="I1161" s="51" t="n"/>
      <c r="J1161" s="51" t="n"/>
      <c r="K1161" s="51" t="n"/>
      <c r="L1161" s="54">
        <f>IF(OR(A1161="",C1161="",D1161=""),"",IF(COUNTIFS($A$5:$A$3004,A1161,$C$5:$C$3004,"&lt;"&amp;D1161,$D$5:$D$3004,"&gt;"&amp;C1161)&gt;1,"⚠️ пересечение",""))</f>
        <v/>
      </c>
      <c r="M1161" s="54">
        <f>IF(F1161="","",IF(J1161="✅ Сделано","✔ ",IF(J1161="❌ Пропущено","✖ ","⏰ "))&amp;IF(C1161="","",RIGHT("0"&amp;HOUR(C1161),2)&amp;":"&amp;RIGHT("0"&amp;MINUTE(C1161),2)&amp;IF(D1161="","","–"&amp;RIGHT("0"&amp;HOUR(D1161),2)&amp;":"&amp;RIGHT("0"&amp;MINUTE(D1161),2))&amp;" ")&amp;F1161)</f>
        <v/>
      </c>
      <c r="N1161" s="54">
        <f>IF(OR(A1161="",F1161=""),"",A1161&amp;"#"&amp;(COUNTIFS($A$5:$A$3004,A1161,$F$5:$F$3004,"?*",$O$5:$O$3004,"&lt;"&amp;O1161)+COUNTIFS($A$5:A1161,A1161,$F$5:F1161,"?*",$O$5:O1161,O1161)))</f>
        <v/>
      </c>
      <c r="O1161" s="54">
        <f>IF(A1161="","",IF(C1161="",0,C1161))</f>
        <v/>
      </c>
    </row>
    <row r="1162">
      <c r="A1162" s="58" t="n"/>
      <c r="B1162" s="49">
        <f>IF(A1162="","",CHOOSE(WEEKDAY(A1162,2),"Пн","Вт","Ср","Чт","Пт","Сб","Вс"))</f>
        <v/>
      </c>
      <c r="C1162" s="59" t="n"/>
      <c r="D1162" s="59" t="n"/>
      <c r="E1162" s="60">
        <f>IF(OR(C1162="",D1162=""),"",MOD(D1162-C1162,1)*24)</f>
        <v/>
      </c>
      <c r="F1162" s="50" t="n"/>
      <c r="G1162" s="51" t="n"/>
      <c r="H1162" s="51" t="n"/>
      <c r="I1162" s="51" t="n"/>
      <c r="J1162" s="51" t="n"/>
      <c r="K1162" s="51" t="n"/>
      <c r="L1162" s="54">
        <f>IF(OR(A1162="",C1162="",D1162=""),"",IF(COUNTIFS($A$5:$A$3004,A1162,$C$5:$C$3004,"&lt;"&amp;D1162,$D$5:$D$3004,"&gt;"&amp;C1162)&gt;1,"⚠️ пересечение",""))</f>
        <v/>
      </c>
      <c r="M1162" s="54">
        <f>IF(F1162="","",IF(J1162="✅ Сделано","✔ ",IF(J1162="❌ Пропущено","✖ ","⏰ "))&amp;IF(C1162="","",RIGHT("0"&amp;HOUR(C1162),2)&amp;":"&amp;RIGHT("0"&amp;MINUTE(C1162),2)&amp;IF(D1162="","","–"&amp;RIGHT("0"&amp;HOUR(D1162),2)&amp;":"&amp;RIGHT("0"&amp;MINUTE(D1162),2))&amp;" ")&amp;F1162)</f>
        <v/>
      </c>
      <c r="N1162" s="54">
        <f>IF(OR(A1162="",F1162=""),"",A1162&amp;"#"&amp;(COUNTIFS($A$5:$A$3004,A1162,$F$5:$F$3004,"?*",$O$5:$O$3004,"&lt;"&amp;O1162)+COUNTIFS($A$5:A1162,A1162,$F$5:F1162,"?*",$O$5:O1162,O1162)))</f>
        <v/>
      </c>
      <c r="O1162" s="54">
        <f>IF(A1162="","",IF(C1162="",0,C1162))</f>
        <v/>
      </c>
    </row>
    <row r="1163">
      <c r="A1163" s="58" t="n"/>
      <c r="B1163" s="49">
        <f>IF(A1163="","",CHOOSE(WEEKDAY(A1163,2),"Пн","Вт","Ср","Чт","Пт","Сб","Вс"))</f>
        <v/>
      </c>
      <c r="C1163" s="59" t="n"/>
      <c r="D1163" s="59" t="n"/>
      <c r="E1163" s="60">
        <f>IF(OR(C1163="",D1163=""),"",MOD(D1163-C1163,1)*24)</f>
        <v/>
      </c>
      <c r="F1163" s="50" t="n"/>
      <c r="G1163" s="51" t="n"/>
      <c r="H1163" s="51" t="n"/>
      <c r="I1163" s="51" t="n"/>
      <c r="J1163" s="51" t="n"/>
      <c r="K1163" s="51" t="n"/>
      <c r="L1163" s="54">
        <f>IF(OR(A1163="",C1163="",D1163=""),"",IF(COUNTIFS($A$5:$A$3004,A1163,$C$5:$C$3004,"&lt;"&amp;D1163,$D$5:$D$3004,"&gt;"&amp;C1163)&gt;1,"⚠️ пересечение",""))</f>
        <v/>
      </c>
      <c r="M1163" s="54">
        <f>IF(F1163="","",IF(J1163="✅ Сделано","✔ ",IF(J1163="❌ Пропущено","✖ ","⏰ "))&amp;IF(C1163="","",RIGHT("0"&amp;HOUR(C1163),2)&amp;":"&amp;RIGHT("0"&amp;MINUTE(C1163),2)&amp;IF(D1163="","","–"&amp;RIGHT("0"&amp;HOUR(D1163),2)&amp;":"&amp;RIGHT("0"&amp;MINUTE(D1163),2))&amp;" ")&amp;F1163)</f>
        <v/>
      </c>
      <c r="N1163" s="54">
        <f>IF(OR(A1163="",F1163=""),"",A1163&amp;"#"&amp;(COUNTIFS($A$5:$A$3004,A1163,$F$5:$F$3004,"?*",$O$5:$O$3004,"&lt;"&amp;O1163)+COUNTIFS($A$5:A1163,A1163,$F$5:F1163,"?*",$O$5:O1163,O1163)))</f>
        <v/>
      </c>
      <c r="O1163" s="54">
        <f>IF(A1163="","",IF(C1163="",0,C1163))</f>
        <v/>
      </c>
    </row>
    <row r="1164">
      <c r="A1164" s="58" t="n"/>
      <c r="B1164" s="49">
        <f>IF(A1164="","",CHOOSE(WEEKDAY(A1164,2),"Пн","Вт","Ср","Чт","Пт","Сб","Вс"))</f>
        <v/>
      </c>
      <c r="C1164" s="59" t="n"/>
      <c r="D1164" s="59" t="n"/>
      <c r="E1164" s="60">
        <f>IF(OR(C1164="",D1164=""),"",MOD(D1164-C1164,1)*24)</f>
        <v/>
      </c>
      <c r="F1164" s="50" t="n"/>
      <c r="G1164" s="51" t="n"/>
      <c r="H1164" s="51" t="n"/>
      <c r="I1164" s="51" t="n"/>
      <c r="J1164" s="51" t="n"/>
      <c r="K1164" s="51" t="n"/>
      <c r="L1164" s="54">
        <f>IF(OR(A1164="",C1164="",D1164=""),"",IF(COUNTIFS($A$5:$A$3004,A1164,$C$5:$C$3004,"&lt;"&amp;D1164,$D$5:$D$3004,"&gt;"&amp;C1164)&gt;1,"⚠️ пересечение",""))</f>
        <v/>
      </c>
      <c r="M1164" s="54">
        <f>IF(F1164="","",IF(J1164="✅ Сделано","✔ ",IF(J1164="❌ Пропущено","✖ ","⏰ "))&amp;IF(C1164="","",RIGHT("0"&amp;HOUR(C1164),2)&amp;":"&amp;RIGHT("0"&amp;MINUTE(C1164),2)&amp;IF(D1164="","","–"&amp;RIGHT("0"&amp;HOUR(D1164),2)&amp;":"&amp;RIGHT("0"&amp;MINUTE(D1164),2))&amp;" ")&amp;F1164)</f>
        <v/>
      </c>
      <c r="N1164" s="54">
        <f>IF(OR(A1164="",F1164=""),"",A1164&amp;"#"&amp;(COUNTIFS($A$5:$A$3004,A1164,$F$5:$F$3004,"?*",$O$5:$O$3004,"&lt;"&amp;O1164)+COUNTIFS($A$5:A1164,A1164,$F$5:F1164,"?*",$O$5:O1164,O1164)))</f>
        <v/>
      </c>
      <c r="O1164" s="54">
        <f>IF(A1164="","",IF(C1164="",0,C1164))</f>
        <v/>
      </c>
    </row>
    <row r="1165">
      <c r="A1165" s="58" t="n"/>
      <c r="B1165" s="49">
        <f>IF(A1165="","",CHOOSE(WEEKDAY(A1165,2),"Пн","Вт","Ср","Чт","Пт","Сб","Вс"))</f>
        <v/>
      </c>
      <c r="C1165" s="59" t="n"/>
      <c r="D1165" s="59" t="n"/>
      <c r="E1165" s="60">
        <f>IF(OR(C1165="",D1165=""),"",MOD(D1165-C1165,1)*24)</f>
        <v/>
      </c>
      <c r="F1165" s="50" t="n"/>
      <c r="G1165" s="51" t="n"/>
      <c r="H1165" s="51" t="n"/>
      <c r="I1165" s="51" t="n"/>
      <c r="J1165" s="51" t="n"/>
      <c r="K1165" s="51" t="n"/>
      <c r="L1165" s="54">
        <f>IF(OR(A1165="",C1165="",D1165=""),"",IF(COUNTIFS($A$5:$A$3004,A1165,$C$5:$C$3004,"&lt;"&amp;D1165,$D$5:$D$3004,"&gt;"&amp;C1165)&gt;1,"⚠️ пересечение",""))</f>
        <v/>
      </c>
      <c r="M1165" s="54">
        <f>IF(F1165="","",IF(J1165="✅ Сделано","✔ ",IF(J1165="❌ Пропущено","✖ ","⏰ "))&amp;IF(C1165="","",RIGHT("0"&amp;HOUR(C1165),2)&amp;":"&amp;RIGHT("0"&amp;MINUTE(C1165),2)&amp;IF(D1165="","","–"&amp;RIGHT("0"&amp;HOUR(D1165),2)&amp;":"&amp;RIGHT("0"&amp;MINUTE(D1165),2))&amp;" ")&amp;F1165)</f>
        <v/>
      </c>
      <c r="N1165" s="54">
        <f>IF(OR(A1165="",F1165=""),"",A1165&amp;"#"&amp;(COUNTIFS($A$5:$A$3004,A1165,$F$5:$F$3004,"?*",$O$5:$O$3004,"&lt;"&amp;O1165)+COUNTIFS($A$5:A1165,A1165,$F$5:F1165,"?*",$O$5:O1165,O1165)))</f>
        <v/>
      </c>
      <c r="O1165" s="54">
        <f>IF(A1165="","",IF(C1165="",0,C1165))</f>
        <v/>
      </c>
    </row>
    <row r="1166">
      <c r="A1166" s="58" t="n"/>
      <c r="B1166" s="49">
        <f>IF(A1166="","",CHOOSE(WEEKDAY(A1166,2),"Пн","Вт","Ср","Чт","Пт","Сб","Вс"))</f>
        <v/>
      </c>
      <c r="C1166" s="59" t="n"/>
      <c r="D1166" s="59" t="n"/>
      <c r="E1166" s="60">
        <f>IF(OR(C1166="",D1166=""),"",MOD(D1166-C1166,1)*24)</f>
        <v/>
      </c>
      <c r="F1166" s="50" t="n"/>
      <c r="G1166" s="51" t="n"/>
      <c r="H1166" s="51" t="n"/>
      <c r="I1166" s="51" t="n"/>
      <c r="J1166" s="51" t="n"/>
      <c r="K1166" s="51" t="n"/>
      <c r="L1166" s="54">
        <f>IF(OR(A1166="",C1166="",D1166=""),"",IF(COUNTIFS($A$5:$A$3004,A1166,$C$5:$C$3004,"&lt;"&amp;D1166,$D$5:$D$3004,"&gt;"&amp;C1166)&gt;1,"⚠️ пересечение",""))</f>
        <v/>
      </c>
      <c r="M1166" s="54">
        <f>IF(F1166="","",IF(J1166="✅ Сделано","✔ ",IF(J1166="❌ Пропущено","✖ ","⏰ "))&amp;IF(C1166="","",RIGHT("0"&amp;HOUR(C1166),2)&amp;":"&amp;RIGHT("0"&amp;MINUTE(C1166),2)&amp;IF(D1166="","","–"&amp;RIGHT("0"&amp;HOUR(D1166),2)&amp;":"&amp;RIGHT("0"&amp;MINUTE(D1166),2))&amp;" ")&amp;F1166)</f>
        <v/>
      </c>
      <c r="N1166" s="54">
        <f>IF(OR(A1166="",F1166=""),"",A1166&amp;"#"&amp;(COUNTIFS($A$5:$A$3004,A1166,$F$5:$F$3004,"?*",$O$5:$O$3004,"&lt;"&amp;O1166)+COUNTIFS($A$5:A1166,A1166,$F$5:F1166,"?*",$O$5:O1166,O1166)))</f>
        <v/>
      </c>
      <c r="O1166" s="54">
        <f>IF(A1166="","",IF(C1166="",0,C1166))</f>
        <v/>
      </c>
    </row>
    <row r="1167">
      <c r="A1167" s="58" t="n"/>
      <c r="B1167" s="49">
        <f>IF(A1167="","",CHOOSE(WEEKDAY(A1167,2),"Пн","Вт","Ср","Чт","Пт","Сб","Вс"))</f>
        <v/>
      </c>
      <c r="C1167" s="59" t="n"/>
      <c r="D1167" s="59" t="n"/>
      <c r="E1167" s="60">
        <f>IF(OR(C1167="",D1167=""),"",MOD(D1167-C1167,1)*24)</f>
        <v/>
      </c>
      <c r="F1167" s="50" t="n"/>
      <c r="G1167" s="51" t="n"/>
      <c r="H1167" s="51" t="n"/>
      <c r="I1167" s="51" t="n"/>
      <c r="J1167" s="51" t="n"/>
      <c r="K1167" s="51" t="n"/>
      <c r="L1167" s="54">
        <f>IF(OR(A1167="",C1167="",D1167=""),"",IF(COUNTIFS($A$5:$A$3004,A1167,$C$5:$C$3004,"&lt;"&amp;D1167,$D$5:$D$3004,"&gt;"&amp;C1167)&gt;1,"⚠️ пересечение",""))</f>
        <v/>
      </c>
      <c r="M1167" s="54">
        <f>IF(F1167="","",IF(J1167="✅ Сделано","✔ ",IF(J1167="❌ Пропущено","✖ ","⏰ "))&amp;IF(C1167="","",RIGHT("0"&amp;HOUR(C1167),2)&amp;":"&amp;RIGHT("0"&amp;MINUTE(C1167),2)&amp;IF(D1167="","","–"&amp;RIGHT("0"&amp;HOUR(D1167),2)&amp;":"&amp;RIGHT("0"&amp;MINUTE(D1167),2))&amp;" ")&amp;F1167)</f>
        <v/>
      </c>
      <c r="N1167" s="54">
        <f>IF(OR(A1167="",F1167=""),"",A1167&amp;"#"&amp;(COUNTIFS($A$5:$A$3004,A1167,$F$5:$F$3004,"?*",$O$5:$O$3004,"&lt;"&amp;O1167)+COUNTIFS($A$5:A1167,A1167,$F$5:F1167,"?*",$O$5:O1167,O1167)))</f>
        <v/>
      </c>
      <c r="O1167" s="54">
        <f>IF(A1167="","",IF(C1167="",0,C1167))</f>
        <v/>
      </c>
    </row>
    <row r="1168">
      <c r="A1168" s="58" t="n"/>
      <c r="B1168" s="49">
        <f>IF(A1168="","",CHOOSE(WEEKDAY(A1168,2),"Пн","Вт","Ср","Чт","Пт","Сб","Вс"))</f>
        <v/>
      </c>
      <c r="C1168" s="59" t="n"/>
      <c r="D1168" s="59" t="n"/>
      <c r="E1168" s="60">
        <f>IF(OR(C1168="",D1168=""),"",MOD(D1168-C1168,1)*24)</f>
        <v/>
      </c>
      <c r="F1168" s="50" t="n"/>
      <c r="G1168" s="51" t="n"/>
      <c r="H1168" s="51" t="n"/>
      <c r="I1168" s="51" t="n"/>
      <c r="J1168" s="51" t="n"/>
      <c r="K1168" s="51" t="n"/>
      <c r="L1168" s="54">
        <f>IF(OR(A1168="",C1168="",D1168=""),"",IF(COUNTIFS($A$5:$A$3004,A1168,$C$5:$C$3004,"&lt;"&amp;D1168,$D$5:$D$3004,"&gt;"&amp;C1168)&gt;1,"⚠️ пересечение",""))</f>
        <v/>
      </c>
      <c r="M1168" s="54">
        <f>IF(F1168="","",IF(J1168="✅ Сделано","✔ ",IF(J1168="❌ Пропущено","✖ ","⏰ "))&amp;IF(C1168="","",RIGHT("0"&amp;HOUR(C1168),2)&amp;":"&amp;RIGHT("0"&amp;MINUTE(C1168),2)&amp;IF(D1168="","","–"&amp;RIGHT("0"&amp;HOUR(D1168),2)&amp;":"&amp;RIGHT("0"&amp;MINUTE(D1168),2))&amp;" ")&amp;F1168)</f>
        <v/>
      </c>
      <c r="N1168" s="54">
        <f>IF(OR(A1168="",F1168=""),"",A1168&amp;"#"&amp;(COUNTIFS($A$5:$A$3004,A1168,$F$5:$F$3004,"?*",$O$5:$O$3004,"&lt;"&amp;O1168)+COUNTIFS($A$5:A1168,A1168,$F$5:F1168,"?*",$O$5:O1168,O1168)))</f>
        <v/>
      </c>
      <c r="O1168" s="54">
        <f>IF(A1168="","",IF(C1168="",0,C1168))</f>
        <v/>
      </c>
    </row>
    <row r="1169">
      <c r="A1169" s="58" t="n"/>
      <c r="B1169" s="49">
        <f>IF(A1169="","",CHOOSE(WEEKDAY(A1169,2),"Пн","Вт","Ср","Чт","Пт","Сб","Вс"))</f>
        <v/>
      </c>
      <c r="C1169" s="59" t="n"/>
      <c r="D1169" s="59" t="n"/>
      <c r="E1169" s="60">
        <f>IF(OR(C1169="",D1169=""),"",MOD(D1169-C1169,1)*24)</f>
        <v/>
      </c>
      <c r="F1169" s="50" t="n"/>
      <c r="G1169" s="51" t="n"/>
      <c r="H1169" s="51" t="n"/>
      <c r="I1169" s="51" t="n"/>
      <c r="J1169" s="51" t="n"/>
      <c r="K1169" s="51" t="n"/>
      <c r="L1169" s="54">
        <f>IF(OR(A1169="",C1169="",D1169=""),"",IF(COUNTIFS($A$5:$A$3004,A1169,$C$5:$C$3004,"&lt;"&amp;D1169,$D$5:$D$3004,"&gt;"&amp;C1169)&gt;1,"⚠️ пересечение",""))</f>
        <v/>
      </c>
      <c r="M1169" s="54">
        <f>IF(F1169="","",IF(J1169="✅ Сделано","✔ ",IF(J1169="❌ Пропущено","✖ ","⏰ "))&amp;IF(C1169="","",RIGHT("0"&amp;HOUR(C1169),2)&amp;":"&amp;RIGHT("0"&amp;MINUTE(C1169),2)&amp;IF(D1169="","","–"&amp;RIGHT("0"&amp;HOUR(D1169),2)&amp;":"&amp;RIGHT("0"&amp;MINUTE(D1169),2))&amp;" ")&amp;F1169)</f>
        <v/>
      </c>
      <c r="N1169" s="54">
        <f>IF(OR(A1169="",F1169=""),"",A1169&amp;"#"&amp;(COUNTIFS($A$5:$A$3004,A1169,$F$5:$F$3004,"?*",$O$5:$O$3004,"&lt;"&amp;O1169)+COUNTIFS($A$5:A1169,A1169,$F$5:F1169,"?*",$O$5:O1169,O1169)))</f>
        <v/>
      </c>
      <c r="O1169" s="54">
        <f>IF(A1169="","",IF(C1169="",0,C1169))</f>
        <v/>
      </c>
    </row>
    <row r="1170">
      <c r="A1170" s="58" t="n"/>
      <c r="B1170" s="49">
        <f>IF(A1170="","",CHOOSE(WEEKDAY(A1170,2),"Пн","Вт","Ср","Чт","Пт","Сб","Вс"))</f>
        <v/>
      </c>
      <c r="C1170" s="59" t="n"/>
      <c r="D1170" s="59" t="n"/>
      <c r="E1170" s="60">
        <f>IF(OR(C1170="",D1170=""),"",MOD(D1170-C1170,1)*24)</f>
        <v/>
      </c>
      <c r="F1170" s="50" t="n"/>
      <c r="G1170" s="51" t="n"/>
      <c r="H1170" s="51" t="n"/>
      <c r="I1170" s="51" t="n"/>
      <c r="J1170" s="51" t="n"/>
      <c r="K1170" s="51" t="n"/>
      <c r="L1170" s="54">
        <f>IF(OR(A1170="",C1170="",D1170=""),"",IF(COUNTIFS($A$5:$A$3004,A1170,$C$5:$C$3004,"&lt;"&amp;D1170,$D$5:$D$3004,"&gt;"&amp;C1170)&gt;1,"⚠️ пересечение",""))</f>
        <v/>
      </c>
      <c r="M1170" s="54">
        <f>IF(F1170="","",IF(J1170="✅ Сделано","✔ ",IF(J1170="❌ Пропущено","✖ ","⏰ "))&amp;IF(C1170="","",RIGHT("0"&amp;HOUR(C1170),2)&amp;":"&amp;RIGHT("0"&amp;MINUTE(C1170),2)&amp;IF(D1170="","","–"&amp;RIGHT("0"&amp;HOUR(D1170),2)&amp;":"&amp;RIGHT("0"&amp;MINUTE(D1170),2))&amp;" ")&amp;F1170)</f>
        <v/>
      </c>
      <c r="N1170" s="54">
        <f>IF(OR(A1170="",F1170=""),"",A1170&amp;"#"&amp;(COUNTIFS($A$5:$A$3004,A1170,$F$5:$F$3004,"?*",$O$5:$O$3004,"&lt;"&amp;O1170)+COUNTIFS($A$5:A1170,A1170,$F$5:F1170,"?*",$O$5:O1170,O1170)))</f>
        <v/>
      </c>
      <c r="O1170" s="54">
        <f>IF(A1170="","",IF(C1170="",0,C1170))</f>
        <v/>
      </c>
    </row>
    <row r="1171">
      <c r="A1171" s="58" t="n"/>
      <c r="B1171" s="49">
        <f>IF(A1171="","",CHOOSE(WEEKDAY(A1171,2),"Пн","Вт","Ср","Чт","Пт","Сб","Вс"))</f>
        <v/>
      </c>
      <c r="C1171" s="59" t="n"/>
      <c r="D1171" s="59" t="n"/>
      <c r="E1171" s="60">
        <f>IF(OR(C1171="",D1171=""),"",MOD(D1171-C1171,1)*24)</f>
        <v/>
      </c>
      <c r="F1171" s="50" t="n"/>
      <c r="G1171" s="51" t="n"/>
      <c r="H1171" s="51" t="n"/>
      <c r="I1171" s="51" t="n"/>
      <c r="J1171" s="51" t="n"/>
      <c r="K1171" s="51" t="n"/>
      <c r="L1171" s="54">
        <f>IF(OR(A1171="",C1171="",D1171=""),"",IF(COUNTIFS($A$5:$A$3004,A1171,$C$5:$C$3004,"&lt;"&amp;D1171,$D$5:$D$3004,"&gt;"&amp;C1171)&gt;1,"⚠️ пересечение",""))</f>
        <v/>
      </c>
      <c r="M1171" s="54">
        <f>IF(F1171="","",IF(J1171="✅ Сделано","✔ ",IF(J1171="❌ Пропущено","✖ ","⏰ "))&amp;IF(C1171="","",RIGHT("0"&amp;HOUR(C1171),2)&amp;":"&amp;RIGHT("0"&amp;MINUTE(C1171),2)&amp;IF(D1171="","","–"&amp;RIGHT("0"&amp;HOUR(D1171),2)&amp;":"&amp;RIGHT("0"&amp;MINUTE(D1171),2))&amp;" ")&amp;F1171)</f>
        <v/>
      </c>
      <c r="N1171" s="54">
        <f>IF(OR(A1171="",F1171=""),"",A1171&amp;"#"&amp;(COUNTIFS($A$5:$A$3004,A1171,$F$5:$F$3004,"?*",$O$5:$O$3004,"&lt;"&amp;O1171)+COUNTIFS($A$5:A1171,A1171,$F$5:F1171,"?*",$O$5:O1171,O1171)))</f>
        <v/>
      </c>
      <c r="O1171" s="54">
        <f>IF(A1171="","",IF(C1171="",0,C1171))</f>
        <v/>
      </c>
    </row>
    <row r="1172">
      <c r="A1172" s="58" t="n"/>
      <c r="B1172" s="49">
        <f>IF(A1172="","",CHOOSE(WEEKDAY(A1172,2),"Пн","Вт","Ср","Чт","Пт","Сб","Вс"))</f>
        <v/>
      </c>
      <c r="C1172" s="59" t="n"/>
      <c r="D1172" s="59" t="n"/>
      <c r="E1172" s="60">
        <f>IF(OR(C1172="",D1172=""),"",MOD(D1172-C1172,1)*24)</f>
        <v/>
      </c>
      <c r="F1172" s="50" t="n"/>
      <c r="G1172" s="51" t="n"/>
      <c r="H1172" s="51" t="n"/>
      <c r="I1172" s="51" t="n"/>
      <c r="J1172" s="51" t="n"/>
      <c r="K1172" s="51" t="n"/>
      <c r="L1172" s="54">
        <f>IF(OR(A1172="",C1172="",D1172=""),"",IF(COUNTIFS($A$5:$A$3004,A1172,$C$5:$C$3004,"&lt;"&amp;D1172,$D$5:$D$3004,"&gt;"&amp;C1172)&gt;1,"⚠️ пересечение",""))</f>
        <v/>
      </c>
      <c r="M1172" s="54">
        <f>IF(F1172="","",IF(J1172="✅ Сделано","✔ ",IF(J1172="❌ Пропущено","✖ ","⏰ "))&amp;IF(C1172="","",RIGHT("0"&amp;HOUR(C1172),2)&amp;":"&amp;RIGHT("0"&amp;MINUTE(C1172),2)&amp;IF(D1172="","","–"&amp;RIGHT("0"&amp;HOUR(D1172),2)&amp;":"&amp;RIGHT("0"&amp;MINUTE(D1172),2))&amp;" ")&amp;F1172)</f>
        <v/>
      </c>
      <c r="N1172" s="54">
        <f>IF(OR(A1172="",F1172=""),"",A1172&amp;"#"&amp;(COUNTIFS($A$5:$A$3004,A1172,$F$5:$F$3004,"?*",$O$5:$O$3004,"&lt;"&amp;O1172)+COUNTIFS($A$5:A1172,A1172,$F$5:F1172,"?*",$O$5:O1172,O1172)))</f>
        <v/>
      </c>
      <c r="O1172" s="54">
        <f>IF(A1172="","",IF(C1172="",0,C1172))</f>
        <v/>
      </c>
    </row>
    <row r="1173">
      <c r="A1173" s="58" t="n"/>
      <c r="B1173" s="49">
        <f>IF(A1173="","",CHOOSE(WEEKDAY(A1173,2),"Пн","Вт","Ср","Чт","Пт","Сб","Вс"))</f>
        <v/>
      </c>
      <c r="C1173" s="59" t="n"/>
      <c r="D1173" s="59" t="n"/>
      <c r="E1173" s="60">
        <f>IF(OR(C1173="",D1173=""),"",MOD(D1173-C1173,1)*24)</f>
        <v/>
      </c>
      <c r="F1173" s="50" t="n"/>
      <c r="G1173" s="51" t="n"/>
      <c r="H1173" s="51" t="n"/>
      <c r="I1173" s="51" t="n"/>
      <c r="J1173" s="51" t="n"/>
      <c r="K1173" s="51" t="n"/>
      <c r="L1173" s="54">
        <f>IF(OR(A1173="",C1173="",D1173=""),"",IF(COUNTIFS($A$5:$A$3004,A1173,$C$5:$C$3004,"&lt;"&amp;D1173,$D$5:$D$3004,"&gt;"&amp;C1173)&gt;1,"⚠️ пересечение",""))</f>
        <v/>
      </c>
      <c r="M1173" s="54">
        <f>IF(F1173="","",IF(J1173="✅ Сделано","✔ ",IF(J1173="❌ Пропущено","✖ ","⏰ "))&amp;IF(C1173="","",RIGHT("0"&amp;HOUR(C1173),2)&amp;":"&amp;RIGHT("0"&amp;MINUTE(C1173),2)&amp;IF(D1173="","","–"&amp;RIGHT("0"&amp;HOUR(D1173),2)&amp;":"&amp;RIGHT("0"&amp;MINUTE(D1173),2))&amp;" ")&amp;F1173)</f>
        <v/>
      </c>
      <c r="N1173" s="54">
        <f>IF(OR(A1173="",F1173=""),"",A1173&amp;"#"&amp;(COUNTIFS($A$5:$A$3004,A1173,$F$5:$F$3004,"?*",$O$5:$O$3004,"&lt;"&amp;O1173)+COUNTIFS($A$5:A1173,A1173,$F$5:F1173,"?*",$O$5:O1173,O1173)))</f>
        <v/>
      </c>
      <c r="O1173" s="54">
        <f>IF(A1173="","",IF(C1173="",0,C1173))</f>
        <v/>
      </c>
    </row>
    <row r="1174">
      <c r="A1174" s="58" t="n"/>
      <c r="B1174" s="49">
        <f>IF(A1174="","",CHOOSE(WEEKDAY(A1174,2),"Пн","Вт","Ср","Чт","Пт","Сб","Вс"))</f>
        <v/>
      </c>
      <c r="C1174" s="59" t="n"/>
      <c r="D1174" s="59" t="n"/>
      <c r="E1174" s="60">
        <f>IF(OR(C1174="",D1174=""),"",MOD(D1174-C1174,1)*24)</f>
        <v/>
      </c>
      <c r="F1174" s="50" t="n"/>
      <c r="G1174" s="51" t="n"/>
      <c r="H1174" s="51" t="n"/>
      <c r="I1174" s="51" t="n"/>
      <c r="J1174" s="51" t="n"/>
      <c r="K1174" s="51" t="n"/>
      <c r="L1174" s="54">
        <f>IF(OR(A1174="",C1174="",D1174=""),"",IF(COUNTIFS($A$5:$A$3004,A1174,$C$5:$C$3004,"&lt;"&amp;D1174,$D$5:$D$3004,"&gt;"&amp;C1174)&gt;1,"⚠️ пересечение",""))</f>
        <v/>
      </c>
      <c r="M1174" s="54">
        <f>IF(F1174="","",IF(J1174="✅ Сделано","✔ ",IF(J1174="❌ Пропущено","✖ ","⏰ "))&amp;IF(C1174="","",RIGHT("0"&amp;HOUR(C1174),2)&amp;":"&amp;RIGHT("0"&amp;MINUTE(C1174),2)&amp;IF(D1174="","","–"&amp;RIGHT("0"&amp;HOUR(D1174),2)&amp;":"&amp;RIGHT("0"&amp;MINUTE(D1174),2))&amp;" ")&amp;F1174)</f>
        <v/>
      </c>
      <c r="N1174" s="54">
        <f>IF(OR(A1174="",F1174=""),"",A1174&amp;"#"&amp;(COUNTIFS($A$5:$A$3004,A1174,$F$5:$F$3004,"?*",$O$5:$O$3004,"&lt;"&amp;O1174)+COUNTIFS($A$5:A1174,A1174,$F$5:F1174,"?*",$O$5:O1174,O1174)))</f>
        <v/>
      </c>
      <c r="O1174" s="54">
        <f>IF(A1174="","",IF(C1174="",0,C1174))</f>
        <v/>
      </c>
    </row>
    <row r="1175">
      <c r="A1175" s="58" t="n"/>
      <c r="B1175" s="49">
        <f>IF(A1175="","",CHOOSE(WEEKDAY(A1175,2),"Пн","Вт","Ср","Чт","Пт","Сб","Вс"))</f>
        <v/>
      </c>
      <c r="C1175" s="59" t="n"/>
      <c r="D1175" s="59" t="n"/>
      <c r="E1175" s="60">
        <f>IF(OR(C1175="",D1175=""),"",MOD(D1175-C1175,1)*24)</f>
        <v/>
      </c>
      <c r="F1175" s="50" t="n"/>
      <c r="G1175" s="51" t="n"/>
      <c r="H1175" s="51" t="n"/>
      <c r="I1175" s="51" t="n"/>
      <c r="J1175" s="51" t="n"/>
      <c r="K1175" s="51" t="n"/>
      <c r="L1175" s="54">
        <f>IF(OR(A1175="",C1175="",D1175=""),"",IF(COUNTIFS($A$5:$A$3004,A1175,$C$5:$C$3004,"&lt;"&amp;D1175,$D$5:$D$3004,"&gt;"&amp;C1175)&gt;1,"⚠️ пересечение",""))</f>
        <v/>
      </c>
      <c r="M1175" s="54">
        <f>IF(F1175="","",IF(J1175="✅ Сделано","✔ ",IF(J1175="❌ Пропущено","✖ ","⏰ "))&amp;IF(C1175="","",RIGHT("0"&amp;HOUR(C1175),2)&amp;":"&amp;RIGHT("0"&amp;MINUTE(C1175),2)&amp;IF(D1175="","","–"&amp;RIGHT("0"&amp;HOUR(D1175),2)&amp;":"&amp;RIGHT("0"&amp;MINUTE(D1175),2))&amp;" ")&amp;F1175)</f>
        <v/>
      </c>
      <c r="N1175" s="54">
        <f>IF(OR(A1175="",F1175=""),"",A1175&amp;"#"&amp;(COUNTIFS($A$5:$A$3004,A1175,$F$5:$F$3004,"?*",$O$5:$O$3004,"&lt;"&amp;O1175)+COUNTIFS($A$5:A1175,A1175,$F$5:F1175,"?*",$O$5:O1175,O1175)))</f>
        <v/>
      </c>
      <c r="O1175" s="54">
        <f>IF(A1175="","",IF(C1175="",0,C1175))</f>
        <v/>
      </c>
    </row>
    <row r="1176">
      <c r="A1176" s="58" t="n"/>
      <c r="B1176" s="49">
        <f>IF(A1176="","",CHOOSE(WEEKDAY(A1176,2),"Пн","Вт","Ср","Чт","Пт","Сб","Вс"))</f>
        <v/>
      </c>
      <c r="C1176" s="59" t="n"/>
      <c r="D1176" s="59" t="n"/>
      <c r="E1176" s="60">
        <f>IF(OR(C1176="",D1176=""),"",MOD(D1176-C1176,1)*24)</f>
        <v/>
      </c>
      <c r="F1176" s="50" t="n"/>
      <c r="G1176" s="51" t="n"/>
      <c r="H1176" s="51" t="n"/>
      <c r="I1176" s="51" t="n"/>
      <c r="J1176" s="51" t="n"/>
      <c r="K1176" s="51" t="n"/>
      <c r="L1176" s="54">
        <f>IF(OR(A1176="",C1176="",D1176=""),"",IF(COUNTIFS($A$5:$A$3004,A1176,$C$5:$C$3004,"&lt;"&amp;D1176,$D$5:$D$3004,"&gt;"&amp;C1176)&gt;1,"⚠️ пересечение",""))</f>
        <v/>
      </c>
      <c r="M1176" s="54">
        <f>IF(F1176="","",IF(J1176="✅ Сделано","✔ ",IF(J1176="❌ Пропущено","✖ ","⏰ "))&amp;IF(C1176="","",RIGHT("0"&amp;HOUR(C1176),2)&amp;":"&amp;RIGHT("0"&amp;MINUTE(C1176),2)&amp;IF(D1176="","","–"&amp;RIGHT("0"&amp;HOUR(D1176),2)&amp;":"&amp;RIGHT("0"&amp;MINUTE(D1176),2))&amp;" ")&amp;F1176)</f>
        <v/>
      </c>
      <c r="N1176" s="54">
        <f>IF(OR(A1176="",F1176=""),"",A1176&amp;"#"&amp;(COUNTIFS($A$5:$A$3004,A1176,$F$5:$F$3004,"?*",$O$5:$O$3004,"&lt;"&amp;O1176)+COUNTIFS($A$5:A1176,A1176,$F$5:F1176,"?*",$O$5:O1176,O1176)))</f>
        <v/>
      </c>
      <c r="O1176" s="54">
        <f>IF(A1176="","",IF(C1176="",0,C1176))</f>
        <v/>
      </c>
    </row>
    <row r="1177">
      <c r="A1177" s="58" t="n"/>
      <c r="B1177" s="49">
        <f>IF(A1177="","",CHOOSE(WEEKDAY(A1177,2),"Пн","Вт","Ср","Чт","Пт","Сб","Вс"))</f>
        <v/>
      </c>
      <c r="C1177" s="59" t="n"/>
      <c r="D1177" s="59" t="n"/>
      <c r="E1177" s="60">
        <f>IF(OR(C1177="",D1177=""),"",MOD(D1177-C1177,1)*24)</f>
        <v/>
      </c>
      <c r="F1177" s="50" t="n"/>
      <c r="G1177" s="51" t="n"/>
      <c r="H1177" s="51" t="n"/>
      <c r="I1177" s="51" t="n"/>
      <c r="J1177" s="51" t="n"/>
      <c r="K1177" s="51" t="n"/>
      <c r="L1177" s="54">
        <f>IF(OR(A1177="",C1177="",D1177=""),"",IF(COUNTIFS($A$5:$A$3004,A1177,$C$5:$C$3004,"&lt;"&amp;D1177,$D$5:$D$3004,"&gt;"&amp;C1177)&gt;1,"⚠️ пересечение",""))</f>
        <v/>
      </c>
      <c r="M1177" s="54">
        <f>IF(F1177="","",IF(J1177="✅ Сделано","✔ ",IF(J1177="❌ Пропущено","✖ ","⏰ "))&amp;IF(C1177="","",RIGHT("0"&amp;HOUR(C1177),2)&amp;":"&amp;RIGHT("0"&amp;MINUTE(C1177),2)&amp;IF(D1177="","","–"&amp;RIGHT("0"&amp;HOUR(D1177),2)&amp;":"&amp;RIGHT("0"&amp;MINUTE(D1177),2))&amp;" ")&amp;F1177)</f>
        <v/>
      </c>
      <c r="N1177" s="54">
        <f>IF(OR(A1177="",F1177=""),"",A1177&amp;"#"&amp;(COUNTIFS($A$5:$A$3004,A1177,$F$5:$F$3004,"?*",$O$5:$O$3004,"&lt;"&amp;O1177)+COUNTIFS($A$5:A1177,A1177,$F$5:F1177,"?*",$O$5:O1177,O1177)))</f>
        <v/>
      </c>
      <c r="O1177" s="54">
        <f>IF(A1177="","",IF(C1177="",0,C1177))</f>
        <v/>
      </c>
    </row>
    <row r="1178">
      <c r="A1178" s="58" t="n"/>
      <c r="B1178" s="49">
        <f>IF(A1178="","",CHOOSE(WEEKDAY(A1178,2),"Пн","Вт","Ср","Чт","Пт","Сб","Вс"))</f>
        <v/>
      </c>
      <c r="C1178" s="59" t="n"/>
      <c r="D1178" s="59" t="n"/>
      <c r="E1178" s="60">
        <f>IF(OR(C1178="",D1178=""),"",MOD(D1178-C1178,1)*24)</f>
        <v/>
      </c>
      <c r="F1178" s="50" t="n"/>
      <c r="G1178" s="51" t="n"/>
      <c r="H1178" s="51" t="n"/>
      <c r="I1178" s="51" t="n"/>
      <c r="J1178" s="51" t="n"/>
      <c r="K1178" s="51" t="n"/>
      <c r="L1178" s="54">
        <f>IF(OR(A1178="",C1178="",D1178=""),"",IF(COUNTIFS($A$5:$A$3004,A1178,$C$5:$C$3004,"&lt;"&amp;D1178,$D$5:$D$3004,"&gt;"&amp;C1178)&gt;1,"⚠️ пересечение",""))</f>
        <v/>
      </c>
      <c r="M1178" s="54">
        <f>IF(F1178="","",IF(J1178="✅ Сделано","✔ ",IF(J1178="❌ Пропущено","✖ ","⏰ "))&amp;IF(C1178="","",RIGHT("0"&amp;HOUR(C1178),2)&amp;":"&amp;RIGHT("0"&amp;MINUTE(C1178),2)&amp;IF(D1178="","","–"&amp;RIGHT("0"&amp;HOUR(D1178),2)&amp;":"&amp;RIGHT("0"&amp;MINUTE(D1178),2))&amp;" ")&amp;F1178)</f>
        <v/>
      </c>
      <c r="N1178" s="54">
        <f>IF(OR(A1178="",F1178=""),"",A1178&amp;"#"&amp;(COUNTIFS($A$5:$A$3004,A1178,$F$5:$F$3004,"?*",$O$5:$O$3004,"&lt;"&amp;O1178)+COUNTIFS($A$5:A1178,A1178,$F$5:F1178,"?*",$O$5:O1178,O1178)))</f>
        <v/>
      </c>
      <c r="O1178" s="54">
        <f>IF(A1178="","",IF(C1178="",0,C1178))</f>
        <v/>
      </c>
    </row>
    <row r="1179">
      <c r="A1179" s="58" t="n"/>
      <c r="B1179" s="49">
        <f>IF(A1179="","",CHOOSE(WEEKDAY(A1179,2),"Пн","Вт","Ср","Чт","Пт","Сб","Вс"))</f>
        <v/>
      </c>
      <c r="C1179" s="59" t="n"/>
      <c r="D1179" s="59" t="n"/>
      <c r="E1179" s="60">
        <f>IF(OR(C1179="",D1179=""),"",MOD(D1179-C1179,1)*24)</f>
        <v/>
      </c>
      <c r="F1179" s="50" t="n"/>
      <c r="G1179" s="51" t="n"/>
      <c r="H1179" s="51" t="n"/>
      <c r="I1179" s="51" t="n"/>
      <c r="J1179" s="51" t="n"/>
      <c r="K1179" s="51" t="n"/>
      <c r="L1179" s="54">
        <f>IF(OR(A1179="",C1179="",D1179=""),"",IF(COUNTIFS($A$5:$A$3004,A1179,$C$5:$C$3004,"&lt;"&amp;D1179,$D$5:$D$3004,"&gt;"&amp;C1179)&gt;1,"⚠️ пересечение",""))</f>
        <v/>
      </c>
      <c r="M1179" s="54">
        <f>IF(F1179="","",IF(J1179="✅ Сделано","✔ ",IF(J1179="❌ Пропущено","✖ ","⏰ "))&amp;IF(C1179="","",RIGHT("0"&amp;HOUR(C1179),2)&amp;":"&amp;RIGHT("0"&amp;MINUTE(C1179),2)&amp;IF(D1179="","","–"&amp;RIGHT("0"&amp;HOUR(D1179),2)&amp;":"&amp;RIGHT("0"&amp;MINUTE(D1179),2))&amp;" ")&amp;F1179)</f>
        <v/>
      </c>
      <c r="N1179" s="54">
        <f>IF(OR(A1179="",F1179=""),"",A1179&amp;"#"&amp;(COUNTIFS($A$5:$A$3004,A1179,$F$5:$F$3004,"?*",$O$5:$O$3004,"&lt;"&amp;O1179)+COUNTIFS($A$5:A1179,A1179,$F$5:F1179,"?*",$O$5:O1179,O1179)))</f>
        <v/>
      </c>
      <c r="O1179" s="54">
        <f>IF(A1179="","",IF(C1179="",0,C1179))</f>
        <v/>
      </c>
    </row>
    <row r="1180">
      <c r="A1180" s="58" t="n"/>
      <c r="B1180" s="49">
        <f>IF(A1180="","",CHOOSE(WEEKDAY(A1180,2),"Пн","Вт","Ср","Чт","Пт","Сб","Вс"))</f>
        <v/>
      </c>
      <c r="C1180" s="59" t="n"/>
      <c r="D1180" s="59" t="n"/>
      <c r="E1180" s="60">
        <f>IF(OR(C1180="",D1180=""),"",MOD(D1180-C1180,1)*24)</f>
        <v/>
      </c>
      <c r="F1180" s="50" t="n"/>
      <c r="G1180" s="51" t="n"/>
      <c r="H1180" s="51" t="n"/>
      <c r="I1180" s="51" t="n"/>
      <c r="J1180" s="51" t="n"/>
      <c r="K1180" s="51" t="n"/>
      <c r="L1180" s="54">
        <f>IF(OR(A1180="",C1180="",D1180=""),"",IF(COUNTIFS($A$5:$A$3004,A1180,$C$5:$C$3004,"&lt;"&amp;D1180,$D$5:$D$3004,"&gt;"&amp;C1180)&gt;1,"⚠️ пересечение",""))</f>
        <v/>
      </c>
      <c r="M1180" s="54">
        <f>IF(F1180="","",IF(J1180="✅ Сделано","✔ ",IF(J1180="❌ Пропущено","✖ ","⏰ "))&amp;IF(C1180="","",RIGHT("0"&amp;HOUR(C1180),2)&amp;":"&amp;RIGHT("0"&amp;MINUTE(C1180),2)&amp;IF(D1180="","","–"&amp;RIGHT("0"&amp;HOUR(D1180),2)&amp;":"&amp;RIGHT("0"&amp;MINUTE(D1180),2))&amp;" ")&amp;F1180)</f>
        <v/>
      </c>
      <c r="N1180" s="54">
        <f>IF(OR(A1180="",F1180=""),"",A1180&amp;"#"&amp;(COUNTIFS($A$5:$A$3004,A1180,$F$5:$F$3004,"?*",$O$5:$O$3004,"&lt;"&amp;O1180)+COUNTIFS($A$5:A1180,A1180,$F$5:F1180,"?*",$O$5:O1180,O1180)))</f>
        <v/>
      </c>
      <c r="O1180" s="54">
        <f>IF(A1180="","",IF(C1180="",0,C1180))</f>
        <v/>
      </c>
    </row>
    <row r="1181">
      <c r="A1181" s="58" t="n"/>
      <c r="B1181" s="49">
        <f>IF(A1181="","",CHOOSE(WEEKDAY(A1181,2),"Пн","Вт","Ср","Чт","Пт","Сб","Вс"))</f>
        <v/>
      </c>
      <c r="C1181" s="59" t="n"/>
      <c r="D1181" s="59" t="n"/>
      <c r="E1181" s="60">
        <f>IF(OR(C1181="",D1181=""),"",MOD(D1181-C1181,1)*24)</f>
        <v/>
      </c>
      <c r="F1181" s="50" t="n"/>
      <c r="G1181" s="51" t="n"/>
      <c r="H1181" s="51" t="n"/>
      <c r="I1181" s="51" t="n"/>
      <c r="J1181" s="51" t="n"/>
      <c r="K1181" s="51" t="n"/>
      <c r="L1181" s="54">
        <f>IF(OR(A1181="",C1181="",D1181=""),"",IF(COUNTIFS($A$5:$A$3004,A1181,$C$5:$C$3004,"&lt;"&amp;D1181,$D$5:$D$3004,"&gt;"&amp;C1181)&gt;1,"⚠️ пересечение",""))</f>
        <v/>
      </c>
      <c r="M1181" s="54">
        <f>IF(F1181="","",IF(J1181="✅ Сделано","✔ ",IF(J1181="❌ Пропущено","✖ ","⏰ "))&amp;IF(C1181="","",RIGHT("0"&amp;HOUR(C1181),2)&amp;":"&amp;RIGHT("0"&amp;MINUTE(C1181),2)&amp;IF(D1181="","","–"&amp;RIGHT("0"&amp;HOUR(D1181),2)&amp;":"&amp;RIGHT("0"&amp;MINUTE(D1181),2))&amp;" ")&amp;F1181)</f>
        <v/>
      </c>
      <c r="N1181" s="54">
        <f>IF(OR(A1181="",F1181=""),"",A1181&amp;"#"&amp;(COUNTIFS($A$5:$A$3004,A1181,$F$5:$F$3004,"?*",$O$5:$O$3004,"&lt;"&amp;O1181)+COUNTIFS($A$5:A1181,A1181,$F$5:F1181,"?*",$O$5:O1181,O1181)))</f>
        <v/>
      </c>
      <c r="O1181" s="54">
        <f>IF(A1181="","",IF(C1181="",0,C1181))</f>
        <v/>
      </c>
    </row>
    <row r="1182">
      <c r="A1182" s="58" t="n"/>
      <c r="B1182" s="49">
        <f>IF(A1182="","",CHOOSE(WEEKDAY(A1182,2),"Пн","Вт","Ср","Чт","Пт","Сб","Вс"))</f>
        <v/>
      </c>
      <c r="C1182" s="59" t="n"/>
      <c r="D1182" s="59" t="n"/>
      <c r="E1182" s="60">
        <f>IF(OR(C1182="",D1182=""),"",MOD(D1182-C1182,1)*24)</f>
        <v/>
      </c>
      <c r="F1182" s="50" t="n"/>
      <c r="G1182" s="51" t="n"/>
      <c r="H1182" s="51" t="n"/>
      <c r="I1182" s="51" t="n"/>
      <c r="J1182" s="51" t="n"/>
      <c r="K1182" s="51" t="n"/>
      <c r="L1182" s="54">
        <f>IF(OR(A1182="",C1182="",D1182=""),"",IF(COUNTIFS($A$5:$A$3004,A1182,$C$5:$C$3004,"&lt;"&amp;D1182,$D$5:$D$3004,"&gt;"&amp;C1182)&gt;1,"⚠️ пересечение",""))</f>
        <v/>
      </c>
      <c r="M1182" s="54">
        <f>IF(F1182="","",IF(J1182="✅ Сделано","✔ ",IF(J1182="❌ Пропущено","✖ ","⏰ "))&amp;IF(C1182="","",RIGHT("0"&amp;HOUR(C1182),2)&amp;":"&amp;RIGHT("0"&amp;MINUTE(C1182),2)&amp;IF(D1182="","","–"&amp;RIGHT("0"&amp;HOUR(D1182),2)&amp;":"&amp;RIGHT("0"&amp;MINUTE(D1182),2))&amp;" ")&amp;F1182)</f>
        <v/>
      </c>
      <c r="N1182" s="54">
        <f>IF(OR(A1182="",F1182=""),"",A1182&amp;"#"&amp;(COUNTIFS($A$5:$A$3004,A1182,$F$5:$F$3004,"?*",$O$5:$O$3004,"&lt;"&amp;O1182)+COUNTIFS($A$5:A1182,A1182,$F$5:F1182,"?*",$O$5:O1182,O1182)))</f>
        <v/>
      </c>
      <c r="O1182" s="54">
        <f>IF(A1182="","",IF(C1182="",0,C1182))</f>
        <v/>
      </c>
    </row>
    <row r="1183">
      <c r="A1183" s="58" t="n"/>
      <c r="B1183" s="49">
        <f>IF(A1183="","",CHOOSE(WEEKDAY(A1183,2),"Пн","Вт","Ср","Чт","Пт","Сб","Вс"))</f>
        <v/>
      </c>
      <c r="C1183" s="59" t="n"/>
      <c r="D1183" s="59" t="n"/>
      <c r="E1183" s="60">
        <f>IF(OR(C1183="",D1183=""),"",MOD(D1183-C1183,1)*24)</f>
        <v/>
      </c>
      <c r="F1183" s="50" t="n"/>
      <c r="G1183" s="51" t="n"/>
      <c r="H1183" s="51" t="n"/>
      <c r="I1183" s="51" t="n"/>
      <c r="J1183" s="51" t="n"/>
      <c r="K1183" s="51" t="n"/>
      <c r="L1183" s="54">
        <f>IF(OR(A1183="",C1183="",D1183=""),"",IF(COUNTIFS($A$5:$A$3004,A1183,$C$5:$C$3004,"&lt;"&amp;D1183,$D$5:$D$3004,"&gt;"&amp;C1183)&gt;1,"⚠️ пересечение",""))</f>
        <v/>
      </c>
      <c r="M1183" s="54">
        <f>IF(F1183="","",IF(J1183="✅ Сделано","✔ ",IF(J1183="❌ Пропущено","✖ ","⏰ "))&amp;IF(C1183="","",RIGHT("0"&amp;HOUR(C1183),2)&amp;":"&amp;RIGHT("0"&amp;MINUTE(C1183),2)&amp;IF(D1183="","","–"&amp;RIGHT("0"&amp;HOUR(D1183),2)&amp;":"&amp;RIGHT("0"&amp;MINUTE(D1183),2))&amp;" ")&amp;F1183)</f>
        <v/>
      </c>
      <c r="N1183" s="54">
        <f>IF(OR(A1183="",F1183=""),"",A1183&amp;"#"&amp;(COUNTIFS($A$5:$A$3004,A1183,$F$5:$F$3004,"?*",$O$5:$O$3004,"&lt;"&amp;O1183)+COUNTIFS($A$5:A1183,A1183,$F$5:F1183,"?*",$O$5:O1183,O1183)))</f>
        <v/>
      </c>
      <c r="O1183" s="54">
        <f>IF(A1183="","",IF(C1183="",0,C1183))</f>
        <v/>
      </c>
    </row>
    <row r="1184">
      <c r="A1184" s="58" t="n"/>
      <c r="B1184" s="49">
        <f>IF(A1184="","",CHOOSE(WEEKDAY(A1184,2),"Пн","Вт","Ср","Чт","Пт","Сб","Вс"))</f>
        <v/>
      </c>
      <c r="C1184" s="59" t="n"/>
      <c r="D1184" s="59" t="n"/>
      <c r="E1184" s="60">
        <f>IF(OR(C1184="",D1184=""),"",MOD(D1184-C1184,1)*24)</f>
        <v/>
      </c>
      <c r="F1184" s="50" t="n"/>
      <c r="G1184" s="51" t="n"/>
      <c r="H1184" s="51" t="n"/>
      <c r="I1184" s="51" t="n"/>
      <c r="J1184" s="51" t="n"/>
      <c r="K1184" s="51" t="n"/>
      <c r="L1184" s="54">
        <f>IF(OR(A1184="",C1184="",D1184=""),"",IF(COUNTIFS($A$5:$A$3004,A1184,$C$5:$C$3004,"&lt;"&amp;D1184,$D$5:$D$3004,"&gt;"&amp;C1184)&gt;1,"⚠️ пересечение",""))</f>
        <v/>
      </c>
      <c r="M1184" s="54">
        <f>IF(F1184="","",IF(J1184="✅ Сделано","✔ ",IF(J1184="❌ Пропущено","✖ ","⏰ "))&amp;IF(C1184="","",RIGHT("0"&amp;HOUR(C1184),2)&amp;":"&amp;RIGHT("0"&amp;MINUTE(C1184),2)&amp;IF(D1184="","","–"&amp;RIGHT("0"&amp;HOUR(D1184),2)&amp;":"&amp;RIGHT("0"&amp;MINUTE(D1184),2))&amp;" ")&amp;F1184)</f>
        <v/>
      </c>
      <c r="N1184" s="54">
        <f>IF(OR(A1184="",F1184=""),"",A1184&amp;"#"&amp;(COUNTIFS($A$5:$A$3004,A1184,$F$5:$F$3004,"?*",$O$5:$O$3004,"&lt;"&amp;O1184)+COUNTIFS($A$5:A1184,A1184,$F$5:F1184,"?*",$O$5:O1184,O1184)))</f>
        <v/>
      </c>
      <c r="O1184" s="54">
        <f>IF(A1184="","",IF(C1184="",0,C1184))</f>
        <v/>
      </c>
    </row>
    <row r="1185">
      <c r="A1185" s="58" t="n"/>
      <c r="B1185" s="49">
        <f>IF(A1185="","",CHOOSE(WEEKDAY(A1185,2),"Пн","Вт","Ср","Чт","Пт","Сб","Вс"))</f>
        <v/>
      </c>
      <c r="C1185" s="59" t="n"/>
      <c r="D1185" s="59" t="n"/>
      <c r="E1185" s="60">
        <f>IF(OR(C1185="",D1185=""),"",MOD(D1185-C1185,1)*24)</f>
        <v/>
      </c>
      <c r="F1185" s="50" t="n"/>
      <c r="G1185" s="51" t="n"/>
      <c r="H1185" s="51" t="n"/>
      <c r="I1185" s="51" t="n"/>
      <c r="J1185" s="51" t="n"/>
      <c r="K1185" s="51" t="n"/>
      <c r="L1185" s="54">
        <f>IF(OR(A1185="",C1185="",D1185=""),"",IF(COUNTIFS($A$5:$A$3004,A1185,$C$5:$C$3004,"&lt;"&amp;D1185,$D$5:$D$3004,"&gt;"&amp;C1185)&gt;1,"⚠️ пересечение",""))</f>
        <v/>
      </c>
      <c r="M1185" s="54">
        <f>IF(F1185="","",IF(J1185="✅ Сделано","✔ ",IF(J1185="❌ Пропущено","✖ ","⏰ "))&amp;IF(C1185="","",RIGHT("0"&amp;HOUR(C1185),2)&amp;":"&amp;RIGHT("0"&amp;MINUTE(C1185),2)&amp;IF(D1185="","","–"&amp;RIGHT("0"&amp;HOUR(D1185),2)&amp;":"&amp;RIGHT("0"&amp;MINUTE(D1185),2))&amp;" ")&amp;F1185)</f>
        <v/>
      </c>
      <c r="N1185" s="54">
        <f>IF(OR(A1185="",F1185=""),"",A1185&amp;"#"&amp;(COUNTIFS($A$5:$A$3004,A1185,$F$5:$F$3004,"?*",$O$5:$O$3004,"&lt;"&amp;O1185)+COUNTIFS($A$5:A1185,A1185,$F$5:F1185,"?*",$O$5:O1185,O1185)))</f>
        <v/>
      </c>
      <c r="O1185" s="54">
        <f>IF(A1185="","",IF(C1185="",0,C1185))</f>
        <v/>
      </c>
    </row>
    <row r="1186">
      <c r="A1186" s="58" t="n"/>
      <c r="B1186" s="49">
        <f>IF(A1186="","",CHOOSE(WEEKDAY(A1186,2),"Пн","Вт","Ср","Чт","Пт","Сб","Вс"))</f>
        <v/>
      </c>
      <c r="C1186" s="59" t="n"/>
      <c r="D1186" s="59" t="n"/>
      <c r="E1186" s="60">
        <f>IF(OR(C1186="",D1186=""),"",MOD(D1186-C1186,1)*24)</f>
        <v/>
      </c>
      <c r="F1186" s="50" t="n"/>
      <c r="G1186" s="51" t="n"/>
      <c r="H1186" s="51" t="n"/>
      <c r="I1186" s="51" t="n"/>
      <c r="J1186" s="51" t="n"/>
      <c r="K1186" s="51" t="n"/>
      <c r="L1186" s="54">
        <f>IF(OR(A1186="",C1186="",D1186=""),"",IF(COUNTIFS($A$5:$A$3004,A1186,$C$5:$C$3004,"&lt;"&amp;D1186,$D$5:$D$3004,"&gt;"&amp;C1186)&gt;1,"⚠️ пересечение",""))</f>
        <v/>
      </c>
      <c r="M1186" s="54">
        <f>IF(F1186="","",IF(J1186="✅ Сделано","✔ ",IF(J1186="❌ Пропущено","✖ ","⏰ "))&amp;IF(C1186="","",RIGHT("0"&amp;HOUR(C1186),2)&amp;":"&amp;RIGHT("0"&amp;MINUTE(C1186),2)&amp;IF(D1186="","","–"&amp;RIGHT("0"&amp;HOUR(D1186),2)&amp;":"&amp;RIGHT("0"&amp;MINUTE(D1186),2))&amp;" ")&amp;F1186)</f>
        <v/>
      </c>
      <c r="N1186" s="54">
        <f>IF(OR(A1186="",F1186=""),"",A1186&amp;"#"&amp;(COUNTIFS($A$5:$A$3004,A1186,$F$5:$F$3004,"?*",$O$5:$O$3004,"&lt;"&amp;O1186)+COUNTIFS($A$5:A1186,A1186,$F$5:F1186,"?*",$O$5:O1186,O1186)))</f>
        <v/>
      </c>
      <c r="O1186" s="54">
        <f>IF(A1186="","",IF(C1186="",0,C1186))</f>
        <v/>
      </c>
    </row>
    <row r="1187">
      <c r="A1187" s="58" t="n"/>
      <c r="B1187" s="49">
        <f>IF(A1187="","",CHOOSE(WEEKDAY(A1187,2),"Пн","Вт","Ср","Чт","Пт","Сб","Вс"))</f>
        <v/>
      </c>
      <c r="C1187" s="59" t="n"/>
      <c r="D1187" s="59" t="n"/>
      <c r="E1187" s="60">
        <f>IF(OR(C1187="",D1187=""),"",MOD(D1187-C1187,1)*24)</f>
        <v/>
      </c>
      <c r="F1187" s="50" t="n"/>
      <c r="G1187" s="51" t="n"/>
      <c r="H1187" s="51" t="n"/>
      <c r="I1187" s="51" t="n"/>
      <c r="J1187" s="51" t="n"/>
      <c r="K1187" s="51" t="n"/>
      <c r="L1187" s="54">
        <f>IF(OR(A1187="",C1187="",D1187=""),"",IF(COUNTIFS($A$5:$A$3004,A1187,$C$5:$C$3004,"&lt;"&amp;D1187,$D$5:$D$3004,"&gt;"&amp;C1187)&gt;1,"⚠️ пересечение",""))</f>
        <v/>
      </c>
      <c r="M1187" s="54">
        <f>IF(F1187="","",IF(J1187="✅ Сделано","✔ ",IF(J1187="❌ Пропущено","✖ ","⏰ "))&amp;IF(C1187="","",RIGHT("0"&amp;HOUR(C1187),2)&amp;":"&amp;RIGHT("0"&amp;MINUTE(C1187),2)&amp;IF(D1187="","","–"&amp;RIGHT("0"&amp;HOUR(D1187),2)&amp;":"&amp;RIGHT("0"&amp;MINUTE(D1187),2))&amp;" ")&amp;F1187)</f>
        <v/>
      </c>
      <c r="N1187" s="54">
        <f>IF(OR(A1187="",F1187=""),"",A1187&amp;"#"&amp;(COUNTIFS($A$5:$A$3004,A1187,$F$5:$F$3004,"?*",$O$5:$O$3004,"&lt;"&amp;O1187)+COUNTIFS($A$5:A1187,A1187,$F$5:F1187,"?*",$O$5:O1187,O1187)))</f>
        <v/>
      </c>
      <c r="O1187" s="54">
        <f>IF(A1187="","",IF(C1187="",0,C1187))</f>
        <v/>
      </c>
    </row>
    <row r="1188">
      <c r="A1188" s="58" t="n"/>
      <c r="B1188" s="49">
        <f>IF(A1188="","",CHOOSE(WEEKDAY(A1188,2),"Пн","Вт","Ср","Чт","Пт","Сб","Вс"))</f>
        <v/>
      </c>
      <c r="C1188" s="59" t="n"/>
      <c r="D1188" s="59" t="n"/>
      <c r="E1188" s="60">
        <f>IF(OR(C1188="",D1188=""),"",MOD(D1188-C1188,1)*24)</f>
        <v/>
      </c>
      <c r="F1188" s="50" t="n"/>
      <c r="G1188" s="51" t="n"/>
      <c r="H1188" s="51" t="n"/>
      <c r="I1188" s="51" t="n"/>
      <c r="J1188" s="51" t="n"/>
      <c r="K1188" s="51" t="n"/>
      <c r="L1188" s="54">
        <f>IF(OR(A1188="",C1188="",D1188=""),"",IF(COUNTIFS($A$5:$A$3004,A1188,$C$5:$C$3004,"&lt;"&amp;D1188,$D$5:$D$3004,"&gt;"&amp;C1188)&gt;1,"⚠️ пересечение",""))</f>
        <v/>
      </c>
      <c r="M1188" s="54">
        <f>IF(F1188="","",IF(J1188="✅ Сделано","✔ ",IF(J1188="❌ Пропущено","✖ ","⏰ "))&amp;IF(C1188="","",RIGHT("0"&amp;HOUR(C1188),2)&amp;":"&amp;RIGHT("0"&amp;MINUTE(C1188),2)&amp;IF(D1188="","","–"&amp;RIGHT("0"&amp;HOUR(D1188),2)&amp;":"&amp;RIGHT("0"&amp;MINUTE(D1188),2))&amp;" ")&amp;F1188)</f>
        <v/>
      </c>
      <c r="N1188" s="54">
        <f>IF(OR(A1188="",F1188=""),"",A1188&amp;"#"&amp;(COUNTIFS($A$5:$A$3004,A1188,$F$5:$F$3004,"?*",$O$5:$O$3004,"&lt;"&amp;O1188)+COUNTIFS($A$5:A1188,A1188,$F$5:F1188,"?*",$O$5:O1188,O1188)))</f>
        <v/>
      </c>
      <c r="O1188" s="54">
        <f>IF(A1188="","",IF(C1188="",0,C1188))</f>
        <v/>
      </c>
    </row>
    <row r="1189">
      <c r="A1189" s="58" t="n"/>
      <c r="B1189" s="49">
        <f>IF(A1189="","",CHOOSE(WEEKDAY(A1189,2),"Пн","Вт","Ср","Чт","Пт","Сб","Вс"))</f>
        <v/>
      </c>
      <c r="C1189" s="59" t="n"/>
      <c r="D1189" s="59" t="n"/>
      <c r="E1189" s="60">
        <f>IF(OR(C1189="",D1189=""),"",MOD(D1189-C1189,1)*24)</f>
        <v/>
      </c>
      <c r="F1189" s="50" t="n"/>
      <c r="G1189" s="51" t="n"/>
      <c r="H1189" s="51" t="n"/>
      <c r="I1189" s="51" t="n"/>
      <c r="J1189" s="51" t="n"/>
      <c r="K1189" s="51" t="n"/>
      <c r="L1189" s="54">
        <f>IF(OR(A1189="",C1189="",D1189=""),"",IF(COUNTIFS($A$5:$A$3004,A1189,$C$5:$C$3004,"&lt;"&amp;D1189,$D$5:$D$3004,"&gt;"&amp;C1189)&gt;1,"⚠️ пересечение",""))</f>
        <v/>
      </c>
      <c r="M1189" s="54">
        <f>IF(F1189="","",IF(J1189="✅ Сделано","✔ ",IF(J1189="❌ Пропущено","✖ ","⏰ "))&amp;IF(C1189="","",RIGHT("0"&amp;HOUR(C1189),2)&amp;":"&amp;RIGHT("0"&amp;MINUTE(C1189),2)&amp;IF(D1189="","","–"&amp;RIGHT("0"&amp;HOUR(D1189),2)&amp;":"&amp;RIGHT("0"&amp;MINUTE(D1189),2))&amp;" ")&amp;F1189)</f>
        <v/>
      </c>
      <c r="N1189" s="54">
        <f>IF(OR(A1189="",F1189=""),"",A1189&amp;"#"&amp;(COUNTIFS($A$5:$A$3004,A1189,$F$5:$F$3004,"?*",$O$5:$O$3004,"&lt;"&amp;O1189)+COUNTIFS($A$5:A1189,A1189,$F$5:F1189,"?*",$O$5:O1189,O1189)))</f>
        <v/>
      </c>
      <c r="O1189" s="54">
        <f>IF(A1189="","",IF(C1189="",0,C1189))</f>
        <v/>
      </c>
    </row>
    <row r="1190">
      <c r="A1190" s="58" t="n"/>
      <c r="B1190" s="49">
        <f>IF(A1190="","",CHOOSE(WEEKDAY(A1190,2),"Пн","Вт","Ср","Чт","Пт","Сб","Вс"))</f>
        <v/>
      </c>
      <c r="C1190" s="59" t="n"/>
      <c r="D1190" s="59" t="n"/>
      <c r="E1190" s="60">
        <f>IF(OR(C1190="",D1190=""),"",MOD(D1190-C1190,1)*24)</f>
        <v/>
      </c>
      <c r="F1190" s="50" t="n"/>
      <c r="G1190" s="51" t="n"/>
      <c r="H1190" s="51" t="n"/>
      <c r="I1190" s="51" t="n"/>
      <c r="J1190" s="51" t="n"/>
      <c r="K1190" s="51" t="n"/>
      <c r="L1190" s="54">
        <f>IF(OR(A1190="",C1190="",D1190=""),"",IF(COUNTIFS($A$5:$A$3004,A1190,$C$5:$C$3004,"&lt;"&amp;D1190,$D$5:$D$3004,"&gt;"&amp;C1190)&gt;1,"⚠️ пересечение",""))</f>
        <v/>
      </c>
      <c r="M1190" s="54">
        <f>IF(F1190="","",IF(J1190="✅ Сделано","✔ ",IF(J1190="❌ Пропущено","✖ ","⏰ "))&amp;IF(C1190="","",RIGHT("0"&amp;HOUR(C1190),2)&amp;":"&amp;RIGHT("0"&amp;MINUTE(C1190),2)&amp;IF(D1190="","","–"&amp;RIGHT("0"&amp;HOUR(D1190),2)&amp;":"&amp;RIGHT("0"&amp;MINUTE(D1190),2))&amp;" ")&amp;F1190)</f>
        <v/>
      </c>
      <c r="N1190" s="54">
        <f>IF(OR(A1190="",F1190=""),"",A1190&amp;"#"&amp;(COUNTIFS($A$5:$A$3004,A1190,$F$5:$F$3004,"?*",$O$5:$O$3004,"&lt;"&amp;O1190)+COUNTIFS($A$5:A1190,A1190,$F$5:F1190,"?*",$O$5:O1190,O1190)))</f>
        <v/>
      </c>
      <c r="O1190" s="54">
        <f>IF(A1190="","",IF(C1190="",0,C1190))</f>
        <v/>
      </c>
    </row>
    <row r="1191">
      <c r="A1191" s="58" t="n"/>
      <c r="B1191" s="49">
        <f>IF(A1191="","",CHOOSE(WEEKDAY(A1191,2),"Пн","Вт","Ср","Чт","Пт","Сб","Вс"))</f>
        <v/>
      </c>
      <c r="C1191" s="59" t="n"/>
      <c r="D1191" s="59" t="n"/>
      <c r="E1191" s="60">
        <f>IF(OR(C1191="",D1191=""),"",MOD(D1191-C1191,1)*24)</f>
        <v/>
      </c>
      <c r="F1191" s="50" t="n"/>
      <c r="G1191" s="51" t="n"/>
      <c r="H1191" s="51" t="n"/>
      <c r="I1191" s="51" t="n"/>
      <c r="J1191" s="51" t="n"/>
      <c r="K1191" s="51" t="n"/>
      <c r="L1191" s="54">
        <f>IF(OR(A1191="",C1191="",D1191=""),"",IF(COUNTIFS($A$5:$A$3004,A1191,$C$5:$C$3004,"&lt;"&amp;D1191,$D$5:$D$3004,"&gt;"&amp;C1191)&gt;1,"⚠️ пересечение",""))</f>
        <v/>
      </c>
      <c r="M1191" s="54">
        <f>IF(F1191="","",IF(J1191="✅ Сделано","✔ ",IF(J1191="❌ Пропущено","✖ ","⏰ "))&amp;IF(C1191="","",RIGHT("0"&amp;HOUR(C1191),2)&amp;":"&amp;RIGHT("0"&amp;MINUTE(C1191),2)&amp;IF(D1191="","","–"&amp;RIGHT("0"&amp;HOUR(D1191),2)&amp;":"&amp;RIGHT("0"&amp;MINUTE(D1191),2))&amp;" ")&amp;F1191)</f>
        <v/>
      </c>
      <c r="N1191" s="54">
        <f>IF(OR(A1191="",F1191=""),"",A1191&amp;"#"&amp;(COUNTIFS($A$5:$A$3004,A1191,$F$5:$F$3004,"?*",$O$5:$O$3004,"&lt;"&amp;O1191)+COUNTIFS($A$5:A1191,A1191,$F$5:F1191,"?*",$O$5:O1191,O1191)))</f>
        <v/>
      </c>
      <c r="O1191" s="54">
        <f>IF(A1191="","",IF(C1191="",0,C1191))</f>
        <v/>
      </c>
    </row>
    <row r="1192">
      <c r="A1192" s="58" t="n"/>
      <c r="B1192" s="49">
        <f>IF(A1192="","",CHOOSE(WEEKDAY(A1192,2),"Пн","Вт","Ср","Чт","Пт","Сб","Вс"))</f>
        <v/>
      </c>
      <c r="C1192" s="59" t="n"/>
      <c r="D1192" s="59" t="n"/>
      <c r="E1192" s="60">
        <f>IF(OR(C1192="",D1192=""),"",MOD(D1192-C1192,1)*24)</f>
        <v/>
      </c>
      <c r="F1192" s="50" t="n"/>
      <c r="G1192" s="51" t="n"/>
      <c r="H1192" s="51" t="n"/>
      <c r="I1192" s="51" t="n"/>
      <c r="J1192" s="51" t="n"/>
      <c r="K1192" s="51" t="n"/>
      <c r="L1192" s="54">
        <f>IF(OR(A1192="",C1192="",D1192=""),"",IF(COUNTIFS($A$5:$A$3004,A1192,$C$5:$C$3004,"&lt;"&amp;D1192,$D$5:$D$3004,"&gt;"&amp;C1192)&gt;1,"⚠️ пересечение",""))</f>
        <v/>
      </c>
      <c r="M1192" s="54">
        <f>IF(F1192="","",IF(J1192="✅ Сделано","✔ ",IF(J1192="❌ Пропущено","✖ ","⏰ "))&amp;IF(C1192="","",RIGHT("0"&amp;HOUR(C1192),2)&amp;":"&amp;RIGHT("0"&amp;MINUTE(C1192),2)&amp;IF(D1192="","","–"&amp;RIGHT("0"&amp;HOUR(D1192),2)&amp;":"&amp;RIGHT("0"&amp;MINUTE(D1192),2))&amp;" ")&amp;F1192)</f>
        <v/>
      </c>
      <c r="N1192" s="54">
        <f>IF(OR(A1192="",F1192=""),"",A1192&amp;"#"&amp;(COUNTIFS($A$5:$A$3004,A1192,$F$5:$F$3004,"?*",$O$5:$O$3004,"&lt;"&amp;O1192)+COUNTIFS($A$5:A1192,A1192,$F$5:F1192,"?*",$O$5:O1192,O1192)))</f>
        <v/>
      </c>
      <c r="O1192" s="54">
        <f>IF(A1192="","",IF(C1192="",0,C1192))</f>
        <v/>
      </c>
    </row>
    <row r="1193">
      <c r="A1193" s="58" t="n"/>
      <c r="B1193" s="49">
        <f>IF(A1193="","",CHOOSE(WEEKDAY(A1193,2),"Пн","Вт","Ср","Чт","Пт","Сб","Вс"))</f>
        <v/>
      </c>
      <c r="C1193" s="59" t="n"/>
      <c r="D1193" s="59" t="n"/>
      <c r="E1193" s="60">
        <f>IF(OR(C1193="",D1193=""),"",MOD(D1193-C1193,1)*24)</f>
        <v/>
      </c>
      <c r="F1193" s="50" t="n"/>
      <c r="G1193" s="51" t="n"/>
      <c r="H1193" s="51" t="n"/>
      <c r="I1193" s="51" t="n"/>
      <c r="J1193" s="51" t="n"/>
      <c r="K1193" s="51" t="n"/>
      <c r="L1193" s="54">
        <f>IF(OR(A1193="",C1193="",D1193=""),"",IF(COUNTIFS($A$5:$A$3004,A1193,$C$5:$C$3004,"&lt;"&amp;D1193,$D$5:$D$3004,"&gt;"&amp;C1193)&gt;1,"⚠️ пересечение",""))</f>
        <v/>
      </c>
      <c r="M1193" s="54">
        <f>IF(F1193="","",IF(J1193="✅ Сделано","✔ ",IF(J1193="❌ Пропущено","✖ ","⏰ "))&amp;IF(C1193="","",RIGHT("0"&amp;HOUR(C1193),2)&amp;":"&amp;RIGHT("0"&amp;MINUTE(C1193),2)&amp;IF(D1193="","","–"&amp;RIGHT("0"&amp;HOUR(D1193),2)&amp;":"&amp;RIGHT("0"&amp;MINUTE(D1193),2))&amp;" ")&amp;F1193)</f>
        <v/>
      </c>
      <c r="N1193" s="54">
        <f>IF(OR(A1193="",F1193=""),"",A1193&amp;"#"&amp;(COUNTIFS($A$5:$A$3004,A1193,$F$5:$F$3004,"?*",$O$5:$O$3004,"&lt;"&amp;O1193)+COUNTIFS($A$5:A1193,A1193,$F$5:F1193,"?*",$O$5:O1193,O1193)))</f>
        <v/>
      </c>
      <c r="O1193" s="54">
        <f>IF(A1193="","",IF(C1193="",0,C1193))</f>
        <v/>
      </c>
    </row>
    <row r="1194">
      <c r="A1194" s="58" t="n"/>
      <c r="B1194" s="49">
        <f>IF(A1194="","",CHOOSE(WEEKDAY(A1194,2),"Пн","Вт","Ср","Чт","Пт","Сб","Вс"))</f>
        <v/>
      </c>
      <c r="C1194" s="59" t="n"/>
      <c r="D1194" s="59" t="n"/>
      <c r="E1194" s="60">
        <f>IF(OR(C1194="",D1194=""),"",MOD(D1194-C1194,1)*24)</f>
        <v/>
      </c>
      <c r="F1194" s="50" t="n"/>
      <c r="G1194" s="51" t="n"/>
      <c r="H1194" s="51" t="n"/>
      <c r="I1194" s="51" t="n"/>
      <c r="J1194" s="51" t="n"/>
      <c r="K1194" s="51" t="n"/>
      <c r="L1194" s="54">
        <f>IF(OR(A1194="",C1194="",D1194=""),"",IF(COUNTIFS($A$5:$A$3004,A1194,$C$5:$C$3004,"&lt;"&amp;D1194,$D$5:$D$3004,"&gt;"&amp;C1194)&gt;1,"⚠️ пересечение",""))</f>
        <v/>
      </c>
      <c r="M1194" s="54">
        <f>IF(F1194="","",IF(J1194="✅ Сделано","✔ ",IF(J1194="❌ Пропущено","✖ ","⏰ "))&amp;IF(C1194="","",RIGHT("0"&amp;HOUR(C1194),2)&amp;":"&amp;RIGHT("0"&amp;MINUTE(C1194),2)&amp;IF(D1194="","","–"&amp;RIGHT("0"&amp;HOUR(D1194),2)&amp;":"&amp;RIGHT("0"&amp;MINUTE(D1194),2))&amp;" ")&amp;F1194)</f>
        <v/>
      </c>
      <c r="N1194" s="54">
        <f>IF(OR(A1194="",F1194=""),"",A1194&amp;"#"&amp;(COUNTIFS($A$5:$A$3004,A1194,$F$5:$F$3004,"?*",$O$5:$O$3004,"&lt;"&amp;O1194)+COUNTIFS($A$5:A1194,A1194,$F$5:F1194,"?*",$O$5:O1194,O1194)))</f>
        <v/>
      </c>
      <c r="O1194" s="54">
        <f>IF(A1194="","",IF(C1194="",0,C1194))</f>
        <v/>
      </c>
    </row>
    <row r="1195">
      <c r="A1195" s="58" t="n"/>
      <c r="B1195" s="49">
        <f>IF(A1195="","",CHOOSE(WEEKDAY(A1195,2),"Пн","Вт","Ср","Чт","Пт","Сб","Вс"))</f>
        <v/>
      </c>
      <c r="C1195" s="59" t="n"/>
      <c r="D1195" s="59" t="n"/>
      <c r="E1195" s="60">
        <f>IF(OR(C1195="",D1195=""),"",MOD(D1195-C1195,1)*24)</f>
        <v/>
      </c>
      <c r="F1195" s="50" t="n"/>
      <c r="G1195" s="51" t="n"/>
      <c r="H1195" s="51" t="n"/>
      <c r="I1195" s="51" t="n"/>
      <c r="J1195" s="51" t="n"/>
      <c r="K1195" s="51" t="n"/>
      <c r="L1195" s="54">
        <f>IF(OR(A1195="",C1195="",D1195=""),"",IF(COUNTIFS($A$5:$A$3004,A1195,$C$5:$C$3004,"&lt;"&amp;D1195,$D$5:$D$3004,"&gt;"&amp;C1195)&gt;1,"⚠️ пересечение",""))</f>
        <v/>
      </c>
      <c r="M1195" s="54">
        <f>IF(F1195="","",IF(J1195="✅ Сделано","✔ ",IF(J1195="❌ Пропущено","✖ ","⏰ "))&amp;IF(C1195="","",RIGHT("0"&amp;HOUR(C1195),2)&amp;":"&amp;RIGHT("0"&amp;MINUTE(C1195),2)&amp;IF(D1195="","","–"&amp;RIGHT("0"&amp;HOUR(D1195),2)&amp;":"&amp;RIGHT("0"&amp;MINUTE(D1195),2))&amp;" ")&amp;F1195)</f>
        <v/>
      </c>
      <c r="N1195" s="54">
        <f>IF(OR(A1195="",F1195=""),"",A1195&amp;"#"&amp;(COUNTIFS($A$5:$A$3004,A1195,$F$5:$F$3004,"?*",$O$5:$O$3004,"&lt;"&amp;O1195)+COUNTIFS($A$5:A1195,A1195,$F$5:F1195,"?*",$O$5:O1195,O1195)))</f>
        <v/>
      </c>
      <c r="O1195" s="54">
        <f>IF(A1195="","",IF(C1195="",0,C1195))</f>
        <v/>
      </c>
    </row>
    <row r="1196">
      <c r="A1196" s="58" t="n"/>
      <c r="B1196" s="49">
        <f>IF(A1196="","",CHOOSE(WEEKDAY(A1196,2),"Пн","Вт","Ср","Чт","Пт","Сб","Вс"))</f>
        <v/>
      </c>
      <c r="C1196" s="59" t="n"/>
      <c r="D1196" s="59" t="n"/>
      <c r="E1196" s="60">
        <f>IF(OR(C1196="",D1196=""),"",MOD(D1196-C1196,1)*24)</f>
        <v/>
      </c>
      <c r="F1196" s="50" t="n"/>
      <c r="G1196" s="51" t="n"/>
      <c r="H1196" s="51" t="n"/>
      <c r="I1196" s="51" t="n"/>
      <c r="J1196" s="51" t="n"/>
      <c r="K1196" s="51" t="n"/>
      <c r="L1196" s="54">
        <f>IF(OR(A1196="",C1196="",D1196=""),"",IF(COUNTIFS($A$5:$A$3004,A1196,$C$5:$C$3004,"&lt;"&amp;D1196,$D$5:$D$3004,"&gt;"&amp;C1196)&gt;1,"⚠️ пересечение",""))</f>
        <v/>
      </c>
      <c r="M1196" s="54">
        <f>IF(F1196="","",IF(J1196="✅ Сделано","✔ ",IF(J1196="❌ Пропущено","✖ ","⏰ "))&amp;IF(C1196="","",RIGHT("0"&amp;HOUR(C1196),2)&amp;":"&amp;RIGHT("0"&amp;MINUTE(C1196),2)&amp;IF(D1196="","","–"&amp;RIGHT("0"&amp;HOUR(D1196),2)&amp;":"&amp;RIGHT("0"&amp;MINUTE(D1196),2))&amp;" ")&amp;F1196)</f>
        <v/>
      </c>
      <c r="N1196" s="54">
        <f>IF(OR(A1196="",F1196=""),"",A1196&amp;"#"&amp;(COUNTIFS($A$5:$A$3004,A1196,$F$5:$F$3004,"?*",$O$5:$O$3004,"&lt;"&amp;O1196)+COUNTIFS($A$5:A1196,A1196,$F$5:F1196,"?*",$O$5:O1196,O1196)))</f>
        <v/>
      </c>
      <c r="O1196" s="54">
        <f>IF(A1196="","",IF(C1196="",0,C1196))</f>
        <v/>
      </c>
    </row>
    <row r="1197">
      <c r="A1197" s="58" t="n"/>
      <c r="B1197" s="49">
        <f>IF(A1197="","",CHOOSE(WEEKDAY(A1197,2),"Пн","Вт","Ср","Чт","Пт","Сб","Вс"))</f>
        <v/>
      </c>
      <c r="C1197" s="59" t="n"/>
      <c r="D1197" s="59" t="n"/>
      <c r="E1197" s="60">
        <f>IF(OR(C1197="",D1197=""),"",MOD(D1197-C1197,1)*24)</f>
        <v/>
      </c>
      <c r="F1197" s="50" t="n"/>
      <c r="G1197" s="51" t="n"/>
      <c r="H1197" s="51" t="n"/>
      <c r="I1197" s="51" t="n"/>
      <c r="J1197" s="51" t="n"/>
      <c r="K1197" s="51" t="n"/>
      <c r="L1197" s="54">
        <f>IF(OR(A1197="",C1197="",D1197=""),"",IF(COUNTIFS($A$5:$A$3004,A1197,$C$5:$C$3004,"&lt;"&amp;D1197,$D$5:$D$3004,"&gt;"&amp;C1197)&gt;1,"⚠️ пересечение",""))</f>
        <v/>
      </c>
      <c r="M1197" s="54">
        <f>IF(F1197="","",IF(J1197="✅ Сделано","✔ ",IF(J1197="❌ Пропущено","✖ ","⏰ "))&amp;IF(C1197="","",RIGHT("0"&amp;HOUR(C1197),2)&amp;":"&amp;RIGHT("0"&amp;MINUTE(C1197),2)&amp;IF(D1197="","","–"&amp;RIGHT("0"&amp;HOUR(D1197),2)&amp;":"&amp;RIGHT("0"&amp;MINUTE(D1197),2))&amp;" ")&amp;F1197)</f>
        <v/>
      </c>
      <c r="N1197" s="54">
        <f>IF(OR(A1197="",F1197=""),"",A1197&amp;"#"&amp;(COUNTIFS($A$5:$A$3004,A1197,$F$5:$F$3004,"?*",$O$5:$O$3004,"&lt;"&amp;O1197)+COUNTIFS($A$5:A1197,A1197,$F$5:F1197,"?*",$O$5:O1197,O1197)))</f>
        <v/>
      </c>
      <c r="O1197" s="54">
        <f>IF(A1197="","",IF(C1197="",0,C1197))</f>
        <v/>
      </c>
    </row>
    <row r="1198">
      <c r="A1198" s="58" t="n"/>
      <c r="B1198" s="49">
        <f>IF(A1198="","",CHOOSE(WEEKDAY(A1198,2),"Пн","Вт","Ср","Чт","Пт","Сб","Вс"))</f>
        <v/>
      </c>
      <c r="C1198" s="59" t="n"/>
      <c r="D1198" s="59" t="n"/>
      <c r="E1198" s="60">
        <f>IF(OR(C1198="",D1198=""),"",MOD(D1198-C1198,1)*24)</f>
        <v/>
      </c>
      <c r="F1198" s="50" t="n"/>
      <c r="G1198" s="51" t="n"/>
      <c r="H1198" s="51" t="n"/>
      <c r="I1198" s="51" t="n"/>
      <c r="J1198" s="51" t="n"/>
      <c r="K1198" s="51" t="n"/>
      <c r="L1198" s="54">
        <f>IF(OR(A1198="",C1198="",D1198=""),"",IF(COUNTIFS($A$5:$A$3004,A1198,$C$5:$C$3004,"&lt;"&amp;D1198,$D$5:$D$3004,"&gt;"&amp;C1198)&gt;1,"⚠️ пересечение",""))</f>
        <v/>
      </c>
      <c r="M1198" s="54">
        <f>IF(F1198="","",IF(J1198="✅ Сделано","✔ ",IF(J1198="❌ Пропущено","✖ ","⏰ "))&amp;IF(C1198="","",RIGHT("0"&amp;HOUR(C1198),2)&amp;":"&amp;RIGHT("0"&amp;MINUTE(C1198),2)&amp;IF(D1198="","","–"&amp;RIGHT("0"&amp;HOUR(D1198),2)&amp;":"&amp;RIGHT("0"&amp;MINUTE(D1198),2))&amp;" ")&amp;F1198)</f>
        <v/>
      </c>
      <c r="N1198" s="54">
        <f>IF(OR(A1198="",F1198=""),"",A1198&amp;"#"&amp;(COUNTIFS($A$5:$A$3004,A1198,$F$5:$F$3004,"?*",$O$5:$O$3004,"&lt;"&amp;O1198)+COUNTIFS($A$5:A1198,A1198,$F$5:F1198,"?*",$O$5:O1198,O1198)))</f>
        <v/>
      </c>
      <c r="O1198" s="54">
        <f>IF(A1198="","",IF(C1198="",0,C1198))</f>
        <v/>
      </c>
    </row>
    <row r="1199">
      <c r="A1199" s="58" t="n"/>
      <c r="B1199" s="49">
        <f>IF(A1199="","",CHOOSE(WEEKDAY(A1199,2),"Пн","Вт","Ср","Чт","Пт","Сб","Вс"))</f>
        <v/>
      </c>
      <c r="C1199" s="59" t="n"/>
      <c r="D1199" s="59" t="n"/>
      <c r="E1199" s="60">
        <f>IF(OR(C1199="",D1199=""),"",MOD(D1199-C1199,1)*24)</f>
        <v/>
      </c>
      <c r="F1199" s="50" t="n"/>
      <c r="G1199" s="51" t="n"/>
      <c r="H1199" s="51" t="n"/>
      <c r="I1199" s="51" t="n"/>
      <c r="J1199" s="51" t="n"/>
      <c r="K1199" s="51" t="n"/>
      <c r="L1199" s="54">
        <f>IF(OR(A1199="",C1199="",D1199=""),"",IF(COUNTIFS($A$5:$A$3004,A1199,$C$5:$C$3004,"&lt;"&amp;D1199,$D$5:$D$3004,"&gt;"&amp;C1199)&gt;1,"⚠️ пересечение",""))</f>
        <v/>
      </c>
      <c r="M1199" s="54">
        <f>IF(F1199="","",IF(J1199="✅ Сделано","✔ ",IF(J1199="❌ Пропущено","✖ ","⏰ "))&amp;IF(C1199="","",RIGHT("0"&amp;HOUR(C1199),2)&amp;":"&amp;RIGHT("0"&amp;MINUTE(C1199),2)&amp;IF(D1199="","","–"&amp;RIGHT("0"&amp;HOUR(D1199),2)&amp;":"&amp;RIGHT("0"&amp;MINUTE(D1199),2))&amp;" ")&amp;F1199)</f>
        <v/>
      </c>
      <c r="N1199" s="54">
        <f>IF(OR(A1199="",F1199=""),"",A1199&amp;"#"&amp;(COUNTIFS($A$5:$A$3004,A1199,$F$5:$F$3004,"?*",$O$5:$O$3004,"&lt;"&amp;O1199)+COUNTIFS($A$5:A1199,A1199,$F$5:F1199,"?*",$O$5:O1199,O1199)))</f>
        <v/>
      </c>
      <c r="O1199" s="54">
        <f>IF(A1199="","",IF(C1199="",0,C1199))</f>
        <v/>
      </c>
    </row>
    <row r="1200">
      <c r="A1200" s="58" t="n"/>
      <c r="B1200" s="49">
        <f>IF(A1200="","",CHOOSE(WEEKDAY(A1200,2),"Пн","Вт","Ср","Чт","Пт","Сб","Вс"))</f>
        <v/>
      </c>
      <c r="C1200" s="59" t="n"/>
      <c r="D1200" s="59" t="n"/>
      <c r="E1200" s="60">
        <f>IF(OR(C1200="",D1200=""),"",MOD(D1200-C1200,1)*24)</f>
        <v/>
      </c>
      <c r="F1200" s="50" t="n"/>
      <c r="G1200" s="51" t="n"/>
      <c r="H1200" s="51" t="n"/>
      <c r="I1200" s="51" t="n"/>
      <c r="J1200" s="51" t="n"/>
      <c r="K1200" s="51" t="n"/>
      <c r="L1200" s="54">
        <f>IF(OR(A1200="",C1200="",D1200=""),"",IF(COUNTIFS($A$5:$A$3004,A1200,$C$5:$C$3004,"&lt;"&amp;D1200,$D$5:$D$3004,"&gt;"&amp;C1200)&gt;1,"⚠️ пересечение",""))</f>
        <v/>
      </c>
      <c r="M1200" s="54">
        <f>IF(F1200="","",IF(J1200="✅ Сделано","✔ ",IF(J1200="❌ Пропущено","✖ ","⏰ "))&amp;IF(C1200="","",RIGHT("0"&amp;HOUR(C1200),2)&amp;":"&amp;RIGHT("0"&amp;MINUTE(C1200),2)&amp;IF(D1200="","","–"&amp;RIGHT("0"&amp;HOUR(D1200),2)&amp;":"&amp;RIGHT("0"&amp;MINUTE(D1200),2))&amp;" ")&amp;F1200)</f>
        <v/>
      </c>
      <c r="N1200" s="54">
        <f>IF(OR(A1200="",F1200=""),"",A1200&amp;"#"&amp;(COUNTIFS($A$5:$A$3004,A1200,$F$5:$F$3004,"?*",$O$5:$O$3004,"&lt;"&amp;O1200)+COUNTIFS($A$5:A1200,A1200,$F$5:F1200,"?*",$O$5:O1200,O1200)))</f>
        <v/>
      </c>
      <c r="O1200" s="54">
        <f>IF(A1200="","",IF(C1200="",0,C1200))</f>
        <v/>
      </c>
    </row>
    <row r="1201">
      <c r="A1201" s="58" t="n"/>
      <c r="B1201" s="49">
        <f>IF(A1201="","",CHOOSE(WEEKDAY(A1201,2),"Пн","Вт","Ср","Чт","Пт","Сб","Вс"))</f>
        <v/>
      </c>
      <c r="C1201" s="59" t="n"/>
      <c r="D1201" s="59" t="n"/>
      <c r="E1201" s="60">
        <f>IF(OR(C1201="",D1201=""),"",MOD(D1201-C1201,1)*24)</f>
        <v/>
      </c>
      <c r="F1201" s="50" t="n"/>
      <c r="G1201" s="51" t="n"/>
      <c r="H1201" s="51" t="n"/>
      <c r="I1201" s="51" t="n"/>
      <c r="J1201" s="51" t="n"/>
      <c r="K1201" s="51" t="n"/>
      <c r="L1201" s="54">
        <f>IF(OR(A1201="",C1201="",D1201=""),"",IF(COUNTIFS($A$5:$A$3004,A1201,$C$5:$C$3004,"&lt;"&amp;D1201,$D$5:$D$3004,"&gt;"&amp;C1201)&gt;1,"⚠️ пересечение",""))</f>
        <v/>
      </c>
      <c r="M1201" s="54">
        <f>IF(F1201="","",IF(J1201="✅ Сделано","✔ ",IF(J1201="❌ Пропущено","✖ ","⏰ "))&amp;IF(C1201="","",RIGHT("0"&amp;HOUR(C1201),2)&amp;":"&amp;RIGHT("0"&amp;MINUTE(C1201),2)&amp;IF(D1201="","","–"&amp;RIGHT("0"&amp;HOUR(D1201),2)&amp;":"&amp;RIGHT("0"&amp;MINUTE(D1201),2))&amp;" ")&amp;F1201)</f>
        <v/>
      </c>
      <c r="N1201" s="54">
        <f>IF(OR(A1201="",F1201=""),"",A1201&amp;"#"&amp;(COUNTIFS($A$5:$A$3004,A1201,$F$5:$F$3004,"?*",$O$5:$O$3004,"&lt;"&amp;O1201)+COUNTIFS($A$5:A1201,A1201,$F$5:F1201,"?*",$O$5:O1201,O1201)))</f>
        <v/>
      </c>
      <c r="O1201" s="54">
        <f>IF(A1201="","",IF(C1201="",0,C1201))</f>
        <v/>
      </c>
    </row>
    <row r="1202">
      <c r="A1202" s="58" t="n"/>
      <c r="B1202" s="49">
        <f>IF(A1202="","",CHOOSE(WEEKDAY(A1202,2),"Пн","Вт","Ср","Чт","Пт","Сб","Вс"))</f>
        <v/>
      </c>
      <c r="C1202" s="59" t="n"/>
      <c r="D1202" s="59" t="n"/>
      <c r="E1202" s="60">
        <f>IF(OR(C1202="",D1202=""),"",MOD(D1202-C1202,1)*24)</f>
        <v/>
      </c>
      <c r="F1202" s="50" t="n"/>
      <c r="G1202" s="51" t="n"/>
      <c r="H1202" s="51" t="n"/>
      <c r="I1202" s="51" t="n"/>
      <c r="J1202" s="51" t="n"/>
      <c r="K1202" s="51" t="n"/>
      <c r="L1202" s="54">
        <f>IF(OR(A1202="",C1202="",D1202=""),"",IF(COUNTIFS($A$5:$A$3004,A1202,$C$5:$C$3004,"&lt;"&amp;D1202,$D$5:$D$3004,"&gt;"&amp;C1202)&gt;1,"⚠️ пересечение",""))</f>
        <v/>
      </c>
      <c r="M1202" s="54">
        <f>IF(F1202="","",IF(J1202="✅ Сделано","✔ ",IF(J1202="❌ Пропущено","✖ ","⏰ "))&amp;IF(C1202="","",RIGHT("0"&amp;HOUR(C1202),2)&amp;":"&amp;RIGHT("0"&amp;MINUTE(C1202),2)&amp;IF(D1202="","","–"&amp;RIGHT("0"&amp;HOUR(D1202),2)&amp;":"&amp;RIGHT("0"&amp;MINUTE(D1202),2))&amp;" ")&amp;F1202)</f>
        <v/>
      </c>
      <c r="N1202" s="54">
        <f>IF(OR(A1202="",F1202=""),"",A1202&amp;"#"&amp;(COUNTIFS($A$5:$A$3004,A1202,$F$5:$F$3004,"?*",$O$5:$O$3004,"&lt;"&amp;O1202)+COUNTIFS($A$5:A1202,A1202,$F$5:F1202,"?*",$O$5:O1202,O1202)))</f>
        <v/>
      </c>
      <c r="O1202" s="54">
        <f>IF(A1202="","",IF(C1202="",0,C1202))</f>
        <v/>
      </c>
    </row>
    <row r="1203">
      <c r="A1203" s="58" t="n"/>
      <c r="B1203" s="49">
        <f>IF(A1203="","",CHOOSE(WEEKDAY(A1203,2),"Пн","Вт","Ср","Чт","Пт","Сб","Вс"))</f>
        <v/>
      </c>
      <c r="C1203" s="59" t="n"/>
      <c r="D1203" s="59" t="n"/>
      <c r="E1203" s="60">
        <f>IF(OR(C1203="",D1203=""),"",MOD(D1203-C1203,1)*24)</f>
        <v/>
      </c>
      <c r="F1203" s="50" t="n"/>
      <c r="G1203" s="51" t="n"/>
      <c r="H1203" s="51" t="n"/>
      <c r="I1203" s="51" t="n"/>
      <c r="J1203" s="51" t="n"/>
      <c r="K1203" s="51" t="n"/>
      <c r="L1203" s="54">
        <f>IF(OR(A1203="",C1203="",D1203=""),"",IF(COUNTIFS($A$5:$A$3004,A1203,$C$5:$C$3004,"&lt;"&amp;D1203,$D$5:$D$3004,"&gt;"&amp;C1203)&gt;1,"⚠️ пересечение",""))</f>
        <v/>
      </c>
      <c r="M1203" s="54">
        <f>IF(F1203="","",IF(J1203="✅ Сделано","✔ ",IF(J1203="❌ Пропущено","✖ ","⏰ "))&amp;IF(C1203="","",RIGHT("0"&amp;HOUR(C1203),2)&amp;":"&amp;RIGHT("0"&amp;MINUTE(C1203),2)&amp;IF(D1203="","","–"&amp;RIGHT("0"&amp;HOUR(D1203),2)&amp;":"&amp;RIGHT("0"&amp;MINUTE(D1203),2))&amp;" ")&amp;F1203)</f>
        <v/>
      </c>
      <c r="N1203" s="54">
        <f>IF(OR(A1203="",F1203=""),"",A1203&amp;"#"&amp;(COUNTIFS($A$5:$A$3004,A1203,$F$5:$F$3004,"?*",$O$5:$O$3004,"&lt;"&amp;O1203)+COUNTIFS($A$5:A1203,A1203,$F$5:F1203,"?*",$O$5:O1203,O1203)))</f>
        <v/>
      </c>
      <c r="O1203" s="54">
        <f>IF(A1203="","",IF(C1203="",0,C1203))</f>
        <v/>
      </c>
    </row>
    <row r="1204">
      <c r="A1204" s="58" t="n"/>
      <c r="B1204" s="49">
        <f>IF(A1204="","",CHOOSE(WEEKDAY(A1204,2),"Пн","Вт","Ср","Чт","Пт","Сб","Вс"))</f>
        <v/>
      </c>
      <c r="C1204" s="59" t="n"/>
      <c r="D1204" s="59" t="n"/>
      <c r="E1204" s="60">
        <f>IF(OR(C1204="",D1204=""),"",MOD(D1204-C1204,1)*24)</f>
        <v/>
      </c>
      <c r="F1204" s="50" t="n"/>
      <c r="G1204" s="51" t="n"/>
      <c r="H1204" s="51" t="n"/>
      <c r="I1204" s="51" t="n"/>
      <c r="J1204" s="51" t="n"/>
      <c r="K1204" s="51" t="n"/>
      <c r="L1204" s="54">
        <f>IF(OR(A1204="",C1204="",D1204=""),"",IF(COUNTIFS($A$5:$A$3004,A1204,$C$5:$C$3004,"&lt;"&amp;D1204,$D$5:$D$3004,"&gt;"&amp;C1204)&gt;1,"⚠️ пересечение",""))</f>
        <v/>
      </c>
      <c r="M1204" s="54">
        <f>IF(F1204="","",IF(J1204="✅ Сделано","✔ ",IF(J1204="❌ Пропущено","✖ ","⏰ "))&amp;IF(C1204="","",RIGHT("0"&amp;HOUR(C1204),2)&amp;":"&amp;RIGHT("0"&amp;MINUTE(C1204),2)&amp;IF(D1204="","","–"&amp;RIGHT("0"&amp;HOUR(D1204),2)&amp;":"&amp;RIGHT("0"&amp;MINUTE(D1204),2))&amp;" ")&amp;F1204)</f>
        <v/>
      </c>
      <c r="N1204" s="54">
        <f>IF(OR(A1204="",F1204=""),"",A1204&amp;"#"&amp;(COUNTIFS($A$5:$A$3004,A1204,$F$5:$F$3004,"?*",$O$5:$O$3004,"&lt;"&amp;O1204)+COUNTIFS($A$5:A1204,A1204,$F$5:F1204,"?*",$O$5:O1204,O1204)))</f>
        <v/>
      </c>
      <c r="O1204" s="54">
        <f>IF(A1204="","",IF(C1204="",0,C1204))</f>
        <v/>
      </c>
    </row>
    <row r="1205">
      <c r="A1205" s="58" t="n"/>
      <c r="B1205" s="49">
        <f>IF(A1205="","",CHOOSE(WEEKDAY(A1205,2),"Пн","Вт","Ср","Чт","Пт","Сб","Вс"))</f>
        <v/>
      </c>
      <c r="C1205" s="59" t="n"/>
      <c r="D1205" s="59" t="n"/>
      <c r="E1205" s="60">
        <f>IF(OR(C1205="",D1205=""),"",MOD(D1205-C1205,1)*24)</f>
        <v/>
      </c>
      <c r="F1205" s="50" t="n"/>
      <c r="G1205" s="51" t="n"/>
      <c r="H1205" s="51" t="n"/>
      <c r="I1205" s="51" t="n"/>
      <c r="J1205" s="51" t="n"/>
      <c r="K1205" s="51" t="n"/>
      <c r="L1205" s="54">
        <f>IF(OR(A1205="",C1205="",D1205=""),"",IF(COUNTIFS($A$5:$A$3004,A1205,$C$5:$C$3004,"&lt;"&amp;D1205,$D$5:$D$3004,"&gt;"&amp;C1205)&gt;1,"⚠️ пересечение",""))</f>
        <v/>
      </c>
      <c r="M1205" s="54">
        <f>IF(F1205="","",IF(J1205="✅ Сделано","✔ ",IF(J1205="❌ Пропущено","✖ ","⏰ "))&amp;IF(C1205="","",RIGHT("0"&amp;HOUR(C1205),2)&amp;":"&amp;RIGHT("0"&amp;MINUTE(C1205),2)&amp;IF(D1205="","","–"&amp;RIGHT("0"&amp;HOUR(D1205),2)&amp;":"&amp;RIGHT("0"&amp;MINUTE(D1205),2))&amp;" ")&amp;F1205)</f>
        <v/>
      </c>
      <c r="N1205" s="54">
        <f>IF(OR(A1205="",F1205=""),"",A1205&amp;"#"&amp;(COUNTIFS($A$5:$A$3004,A1205,$F$5:$F$3004,"?*",$O$5:$O$3004,"&lt;"&amp;O1205)+COUNTIFS($A$5:A1205,A1205,$F$5:F1205,"?*",$O$5:O1205,O1205)))</f>
        <v/>
      </c>
      <c r="O1205" s="54">
        <f>IF(A1205="","",IF(C1205="",0,C1205))</f>
        <v/>
      </c>
    </row>
    <row r="1206">
      <c r="A1206" s="58" t="n"/>
      <c r="B1206" s="49">
        <f>IF(A1206="","",CHOOSE(WEEKDAY(A1206,2),"Пн","Вт","Ср","Чт","Пт","Сб","Вс"))</f>
        <v/>
      </c>
      <c r="C1206" s="59" t="n"/>
      <c r="D1206" s="59" t="n"/>
      <c r="E1206" s="60">
        <f>IF(OR(C1206="",D1206=""),"",MOD(D1206-C1206,1)*24)</f>
        <v/>
      </c>
      <c r="F1206" s="50" t="n"/>
      <c r="G1206" s="51" t="n"/>
      <c r="H1206" s="51" t="n"/>
      <c r="I1206" s="51" t="n"/>
      <c r="J1206" s="51" t="n"/>
      <c r="K1206" s="51" t="n"/>
      <c r="L1206" s="54">
        <f>IF(OR(A1206="",C1206="",D1206=""),"",IF(COUNTIFS($A$5:$A$3004,A1206,$C$5:$C$3004,"&lt;"&amp;D1206,$D$5:$D$3004,"&gt;"&amp;C1206)&gt;1,"⚠️ пересечение",""))</f>
        <v/>
      </c>
      <c r="M1206" s="54">
        <f>IF(F1206="","",IF(J1206="✅ Сделано","✔ ",IF(J1206="❌ Пропущено","✖ ","⏰ "))&amp;IF(C1206="","",RIGHT("0"&amp;HOUR(C1206),2)&amp;":"&amp;RIGHT("0"&amp;MINUTE(C1206),2)&amp;IF(D1206="","","–"&amp;RIGHT("0"&amp;HOUR(D1206),2)&amp;":"&amp;RIGHT("0"&amp;MINUTE(D1206),2))&amp;" ")&amp;F1206)</f>
        <v/>
      </c>
      <c r="N1206" s="54">
        <f>IF(OR(A1206="",F1206=""),"",A1206&amp;"#"&amp;(COUNTIFS($A$5:$A$3004,A1206,$F$5:$F$3004,"?*",$O$5:$O$3004,"&lt;"&amp;O1206)+COUNTIFS($A$5:A1206,A1206,$F$5:F1206,"?*",$O$5:O1206,O1206)))</f>
        <v/>
      </c>
      <c r="O1206" s="54">
        <f>IF(A1206="","",IF(C1206="",0,C1206))</f>
        <v/>
      </c>
    </row>
    <row r="1207">
      <c r="A1207" s="58" t="n"/>
      <c r="B1207" s="49">
        <f>IF(A1207="","",CHOOSE(WEEKDAY(A1207,2),"Пн","Вт","Ср","Чт","Пт","Сб","Вс"))</f>
        <v/>
      </c>
      <c r="C1207" s="59" t="n"/>
      <c r="D1207" s="59" t="n"/>
      <c r="E1207" s="60">
        <f>IF(OR(C1207="",D1207=""),"",MOD(D1207-C1207,1)*24)</f>
        <v/>
      </c>
      <c r="F1207" s="50" t="n"/>
      <c r="G1207" s="51" t="n"/>
      <c r="H1207" s="51" t="n"/>
      <c r="I1207" s="51" t="n"/>
      <c r="J1207" s="51" t="n"/>
      <c r="K1207" s="51" t="n"/>
      <c r="L1207" s="54">
        <f>IF(OR(A1207="",C1207="",D1207=""),"",IF(COUNTIFS($A$5:$A$3004,A1207,$C$5:$C$3004,"&lt;"&amp;D1207,$D$5:$D$3004,"&gt;"&amp;C1207)&gt;1,"⚠️ пересечение",""))</f>
        <v/>
      </c>
      <c r="M1207" s="54">
        <f>IF(F1207="","",IF(J1207="✅ Сделано","✔ ",IF(J1207="❌ Пропущено","✖ ","⏰ "))&amp;IF(C1207="","",RIGHT("0"&amp;HOUR(C1207),2)&amp;":"&amp;RIGHT("0"&amp;MINUTE(C1207),2)&amp;IF(D1207="","","–"&amp;RIGHT("0"&amp;HOUR(D1207),2)&amp;":"&amp;RIGHT("0"&amp;MINUTE(D1207),2))&amp;" ")&amp;F1207)</f>
        <v/>
      </c>
      <c r="N1207" s="54">
        <f>IF(OR(A1207="",F1207=""),"",A1207&amp;"#"&amp;(COUNTIFS($A$5:$A$3004,A1207,$F$5:$F$3004,"?*",$O$5:$O$3004,"&lt;"&amp;O1207)+COUNTIFS($A$5:A1207,A1207,$F$5:F1207,"?*",$O$5:O1207,O1207)))</f>
        <v/>
      </c>
      <c r="O1207" s="54">
        <f>IF(A1207="","",IF(C1207="",0,C1207))</f>
        <v/>
      </c>
    </row>
    <row r="1208">
      <c r="A1208" s="58" t="n"/>
      <c r="B1208" s="49">
        <f>IF(A1208="","",CHOOSE(WEEKDAY(A1208,2),"Пн","Вт","Ср","Чт","Пт","Сб","Вс"))</f>
        <v/>
      </c>
      <c r="C1208" s="59" t="n"/>
      <c r="D1208" s="59" t="n"/>
      <c r="E1208" s="60">
        <f>IF(OR(C1208="",D1208=""),"",MOD(D1208-C1208,1)*24)</f>
        <v/>
      </c>
      <c r="F1208" s="50" t="n"/>
      <c r="G1208" s="51" t="n"/>
      <c r="H1208" s="51" t="n"/>
      <c r="I1208" s="51" t="n"/>
      <c r="J1208" s="51" t="n"/>
      <c r="K1208" s="51" t="n"/>
      <c r="L1208" s="54">
        <f>IF(OR(A1208="",C1208="",D1208=""),"",IF(COUNTIFS($A$5:$A$3004,A1208,$C$5:$C$3004,"&lt;"&amp;D1208,$D$5:$D$3004,"&gt;"&amp;C1208)&gt;1,"⚠️ пересечение",""))</f>
        <v/>
      </c>
      <c r="M1208" s="54">
        <f>IF(F1208="","",IF(J1208="✅ Сделано","✔ ",IF(J1208="❌ Пропущено","✖ ","⏰ "))&amp;IF(C1208="","",RIGHT("0"&amp;HOUR(C1208),2)&amp;":"&amp;RIGHT("0"&amp;MINUTE(C1208),2)&amp;IF(D1208="","","–"&amp;RIGHT("0"&amp;HOUR(D1208),2)&amp;":"&amp;RIGHT("0"&amp;MINUTE(D1208),2))&amp;" ")&amp;F1208)</f>
        <v/>
      </c>
      <c r="N1208" s="54">
        <f>IF(OR(A1208="",F1208=""),"",A1208&amp;"#"&amp;(COUNTIFS($A$5:$A$3004,A1208,$F$5:$F$3004,"?*",$O$5:$O$3004,"&lt;"&amp;O1208)+COUNTIFS($A$5:A1208,A1208,$F$5:F1208,"?*",$O$5:O1208,O1208)))</f>
        <v/>
      </c>
      <c r="O1208" s="54">
        <f>IF(A1208="","",IF(C1208="",0,C1208))</f>
        <v/>
      </c>
    </row>
    <row r="1209">
      <c r="A1209" s="58" t="n"/>
      <c r="B1209" s="49">
        <f>IF(A1209="","",CHOOSE(WEEKDAY(A1209,2),"Пн","Вт","Ср","Чт","Пт","Сб","Вс"))</f>
        <v/>
      </c>
      <c r="C1209" s="59" t="n"/>
      <c r="D1209" s="59" t="n"/>
      <c r="E1209" s="60">
        <f>IF(OR(C1209="",D1209=""),"",MOD(D1209-C1209,1)*24)</f>
        <v/>
      </c>
      <c r="F1209" s="50" t="n"/>
      <c r="G1209" s="51" t="n"/>
      <c r="H1209" s="51" t="n"/>
      <c r="I1209" s="51" t="n"/>
      <c r="J1209" s="51" t="n"/>
      <c r="K1209" s="51" t="n"/>
      <c r="L1209" s="54">
        <f>IF(OR(A1209="",C1209="",D1209=""),"",IF(COUNTIFS($A$5:$A$3004,A1209,$C$5:$C$3004,"&lt;"&amp;D1209,$D$5:$D$3004,"&gt;"&amp;C1209)&gt;1,"⚠️ пересечение",""))</f>
        <v/>
      </c>
      <c r="M1209" s="54">
        <f>IF(F1209="","",IF(J1209="✅ Сделано","✔ ",IF(J1209="❌ Пропущено","✖ ","⏰ "))&amp;IF(C1209="","",RIGHT("0"&amp;HOUR(C1209),2)&amp;":"&amp;RIGHT("0"&amp;MINUTE(C1209),2)&amp;IF(D1209="","","–"&amp;RIGHT("0"&amp;HOUR(D1209),2)&amp;":"&amp;RIGHT("0"&amp;MINUTE(D1209),2))&amp;" ")&amp;F1209)</f>
        <v/>
      </c>
      <c r="N1209" s="54">
        <f>IF(OR(A1209="",F1209=""),"",A1209&amp;"#"&amp;(COUNTIFS($A$5:$A$3004,A1209,$F$5:$F$3004,"?*",$O$5:$O$3004,"&lt;"&amp;O1209)+COUNTIFS($A$5:A1209,A1209,$F$5:F1209,"?*",$O$5:O1209,O1209)))</f>
        <v/>
      </c>
      <c r="O1209" s="54">
        <f>IF(A1209="","",IF(C1209="",0,C1209))</f>
        <v/>
      </c>
    </row>
    <row r="1210">
      <c r="A1210" s="58" t="n"/>
      <c r="B1210" s="49">
        <f>IF(A1210="","",CHOOSE(WEEKDAY(A1210,2),"Пн","Вт","Ср","Чт","Пт","Сб","Вс"))</f>
        <v/>
      </c>
      <c r="C1210" s="59" t="n"/>
      <c r="D1210" s="59" t="n"/>
      <c r="E1210" s="60">
        <f>IF(OR(C1210="",D1210=""),"",MOD(D1210-C1210,1)*24)</f>
        <v/>
      </c>
      <c r="F1210" s="50" t="n"/>
      <c r="G1210" s="51" t="n"/>
      <c r="H1210" s="51" t="n"/>
      <c r="I1210" s="51" t="n"/>
      <c r="J1210" s="51" t="n"/>
      <c r="K1210" s="51" t="n"/>
      <c r="L1210" s="54">
        <f>IF(OR(A1210="",C1210="",D1210=""),"",IF(COUNTIFS($A$5:$A$3004,A1210,$C$5:$C$3004,"&lt;"&amp;D1210,$D$5:$D$3004,"&gt;"&amp;C1210)&gt;1,"⚠️ пересечение",""))</f>
        <v/>
      </c>
      <c r="M1210" s="54">
        <f>IF(F1210="","",IF(J1210="✅ Сделано","✔ ",IF(J1210="❌ Пропущено","✖ ","⏰ "))&amp;IF(C1210="","",RIGHT("0"&amp;HOUR(C1210),2)&amp;":"&amp;RIGHT("0"&amp;MINUTE(C1210),2)&amp;IF(D1210="","","–"&amp;RIGHT("0"&amp;HOUR(D1210),2)&amp;":"&amp;RIGHT("0"&amp;MINUTE(D1210),2))&amp;" ")&amp;F1210)</f>
        <v/>
      </c>
      <c r="N1210" s="54">
        <f>IF(OR(A1210="",F1210=""),"",A1210&amp;"#"&amp;(COUNTIFS($A$5:$A$3004,A1210,$F$5:$F$3004,"?*",$O$5:$O$3004,"&lt;"&amp;O1210)+COUNTIFS($A$5:A1210,A1210,$F$5:F1210,"?*",$O$5:O1210,O1210)))</f>
        <v/>
      </c>
      <c r="O1210" s="54">
        <f>IF(A1210="","",IF(C1210="",0,C1210))</f>
        <v/>
      </c>
    </row>
    <row r="1211">
      <c r="A1211" s="58" t="n"/>
      <c r="B1211" s="49">
        <f>IF(A1211="","",CHOOSE(WEEKDAY(A1211,2),"Пн","Вт","Ср","Чт","Пт","Сб","Вс"))</f>
        <v/>
      </c>
      <c r="C1211" s="59" t="n"/>
      <c r="D1211" s="59" t="n"/>
      <c r="E1211" s="60">
        <f>IF(OR(C1211="",D1211=""),"",MOD(D1211-C1211,1)*24)</f>
        <v/>
      </c>
      <c r="F1211" s="50" t="n"/>
      <c r="G1211" s="51" t="n"/>
      <c r="H1211" s="51" t="n"/>
      <c r="I1211" s="51" t="n"/>
      <c r="J1211" s="51" t="n"/>
      <c r="K1211" s="51" t="n"/>
      <c r="L1211" s="54">
        <f>IF(OR(A1211="",C1211="",D1211=""),"",IF(COUNTIFS($A$5:$A$3004,A1211,$C$5:$C$3004,"&lt;"&amp;D1211,$D$5:$D$3004,"&gt;"&amp;C1211)&gt;1,"⚠️ пересечение",""))</f>
        <v/>
      </c>
      <c r="M1211" s="54">
        <f>IF(F1211="","",IF(J1211="✅ Сделано","✔ ",IF(J1211="❌ Пропущено","✖ ","⏰ "))&amp;IF(C1211="","",RIGHT("0"&amp;HOUR(C1211),2)&amp;":"&amp;RIGHT("0"&amp;MINUTE(C1211),2)&amp;IF(D1211="","","–"&amp;RIGHT("0"&amp;HOUR(D1211),2)&amp;":"&amp;RIGHT("0"&amp;MINUTE(D1211),2))&amp;" ")&amp;F1211)</f>
        <v/>
      </c>
      <c r="N1211" s="54">
        <f>IF(OR(A1211="",F1211=""),"",A1211&amp;"#"&amp;(COUNTIFS($A$5:$A$3004,A1211,$F$5:$F$3004,"?*",$O$5:$O$3004,"&lt;"&amp;O1211)+COUNTIFS($A$5:A1211,A1211,$F$5:F1211,"?*",$O$5:O1211,O1211)))</f>
        <v/>
      </c>
      <c r="O1211" s="54">
        <f>IF(A1211="","",IF(C1211="",0,C1211))</f>
        <v/>
      </c>
    </row>
    <row r="1212">
      <c r="A1212" s="58" t="n"/>
      <c r="B1212" s="49">
        <f>IF(A1212="","",CHOOSE(WEEKDAY(A1212,2),"Пн","Вт","Ср","Чт","Пт","Сб","Вс"))</f>
        <v/>
      </c>
      <c r="C1212" s="59" t="n"/>
      <c r="D1212" s="59" t="n"/>
      <c r="E1212" s="60">
        <f>IF(OR(C1212="",D1212=""),"",MOD(D1212-C1212,1)*24)</f>
        <v/>
      </c>
      <c r="F1212" s="50" t="n"/>
      <c r="G1212" s="51" t="n"/>
      <c r="H1212" s="51" t="n"/>
      <c r="I1212" s="51" t="n"/>
      <c r="J1212" s="51" t="n"/>
      <c r="K1212" s="51" t="n"/>
      <c r="L1212" s="54">
        <f>IF(OR(A1212="",C1212="",D1212=""),"",IF(COUNTIFS($A$5:$A$3004,A1212,$C$5:$C$3004,"&lt;"&amp;D1212,$D$5:$D$3004,"&gt;"&amp;C1212)&gt;1,"⚠️ пересечение",""))</f>
        <v/>
      </c>
      <c r="M1212" s="54">
        <f>IF(F1212="","",IF(J1212="✅ Сделано","✔ ",IF(J1212="❌ Пропущено","✖ ","⏰ "))&amp;IF(C1212="","",RIGHT("0"&amp;HOUR(C1212),2)&amp;":"&amp;RIGHT("0"&amp;MINUTE(C1212),2)&amp;IF(D1212="","","–"&amp;RIGHT("0"&amp;HOUR(D1212),2)&amp;":"&amp;RIGHT("0"&amp;MINUTE(D1212),2))&amp;" ")&amp;F1212)</f>
        <v/>
      </c>
      <c r="N1212" s="54">
        <f>IF(OR(A1212="",F1212=""),"",A1212&amp;"#"&amp;(COUNTIFS($A$5:$A$3004,A1212,$F$5:$F$3004,"?*",$O$5:$O$3004,"&lt;"&amp;O1212)+COUNTIFS($A$5:A1212,A1212,$F$5:F1212,"?*",$O$5:O1212,O1212)))</f>
        <v/>
      </c>
      <c r="O1212" s="54">
        <f>IF(A1212="","",IF(C1212="",0,C1212))</f>
        <v/>
      </c>
    </row>
    <row r="1213">
      <c r="A1213" s="58" t="n"/>
      <c r="B1213" s="49">
        <f>IF(A1213="","",CHOOSE(WEEKDAY(A1213,2),"Пн","Вт","Ср","Чт","Пт","Сб","Вс"))</f>
        <v/>
      </c>
      <c r="C1213" s="59" t="n"/>
      <c r="D1213" s="59" t="n"/>
      <c r="E1213" s="60">
        <f>IF(OR(C1213="",D1213=""),"",MOD(D1213-C1213,1)*24)</f>
        <v/>
      </c>
      <c r="F1213" s="50" t="n"/>
      <c r="G1213" s="51" t="n"/>
      <c r="H1213" s="51" t="n"/>
      <c r="I1213" s="51" t="n"/>
      <c r="J1213" s="51" t="n"/>
      <c r="K1213" s="51" t="n"/>
      <c r="L1213" s="54">
        <f>IF(OR(A1213="",C1213="",D1213=""),"",IF(COUNTIFS($A$5:$A$3004,A1213,$C$5:$C$3004,"&lt;"&amp;D1213,$D$5:$D$3004,"&gt;"&amp;C1213)&gt;1,"⚠️ пересечение",""))</f>
        <v/>
      </c>
      <c r="M1213" s="54">
        <f>IF(F1213="","",IF(J1213="✅ Сделано","✔ ",IF(J1213="❌ Пропущено","✖ ","⏰ "))&amp;IF(C1213="","",RIGHT("0"&amp;HOUR(C1213),2)&amp;":"&amp;RIGHT("0"&amp;MINUTE(C1213),2)&amp;IF(D1213="","","–"&amp;RIGHT("0"&amp;HOUR(D1213),2)&amp;":"&amp;RIGHT("0"&amp;MINUTE(D1213),2))&amp;" ")&amp;F1213)</f>
        <v/>
      </c>
      <c r="N1213" s="54">
        <f>IF(OR(A1213="",F1213=""),"",A1213&amp;"#"&amp;(COUNTIFS($A$5:$A$3004,A1213,$F$5:$F$3004,"?*",$O$5:$O$3004,"&lt;"&amp;O1213)+COUNTIFS($A$5:A1213,A1213,$F$5:F1213,"?*",$O$5:O1213,O1213)))</f>
        <v/>
      </c>
      <c r="O1213" s="54">
        <f>IF(A1213="","",IF(C1213="",0,C1213))</f>
        <v/>
      </c>
    </row>
    <row r="1214">
      <c r="A1214" s="58" t="n"/>
      <c r="B1214" s="49">
        <f>IF(A1214="","",CHOOSE(WEEKDAY(A1214,2),"Пн","Вт","Ср","Чт","Пт","Сб","Вс"))</f>
        <v/>
      </c>
      <c r="C1214" s="59" t="n"/>
      <c r="D1214" s="59" t="n"/>
      <c r="E1214" s="60">
        <f>IF(OR(C1214="",D1214=""),"",MOD(D1214-C1214,1)*24)</f>
        <v/>
      </c>
      <c r="F1214" s="50" t="n"/>
      <c r="G1214" s="51" t="n"/>
      <c r="H1214" s="51" t="n"/>
      <c r="I1214" s="51" t="n"/>
      <c r="J1214" s="51" t="n"/>
      <c r="K1214" s="51" t="n"/>
      <c r="L1214" s="54">
        <f>IF(OR(A1214="",C1214="",D1214=""),"",IF(COUNTIFS($A$5:$A$3004,A1214,$C$5:$C$3004,"&lt;"&amp;D1214,$D$5:$D$3004,"&gt;"&amp;C1214)&gt;1,"⚠️ пересечение",""))</f>
        <v/>
      </c>
      <c r="M1214" s="54">
        <f>IF(F1214="","",IF(J1214="✅ Сделано","✔ ",IF(J1214="❌ Пропущено","✖ ","⏰ "))&amp;IF(C1214="","",RIGHT("0"&amp;HOUR(C1214),2)&amp;":"&amp;RIGHT("0"&amp;MINUTE(C1214),2)&amp;IF(D1214="","","–"&amp;RIGHT("0"&amp;HOUR(D1214),2)&amp;":"&amp;RIGHT("0"&amp;MINUTE(D1214),2))&amp;" ")&amp;F1214)</f>
        <v/>
      </c>
      <c r="N1214" s="54">
        <f>IF(OR(A1214="",F1214=""),"",A1214&amp;"#"&amp;(COUNTIFS($A$5:$A$3004,A1214,$F$5:$F$3004,"?*",$O$5:$O$3004,"&lt;"&amp;O1214)+COUNTIFS($A$5:A1214,A1214,$F$5:F1214,"?*",$O$5:O1214,O1214)))</f>
        <v/>
      </c>
      <c r="O1214" s="54">
        <f>IF(A1214="","",IF(C1214="",0,C1214))</f>
        <v/>
      </c>
    </row>
    <row r="1215">
      <c r="A1215" s="58" t="n"/>
      <c r="B1215" s="49">
        <f>IF(A1215="","",CHOOSE(WEEKDAY(A1215,2),"Пн","Вт","Ср","Чт","Пт","Сб","Вс"))</f>
        <v/>
      </c>
      <c r="C1215" s="59" t="n"/>
      <c r="D1215" s="59" t="n"/>
      <c r="E1215" s="60">
        <f>IF(OR(C1215="",D1215=""),"",MOD(D1215-C1215,1)*24)</f>
        <v/>
      </c>
      <c r="F1215" s="50" t="n"/>
      <c r="G1215" s="51" t="n"/>
      <c r="H1215" s="51" t="n"/>
      <c r="I1215" s="51" t="n"/>
      <c r="J1215" s="51" t="n"/>
      <c r="K1215" s="51" t="n"/>
      <c r="L1215" s="54">
        <f>IF(OR(A1215="",C1215="",D1215=""),"",IF(COUNTIFS($A$5:$A$3004,A1215,$C$5:$C$3004,"&lt;"&amp;D1215,$D$5:$D$3004,"&gt;"&amp;C1215)&gt;1,"⚠️ пересечение",""))</f>
        <v/>
      </c>
      <c r="M1215" s="54">
        <f>IF(F1215="","",IF(J1215="✅ Сделано","✔ ",IF(J1215="❌ Пропущено","✖ ","⏰ "))&amp;IF(C1215="","",RIGHT("0"&amp;HOUR(C1215),2)&amp;":"&amp;RIGHT("0"&amp;MINUTE(C1215),2)&amp;IF(D1215="","","–"&amp;RIGHT("0"&amp;HOUR(D1215),2)&amp;":"&amp;RIGHT("0"&amp;MINUTE(D1215),2))&amp;" ")&amp;F1215)</f>
        <v/>
      </c>
      <c r="N1215" s="54">
        <f>IF(OR(A1215="",F1215=""),"",A1215&amp;"#"&amp;(COUNTIFS($A$5:$A$3004,A1215,$F$5:$F$3004,"?*",$O$5:$O$3004,"&lt;"&amp;O1215)+COUNTIFS($A$5:A1215,A1215,$F$5:F1215,"?*",$O$5:O1215,O1215)))</f>
        <v/>
      </c>
      <c r="O1215" s="54">
        <f>IF(A1215="","",IF(C1215="",0,C1215))</f>
        <v/>
      </c>
    </row>
    <row r="1216">
      <c r="A1216" s="58" t="n"/>
      <c r="B1216" s="49">
        <f>IF(A1216="","",CHOOSE(WEEKDAY(A1216,2),"Пн","Вт","Ср","Чт","Пт","Сб","Вс"))</f>
        <v/>
      </c>
      <c r="C1216" s="59" t="n"/>
      <c r="D1216" s="59" t="n"/>
      <c r="E1216" s="60">
        <f>IF(OR(C1216="",D1216=""),"",MOD(D1216-C1216,1)*24)</f>
        <v/>
      </c>
      <c r="F1216" s="50" t="n"/>
      <c r="G1216" s="51" t="n"/>
      <c r="H1216" s="51" t="n"/>
      <c r="I1216" s="51" t="n"/>
      <c r="J1216" s="51" t="n"/>
      <c r="K1216" s="51" t="n"/>
      <c r="L1216" s="54">
        <f>IF(OR(A1216="",C1216="",D1216=""),"",IF(COUNTIFS($A$5:$A$3004,A1216,$C$5:$C$3004,"&lt;"&amp;D1216,$D$5:$D$3004,"&gt;"&amp;C1216)&gt;1,"⚠️ пересечение",""))</f>
        <v/>
      </c>
      <c r="M1216" s="54">
        <f>IF(F1216="","",IF(J1216="✅ Сделано","✔ ",IF(J1216="❌ Пропущено","✖ ","⏰ "))&amp;IF(C1216="","",RIGHT("0"&amp;HOUR(C1216),2)&amp;":"&amp;RIGHT("0"&amp;MINUTE(C1216),2)&amp;IF(D1216="","","–"&amp;RIGHT("0"&amp;HOUR(D1216),2)&amp;":"&amp;RIGHT("0"&amp;MINUTE(D1216),2))&amp;" ")&amp;F1216)</f>
        <v/>
      </c>
      <c r="N1216" s="54">
        <f>IF(OR(A1216="",F1216=""),"",A1216&amp;"#"&amp;(COUNTIFS($A$5:$A$3004,A1216,$F$5:$F$3004,"?*",$O$5:$O$3004,"&lt;"&amp;O1216)+COUNTIFS($A$5:A1216,A1216,$F$5:F1216,"?*",$O$5:O1216,O1216)))</f>
        <v/>
      </c>
      <c r="O1216" s="54">
        <f>IF(A1216="","",IF(C1216="",0,C1216))</f>
        <v/>
      </c>
    </row>
    <row r="1217">
      <c r="A1217" s="58" t="n"/>
      <c r="B1217" s="49">
        <f>IF(A1217="","",CHOOSE(WEEKDAY(A1217,2),"Пн","Вт","Ср","Чт","Пт","Сб","Вс"))</f>
        <v/>
      </c>
      <c r="C1217" s="59" t="n"/>
      <c r="D1217" s="59" t="n"/>
      <c r="E1217" s="60">
        <f>IF(OR(C1217="",D1217=""),"",MOD(D1217-C1217,1)*24)</f>
        <v/>
      </c>
      <c r="F1217" s="50" t="n"/>
      <c r="G1217" s="51" t="n"/>
      <c r="H1217" s="51" t="n"/>
      <c r="I1217" s="51" t="n"/>
      <c r="J1217" s="51" t="n"/>
      <c r="K1217" s="51" t="n"/>
      <c r="L1217" s="54">
        <f>IF(OR(A1217="",C1217="",D1217=""),"",IF(COUNTIFS($A$5:$A$3004,A1217,$C$5:$C$3004,"&lt;"&amp;D1217,$D$5:$D$3004,"&gt;"&amp;C1217)&gt;1,"⚠️ пересечение",""))</f>
        <v/>
      </c>
      <c r="M1217" s="54">
        <f>IF(F1217="","",IF(J1217="✅ Сделано","✔ ",IF(J1217="❌ Пропущено","✖ ","⏰ "))&amp;IF(C1217="","",RIGHT("0"&amp;HOUR(C1217),2)&amp;":"&amp;RIGHT("0"&amp;MINUTE(C1217),2)&amp;IF(D1217="","","–"&amp;RIGHT("0"&amp;HOUR(D1217),2)&amp;":"&amp;RIGHT("0"&amp;MINUTE(D1217),2))&amp;" ")&amp;F1217)</f>
        <v/>
      </c>
      <c r="N1217" s="54">
        <f>IF(OR(A1217="",F1217=""),"",A1217&amp;"#"&amp;(COUNTIFS($A$5:$A$3004,A1217,$F$5:$F$3004,"?*",$O$5:$O$3004,"&lt;"&amp;O1217)+COUNTIFS($A$5:A1217,A1217,$F$5:F1217,"?*",$O$5:O1217,O1217)))</f>
        <v/>
      </c>
      <c r="O1217" s="54">
        <f>IF(A1217="","",IF(C1217="",0,C1217))</f>
        <v/>
      </c>
    </row>
    <row r="1218">
      <c r="A1218" s="58" t="n"/>
      <c r="B1218" s="49">
        <f>IF(A1218="","",CHOOSE(WEEKDAY(A1218,2),"Пн","Вт","Ср","Чт","Пт","Сб","Вс"))</f>
        <v/>
      </c>
      <c r="C1218" s="59" t="n"/>
      <c r="D1218" s="59" t="n"/>
      <c r="E1218" s="60">
        <f>IF(OR(C1218="",D1218=""),"",MOD(D1218-C1218,1)*24)</f>
        <v/>
      </c>
      <c r="F1218" s="50" t="n"/>
      <c r="G1218" s="51" t="n"/>
      <c r="H1218" s="51" t="n"/>
      <c r="I1218" s="51" t="n"/>
      <c r="J1218" s="51" t="n"/>
      <c r="K1218" s="51" t="n"/>
      <c r="L1218" s="54">
        <f>IF(OR(A1218="",C1218="",D1218=""),"",IF(COUNTIFS($A$5:$A$3004,A1218,$C$5:$C$3004,"&lt;"&amp;D1218,$D$5:$D$3004,"&gt;"&amp;C1218)&gt;1,"⚠️ пересечение",""))</f>
        <v/>
      </c>
      <c r="M1218" s="54">
        <f>IF(F1218="","",IF(J1218="✅ Сделано","✔ ",IF(J1218="❌ Пропущено","✖ ","⏰ "))&amp;IF(C1218="","",RIGHT("0"&amp;HOUR(C1218),2)&amp;":"&amp;RIGHT("0"&amp;MINUTE(C1218),2)&amp;IF(D1218="","","–"&amp;RIGHT("0"&amp;HOUR(D1218),2)&amp;":"&amp;RIGHT("0"&amp;MINUTE(D1218),2))&amp;" ")&amp;F1218)</f>
        <v/>
      </c>
      <c r="N1218" s="54">
        <f>IF(OR(A1218="",F1218=""),"",A1218&amp;"#"&amp;(COUNTIFS($A$5:$A$3004,A1218,$F$5:$F$3004,"?*",$O$5:$O$3004,"&lt;"&amp;O1218)+COUNTIFS($A$5:A1218,A1218,$F$5:F1218,"?*",$O$5:O1218,O1218)))</f>
        <v/>
      </c>
      <c r="O1218" s="54">
        <f>IF(A1218="","",IF(C1218="",0,C1218))</f>
        <v/>
      </c>
    </row>
    <row r="1219">
      <c r="A1219" s="58" t="n"/>
      <c r="B1219" s="49">
        <f>IF(A1219="","",CHOOSE(WEEKDAY(A1219,2),"Пн","Вт","Ср","Чт","Пт","Сб","Вс"))</f>
        <v/>
      </c>
      <c r="C1219" s="59" t="n"/>
      <c r="D1219" s="59" t="n"/>
      <c r="E1219" s="60">
        <f>IF(OR(C1219="",D1219=""),"",MOD(D1219-C1219,1)*24)</f>
        <v/>
      </c>
      <c r="F1219" s="50" t="n"/>
      <c r="G1219" s="51" t="n"/>
      <c r="H1219" s="51" t="n"/>
      <c r="I1219" s="51" t="n"/>
      <c r="J1219" s="51" t="n"/>
      <c r="K1219" s="51" t="n"/>
      <c r="L1219" s="54">
        <f>IF(OR(A1219="",C1219="",D1219=""),"",IF(COUNTIFS($A$5:$A$3004,A1219,$C$5:$C$3004,"&lt;"&amp;D1219,$D$5:$D$3004,"&gt;"&amp;C1219)&gt;1,"⚠️ пересечение",""))</f>
        <v/>
      </c>
      <c r="M1219" s="54">
        <f>IF(F1219="","",IF(J1219="✅ Сделано","✔ ",IF(J1219="❌ Пропущено","✖ ","⏰ "))&amp;IF(C1219="","",RIGHT("0"&amp;HOUR(C1219),2)&amp;":"&amp;RIGHT("0"&amp;MINUTE(C1219),2)&amp;IF(D1219="","","–"&amp;RIGHT("0"&amp;HOUR(D1219),2)&amp;":"&amp;RIGHT("0"&amp;MINUTE(D1219),2))&amp;" ")&amp;F1219)</f>
        <v/>
      </c>
      <c r="N1219" s="54">
        <f>IF(OR(A1219="",F1219=""),"",A1219&amp;"#"&amp;(COUNTIFS($A$5:$A$3004,A1219,$F$5:$F$3004,"?*",$O$5:$O$3004,"&lt;"&amp;O1219)+COUNTIFS($A$5:A1219,A1219,$F$5:F1219,"?*",$O$5:O1219,O1219)))</f>
        <v/>
      </c>
      <c r="O1219" s="54">
        <f>IF(A1219="","",IF(C1219="",0,C1219))</f>
        <v/>
      </c>
    </row>
    <row r="1220">
      <c r="A1220" s="58" t="n"/>
      <c r="B1220" s="49">
        <f>IF(A1220="","",CHOOSE(WEEKDAY(A1220,2),"Пн","Вт","Ср","Чт","Пт","Сб","Вс"))</f>
        <v/>
      </c>
      <c r="C1220" s="59" t="n"/>
      <c r="D1220" s="59" t="n"/>
      <c r="E1220" s="60">
        <f>IF(OR(C1220="",D1220=""),"",MOD(D1220-C1220,1)*24)</f>
        <v/>
      </c>
      <c r="F1220" s="50" t="n"/>
      <c r="G1220" s="51" t="n"/>
      <c r="H1220" s="51" t="n"/>
      <c r="I1220" s="51" t="n"/>
      <c r="J1220" s="51" t="n"/>
      <c r="K1220" s="51" t="n"/>
      <c r="L1220" s="54">
        <f>IF(OR(A1220="",C1220="",D1220=""),"",IF(COUNTIFS($A$5:$A$3004,A1220,$C$5:$C$3004,"&lt;"&amp;D1220,$D$5:$D$3004,"&gt;"&amp;C1220)&gt;1,"⚠️ пересечение",""))</f>
        <v/>
      </c>
      <c r="M1220" s="54">
        <f>IF(F1220="","",IF(J1220="✅ Сделано","✔ ",IF(J1220="❌ Пропущено","✖ ","⏰ "))&amp;IF(C1220="","",RIGHT("0"&amp;HOUR(C1220),2)&amp;":"&amp;RIGHT("0"&amp;MINUTE(C1220),2)&amp;IF(D1220="","","–"&amp;RIGHT("0"&amp;HOUR(D1220),2)&amp;":"&amp;RIGHT("0"&amp;MINUTE(D1220),2))&amp;" ")&amp;F1220)</f>
        <v/>
      </c>
      <c r="N1220" s="54">
        <f>IF(OR(A1220="",F1220=""),"",A1220&amp;"#"&amp;(COUNTIFS($A$5:$A$3004,A1220,$F$5:$F$3004,"?*",$O$5:$O$3004,"&lt;"&amp;O1220)+COUNTIFS($A$5:A1220,A1220,$F$5:F1220,"?*",$O$5:O1220,O1220)))</f>
        <v/>
      </c>
      <c r="O1220" s="54">
        <f>IF(A1220="","",IF(C1220="",0,C1220))</f>
        <v/>
      </c>
    </row>
    <row r="1221">
      <c r="A1221" s="58" t="n"/>
      <c r="B1221" s="49">
        <f>IF(A1221="","",CHOOSE(WEEKDAY(A1221,2),"Пн","Вт","Ср","Чт","Пт","Сб","Вс"))</f>
        <v/>
      </c>
      <c r="C1221" s="59" t="n"/>
      <c r="D1221" s="59" t="n"/>
      <c r="E1221" s="60">
        <f>IF(OR(C1221="",D1221=""),"",MOD(D1221-C1221,1)*24)</f>
        <v/>
      </c>
      <c r="F1221" s="50" t="n"/>
      <c r="G1221" s="51" t="n"/>
      <c r="H1221" s="51" t="n"/>
      <c r="I1221" s="51" t="n"/>
      <c r="J1221" s="51" t="n"/>
      <c r="K1221" s="51" t="n"/>
      <c r="L1221" s="54">
        <f>IF(OR(A1221="",C1221="",D1221=""),"",IF(COUNTIFS($A$5:$A$3004,A1221,$C$5:$C$3004,"&lt;"&amp;D1221,$D$5:$D$3004,"&gt;"&amp;C1221)&gt;1,"⚠️ пересечение",""))</f>
        <v/>
      </c>
      <c r="M1221" s="54">
        <f>IF(F1221="","",IF(J1221="✅ Сделано","✔ ",IF(J1221="❌ Пропущено","✖ ","⏰ "))&amp;IF(C1221="","",RIGHT("0"&amp;HOUR(C1221),2)&amp;":"&amp;RIGHT("0"&amp;MINUTE(C1221),2)&amp;IF(D1221="","","–"&amp;RIGHT("0"&amp;HOUR(D1221),2)&amp;":"&amp;RIGHT("0"&amp;MINUTE(D1221),2))&amp;" ")&amp;F1221)</f>
        <v/>
      </c>
      <c r="N1221" s="54">
        <f>IF(OR(A1221="",F1221=""),"",A1221&amp;"#"&amp;(COUNTIFS($A$5:$A$3004,A1221,$F$5:$F$3004,"?*",$O$5:$O$3004,"&lt;"&amp;O1221)+COUNTIFS($A$5:A1221,A1221,$F$5:F1221,"?*",$O$5:O1221,O1221)))</f>
        <v/>
      </c>
      <c r="O1221" s="54">
        <f>IF(A1221="","",IF(C1221="",0,C1221))</f>
        <v/>
      </c>
    </row>
    <row r="1222">
      <c r="A1222" s="58" t="n"/>
      <c r="B1222" s="49">
        <f>IF(A1222="","",CHOOSE(WEEKDAY(A1222,2),"Пн","Вт","Ср","Чт","Пт","Сб","Вс"))</f>
        <v/>
      </c>
      <c r="C1222" s="59" t="n"/>
      <c r="D1222" s="59" t="n"/>
      <c r="E1222" s="60">
        <f>IF(OR(C1222="",D1222=""),"",MOD(D1222-C1222,1)*24)</f>
        <v/>
      </c>
      <c r="F1222" s="50" t="n"/>
      <c r="G1222" s="51" t="n"/>
      <c r="H1222" s="51" t="n"/>
      <c r="I1222" s="51" t="n"/>
      <c r="J1222" s="51" t="n"/>
      <c r="K1222" s="51" t="n"/>
      <c r="L1222" s="54">
        <f>IF(OR(A1222="",C1222="",D1222=""),"",IF(COUNTIFS($A$5:$A$3004,A1222,$C$5:$C$3004,"&lt;"&amp;D1222,$D$5:$D$3004,"&gt;"&amp;C1222)&gt;1,"⚠️ пересечение",""))</f>
        <v/>
      </c>
      <c r="M1222" s="54">
        <f>IF(F1222="","",IF(J1222="✅ Сделано","✔ ",IF(J1222="❌ Пропущено","✖ ","⏰ "))&amp;IF(C1222="","",RIGHT("0"&amp;HOUR(C1222),2)&amp;":"&amp;RIGHT("0"&amp;MINUTE(C1222),2)&amp;IF(D1222="","","–"&amp;RIGHT("0"&amp;HOUR(D1222),2)&amp;":"&amp;RIGHT("0"&amp;MINUTE(D1222),2))&amp;" ")&amp;F1222)</f>
        <v/>
      </c>
      <c r="N1222" s="54">
        <f>IF(OR(A1222="",F1222=""),"",A1222&amp;"#"&amp;(COUNTIFS($A$5:$A$3004,A1222,$F$5:$F$3004,"?*",$O$5:$O$3004,"&lt;"&amp;O1222)+COUNTIFS($A$5:A1222,A1222,$F$5:F1222,"?*",$O$5:O1222,O1222)))</f>
        <v/>
      </c>
      <c r="O1222" s="54">
        <f>IF(A1222="","",IF(C1222="",0,C1222))</f>
        <v/>
      </c>
    </row>
    <row r="1223">
      <c r="A1223" s="58" t="n"/>
      <c r="B1223" s="49">
        <f>IF(A1223="","",CHOOSE(WEEKDAY(A1223,2),"Пн","Вт","Ср","Чт","Пт","Сб","Вс"))</f>
        <v/>
      </c>
      <c r="C1223" s="59" t="n"/>
      <c r="D1223" s="59" t="n"/>
      <c r="E1223" s="60">
        <f>IF(OR(C1223="",D1223=""),"",MOD(D1223-C1223,1)*24)</f>
        <v/>
      </c>
      <c r="F1223" s="50" t="n"/>
      <c r="G1223" s="51" t="n"/>
      <c r="H1223" s="51" t="n"/>
      <c r="I1223" s="51" t="n"/>
      <c r="J1223" s="51" t="n"/>
      <c r="K1223" s="51" t="n"/>
      <c r="L1223" s="54">
        <f>IF(OR(A1223="",C1223="",D1223=""),"",IF(COUNTIFS($A$5:$A$3004,A1223,$C$5:$C$3004,"&lt;"&amp;D1223,$D$5:$D$3004,"&gt;"&amp;C1223)&gt;1,"⚠️ пересечение",""))</f>
        <v/>
      </c>
      <c r="M1223" s="54">
        <f>IF(F1223="","",IF(J1223="✅ Сделано","✔ ",IF(J1223="❌ Пропущено","✖ ","⏰ "))&amp;IF(C1223="","",RIGHT("0"&amp;HOUR(C1223),2)&amp;":"&amp;RIGHT("0"&amp;MINUTE(C1223),2)&amp;IF(D1223="","","–"&amp;RIGHT("0"&amp;HOUR(D1223),2)&amp;":"&amp;RIGHT("0"&amp;MINUTE(D1223),2))&amp;" ")&amp;F1223)</f>
        <v/>
      </c>
      <c r="N1223" s="54">
        <f>IF(OR(A1223="",F1223=""),"",A1223&amp;"#"&amp;(COUNTIFS($A$5:$A$3004,A1223,$F$5:$F$3004,"?*",$O$5:$O$3004,"&lt;"&amp;O1223)+COUNTIFS($A$5:A1223,A1223,$F$5:F1223,"?*",$O$5:O1223,O1223)))</f>
        <v/>
      </c>
      <c r="O1223" s="54">
        <f>IF(A1223="","",IF(C1223="",0,C1223))</f>
        <v/>
      </c>
    </row>
    <row r="1224">
      <c r="A1224" s="58" t="n"/>
      <c r="B1224" s="49">
        <f>IF(A1224="","",CHOOSE(WEEKDAY(A1224,2),"Пн","Вт","Ср","Чт","Пт","Сб","Вс"))</f>
        <v/>
      </c>
      <c r="C1224" s="59" t="n"/>
      <c r="D1224" s="59" t="n"/>
      <c r="E1224" s="60">
        <f>IF(OR(C1224="",D1224=""),"",MOD(D1224-C1224,1)*24)</f>
        <v/>
      </c>
      <c r="F1224" s="50" t="n"/>
      <c r="G1224" s="51" t="n"/>
      <c r="H1224" s="51" t="n"/>
      <c r="I1224" s="51" t="n"/>
      <c r="J1224" s="51" t="n"/>
      <c r="K1224" s="51" t="n"/>
      <c r="L1224" s="54">
        <f>IF(OR(A1224="",C1224="",D1224=""),"",IF(COUNTIFS($A$5:$A$3004,A1224,$C$5:$C$3004,"&lt;"&amp;D1224,$D$5:$D$3004,"&gt;"&amp;C1224)&gt;1,"⚠️ пересечение",""))</f>
        <v/>
      </c>
      <c r="M1224" s="54">
        <f>IF(F1224="","",IF(J1224="✅ Сделано","✔ ",IF(J1224="❌ Пропущено","✖ ","⏰ "))&amp;IF(C1224="","",RIGHT("0"&amp;HOUR(C1224),2)&amp;":"&amp;RIGHT("0"&amp;MINUTE(C1224),2)&amp;IF(D1224="","","–"&amp;RIGHT("0"&amp;HOUR(D1224),2)&amp;":"&amp;RIGHT("0"&amp;MINUTE(D1224),2))&amp;" ")&amp;F1224)</f>
        <v/>
      </c>
      <c r="N1224" s="54">
        <f>IF(OR(A1224="",F1224=""),"",A1224&amp;"#"&amp;(COUNTIFS($A$5:$A$3004,A1224,$F$5:$F$3004,"?*",$O$5:$O$3004,"&lt;"&amp;O1224)+COUNTIFS($A$5:A1224,A1224,$F$5:F1224,"?*",$O$5:O1224,O1224)))</f>
        <v/>
      </c>
      <c r="O1224" s="54">
        <f>IF(A1224="","",IF(C1224="",0,C1224))</f>
        <v/>
      </c>
    </row>
    <row r="1225">
      <c r="A1225" s="58" t="n"/>
      <c r="B1225" s="49">
        <f>IF(A1225="","",CHOOSE(WEEKDAY(A1225,2),"Пн","Вт","Ср","Чт","Пт","Сб","Вс"))</f>
        <v/>
      </c>
      <c r="C1225" s="59" t="n"/>
      <c r="D1225" s="59" t="n"/>
      <c r="E1225" s="60">
        <f>IF(OR(C1225="",D1225=""),"",MOD(D1225-C1225,1)*24)</f>
        <v/>
      </c>
      <c r="F1225" s="50" t="n"/>
      <c r="G1225" s="51" t="n"/>
      <c r="H1225" s="51" t="n"/>
      <c r="I1225" s="51" t="n"/>
      <c r="J1225" s="51" t="n"/>
      <c r="K1225" s="51" t="n"/>
      <c r="L1225" s="54">
        <f>IF(OR(A1225="",C1225="",D1225=""),"",IF(COUNTIFS($A$5:$A$3004,A1225,$C$5:$C$3004,"&lt;"&amp;D1225,$D$5:$D$3004,"&gt;"&amp;C1225)&gt;1,"⚠️ пересечение",""))</f>
        <v/>
      </c>
      <c r="M1225" s="54">
        <f>IF(F1225="","",IF(J1225="✅ Сделано","✔ ",IF(J1225="❌ Пропущено","✖ ","⏰ "))&amp;IF(C1225="","",RIGHT("0"&amp;HOUR(C1225),2)&amp;":"&amp;RIGHT("0"&amp;MINUTE(C1225),2)&amp;IF(D1225="","","–"&amp;RIGHT("0"&amp;HOUR(D1225),2)&amp;":"&amp;RIGHT("0"&amp;MINUTE(D1225),2))&amp;" ")&amp;F1225)</f>
        <v/>
      </c>
      <c r="N1225" s="54">
        <f>IF(OR(A1225="",F1225=""),"",A1225&amp;"#"&amp;(COUNTIFS($A$5:$A$3004,A1225,$F$5:$F$3004,"?*",$O$5:$O$3004,"&lt;"&amp;O1225)+COUNTIFS($A$5:A1225,A1225,$F$5:F1225,"?*",$O$5:O1225,O1225)))</f>
        <v/>
      </c>
      <c r="O1225" s="54">
        <f>IF(A1225="","",IF(C1225="",0,C1225))</f>
        <v/>
      </c>
    </row>
    <row r="1226">
      <c r="A1226" s="58" t="n"/>
      <c r="B1226" s="49">
        <f>IF(A1226="","",CHOOSE(WEEKDAY(A1226,2),"Пн","Вт","Ср","Чт","Пт","Сб","Вс"))</f>
        <v/>
      </c>
      <c r="C1226" s="59" t="n"/>
      <c r="D1226" s="59" t="n"/>
      <c r="E1226" s="60">
        <f>IF(OR(C1226="",D1226=""),"",MOD(D1226-C1226,1)*24)</f>
        <v/>
      </c>
      <c r="F1226" s="50" t="n"/>
      <c r="G1226" s="51" t="n"/>
      <c r="H1226" s="51" t="n"/>
      <c r="I1226" s="51" t="n"/>
      <c r="J1226" s="51" t="n"/>
      <c r="K1226" s="51" t="n"/>
      <c r="L1226" s="54">
        <f>IF(OR(A1226="",C1226="",D1226=""),"",IF(COUNTIFS($A$5:$A$3004,A1226,$C$5:$C$3004,"&lt;"&amp;D1226,$D$5:$D$3004,"&gt;"&amp;C1226)&gt;1,"⚠️ пересечение",""))</f>
        <v/>
      </c>
      <c r="M1226" s="54">
        <f>IF(F1226="","",IF(J1226="✅ Сделано","✔ ",IF(J1226="❌ Пропущено","✖ ","⏰ "))&amp;IF(C1226="","",RIGHT("0"&amp;HOUR(C1226),2)&amp;":"&amp;RIGHT("0"&amp;MINUTE(C1226),2)&amp;IF(D1226="","","–"&amp;RIGHT("0"&amp;HOUR(D1226),2)&amp;":"&amp;RIGHT("0"&amp;MINUTE(D1226),2))&amp;" ")&amp;F1226)</f>
        <v/>
      </c>
      <c r="N1226" s="54">
        <f>IF(OR(A1226="",F1226=""),"",A1226&amp;"#"&amp;(COUNTIFS($A$5:$A$3004,A1226,$F$5:$F$3004,"?*",$O$5:$O$3004,"&lt;"&amp;O1226)+COUNTIFS($A$5:A1226,A1226,$F$5:F1226,"?*",$O$5:O1226,O1226)))</f>
        <v/>
      </c>
      <c r="O1226" s="54">
        <f>IF(A1226="","",IF(C1226="",0,C1226))</f>
        <v/>
      </c>
    </row>
    <row r="1227">
      <c r="A1227" s="58" t="n"/>
      <c r="B1227" s="49">
        <f>IF(A1227="","",CHOOSE(WEEKDAY(A1227,2),"Пн","Вт","Ср","Чт","Пт","Сб","Вс"))</f>
        <v/>
      </c>
      <c r="C1227" s="59" t="n"/>
      <c r="D1227" s="59" t="n"/>
      <c r="E1227" s="60">
        <f>IF(OR(C1227="",D1227=""),"",MOD(D1227-C1227,1)*24)</f>
        <v/>
      </c>
      <c r="F1227" s="50" t="n"/>
      <c r="G1227" s="51" t="n"/>
      <c r="H1227" s="51" t="n"/>
      <c r="I1227" s="51" t="n"/>
      <c r="J1227" s="51" t="n"/>
      <c r="K1227" s="51" t="n"/>
      <c r="L1227" s="54">
        <f>IF(OR(A1227="",C1227="",D1227=""),"",IF(COUNTIFS($A$5:$A$3004,A1227,$C$5:$C$3004,"&lt;"&amp;D1227,$D$5:$D$3004,"&gt;"&amp;C1227)&gt;1,"⚠️ пересечение",""))</f>
        <v/>
      </c>
      <c r="M1227" s="54">
        <f>IF(F1227="","",IF(J1227="✅ Сделано","✔ ",IF(J1227="❌ Пропущено","✖ ","⏰ "))&amp;IF(C1227="","",RIGHT("0"&amp;HOUR(C1227),2)&amp;":"&amp;RIGHT("0"&amp;MINUTE(C1227),2)&amp;IF(D1227="","","–"&amp;RIGHT("0"&amp;HOUR(D1227),2)&amp;":"&amp;RIGHT("0"&amp;MINUTE(D1227),2))&amp;" ")&amp;F1227)</f>
        <v/>
      </c>
      <c r="N1227" s="54">
        <f>IF(OR(A1227="",F1227=""),"",A1227&amp;"#"&amp;(COUNTIFS($A$5:$A$3004,A1227,$F$5:$F$3004,"?*",$O$5:$O$3004,"&lt;"&amp;O1227)+COUNTIFS($A$5:A1227,A1227,$F$5:F1227,"?*",$O$5:O1227,O1227)))</f>
        <v/>
      </c>
      <c r="O1227" s="54">
        <f>IF(A1227="","",IF(C1227="",0,C1227))</f>
        <v/>
      </c>
    </row>
    <row r="1228">
      <c r="A1228" s="58" t="n"/>
      <c r="B1228" s="49">
        <f>IF(A1228="","",CHOOSE(WEEKDAY(A1228,2),"Пн","Вт","Ср","Чт","Пт","Сб","Вс"))</f>
        <v/>
      </c>
      <c r="C1228" s="59" t="n"/>
      <c r="D1228" s="59" t="n"/>
      <c r="E1228" s="60">
        <f>IF(OR(C1228="",D1228=""),"",MOD(D1228-C1228,1)*24)</f>
        <v/>
      </c>
      <c r="F1228" s="50" t="n"/>
      <c r="G1228" s="51" t="n"/>
      <c r="H1228" s="51" t="n"/>
      <c r="I1228" s="51" t="n"/>
      <c r="J1228" s="51" t="n"/>
      <c r="K1228" s="51" t="n"/>
      <c r="L1228" s="54">
        <f>IF(OR(A1228="",C1228="",D1228=""),"",IF(COUNTIFS($A$5:$A$3004,A1228,$C$5:$C$3004,"&lt;"&amp;D1228,$D$5:$D$3004,"&gt;"&amp;C1228)&gt;1,"⚠️ пересечение",""))</f>
        <v/>
      </c>
      <c r="M1228" s="54">
        <f>IF(F1228="","",IF(J1228="✅ Сделано","✔ ",IF(J1228="❌ Пропущено","✖ ","⏰ "))&amp;IF(C1228="","",RIGHT("0"&amp;HOUR(C1228),2)&amp;":"&amp;RIGHT("0"&amp;MINUTE(C1228),2)&amp;IF(D1228="","","–"&amp;RIGHT("0"&amp;HOUR(D1228),2)&amp;":"&amp;RIGHT("0"&amp;MINUTE(D1228),2))&amp;" ")&amp;F1228)</f>
        <v/>
      </c>
      <c r="N1228" s="54">
        <f>IF(OR(A1228="",F1228=""),"",A1228&amp;"#"&amp;(COUNTIFS($A$5:$A$3004,A1228,$F$5:$F$3004,"?*",$O$5:$O$3004,"&lt;"&amp;O1228)+COUNTIFS($A$5:A1228,A1228,$F$5:F1228,"?*",$O$5:O1228,O1228)))</f>
        <v/>
      </c>
      <c r="O1228" s="54">
        <f>IF(A1228="","",IF(C1228="",0,C1228))</f>
        <v/>
      </c>
    </row>
    <row r="1229">
      <c r="A1229" s="58" t="n"/>
      <c r="B1229" s="49">
        <f>IF(A1229="","",CHOOSE(WEEKDAY(A1229,2),"Пн","Вт","Ср","Чт","Пт","Сб","Вс"))</f>
        <v/>
      </c>
      <c r="C1229" s="59" t="n"/>
      <c r="D1229" s="59" t="n"/>
      <c r="E1229" s="60">
        <f>IF(OR(C1229="",D1229=""),"",MOD(D1229-C1229,1)*24)</f>
        <v/>
      </c>
      <c r="F1229" s="50" t="n"/>
      <c r="G1229" s="51" t="n"/>
      <c r="H1229" s="51" t="n"/>
      <c r="I1229" s="51" t="n"/>
      <c r="J1229" s="51" t="n"/>
      <c r="K1229" s="51" t="n"/>
      <c r="L1229" s="54">
        <f>IF(OR(A1229="",C1229="",D1229=""),"",IF(COUNTIFS($A$5:$A$3004,A1229,$C$5:$C$3004,"&lt;"&amp;D1229,$D$5:$D$3004,"&gt;"&amp;C1229)&gt;1,"⚠️ пересечение",""))</f>
        <v/>
      </c>
      <c r="M1229" s="54">
        <f>IF(F1229="","",IF(J1229="✅ Сделано","✔ ",IF(J1229="❌ Пропущено","✖ ","⏰ "))&amp;IF(C1229="","",RIGHT("0"&amp;HOUR(C1229),2)&amp;":"&amp;RIGHT("0"&amp;MINUTE(C1229),2)&amp;IF(D1229="","","–"&amp;RIGHT("0"&amp;HOUR(D1229),2)&amp;":"&amp;RIGHT("0"&amp;MINUTE(D1229),2))&amp;" ")&amp;F1229)</f>
        <v/>
      </c>
      <c r="N1229" s="54">
        <f>IF(OR(A1229="",F1229=""),"",A1229&amp;"#"&amp;(COUNTIFS($A$5:$A$3004,A1229,$F$5:$F$3004,"?*",$O$5:$O$3004,"&lt;"&amp;O1229)+COUNTIFS($A$5:A1229,A1229,$F$5:F1229,"?*",$O$5:O1229,O1229)))</f>
        <v/>
      </c>
      <c r="O1229" s="54">
        <f>IF(A1229="","",IF(C1229="",0,C1229))</f>
        <v/>
      </c>
    </row>
    <row r="1230">
      <c r="A1230" s="58" t="n"/>
      <c r="B1230" s="49">
        <f>IF(A1230="","",CHOOSE(WEEKDAY(A1230,2),"Пн","Вт","Ср","Чт","Пт","Сб","Вс"))</f>
        <v/>
      </c>
      <c r="C1230" s="59" t="n"/>
      <c r="D1230" s="59" t="n"/>
      <c r="E1230" s="60">
        <f>IF(OR(C1230="",D1230=""),"",MOD(D1230-C1230,1)*24)</f>
        <v/>
      </c>
      <c r="F1230" s="50" t="n"/>
      <c r="G1230" s="51" t="n"/>
      <c r="H1230" s="51" t="n"/>
      <c r="I1230" s="51" t="n"/>
      <c r="J1230" s="51" t="n"/>
      <c r="K1230" s="51" t="n"/>
      <c r="L1230" s="54">
        <f>IF(OR(A1230="",C1230="",D1230=""),"",IF(COUNTIFS($A$5:$A$3004,A1230,$C$5:$C$3004,"&lt;"&amp;D1230,$D$5:$D$3004,"&gt;"&amp;C1230)&gt;1,"⚠️ пересечение",""))</f>
        <v/>
      </c>
      <c r="M1230" s="54">
        <f>IF(F1230="","",IF(J1230="✅ Сделано","✔ ",IF(J1230="❌ Пропущено","✖ ","⏰ "))&amp;IF(C1230="","",RIGHT("0"&amp;HOUR(C1230),2)&amp;":"&amp;RIGHT("0"&amp;MINUTE(C1230),2)&amp;IF(D1230="","","–"&amp;RIGHT("0"&amp;HOUR(D1230),2)&amp;":"&amp;RIGHT("0"&amp;MINUTE(D1230),2))&amp;" ")&amp;F1230)</f>
        <v/>
      </c>
      <c r="N1230" s="54">
        <f>IF(OR(A1230="",F1230=""),"",A1230&amp;"#"&amp;(COUNTIFS($A$5:$A$3004,A1230,$F$5:$F$3004,"?*",$O$5:$O$3004,"&lt;"&amp;O1230)+COUNTIFS($A$5:A1230,A1230,$F$5:F1230,"?*",$O$5:O1230,O1230)))</f>
        <v/>
      </c>
      <c r="O1230" s="54">
        <f>IF(A1230="","",IF(C1230="",0,C1230))</f>
        <v/>
      </c>
    </row>
    <row r="1231">
      <c r="A1231" s="58" t="n"/>
      <c r="B1231" s="49">
        <f>IF(A1231="","",CHOOSE(WEEKDAY(A1231,2),"Пн","Вт","Ср","Чт","Пт","Сб","Вс"))</f>
        <v/>
      </c>
      <c r="C1231" s="59" t="n"/>
      <c r="D1231" s="59" t="n"/>
      <c r="E1231" s="60">
        <f>IF(OR(C1231="",D1231=""),"",MOD(D1231-C1231,1)*24)</f>
        <v/>
      </c>
      <c r="F1231" s="50" t="n"/>
      <c r="G1231" s="51" t="n"/>
      <c r="H1231" s="51" t="n"/>
      <c r="I1231" s="51" t="n"/>
      <c r="J1231" s="51" t="n"/>
      <c r="K1231" s="51" t="n"/>
      <c r="L1231" s="54">
        <f>IF(OR(A1231="",C1231="",D1231=""),"",IF(COUNTIFS($A$5:$A$3004,A1231,$C$5:$C$3004,"&lt;"&amp;D1231,$D$5:$D$3004,"&gt;"&amp;C1231)&gt;1,"⚠️ пересечение",""))</f>
        <v/>
      </c>
      <c r="M1231" s="54">
        <f>IF(F1231="","",IF(J1231="✅ Сделано","✔ ",IF(J1231="❌ Пропущено","✖ ","⏰ "))&amp;IF(C1231="","",RIGHT("0"&amp;HOUR(C1231),2)&amp;":"&amp;RIGHT("0"&amp;MINUTE(C1231),2)&amp;IF(D1231="","","–"&amp;RIGHT("0"&amp;HOUR(D1231),2)&amp;":"&amp;RIGHT("0"&amp;MINUTE(D1231),2))&amp;" ")&amp;F1231)</f>
        <v/>
      </c>
      <c r="N1231" s="54">
        <f>IF(OR(A1231="",F1231=""),"",A1231&amp;"#"&amp;(COUNTIFS($A$5:$A$3004,A1231,$F$5:$F$3004,"?*",$O$5:$O$3004,"&lt;"&amp;O1231)+COUNTIFS($A$5:A1231,A1231,$F$5:F1231,"?*",$O$5:O1231,O1231)))</f>
        <v/>
      </c>
      <c r="O1231" s="54">
        <f>IF(A1231="","",IF(C1231="",0,C1231))</f>
        <v/>
      </c>
    </row>
    <row r="1232">
      <c r="A1232" s="58" t="n"/>
      <c r="B1232" s="49">
        <f>IF(A1232="","",CHOOSE(WEEKDAY(A1232,2),"Пн","Вт","Ср","Чт","Пт","Сб","Вс"))</f>
        <v/>
      </c>
      <c r="C1232" s="59" t="n"/>
      <c r="D1232" s="59" t="n"/>
      <c r="E1232" s="60">
        <f>IF(OR(C1232="",D1232=""),"",MOD(D1232-C1232,1)*24)</f>
        <v/>
      </c>
      <c r="F1232" s="50" t="n"/>
      <c r="G1232" s="51" t="n"/>
      <c r="H1232" s="51" t="n"/>
      <c r="I1232" s="51" t="n"/>
      <c r="J1232" s="51" t="n"/>
      <c r="K1232" s="51" t="n"/>
      <c r="L1232" s="54">
        <f>IF(OR(A1232="",C1232="",D1232=""),"",IF(COUNTIFS($A$5:$A$3004,A1232,$C$5:$C$3004,"&lt;"&amp;D1232,$D$5:$D$3004,"&gt;"&amp;C1232)&gt;1,"⚠️ пересечение",""))</f>
        <v/>
      </c>
      <c r="M1232" s="54">
        <f>IF(F1232="","",IF(J1232="✅ Сделано","✔ ",IF(J1232="❌ Пропущено","✖ ","⏰ "))&amp;IF(C1232="","",RIGHT("0"&amp;HOUR(C1232),2)&amp;":"&amp;RIGHT("0"&amp;MINUTE(C1232),2)&amp;IF(D1232="","","–"&amp;RIGHT("0"&amp;HOUR(D1232),2)&amp;":"&amp;RIGHT("0"&amp;MINUTE(D1232),2))&amp;" ")&amp;F1232)</f>
        <v/>
      </c>
      <c r="N1232" s="54">
        <f>IF(OR(A1232="",F1232=""),"",A1232&amp;"#"&amp;(COUNTIFS($A$5:$A$3004,A1232,$F$5:$F$3004,"?*",$O$5:$O$3004,"&lt;"&amp;O1232)+COUNTIFS($A$5:A1232,A1232,$F$5:F1232,"?*",$O$5:O1232,O1232)))</f>
        <v/>
      </c>
      <c r="O1232" s="54">
        <f>IF(A1232="","",IF(C1232="",0,C1232))</f>
        <v/>
      </c>
    </row>
    <row r="1233">
      <c r="A1233" s="58" t="n"/>
      <c r="B1233" s="49">
        <f>IF(A1233="","",CHOOSE(WEEKDAY(A1233,2),"Пн","Вт","Ср","Чт","Пт","Сб","Вс"))</f>
        <v/>
      </c>
      <c r="C1233" s="59" t="n"/>
      <c r="D1233" s="59" t="n"/>
      <c r="E1233" s="60">
        <f>IF(OR(C1233="",D1233=""),"",MOD(D1233-C1233,1)*24)</f>
        <v/>
      </c>
      <c r="F1233" s="50" t="n"/>
      <c r="G1233" s="51" t="n"/>
      <c r="H1233" s="51" t="n"/>
      <c r="I1233" s="51" t="n"/>
      <c r="J1233" s="51" t="n"/>
      <c r="K1233" s="51" t="n"/>
      <c r="L1233" s="54">
        <f>IF(OR(A1233="",C1233="",D1233=""),"",IF(COUNTIFS($A$5:$A$3004,A1233,$C$5:$C$3004,"&lt;"&amp;D1233,$D$5:$D$3004,"&gt;"&amp;C1233)&gt;1,"⚠️ пересечение",""))</f>
        <v/>
      </c>
      <c r="M1233" s="54">
        <f>IF(F1233="","",IF(J1233="✅ Сделано","✔ ",IF(J1233="❌ Пропущено","✖ ","⏰ "))&amp;IF(C1233="","",RIGHT("0"&amp;HOUR(C1233),2)&amp;":"&amp;RIGHT("0"&amp;MINUTE(C1233),2)&amp;IF(D1233="","","–"&amp;RIGHT("0"&amp;HOUR(D1233),2)&amp;":"&amp;RIGHT("0"&amp;MINUTE(D1233),2))&amp;" ")&amp;F1233)</f>
        <v/>
      </c>
      <c r="N1233" s="54">
        <f>IF(OR(A1233="",F1233=""),"",A1233&amp;"#"&amp;(COUNTIFS($A$5:$A$3004,A1233,$F$5:$F$3004,"?*",$O$5:$O$3004,"&lt;"&amp;O1233)+COUNTIFS($A$5:A1233,A1233,$F$5:F1233,"?*",$O$5:O1233,O1233)))</f>
        <v/>
      </c>
      <c r="O1233" s="54">
        <f>IF(A1233="","",IF(C1233="",0,C1233))</f>
        <v/>
      </c>
    </row>
    <row r="1234">
      <c r="A1234" s="58" t="n"/>
      <c r="B1234" s="49">
        <f>IF(A1234="","",CHOOSE(WEEKDAY(A1234,2),"Пн","Вт","Ср","Чт","Пт","Сб","Вс"))</f>
        <v/>
      </c>
      <c r="C1234" s="59" t="n"/>
      <c r="D1234" s="59" t="n"/>
      <c r="E1234" s="60">
        <f>IF(OR(C1234="",D1234=""),"",MOD(D1234-C1234,1)*24)</f>
        <v/>
      </c>
      <c r="F1234" s="50" t="n"/>
      <c r="G1234" s="51" t="n"/>
      <c r="H1234" s="51" t="n"/>
      <c r="I1234" s="51" t="n"/>
      <c r="J1234" s="51" t="n"/>
      <c r="K1234" s="51" t="n"/>
      <c r="L1234" s="54">
        <f>IF(OR(A1234="",C1234="",D1234=""),"",IF(COUNTIFS($A$5:$A$3004,A1234,$C$5:$C$3004,"&lt;"&amp;D1234,$D$5:$D$3004,"&gt;"&amp;C1234)&gt;1,"⚠️ пересечение",""))</f>
        <v/>
      </c>
      <c r="M1234" s="54">
        <f>IF(F1234="","",IF(J1234="✅ Сделано","✔ ",IF(J1234="❌ Пропущено","✖ ","⏰ "))&amp;IF(C1234="","",RIGHT("0"&amp;HOUR(C1234),2)&amp;":"&amp;RIGHT("0"&amp;MINUTE(C1234),2)&amp;IF(D1234="","","–"&amp;RIGHT("0"&amp;HOUR(D1234),2)&amp;":"&amp;RIGHT("0"&amp;MINUTE(D1234),2))&amp;" ")&amp;F1234)</f>
        <v/>
      </c>
      <c r="N1234" s="54">
        <f>IF(OR(A1234="",F1234=""),"",A1234&amp;"#"&amp;(COUNTIFS($A$5:$A$3004,A1234,$F$5:$F$3004,"?*",$O$5:$O$3004,"&lt;"&amp;O1234)+COUNTIFS($A$5:A1234,A1234,$F$5:F1234,"?*",$O$5:O1234,O1234)))</f>
        <v/>
      </c>
      <c r="O1234" s="54">
        <f>IF(A1234="","",IF(C1234="",0,C1234))</f>
        <v/>
      </c>
    </row>
    <row r="1235">
      <c r="A1235" s="58" t="n"/>
      <c r="B1235" s="49">
        <f>IF(A1235="","",CHOOSE(WEEKDAY(A1235,2),"Пн","Вт","Ср","Чт","Пт","Сб","Вс"))</f>
        <v/>
      </c>
      <c r="C1235" s="59" t="n"/>
      <c r="D1235" s="59" t="n"/>
      <c r="E1235" s="60">
        <f>IF(OR(C1235="",D1235=""),"",MOD(D1235-C1235,1)*24)</f>
        <v/>
      </c>
      <c r="F1235" s="50" t="n"/>
      <c r="G1235" s="51" t="n"/>
      <c r="H1235" s="51" t="n"/>
      <c r="I1235" s="51" t="n"/>
      <c r="J1235" s="51" t="n"/>
      <c r="K1235" s="51" t="n"/>
      <c r="L1235" s="54">
        <f>IF(OR(A1235="",C1235="",D1235=""),"",IF(COUNTIFS($A$5:$A$3004,A1235,$C$5:$C$3004,"&lt;"&amp;D1235,$D$5:$D$3004,"&gt;"&amp;C1235)&gt;1,"⚠️ пересечение",""))</f>
        <v/>
      </c>
      <c r="M1235" s="54">
        <f>IF(F1235="","",IF(J1235="✅ Сделано","✔ ",IF(J1235="❌ Пропущено","✖ ","⏰ "))&amp;IF(C1235="","",RIGHT("0"&amp;HOUR(C1235),2)&amp;":"&amp;RIGHT("0"&amp;MINUTE(C1235),2)&amp;IF(D1235="","","–"&amp;RIGHT("0"&amp;HOUR(D1235),2)&amp;":"&amp;RIGHT("0"&amp;MINUTE(D1235),2))&amp;" ")&amp;F1235)</f>
        <v/>
      </c>
      <c r="N1235" s="54">
        <f>IF(OR(A1235="",F1235=""),"",A1235&amp;"#"&amp;(COUNTIFS($A$5:$A$3004,A1235,$F$5:$F$3004,"?*",$O$5:$O$3004,"&lt;"&amp;O1235)+COUNTIFS($A$5:A1235,A1235,$F$5:F1235,"?*",$O$5:O1235,O1235)))</f>
        <v/>
      </c>
      <c r="O1235" s="54">
        <f>IF(A1235="","",IF(C1235="",0,C1235))</f>
        <v/>
      </c>
    </row>
    <row r="1236">
      <c r="A1236" s="58" t="n"/>
      <c r="B1236" s="49">
        <f>IF(A1236="","",CHOOSE(WEEKDAY(A1236,2),"Пн","Вт","Ср","Чт","Пт","Сб","Вс"))</f>
        <v/>
      </c>
      <c r="C1236" s="59" t="n"/>
      <c r="D1236" s="59" t="n"/>
      <c r="E1236" s="60">
        <f>IF(OR(C1236="",D1236=""),"",MOD(D1236-C1236,1)*24)</f>
        <v/>
      </c>
      <c r="F1236" s="50" t="n"/>
      <c r="G1236" s="51" t="n"/>
      <c r="H1236" s="51" t="n"/>
      <c r="I1236" s="51" t="n"/>
      <c r="J1236" s="51" t="n"/>
      <c r="K1236" s="51" t="n"/>
      <c r="L1236" s="54">
        <f>IF(OR(A1236="",C1236="",D1236=""),"",IF(COUNTIFS($A$5:$A$3004,A1236,$C$5:$C$3004,"&lt;"&amp;D1236,$D$5:$D$3004,"&gt;"&amp;C1236)&gt;1,"⚠️ пересечение",""))</f>
        <v/>
      </c>
      <c r="M1236" s="54">
        <f>IF(F1236="","",IF(J1236="✅ Сделано","✔ ",IF(J1236="❌ Пропущено","✖ ","⏰ "))&amp;IF(C1236="","",RIGHT("0"&amp;HOUR(C1236),2)&amp;":"&amp;RIGHT("0"&amp;MINUTE(C1236),2)&amp;IF(D1236="","","–"&amp;RIGHT("0"&amp;HOUR(D1236),2)&amp;":"&amp;RIGHT("0"&amp;MINUTE(D1236),2))&amp;" ")&amp;F1236)</f>
        <v/>
      </c>
      <c r="N1236" s="54">
        <f>IF(OR(A1236="",F1236=""),"",A1236&amp;"#"&amp;(COUNTIFS($A$5:$A$3004,A1236,$F$5:$F$3004,"?*",$O$5:$O$3004,"&lt;"&amp;O1236)+COUNTIFS($A$5:A1236,A1236,$F$5:F1236,"?*",$O$5:O1236,O1236)))</f>
        <v/>
      </c>
      <c r="O1236" s="54">
        <f>IF(A1236="","",IF(C1236="",0,C1236))</f>
        <v/>
      </c>
    </row>
    <row r="1237">
      <c r="A1237" s="58" t="n"/>
      <c r="B1237" s="49">
        <f>IF(A1237="","",CHOOSE(WEEKDAY(A1237,2),"Пн","Вт","Ср","Чт","Пт","Сб","Вс"))</f>
        <v/>
      </c>
      <c r="C1237" s="59" t="n"/>
      <c r="D1237" s="59" t="n"/>
      <c r="E1237" s="60">
        <f>IF(OR(C1237="",D1237=""),"",MOD(D1237-C1237,1)*24)</f>
        <v/>
      </c>
      <c r="F1237" s="50" t="n"/>
      <c r="G1237" s="51" t="n"/>
      <c r="H1237" s="51" t="n"/>
      <c r="I1237" s="51" t="n"/>
      <c r="J1237" s="51" t="n"/>
      <c r="K1237" s="51" t="n"/>
      <c r="L1237" s="54">
        <f>IF(OR(A1237="",C1237="",D1237=""),"",IF(COUNTIFS($A$5:$A$3004,A1237,$C$5:$C$3004,"&lt;"&amp;D1237,$D$5:$D$3004,"&gt;"&amp;C1237)&gt;1,"⚠️ пересечение",""))</f>
        <v/>
      </c>
      <c r="M1237" s="54">
        <f>IF(F1237="","",IF(J1237="✅ Сделано","✔ ",IF(J1237="❌ Пропущено","✖ ","⏰ "))&amp;IF(C1237="","",RIGHT("0"&amp;HOUR(C1237),2)&amp;":"&amp;RIGHT("0"&amp;MINUTE(C1237),2)&amp;IF(D1237="","","–"&amp;RIGHT("0"&amp;HOUR(D1237),2)&amp;":"&amp;RIGHT("0"&amp;MINUTE(D1237),2))&amp;" ")&amp;F1237)</f>
        <v/>
      </c>
      <c r="N1237" s="54">
        <f>IF(OR(A1237="",F1237=""),"",A1237&amp;"#"&amp;(COUNTIFS($A$5:$A$3004,A1237,$F$5:$F$3004,"?*",$O$5:$O$3004,"&lt;"&amp;O1237)+COUNTIFS($A$5:A1237,A1237,$F$5:F1237,"?*",$O$5:O1237,O1237)))</f>
        <v/>
      </c>
      <c r="O1237" s="54">
        <f>IF(A1237="","",IF(C1237="",0,C1237))</f>
        <v/>
      </c>
    </row>
    <row r="1238">
      <c r="A1238" s="58" t="n"/>
      <c r="B1238" s="49">
        <f>IF(A1238="","",CHOOSE(WEEKDAY(A1238,2),"Пн","Вт","Ср","Чт","Пт","Сб","Вс"))</f>
        <v/>
      </c>
      <c r="C1238" s="59" t="n"/>
      <c r="D1238" s="59" t="n"/>
      <c r="E1238" s="60">
        <f>IF(OR(C1238="",D1238=""),"",MOD(D1238-C1238,1)*24)</f>
        <v/>
      </c>
      <c r="F1238" s="50" t="n"/>
      <c r="G1238" s="51" t="n"/>
      <c r="H1238" s="51" t="n"/>
      <c r="I1238" s="51" t="n"/>
      <c r="J1238" s="51" t="n"/>
      <c r="K1238" s="51" t="n"/>
      <c r="L1238" s="54">
        <f>IF(OR(A1238="",C1238="",D1238=""),"",IF(COUNTIFS($A$5:$A$3004,A1238,$C$5:$C$3004,"&lt;"&amp;D1238,$D$5:$D$3004,"&gt;"&amp;C1238)&gt;1,"⚠️ пересечение",""))</f>
        <v/>
      </c>
      <c r="M1238" s="54">
        <f>IF(F1238="","",IF(J1238="✅ Сделано","✔ ",IF(J1238="❌ Пропущено","✖ ","⏰ "))&amp;IF(C1238="","",RIGHT("0"&amp;HOUR(C1238),2)&amp;":"&amp;RIGHT("0"&amp;MINUTE(C1238),2)&amp;IF(D1238="","","–"&amp;RIGHT("0"&amp;HOUR(D1238),2)&amp;":"&amp;RIGHT("0"&amp;MINUTE(D1238),2))&amp;" ")&amp;F1238)</f>
        <v/>
      </c>
      <c r="N1238" s="54">
        <f>IF(OR(A1238="",F1238=""),"",A1238&amp;"#"&amp;(COUNTIFS($A$5:$A$3004,A1238,$F$5:$F$3004,"?*",$O$5:$O$3004,"&lt;"&amp;O1238)+COUNTIFS($A$5:A1238,A1238,$F$5:F1238,"?*",$O$5:O1238,O1238)))</f>
        <v/>
      </c>
      <c r="O1238" s="54">
        <f>IF(A1238="","",IF(C1238="",0,C1238))</f>
        <v/>
      </c>
    </row>
    <row r="1239">
      <c r="A1239" s="58" t="n"/>
      <c r="B1239" s="49">
        <f>IF(A1239="","",CHOOSE(WEEKDAY(A1239,2),"Пн","Вт","Ср","Чт","Пт","Сб","Вс"))</f>
        <v/>
      </c>
      <c r="C1239" s="59" t="n"/>
      <c r="D1239" s="59" t="n"/>
      <c r="E1239" s="60">
        <f>IF(OR(C1239="",D1239=""),"",MOD(D1239-C1239,1)*24)</f>
        <v/>
      </c>
      <c r="F1239" s="50" t="n"/>
      <c r="G1239" s="51" t="n"/>
      <c r="H1239" s="51" t="n"/>
      <c r="I1239" s="51" t="n"/>
      <c r="J1239" s="51" t="n"/>
      <c r="K1239" s="51" t="n"/>
      <c r="L1239" s="54">
        <f>IF(OR(A1239="",C1239="",D1239=""),"",IF(COUNTIFS($A$5:$A$3004,A1239,$C$5:$C$3004,"&lt;"&amp;D1239,$D$5:$D$3004,"&gt;"&amp;C1239)&gt;1,"⚠️ пересечение",""))</f>
        <v/>
      </c>
      <c r="M1239" s="54">
        <f>IF(F1239="","",IF(J1239="✅ Сделано","✔ ",IF(J1239="❌ Пропущено","✖ ","⏰ "))&amp;IF(C1239="","",RIGHT("0"&amp;HOUR(C1239),2)&amp;":"&amp;RIGHT("0"&amp;MINUTE(C1239),2)&amp;IF(D1239="","","–"&amp;RIGHT("0"&amp;HOUR(D1239),2)&amp;":"&amp;RIGHT("0"&amp;MINUTE(D1239),2))&amp;" ")&amp;F1239)</f>
        <v/>
      </c>
      <c r="N1239" s="54">
        <f>IF(OR(A1239="",F1239=""),"",A1239&amp;"#"&amp;(COUNTIFS($A$5:$A$3004,A1239,$F$5:$F$3004,"?*",$O$5:$O$3004,"&lt;"&amp;O1239)+COUNTIFS($A$5:A1239,A1239,$F$5:F1239,"?*",$O$5:O1239,O1239)))</f>
        <v/>
      </c>
      <c r="O1239" s="54">
        <f>IF(A1239="","",IF(C1239="",0,C1239))</f>
        <v/>
      </c>
    </row>
    <row r="1240">
      <c r="A1240" s="58" t="n"/>
      <c r="B1240" s="49">
        <f>IF(A1240="","",CHOOSE(WEEKDAY(A1240,2),"Пн","Вт","Ср","Чт","Пт","Сб","Вс"))</f>
        <v/>
      </c>
      <c r="C1240" s="59" t="n"/>
      <c r="D1240" s="59" t="n"/>
      <c r="E1240" s="60">
        <f>IF(OR(C1240="",D1240=""),"",MOD(D1240-C1240,1)*24)</f>
        <v/>
      </c>
      <c r="F1240" s="50" t="n"/>
      <c r="G1240" s="51" t="n"/>
      <c r="H1240" s="51" t="n"/>
      <c r="I1240" s="51" t="n"/>
      <c r="J1240" s="51" t="n"/>
      <c r="K1240" s="51" t="n"/>
      <c r="L1240" s="54">
        <f>IF(OR(A1240="",C1240="",D1240=""),"",IF(COUNTIFS($A$5:$A$3004,A1240,$C$5:$C$3004,"&lt;"&amp;D1240,$D$5:$D$3004,"&gt;"&amp;C1240)&gt;1,"⚠️ пересечение",""))</f>
        <v/>
      </c>
      <c r="M1240" s="54">
        <f>IF(F1240="","",IF(J1240="✅ Сделано","✔ ",IF(J1240="❌ Пропущено","✖ ","⏰ "))&amp;IF(C1240="","",RIGHT("0"&amp;HOUR(C1240),2)&amp;":"&amp;RIGHT("0"&amp;MINUTE(C1240),2)&amp;IF(D1240="","","–"&amp;RIGHT("0"&amp;HOUR(D1240),2)&amp;":"&amp;RIGHT("0"&amp;MINUTE(D1240),2))&amp;" ")&amp;F1240)</f>
        <v/>
      </c>
      <c r="N1240" s="54">
        <f>IF(OR(A1240="",F1240=""),"",A1240&amp;"#"&amp;(COUNTIFS($A$5:$A$3004,A1240,$F$5:$F$3004,"?*",$O$5:$O$3004,"&lt;"&amp;O1240)+COUNTIFS($A$5:A1240,A1240,$F$5:F1240,"?*",$O$5:O1240,O1240)))</f>
        <v/>
      </c>
      <c r="O1240" s="54">
        <f>IF(A1240="","",IF(C1240="",0,C1240))</f>
        <v/>
      </c>
    </row>
    <row r="1241">
      <c r="A1241" s="58" t="n"/>
      <c r="B1241" s="49">
        <f>IF(A1241="","",CHOOSE(WEEKDAY(A1241,2),"Пн","Вт","Ср","Чт","Пт","Сб","Вс"))</f>
        <v/>
      </c>
      <c r="C1241" s="59" t="n"/>
      <c r="D1241" s="59" t="n"/>
      <c r="E1241" s="60">
        <f>IF(OR(C1241="",D1241=""),"",MOD(D1241-C1241,1)*24)</f>
        <v/>
      </c>
      <c r="F1241" s="50" t="n"/>
      <c r="G1241" s="51" t="n"/>
      <c r="H1241" s="51" t="n"/>
      <c r="I1241" s="51" t="n"/>
      <c r="J1241" s="51" t="n"/>
      <c r="K1241" s="51" t="n"/>
      <c r="L1241" s="54">
        <f>IF(OR(A1241="",C1241="",D1241=""),"",IF(COUNTIFS($A$5:$A$3004,A1241,$C$5:$C$3004,"&lt;"&amp;D1241,$D$5:$D$3004,"&gt;"&amp;C1241)&gt;1,"⚠️ пересечение",""))</f>
        <v/>
      </c>
      <c r="M1241" s="54">
        <f>IF(F1241="","",IF(J1241="✅ Сделано","✔ ",IF(J1241="❌ Пропущено","✖ ","⏰ "))&amp;IF(C1241="","",RIGHT("0"&amp;HOUR(C1241),2)&amp;":"&amp;RIGHT("0"&amp;MINUTE(C1241),2)&amp;IF(D1241="","","–"&amp;RIGHT("0"&amp;HOUR(D1241),2)&amp;":"&amp;RIGHT("0"&amp;MINUTE(D1241),2))&amp;" ")&amp;F1241)</f>
        <v/>
      </c>
      <c r="N1241" s="54">
        <f>IF(OR(A1241="",F1241=""),"",A1241&amp;"#"&amp;(COUNTIFS($A$5:$A$3004,A1241,$F$5:$F$3004,"?*",$O$5:$O$3004,"&lt;"&amp;O1241)+COUNTIFS($A$5:A1241,A1241,$F$5:F1241,"?*",$O$5:O1241,O1241)))</f>
        <v/>
      </c>
      <c r="O1241" s="54">
        <f>IF(A1241="","",IF(C1241="",0,C1241))</f>
        <v/>
      </c>
    </row>
    <row r="1242">
      <c r="A1242" s="58" t="n"/>
      <c r="B1242" s="49">
        <f>IF(A1242="","",CHOOSE(WEEKDAY(A1242,2),"Пн","Вт","Ср","Чт","Пт","Сб","Вс"))</f>
        <v/>
      </c>
      <c r="C1242" s="59" t="n"/>
      <c r="D1242" s="59" t="n"/>
      <c r="E1242" s="60">
        <f>IF(OR(C1242="",D1242=""),"",MOD(D1242-C1242,1)*24)</f>
        <v/>
      </c>
      <c r="F1242" s="50" t="n"/>
      <c r="G1242" s="51" t="n"/>
      <c r="H1242" s="51" t="n"/>
      <c r="I1242" s="51" t="n"/>
      <c r="J1242" s="51" t="n"/>
      <c r="K1242" s="51" t="n"/>
      <c r="L1242" s="54">
        <f>IF(OR(A1242="",C1242="",D1242=""),"",IF(COUNTIFS($A$5:$A$3004,A1242,$C$5:$C$3004,"&lt;"&amp;D1242,$D$5:$D$3004,"&gt;"&amp;C1242)&gt;1,"⚠️ пересечение",""))</f>
        <v/>
      </c>
      <c r="M1242" s="54">
        <f>IF(F1242="","",IF(J1242="✅ Сделано","✔ ",IF(J1242="❌ Пропущено","✖ ","⏰ "))&amp;IF(C1242="","",RIGHT("0"&amp;HOUR(C1242),2)&amp;":"&amp;RIGHT("0"&amp;MINUTE(C1242),2)&amp;IF(D1242="","","–"&amp;RIGHT("0"&amp;HOUR(D1242),2)&amp;":"&amp;RIGHT("0"&amp;MINUTE(D1242),2))&amp;" ")&amp;F1242)</f>
        <v/>
      </c>
      <c r="N1242" s="54">
        <f>IF(OR(A1242="",F1242=""),"",A1242&amp;"#"&amp;(COUNTIFS($A$5:$A$3004,A1242,$F$5:$F$3004,"?*",$O$5:$O$3004,"&lt;"&amp;O1242)+COUNTIFS($A$5:A1242,A1242,$F$5:F1242,"?*",$O$5:O1242,O1242)))</f>
        <v/>
      </c>
      <c r="O1242" s="54">
        <f>IF(A1242="","",IF(C1242="",0,C1242))</f>
        <v/>
      </c>
    </row>
    <row r="1243">
      <c r="A1243" s="58" t="n"/>
      <c r="B1243" s="49">
        <f>IF(A1243="","",CHOOSE(WEEKDAY(A1243,2),"Пн","Вт","Ср","Чт","Пт","Сб","Вс"))</f>
        <v/>
      </c>
      <c r="C1243" s="59" t="n"/>
      <c r="D1243" s="59" t="n"/>
      <c r="E1243" s="60">
        <f>IF(OR(C1243="",D1243=""),"",MOD(D1243-C1243,1)*24)</f>
        <v/>
      </c>
      <c r="F1243" s="50" t="n"/>
      <c r="G1243" s="51" t="n"/>
      <c r="H1243" s="51" t="n"/>
      <c r="I1243" s="51" t="n"/>
      <c r="J1243" s="51" t="n"/>
      <c r="K1243" s="51" t="n"/>
      <c r="L1243" s="54">
        <f>IF(OR(A1243="",C1243="",D1243=""),"",IF(COUNTIFS($A$5:$A$3004,A1243,$C$5:$C$3004,"&lt;"&amp;D1243,$D$5:$D$3004,"&gt;"&amp;C1243)&gt;1,"⚠️ пересечение",""))</f>
        <v/>
      </c>
      <c r="M1243" s="54">
        <f>IF(F1243="","",IF(J1243="✅ Сделано","✔ ",IF(J1243="❌ Пропущено","✖ ","⏰ "))&amp;IF(C1243="","",RIGHT("0"&amp;HOUR(C1243),2)&amp;":"&amp;RIGHT("0"&amp;MINUTE(C1243),2)&amp;IF(D1243="","","–"&amp;RIGHT("0"&amp;HOUR(D1243),2)&amp;":"&amp;RIGHT("0"&amp;MINUTE(D1243),2))&amp;" ")&amp;F1243)</f>
        <v/>
      </c>
      <c r="N1243" s="54">
        <f>IF(OR(A1243="",F1243=""),"",A1243&amp;"#"&amp;(COUNTIFS($A$5:$A$3004,A1243,$F$5:$F$3004,"?*",$O$5:$O$3004,"&lt;"&amp;O1243)+COUNTIFS($A$5:A1243,A1243,$F$5:F1243,"?*",$O$5:O1243,O1243)))</f>
        <v/>
      </c>
      <c r="O1243" s="54">
        <f>IF(A1243="","",IF(C1243="",0,C1243))</f>
        <v/>
      </c>
    </row>
    <row r="1244">
      <c r="A1244" s="58" t="n"/>
      <c r="B1244" s="49">
        <f>IF(A1244="","",CHOOSE(WEEKDAY(A1244,2),"Пн","Вт","Ср","Чт","Пт","Сб","Вс"))</f>
        <v/>
      </c>
      <c r="C1244" s="59" t="n"/>
      <c r="D1244" s="59" t="n"/>
      <c r="E1244" s="60">
        <f>IF(OR(C1244="",D1244=""),"",MOD(D1244-C1244,1)*24)</f>
        <v/>
      </c>
      <c r="F1244" s="50" t="n"/>
      <c r="G1244" s="51" t="n"/>
      <c r="H1244" s="51" t="n"/>
      <c r="I1244" s="51" t="n"/>
      <c r="J1244" s="51" t="n"/>
      <c r="K1244" s="51" t="n"/>
      <c r="L1244" s="54">
        <f>IF(OR(A1244="",C1244="",D1244=""),"",IF(COUNTIFS($A$5:$A$3004,A1244,$C$5:$C$3004,"&lt;"&amp;D1244,$D$5:$D$3004,"&gt;"&amp;C1244)&gt;1,"⚠️ пересечение",""))</f>
        <v/>
      </c>
      <c r="M1244" s="54">
        <f>IF(F1244="","",IF(J1244="✅ Сделано","✔ ",IF(J1244="❌ Пропущено","✖ ","⏰ "))&amp;IF(C1244="","",RIGHT("0"&amp;HOUR(C1244),2)&amp;":"&amp;RIGHT("0"&amp;MINUTE(C1244),2)&amp;IF(D1244="","","–"&amp;RIGHT("0"&amp;HOUR(D1244),2)&amp;":"&amp;RIGHT("0"&amp;MINUTE(D1244),2))&amp;" ")&amp;F1244)</f>
        <v/>
      </c>
      <c r="N1244" s="54">
        <f>IF(OR(A1244="",F1244=""),"",A1244&amp;"#"&amp;(COUNTIFS($A$5:$A$3004,A1244,$F$5:$F$3004,"?*",$O$5:$O$3004,"&lt;"&amp;O1244)+COUNTIFS($A$5:A1244,A1244,$F$5:F1244,"?*",$O$5:O1244,O1244)))</f>
        <v/>
      </c>
      <c r="O1244" s="54">
        <f>IF(A1244="","",IF(C1244="",0,C1244))</f>
        <v/>
      </c>
    </row>
    <row r="1245">
      <c r="A1245" s="58" t="n"/>
      <c r="B1245" s="49">
        <f>IF(A1245="","",CHOOSE(WEEKDAY(A1245,2),"Пн","Вт","Ср","Чт","Пт","Сб","Вс"))</f>
        <v/>
      </c>
      <c r="C1245" s="59" t="n"/>
      <c r="D1245" s="59" t="n"/>
      <c r="E1245" s="60">
        <f>IF(OR(C1245="",D1245=""),"",MOD(D1245-C1245,1)*24)</f>
        <v/>
      </c>
      <c r="F1245" s="50" t="n"/>
      <c r="G1245" s="51" t="n"/>
      <c r="H1245" s="51" t="n"/>
      <c r="I1245" s="51" t="n"/>
      <c r="J1245" s="51" t="n"/>
      <c r="K1245" s="51" t="n"/>
      <c r="L1245" s="54">
        <f>IF(OR(A1245="",C1245="",D1245=""),"",IF(COUNTIFS($A$5:$A$3004,A1245,$C$5:$C$3004,"&lt;"&amp;D1245,$D$5:$D$3004,"&gt;"&amp;C1245)&gt;1,"⚠️ пересечение",""))</f>
        <v/>
      </c>
      <c r="M1245" s="54">
        <f>IF(F1245="","",IF(J1245="✅ Сделано","✔ ",IF(J1245="❌ Пропущено","✖ ","⏰ "))&amp;IF(C1245="","",RIGHT("0"&amp;HOUR(C1245),2)&amp;":"&amp;RIGHT("0"&amp;MINUTE(C1245),2)&amp;IF(D1245="","","–"&amp;RIGHT("0"&amp;HOUR(D1245),2)&amp;":"&amp;RIGHT("0"&amp;MINUTE(D1245),2))&amp;" ")&amp;F1245)</f>
        <v/>
      </c>
      <c r="N1245" s="54">
        <f>IF(OR(A1245="",F1245=""),"",A1245&amp;"#"&amp;(COUNTIFS($A$5:$A$3004,A1245,$F$5:$F$3004,"?*",$O$5:$O$3004,"&lt;"&amp;O1245)+COUNTIFS($A$5:A1245,A1245,$F$5:F1245,"?*",$O$5:O1245,O1245)))</f>
        <v/>
      </c>
      <c r="O1245" s="54">
        <f>IF(A1245="","",IF(C1245="",0,C1245))</f>
        <v/>
      </c>
    </row>
    <row r="1246">
      <c r="A1246" s="58" t="n"/>
      <c r="B1246" s="49">
        <f>IF(A1246="","",CHOOSE(WEEKDAY(A1246,2),"Пн","Вт","Ср","Чт","Пт","Сб","Вс"))</f>
        <v/>
      </c>
      <c r="C1246" s="59" t="n"/>
      <c r="D1246" s="59" t="n"/>
      <c r="E1246" s="60">
        <f>IF(OR(C1246="",D1246=""),"",MOD(D1246-C1246,1)*24)</f>
        <v/>
      </c>
      <c r="F1246" s="50" t="n"/>
      <c r="G1246" s="51" t="n"/>
      <c r="H1246" s="51" t="n"/>
      <c r="I1246" s="51" t="n"/>
      <c r="J1246" s="51" t="n"/>
      <c r="K1246" s="51" t="n"/>
      <c r="L1246" s="54">
        <f>IF(OR(A1246="",C1246="",D1246=""),"",IF(COUNTIFS($A$5:$A$3004,A1246,$C$5:$C$3004,"&lt;"&amp;D1246,$D$5:$D$3004,"&gt;"&amp;C1246)&gt;1,"⚠️ пересечение",""))</f>
        <v/>
      </c>
      <c r="M1246" s="54">
        <f>IF(F1246="","",IF(J1246="✅ Сделано","✔ ",IF(J1246="❌ Пропущено","✖ ","⏰ "))&amp;IF(C1246="","",RIGHT("0"&amp;HOUR(C1246),2)&amp;":"&amp;RIGHT("0"&amp;MINUTE(C1246),2)&amp;IF(D1246="","","–"&amp;RIGHT("0"&amp;HOUR(D1246),2)&amp;":"&amp;RIGHT("0"&amp;MINUTE(D1246),2))&amp;" ")&amp;F1246)</f>
        <v/>
      </c>
      <c r="N1246" s="54">
        <f>IF(OR(A1246="",F1246=""),"",A1246&amp;"#"&amp;(COUNTIFS($A$5:$A$3004,A1246,$F$5:$F$3004,"?*",$O$5:$O$3004,"&lt;"&amp;O1246)+COUNTIFS($A$5:A1246,A1246,$F$5:F1246,"?*",$O$5:O1246,O1246)))</f>
        <v/>
      </c>
      <c r="O1246" s="54">
        <f>IF(A1246="","",IF(C1246="",0,C1246))</f>
        <v/>
      </c>
    </row>
    <row r="1247">
      <c r="A1247" s="58" t="n"/>
      <c r="B1247" s="49">
        <f>IF(A1247="","",CHOOSE(WEEKDAY(A1247,2),"Пн","Вт","Ср","Чт","Пт","Сб","Вс"))</f>
        <v/>
      </c>
      <c r="C1247" s="59" t="n"/>
      <c r="D1247" s="59" t="n"/>
      <c r="E1247" s="60">
        <f>IF(OR(C1247="",D1247=""),"",MOD(D1247-C1247,1)*24)</f>
        <v/>
      </c>
      <c r="F1247" s="50" t="n"/>
      <c r="G1247" s="51" t="n"/>
      <c r="H1247" s="51" t="n"/>
      <c r="I1247" s="51" t="n"/>
      <c r="J1247" s="51" t="n"/>
      <c r="K1247" s="51" t="n"/>
      <c r="L1247" s="54">
        <f>IF(OR(A1247="",C1247="",D1247=""),"",IF(COUNTIFS($A$5:$A$3004,A1247,$C$5:$C$3004,"&lt;"&amp;D1247,$D$5:$D$3004,"&gt;"&amp;C1247)&gt;1,"⚠️ пересечение",""))</f>
        <v/>
      </c>
      <c r="M1247" s="54">
        <f>IF(F1247="","",IF(J1247="✅ Сделано","✔ ",IF(J1247="❌ Пропущено","✖ ","⏰ "))&amp;IF(C1247="","",RIGHT("0"&amp;HOUR(C1247),2)&amp;":"&amp;RIGHT("0"&amp;MINUTE(C1247),2)&amp;IF(D1247="","","–"&amp;RIGHT("0"&amp;HOUR(D1247),2)&amp;":"&amp;RIGHT("0"&amp;MINUTE(D1247),2))&amp;" ")&amp;F1247)</f>
        <v/>
      </c>
      <c r="N1247" s="54">
        <f>IF(OR(A1247="",F1247=""),"",A1247&amp;"#"&amp;(COUNTIFS($A$5:$A$3004,A1247,$F$5:$F$3004,"?*",$O$5:$O$3004,"&lt;"&amp;O1247)+COUNTIFS($A$5:A1247,A1247,$F$5:F1247,"?*",$O$5:O1247,O1247)))</f>
        <v/>
      </c>
      <c r="O1247" s="54">
        <f>IF(A1247="","",IF(C1247="",0,C1247))</f>
        <v/>
      </c>
    </row>
    <row r="1248">
      <c r="A1248" s="58" t="n"/>
      <c r="B1248" s="49">
        <f>IF(A1248="","",CHOOSE(WEEKDAY(A1248,2),"Пн","Вт","Ср","Чт","Пт","Сб","Вс"))</f>
        <v/>
      </c>
      <c r="C1248" s="59" t="n"/>
      <c r="D1248" s="59" t="n"/>
      <c r="E1248" s="60">
        <f>IF(OR(C1248="",D1248=""),"",MOD(D1248-C1248,1)*24)</f>
        <v/>
      </c>
      <c r="F1248" s="50" t="n"/>
      <c r="G1248" s="51" t="n"/>
      <c r="H1248" s="51" t="n"/>
      <c r="I1248" s="51" t="n"/>
      <c r="J1248" s="51" t="n"/>
      <c r="K1248" s="51" t="n"/>
      <c r="L1248" s="54">
        <f>IF(OR(A1248="",C1248="",D1248=""),"",IF(COUNTIFS($A$5:$A$3004,A1248,$C$5:$C$3004,"&lt;"&amp;D1248,$D$5:$D$3004,"&gt;"&amp;C1248)&gt;1,"⚠️ пересечение",""))</f>
        <v/>
      </c>
      <c r="M1248" s="54">
        <f>IF(F1248="","",IF(J1248="✅ Сделано","✔ ",IF(J1248="❌ Пропущено","✖ ","⏰ "))&amp;IF(C1248="","",RIGHT("0"&amp;HOUR(C1248),2)&amp;":"&amp;RIGHT("0"&amp;MINUTE(C1248),2)&amp;IF(D1248="","","–"&amp;RIGHT("0"&amp;HOUR(D1248),2)&amp;":"&amp;RIGHT("0"&amp;MINUTE(D1248),2))&amp;" ")&amp;F1248)</f>
        <v/>
      </c>
      <c r="N1248" s="54">
        <f>IF(OR(A1248="",F1248=""),"",A1248&amp;"#"&amp;(COUNTIFS($A$5:$A$3004,A1248,$F$5:$F$3004,"?*",$O$5:$O$3004,"&lt;"&amp;O1248)+COUNTIFS($A$5:A1248,A1248,$F$5:F1248,"?*",$O$5:O1248,O1248)))</f>
        <v/>
      </c>
      <c r="O1248" s="54">
        <f>IF(A1248="","",IF(C1248="",0,C1248))</f>
        <v/>
      </c>
    </row>
    <row r="1249">
      <c r="A1249" s="58" t="n"/>
      <c r="B1249" s="49">
        <f>IF(A1249="","",CHOOSE(WEEKDAY(A1249,2),"Пн","Вт","Ср","Чт","Пт","Сб","Вс"))</f>
        <v/>
      </c>
      <c r="C1249" s="59" t="n"/>
      <c r="D1249" s="59" t="n"/>
      <c r="E1249" s="60">
        <f>IF(OR(C1249="",D1249=""),"",MOD(D1249-C1249,1)*24)</f>
        <v/>
      </c>
      <c r="F1249" s="50" t="n"/>
      <c r="G1249" s="51" t="n"/>
      <c r="H1249" s="51" t="n"/>
      <c r="I1249" s="51" t="n"/>
      <c r="J1249" s="51" t="n"/>
      <c r="K1249" s="51" t="n"/>
      <c r="L1249" s="54">
        <f>IF(OR(A1249="",C1249="",D1249=""),"",IF(COUNTIFS($A$5:$A$3004,A1249,$C$5:$C$3004,"&lt;"&amp;D1249,$D$5:$D$3004,"&gt;"&amp;C1249)&gt;1,"⚠️ пересечение",""))</f>
        <v/>
      </c>
      <c r="M1249" s="54">
        <f>IF(F1249="","",IF(J1249="✅ Сделано","✔ ",IF(J1249="❌ Пропущено","✖ ","⏰ "))&amp;IF(C1249="","",RIGHT("0"&amp;HOUR(C1249),2)&amp;":"&amp;RIGHT("0"&amp;MINUTE(C1249),2)&amp;IF(D1249="","","–"&amp;RIGHT("0"&amp;HOUR(D1249),2)&amp;":"&amp;RIGHT("0"&amp;MINUTE(D1249),2))&amp;" ")&amp;F1249)</f>
        <v/>
      </c>
      <c r="N1249" s="54">
        <f>IF(OR(A1249="",F1249=""),"",A1249&amp;"#"&amp;(COUNTIFS($A$5:$A$3004,A1249,$F$5:$F$3004,"?*",$O$5:$O$3004,"&lt;"&amp;O1249)+COUNTIFS($A$5:A1249,A1249,$F$5:F1249,"?*",$O$5:O1249,O1249)))</f>
        <v/>
      </c>
      <c r="O1249" s="54">
        <f>IF(A1249="","",IF(C1249="",0,C1249))</f>
        <v/>
      </c>
    </row>
    <row r="1250">
      <c r="A1250" s="58" t="n"/>
      <c r="B1250" s="49">
        <f>IF(A1250="","",CHOOSE(WEEKDAY(A1250,2),"Пн","Вт","Ср","Чт","Пт","Сб","Вс"))</f>
        <v/>
      </c>
      <c r="C1250" s="59" t="n"/>
      <c r="D1250" s="59" t="n"/>
      <c r="E1250" s="60">
        <f>IF(OR(C1250="",D1250=""),"",MOD(D1250-C1250,1)*24)</f>
        <v/>
      </c>
      <c r="F1250" s="50" t="n"/>
      <c r="G1250" s="51" t="n"/>
      <c r="H1250" s="51" t="n"/>
      <c r="I1250" s="51" t="n"/>
      <c r="J1250" s="51" t="n"/>
      <c r="K1250" s="51" t="n"/>
      <c r="L1250" s="54">
        <f>IF(OR(A1250="",C1250="",D1250=""),"",IF(COUNTIFS($A$5:$A$3004,A1250,$C$5:$C$3004,"&lt;"&amp;D1250,$D$5:$D$3004,"&gt;"&amp;C1250)&gt;1,"⚠️ пересечение",""))</f>
        <v/>
      </c>
      <c r="M1250" s="54">
        <f>IF(F1250="","",IF(J1250="✅ Сделано","✔ ",IF(J1250="❌ Пропущено","✖ ","⏰ "))&amp;IF(C1250="","",RIGHT("0"&amp;HOUR(C1250),2)&amp;":"&amp;RIGHT("0"&amp;MINUTE(C1250),2)&amp;IF(D1250="","","–"&amp;RIGHT("0"&amp;HOUR(D1250),2)&amp;":"&amp;RIGHT("0"&amp;MINUTE(D1250),2))&amp;" ")&amp;F1250)</f>
        <v/>
      </c>
      <c r="N1250" s="54">
        <f>IF(OR(A1250="",F1250=""),"",A1250&amp;"#"&amp;(COUNTIFS($A$5:$A$3004,A1250,$F$5:$F$3004,"?*",$O$5:$O$3004,"&lt;"&amp;O1250)+COUNTIFS($A$5:A1250,A1250,$F$5:F1250,"?*",$O$5:O1250,O1250)))</f>
        <v/>
      </c>
      <c r="O1250" s="54">
        <f>IF(A1250="","",IF(C1250="",0,C1250))</f>
        <v/>
      </c>
    </row>
    <row r="1251">
      <c r="A1251" s="58" t="n"/>
      <c r="B1251" s="49">
        <f>IF(A1251="","",CHOOSE(WEEKDAY(A1251,2),"Пн","Вт","Ср","Чт","Пт","Сб","Вс"))</f>
        <v/>
      </c>
      <c r="C1251" s="59" t="n"/>
      <c r="D1251" s="59" t="n"/>
      <c r="E1251" s="60">
        <f>IF(OR(C1251="",D1251=""),"",MOD(D1251-C1251,1)*24)</f>
        <v/>
      </c>
      <c r="F1251" s="50" t="n"/>
      <c r="G1251" s="51" t="n"/>
      <c r="H1251" s="51" t="n"/>
      <c r="I1251" s="51" t="n"/>
      <c r="J1251" s="51" t="n"/>
      <c r="K1251" s="51" t="n"/>
      <c r="L1251" s="54">
        <f>IF(OR(A1251="",C1251="",D1251=""),"",IF(COUNTIFS($A$5:$A$3004,A1251,$C$5:$C$3004,"&lt;"&amp;D1251,$D$5:$D$3004,"&gt;"&amp;C1251)&gt;1,"⚠️ пересечение",""))</f>
        <v/>
      </c>
      <c r="M1251" s="54">
        <f>IF(F1251="","",IF(J1251="✅ Сделано","✔ ",IF(J1251="❌ Пропущено","✖ ","⏰ "))&amp;IF(C1251="","",RIGHT("0"&amp;HOUR(C1251),2)&amp;":"&amp;RIGHT("0"&amp;MINUTE(C1251),2)&amp;IF(D1251="","","–"&amp;RIGHT("0"&amp;HOUR(D1251),2)&amp;":"&amp;RIGHT("0"&amp;MINUTE(D1251),2))&amp;" ")&amp;F1251)</f>
        <v/>
      </c>
      <c r="N1251" s="54">
        <f>IF(OR(A1251="",F1251=""),"",A1251&amp;"#"&amp;(COUNTIFS($A$5:$A$3004,A1251,$F$5:$F$3004,"?*",$O$5:$O$3004,"&lt;"&amp;O1251)+COUNTIFS($A$5:A1251,A1251,$F$5:F1251,"?*",$O$5:O1251,O1251)))</f>
        <v/>
      </c>
      <c r="O1251" s="54">
        <f>IF(A1251="","",IF(C1251="",0,C1251))</f>
        <v/>
      </c>
    </row>
    <row r="1252">
      <c r="A1252" s="58" t="n"/>
      <c r="B1252" s="49">
        <f>IF(A1252="","",CHOOSE(WEEKDAY(A1252,2),"Пн","Вт","Ср","Чт","Пт","Сб","Вс"))</f>
        <v/>
      </c>
      <c r="C1252" s="59" t="n"/>
      <c r="D1252" s="59" t="n"/>
      <c r="E1252" s="60">
        <f>IF(OR(C1252="",D1252=""),"",MOD(D1252-C1252,1)*24)</f>
        <v/>
      </c>
      <c r="F1252" s="50" t="n"/>
      <c r="G1252" s="51" t="n"/>
      <c r="H1252" s="51" t="n"/>
      <c r="I1252" s="51" t="n"/>
      <c r="J1252" s="51" t="n"/>
      <c r="K1252" s="51" t="n"/>
      <c r="L1252" s="54">
        <f>IF(OR(A1252="",C1252="",D1252=""),"",IF(COUNTIFS($A$5:$A$3004,A1252,$C$5:$C$3004,"&lt;"&amp;D1252,$D$5:$D$3004,"&gt;"&amp;C1252)&gt;1,"⚠️ пересечение",""))</f>
        <v/>
      </c>
      <c r="M1252" s="54">
        <f>IF(F1252="","",IF(J1252="✅ Сделано","✔ ",IF(J1252="❌ Пропущено","✖ ","⏰ "))&amp;IF(C1252="","",RIGHT("0"&amp;HOUR(C1252),2)&amp;":"&amp;RIGHT("0"&amp;MINUTE(C1252),2)&amp;IF(D1252="","","–"&amp;RIGHT("0"&amp;HOUR(D1252),2)&amp;":"&amp;RIGHT("0"&amp;MINUTE(D1252),2))&amp;" ")&amp;F1252)</f>
        <v/>
      </c>
      <c r="N1252" s="54">
        <f>IF(OR(A1252="",F1252=""),"",A1252&amp;"#"&amp;(COUNTIFS($A$5:$A$3004,A1252,$F$5:$F$3004,"?*",$O$5:$O$3004,"&lt;"&amp;O1252)+COUNTIFS($A$5:A1252,A1252,$F$5:F1252,"?*",$O$5:O1252,O1252)))</f>
        <v/>
      </c>
      <c r="O1252" s="54">
        <f>IF(A1252="","",IF(C1252="",0,C1252))</f>
        <v/>
      </c>
    </row>
    <row r="1253">
      <c r="A1253" s="58" t="n"/>
      <c r="B1253" s="49">
        <f>IF(A1253="","",CHOOSE(WEEKDAY(A1253,2),"Пн","Вт","Ср","Чт","Пт","Сб","Вс"))</f>
        <v/>
      </c>
      <c r="C1253" s="59" t="n"/>
      <c r="D1253" s="59" t="n"/>
      <c r="E1253" s="60">
        <f>IF(OR(C1253="",D1253=""),"",MOD(D1253-C1253,1)*24)</f>
        <v/>
      </c>
      <c r="F1253" s="50" t="n"/>
      <c r="G1253" s="51" t="n"/>
      <c r="H1253" s="51" t="n"/>
      <c r="I1253" s="51" t="n"/>
      <c r="J1253" s="51" t="n"/>
      <c r="K1253" s="51" t="n"/>
      <c r="L1253" s="54">
        <f>IF(OR(A1253="",C1253="",D1253=""),"",IF(COUNTIFS($A$5:$A$3004,A1253,$C$5:$C$3004,"&lt;"&amp;D1253,$D$5:$D$3004,"&gt;"&amp;C1253)&gt;1,"⚠️ пересечение",""))</f>
        <v/>
      </c>
      <c r="M1253" s="54">
        <f>IF(F1253="","",IF(J1253="✅ Сделано","✔ ",IF(J1253="❌ Пропущено","✖ ","⏰ "))&amp;IF(C1253="","",RIGHT("0"&amp;HOUR(C1253),2)&amp;":"&amp;RIGHT("0"&amp;MINUTE(C1253),2)&amp;IF(D1253="","","–"&amp;RIGHT("0"&amp;HOUR(D1253),2)&amp;":"&amp;RIGHT("0"&amp;MINUTE(D1253),2))&amp;" ")&amp;F1253)</f>
        <v/>
      </c>
      <c r="N1253" s="54">
        <f>IF(OR(A1253="",F1253=""),"",A1253&amp;"#"&amp;(COUNTIFS($A$5:$A$3004,A1253,$F$5:$F$3004,"?*",$O$5:$O$3004,"&lt;"&amp;O1253)+COUNTIFS($A$5:A1253,A1253,$F$5:F1253,"?*",$O$5:O1253,O1253)))</f>
        <v/>
      </c>
      <c r="O1253" s="54">
        <f>IF(A1253="","",IF(C1253="",0,C1253))</f>
        <v/>
      </c>
    </row>
    <row r="1254">
      <c r="A1254" s="58" t="n"/>
      <c r="B1254" s="49">
        <f>IF(A1254="","",CHOOSE(WEEKDAY(A1254,2),"Пн","Вт","Ср","Чт","Пт","Сб","Вс"))</f>
        <v/>
      </c>
      <c r="C1254" s="59" t="n"/>
      <c r="D1254" s="59" t="n"/>
      <c r="E1254" s="60">
        <f>IF(OR(C1254="",D1254=""),"",MOD(D1254-C1254,1)*24)</f>
        <v/>
      </c>
      <c r="F1254" s="50" t="n"/>
      <c r="G1254" s="51" t="n"/>
      <c r="H1254" s="51" t="n"/>
      <c r="I1254" s="51" t="n"/>
      <c r="J1254" s="51" t="n"/>
      <c r="K1254" s="51" t="n"/>
      <c r="L1254" s="54">
        <f>IF(OR(A1254="",C1254="",D1254=""),"",IF(COUNTIFS($A$5:$A$3004,A1254,$C$5:$C$3004,"&lt;"&amp;D1254,$D$5:$D$3004,"&gt;"&amp;C1254)&gt;1,"⚠️ пересечение",""))</f>
        <v/>
      </c>
      <c r="M1254" s="54">
        <f>IF(F1254="","",IF(J1254="✅ Сделано","✔ ",IF(J1254="❌ Пропущено","✖ ","⏰ "))&amp;IF(C1254="","",RIGHT("0"&amp;HOUR(C1254),2)&amp;":"&amp;RIGHT("0"&amp;MINUTE(C1254),2)&amp;IF(D1254="","","–"&amp;RIGHT("0"&amp;HOUR(D1254),2)&amp;":"&amp;RIGHT("0"&amp;MINUTE(D1254),2))&amp;" ")&amp;F1254)</f>
        <v/>
      </c>
      <c r="N1254" s="54">
        <f>IF(OR(A1254="",F1254=""),"",A1254&amp;"#"&amp;(COUNTIFS($A$5:$A$3004,A1254,$F$5:$F$3004,"?*",$O$5:$O$3004,"&lt;"&amp;O1254)+COUNTIFS($A$5:A1254,A1254,$F$5:F1254,"?*",$O$5:O1254,O1254)))</f>
        <v/>
      </c>
      <c r="O1254" s="54">
        <f>IF(A1254="","",IF(C1254="",0,C1254))</f>
        <v/>
      </c>
    </row>
    <row r="1255">
      <c r="A1255" s="58" t="n"/>
      <c r="B1255" s="49">
        <f>IF(A1255="","",CHOOSE(WEEKDAY(A1255,2),"Пн","Вт","Ср","Чт","Пт","Сб","Вс"))</f>
        <v/>
      </c>
      <c r="C1255" s="59" t="n"/>
      <c r="D1255" s="59" t="n"/>
      <c r="E1255" s="60">
        <f>IF(OR(C1255="",D1255=""),"",MOD(D1255-C1255,1)*24)</f>
        <v/>
      </c>
      <c r="F1255" s="50" t="n"/>
      <c r="G1255" s="51" t="n"/>
      <c r="H1255" s="51" t="n"/>
      <c r="I1255" s="51" t="n"/>
      <c r="J1255" s="51" t="n"/>
      <c r="K1255" s="51" t="n"/>
      <c r="L1255" s="54">
        <f>IF(OR(A1255="",C1255="",D1255=""),"",IF(COUNTIFS($A$5:$A$3004,A1255,$C$5:$C$3004,"&lt;"&amp;D1255,$D$5:$D$3004,"&gt;"&amp;C1255)&gt;1,"⚠️ пересечение",""))</f>
        <v/>
      </c>
      <c r="M1255" s="54">
        <f>IF(F1255="","",IF(J1255="✅ Сделано","✔ ",IF(J1255="❌ Пропущено","✖ ","⏰ "))&amp;IF(C1255="","",RIGHT("0"&amp;HOUR(C1255),2)&amp;":"&amp;RIGHT("0"&amp;MINUTE(C1255),2)&amp;IF(D1255="","","–"&amp;RIGHT("0"&amp;HOUR(D1255),2)&amp;":"&amp;RIGHT("0"&amp;MINUTE(D1255),2))&amp;" ")&amp;F1255)</f>
        <v/>
      </c>
      <c r="N1255" s="54">
        <f>IF(OR(A1255="",F1255=""),"",A1255&amp;"#"&amp;(COUNTIFS($A$5:$A$3004,A1255,$F$5:$F$3004,"?*",$O$5:$O$3004,"&lt;"&amp;O1255)+COUNTIFS($A$5:A1255,A1255,$F$5:F1255,"?*",$O$5:O1255,O1255)))</f>
        <v/>
      </c>
      <c r="O1255" s="54">
        <f>IF(A1255="","",IF(C1255="",0,C1255))</f>
        <v/>
      </c>
    </row>
    <row r="1256">
      <c r="A1256" s="58" t="n"/>
      <c r="B1256" s="49">
        <f>IF(A1256="","",CHOOSE(WEEKDAY(A1256,2),"Пн","Вт","Ср","Чт","Пт","Сб","Вс"))</f>
        <v/>
      </c>
      <c r="C1256" s="59" t="n"/>
      <c r="D1256" s="59" t="n"/>
      <c r="E1256" s="60">
        <f>IF(OR(C1256="",D1256=""),"",MOD(D1256-C1256,1)*24)</f>
        <v/>
      </c>
      <c r="F1256" s="50" t="n"/>
      <c r="G1256" s="51" t="n"/>
      <c r="H1256" s="51" t="n"/>
      <c r="I1256" s="51" t="n"/>
      <c r="J1256" s="51" t="n"/>
      <c r="K1256" s="51" t="n"/>
      <c r="L1256" s="54">
        <f>IF(OR(A1256="",C1256="",D1256=""),"",IF(COUNTIFS($A$5:$A$3004,A1256,$C$5:$C$3004,"&lt;"&amp;D1256,$D$5:$D$3004,"&gt;"&amp;C1256)&gt;1,"⚠️ пересечение",""))</f>
        <v/>
      </c>
      <c r="M1256" s="54">
        <f>IF(F1256="","",IF(J1256="✅ Сделано","✔ ",IF(J1256="❌ Пропущено","✖ ","⏰ "))&amp;IF(C1256="","",RIGHT("0"&amp;HOUR(C1256),2)&amp;":"&amp;RIGHT("0"&amp;MINUTE(C1256),2)&amp;IF(D1256="","","–"&amp;RIGHT("0"&amp;HOUR(D1256),2)&amp;":"&amp;RIGHT("0"&amp;MINUTE(D1256),2))&amp;" ")&amp;F1256)</f>
        <v/>
      </c>
      <c r="N1256" s="54">
        <f>IF(OR(A1256="",F1256=""),"",A1256&amp;"#"&amp;(COUNTIFS($A$5:$A$3004,A1256,$F$5:$F$3004,"?*",$O$5:$O$3004,"&lt;"&amp;O1256)+COUNTIFS($A$5:A1256,A1256,$F$5:F1256,"?*",$O$5:O1256,O1256)))</f>
        <v/>
      </c>
      <c r="O1256" s="54">
        <f>IF(A1256="","",IF(C1256="",0,C1256))</f>
        <v/>
      </c>
    </row>
    <row r="1257">
      <c r="A1257" s="58" t="n"/>
      <c r="B1257" s="49">
        <f>IF(A1257="","",CHOOSE(WEEKDAY(A1257,2),"Пн","Вт","Ср","Чт","Пт","Сб","Вс"))</f>
        <v/>
      </c>
      <c r="C1257" s="59" t="n"/>
      <c r="D1257" s="59" t="n"/>
      <c r="E1257" s="60">
        <f>IF(OR(C1257="",D1257=""),"",MOD(D1257-C1257,1)*24)</f>
        <v/>
      </c>
      <c r="F1257" s="50" t="n"/>
      <c r="G1257" s="51" t="n"/>
      <c r="H1257" s="51" t="n"/>
      <c r="I1257" s="51" t="n"/>
      <c r="J1257" s="51" t="n"/>
      <c r="K1257" s="51" t="n"/>
      <c r="L1257" s="54">
        <f>IF(OR(A1257="",C1257="",D1257=""),"",IF(COUNTIFS($A$5:$A$3004,A1257,$C$5:$C$3004,"&lt;"&amp;D1257,$D$5:$D$3004,"&gt;"&amp;C1257)&gt;1,"⚠️ пересечение",""))</f>
        <v/>
      </c>
      <c r="M1257" s="54">
        <f>IF(F1257="","",IF(J1257="✅ Сделано","✔ ",IF(J1257="❌ Пропущено","✖ ","⏰ "))&amp;IF(C1257="","",RIGHT("0"&amp;HOUR(C1257),2)&amp;":"&amp;RIGHT("0"&amp;MINUTE(C1257),2)&amp;IF(D1257="","","–"&amp;RIGHT("0"&amp;HOUR(D1257),2)&amp;":"&amp;RIGHT("0"&amp;MINUTE(D1257),2))&amp;" ")&amp;F1257)</f>
        <v/>
      </c>
      <c r="N1257" s="54">
        <f>IF(OR(A1257="",F1257=""),"",A1257&amp;"#"&amp;(COUNTIFS($A$5:$A$3004,A1257,$F$5:$F$3004,"?*",$O$5:$O$3004,"&lt;"&amp;O1257)+COUNTIFS($A$5:A1257,A1257,$F$5:F1257,"?*",$O$5:O1257,O1257)))</f>
        <v/>
      </c>
      <c r="O1257" s="54">
        <f>IF(A1257="","",IF(C1257="",0,C1257))</f>
        <v/>
      </c>
    </row>
    <row r="1258">
      <c r="A1258" s="58" t="n"/>
      <c r="B1258" s="49">
        <f>IF(A1258="","",CHOOSE(WEEKDAY(A1258,2),"Пн","Вт","Ср","Чт","Пт","Сб","Вс"))</f>
        <v/>
      </c>
      <c r="C1258" s="59" t="n"/>
      <c r="D1258" s="59" t="n"/>
      <c r="E1258" s="60">
        <f>IF(OR(C1258="",D1258=""),"",MOD(D1258-C1258,1)*24)</f>
        <v/>
      </c>
      <c r="F1258" s="50" t="n"/>
      <c r="G1258" s="51" t="n"/>
      <c r="H1258" s="51" t="n"/>
      <c r="I1258" s="51" t="n"/>
      <c r="J1258" s="51" t="n"/>
      <c r="K1258" s="51" t="n"/>
      <c r="L1258" s="54">
        <f>IF(OR(A1258="",C1258="",D1258=""),"",IF(COUNTIFS($A$5:$A$3004,A1258,$C$5:$C$3004,"&lt;"&amp;D1258,$D$5:$D$3004,"&gt;"&amp;C1258)&gt;1,"⚠️ пересечение",""))</f>
        <v/>
      </c>
      <c r="M1258" s="54">
        <f>IF(F1258="","",IF(J1258="✅ Сделано","✔ ",IF(J1258="❌ Пропущено","✖ ","⏰ "))&amp;IF(C1258="","",RIGHT("0"&amp;HOUR(C1258),2)&amp;":"&amp;RIGHT("0"&amp;MINUTE(C1258),2)&amp;IF(D1258="","","–"&amp;RIGHT("0"&amp;HOUR(D1258),2)&amp;":"&amp;RIGHT("0"&amp;MINUTE(D1258),2))&amp;" ")&amp;F1258)</f>
        <v/>
      </c>
      <c r="N1258" s="54">
        <f>IF(OR(A1258="",F1258=""),"",A1258&amp;"#"&amp;(COUNTIFS($A$5:$A$3004,A1258,$F$5:$F$3004,"?*",$O$5:$O$3004,"&lt;"&amp;O1258)+COUNTIFS($A$5:A1258,A1258,$F$5:F1258,"?*",$O$5:O1258,O1258)))</f>
        <v/>
      </c>
      <c r="O1258" s="54">
        <f>IF(A1258="","",IF(C1258="",0,C1258))</f>
        <v/>
      </c>
    </row>
    <row r="1259">
      <c r="A1259" s="58" t="n"/>
      <c r="B1259" s="49">
        <f>IF(A1259="","",CHOOSE(WEEKDAY(A1259,2),"Пн","Вт","Ср","Чт","Пт","Сб","Вс"))</f>
        <v/>
      </c>
      <c r="C1259" s="59" t="n"/>
      <c r="D1259" s="59" t="n"/>
      <c r="E1259" s="60">
        <f>IF(OR(C1259="",D1259=""),"",MOD(D1259-C1259,1)*24)</f>
        <v/>
      </c>
      <c r="F1259" s="50" t="n"/>
      <c r="G1259" s="51" t="n"/>
      <c r="H1259" s="51" t="n"/>
      <c r="I1259" s="51" t="n"/>
      <c r="J1259" s="51" t="n"/>
      <c r="K1259" s="51" t="n"/>
      <c r="L1259" s="54">
        <f>IF(OR(A1259="",C1259="",D1259=""),"",IF(COUNTIFS($A$5:$A$3004,A1259,$C$5:$C$3004,"&lt;"&amp;D1259,$D$5:$D$3004,"&gt;"&amp;C1259)&gt;1,"⚠️ пересечение",""))</f>
        <v/>
      </c>
      <c r="M1259" s="54">
        <f>IF(F1259="","",IF(J1259="✅ Сделано","✔ ",IF(J1259="❌ Пропущено","✖ ","⏰ "))&amp;IF(C1259="","",RIGHT("0"&amp;HOUR(C1259),2)&amp;":"&amp;RIGHT("0"&amp;MINUTE(C1259),2)&amp;IF(D1259="","","–"&amp;RIGHT("0"&amp;HOUR(D1259),2)&amp;":"&amp;RIGHT("0"&amp;MINUTE(D1259),2))&amp;" ")&amp;F1259)</f>
        <v/>
      </c>
      <c r="N1259" s="54">
        <f>IF(OR(A1259="",F1259=""),"",A1259&amp;"#"&amp;(COUNTIFS($A$5:$A$3004,A1259,$F$5:$F$3004,"?*",$O$5:$O$3004,"&lt;"&amp;O1259)+COUNTIFS($A$5:A1259,A1259,$F$5:F1259,"?*",$O$5:O1259,O1259)))</f>
        <v/>
      </c>
      <c r="O1259" s="54">
        <f>IF(A1259="","",IF(C1259="",0,C1259))</f>
        <v/>
      </c>
    </row>
    <row r="1260">
      <c r="A1260" s="58" t="n"/>
      <c r="B1260" s="49">
        <f>IF(A1260="","",CHOOSE(WEEKDAY(A1260,2),"Пн","Вт","Ср","Чт","Пт","Сб","Вс"))</f>
        <v/>
      </c>
      <c r="C1260" s="59" t="n"/>
      <c r="D1260" s="59" t="n"/>
      <c r="E1260" s="60">
        <f>IF(OR(C1260="",D1260=""),"",MOD(D1260-C1260,1)*24)</f>
        <v/>
      </c>
      <c r="F1260" s="50" t="n"/>
      <c r="G1260" s="51" t="n"/>
      <c r="H1260" s="51" t="n"/>
      <c r="I1260" s="51" t="n"/>
      <c r="J1260" s="51" t="n"/>
      <c r="K1260" s="51" t="n"/>
      <c r="L1260" s="54">
        <f>IF(OR(A1260="",C1260="",D1260=""),"",IF(COUNTIFS($A$5:$A$3004,A1260,$C$5:$C$3004,"&lt;"&amp;D1260,$D$5:$D$3004,"&gt;"&amp;C1260)&gt;1,"⚠️ пересечение",""))</f>
        <v/>
      </c>
      <c r="M1260" s="54">
        <f>IF(F1260="","",IF(J1260="✅ Сделано","✔ ",IF(J1260="❌ Пропущено","✖ ","⏰ "))&amp;IF(C1260="","",RIGHT("0"&amp;HOUR(C1260),2)&amp;":"&amp;RIGHT("0"&amp;MINUTE(C1260),2)&amp;IF(D1260="","","–"&amp;RIGHT("0"&amp;HOUR(D1260),2)&amp;":"&amp;RIGHT("0"&amp;MINUTE(D1260),2))&amp;" ")&amp;F1260)</f>
        <v/>
      </c>
      <c r="N1260" s="54">
        <f>IF(OR(A1260="",F1260=""),"",A1260&amp;"#"&amp;(COUNTIFS($A$5:$A$3004,A1260,$F$5:$F$3004,"?*",$O$5:$O$3004,"&lt;"&amp;O1260)+COUNTIFS($A$5:A1260,A1260,$F$5:F1260,"?*",$O$5:O1260,O1260)))</f>
        <v/>
      </c>
      <c r="O1260" s="54">
        <f>IF(A1260="","",IF(C1260="",0,C1260))</f>
        <v/>
      </c>
    </row>
    <row r="1261">
      <c r="A1261" s="58" t="n"/>
      <c r="B1261" s="49">
        <f>IF(A1261="","",CHOOSE(WEEKDAY(A1261,2),"Пн","Вт","Ср","Чт","Пт","Сб","Вс"))</f>
        <v/>
      </c>
      <c r="C1261" s="59" t="n"/>
      <c r="D1261" s="59" t="n"/>
      <c r="E1261" s="60">
        <f>IF(OR(C1261="",D1261=""),"",MOD(D1261-C1261,1)*24)</f>
        <v/>
      </c>
      <c r="F1261" s="50" t="n"/>
      <c r="G1261" s="51" t="n"/>
      <c r="H1261" s="51" t="n"/>
      <c r="I1261" s="51" t="n"/>
      <c r="J1261" s="51" t="n"/>
      <c r="K1261" s="51" t="n"/>
      <c r="L1261" s="54">
        <f>IF(OR(A1261="",C1261="",D1261=""),"",IF(COUNTIFS($A$5:$A$3004,A1261,$C$5:$C$3004,"&lt;"&amp;D1261,$D$5:$D$3004,"&gt;"&amp;C1261)&gt;1,"⚠️ пересечение",""))</f>
        <v/>
      </c>
      <c r="M1261" s="54">
        <f>IF(F1261="","",IF(J1261="✅ Сделано","✔ ",IF(J1261="❌ Пропущено","✖ ","⏰ "))&amp;IF(C1261="","",RIGHT("0"&amp;HOUR(C1261),2)&amp;":"&amp;RIGHT("0"&amp;MINUTE(C1261),2)&amp;IF(D1261="","","–"&amp;RIGHT("0"&amp;HOUR(D1261),2)&amp;":"&amp;RIGHT("0"&amp;MINUTE(D1261),2))&amp;" ")&amp;F1261)</f>
        <v/>
      </c>
      <c r="N1261" s="54">
        <f>IF(OR(A1261="",F1261=""),"",A1261&amp;"#"&amp;(COUNTIFS($A$5:$A$3004,A1261,$F$5:$F$3004,"?*",$O$5:$O$3004,"&lt;"&amp;O1261)+COUNTIFS($A$5:A1261,A1261,$F$5:F1261,"?*",$O$5:O1261,O1261)))</f>
        <v/>
      </c>
      <c r="O1261" s="54">
        <f>IF(A1261="","",IF(C1261="",0,C1261))</f>
        <v/>
      </c>
    </row>
    <row r="1262">
      <c r="A1262" s="58" t="n"/>
      <c r="B1262" s="49">
        <f>IF(A1262="","",CHOOSE(WEEKDAY(A1262,2),"Пн","Вт","Ср","Чт","Пт","Сб","Вс"))</f>
        <v/>
      </c>
      <c r="C1262" s="59" t="n"/>
      <c r="D1262" s="59" t="n"/>
      <c r="E1262" s="60">
        <f>IF(OR(C1262="",D1262=""),"",MOD(D1262-C1262,1)*24)</f>
        <v/>
      </c>
      <c r="F1262" s="50" t="n"/>
      <c r="G1262" s="51" t="n"/>
      <c r="H1262" s="51" t="n"/>
      <c r="I1262" s="51" t="n"/>
      <c r="J1262" s="51" t="n"/>
      <c r="K1262" s="51" t="n"/>
      <c r="L1262" s="54">
        <f>IF(OR(A1262="",C1262="",D1262=""),"",IF(COUNTIFS($A$5:$A$3004,A1262,$C$5:$C$3004,"&lt;"&amp;D1262,$D$5:$D$3004,"&gt;"&amp;C1262)&gt;1,"⚠️ пересечение",""))</f>
        <v/>
      </c>
      <c r="M1262" s="54">
        <f>IF(F1262="","",IF(J1262="✅ Сделано","✔ ",IF(J1262="❌ Пропущено","✖ ","⏰ "))&amp;IF(C1262="","",RIGHT("0"&amp;HOUR(C1262),2)&amp;":"&amp;RIGHT("0"&amp;MINUTE(C1262),2)&amp;IF(D1262="","","–"&amp;RIGHT("0"&amp;HOUR(D1262),2)&amp;":"&amp;RIGHT("0"&amp;MINUTE(D1262),2))&amp;" ")&amp;F1262)</f>
        <v/>
      </c>
      <c r="N1262" s="54">
        <f>IF(OR(A1262="",F1262=""),"",A1262&amp;"#"&amp;(COUNTIFS($A$5:$A$3004,A1262,$F$5:$F$3004,"?*",$O$5:$O$3004,"&lt;"&amp;O1262)+COUNTIFS($A$5:A1262,A1262,$F$5:F1262,"?*",$O$5:O1262,O1262)))</f>
        <v/>
      </c>
      <c r="O1262" s="54">
        <f>IF(A1262="","",IF(C1262="",0,C1262))</f>
        <v/>
      </c>
    </row>
    <row r="1263">
      <c r="A1263" s="58" t="n"/>
      <c r="B1263" s="49">
        <f>IF(A1263="","",CHOOSE(WEEKDAY(A1263,2),"Пн","Вт","Ср","Чт","Пт","Сб","Вс"))</f>
        <v/>
      </c>
      <c r="C1263" s="59" t="n"/>
      <c r="D1263" s="59" t="n"/>
      <c r="E1263" s="60">
        <f>IF(OR(C1263="",D1263=""),"",MOD(D1263-C1263,1)*24)</f>
        <v/>
      </c>
      <c r="F1263" s="50" t="n"/>
      <c r="G1263" s="51" t="n"/>
      <c r="H1263" s="51" t="n"/>
      <c r="I1263" s="51" t="n"/>
      <c r="J1263" s="51" t="n"/>
      <c r="K1263" s="51" t="n"/>
      <c r="L1263" s="54">
        <f>IF(OR(A1263="",C1263="",D1263=""),"",IF(COUNTIFS($A$5:$A$3004,A1263,$C$5:$C$3004,"&lt;"&amp;D1263,$D$5:$D$3004,"&gt;"&amp;C1263)&gt;1,"⚠️ пересечение",""))</f>
        <v/>
      </c>
      <c r="M1263" s="54">
        <f>IF(F1263="","",IF(J1263="✅ Сделано","✔ ",IF(J1263="❌ Пропущено","✖ ","⏰ "))&amp;IF(C1263="","",RIGHT("0"&amp;HOUR(C1263),2)&amp;":"&amp;RIGHT("0"&amp;MINUTE(C1263),2)&amp;IF(D1263="","","–"&amp;RIGHT("0"&amp;HOUR(D1263),2)&amp;":"&amp;RIGHT("0"&amp;MINUTE(D1263),2))&amp;" ")&amp;F1263)</f>
        <v/>
      </c>
      <c r="N1263" s="54">
        <f>IF(OR(A1263="",F1263=""),"",A1263&amp;"#"&amp;(COUNTIFS($A$5:$A$3004,A1263,$F$5:$F$3004,"?*",$O$5:$O$3004,"&lt;"&amp;O1263)+COUNTIFS($A$5:A1263,A1263,$F$5:F1263,"?*",$O$5:O1263,O1263)))</f>
        <v/>
      </c>
      <c r="O1263" s="54">
        <f>IF(A1263="","",IF(C1263="",0,C1263))</f>
        <v/>
      </c>
    </row>
    <row r="1264">
      <c r="A1264" s="58" t="n"/>
      <c r="B1264" s="49">
        <f>IF(A1264="","",CHOOSE(WEEKDAY(A1264,2),"Пн","Вт","Ср","Чт","Пт","Сб","Вс"))</f>
        <v/>
      </c>
      <c r="C1264" s="59" t="n"/>
      <c r="D1264" s="59" t="n"/>
      <c r="E1264" s="60">
        <f>IF(OR(C1264="",D1264=""),"",MOD(D1264-C1264,1)*24)</f>
        <v/>
      </c>
      <c r="F1264" s="50" t="n"/>
      <c r="G1264" s="51" t="n"/>
      <c r="H1264" s="51" t="n"/>
      <c r="I1264" s="51" t="n"/>
      <c r="J1264" s="51" t="n"/>
      <c r="K1264" s="51" t="n"/>
      <c r="L1264" s="54">
        <f>IF(OR(A1264="",C1264="",D1264=""),"",IF(COUNTIFS($A$5:$A$3004,A1264,$C$5:$C$3004,"&lt;"&amp;D1264,$D$5:$D$3004,"&gt;"&amp;C1264)&gt;1,"⚠️ пересечение",""))</f>
        <v/>
      </c>
      <c r="M1264" s="54">
        <f>IF(F1264="","",IF(J1264="✅ Сделано","✔ ",IF(J1264="❌ Пропущено","✖ ","⏰ "))&amp;IF(C1264="","",RIGHT("0"&amp;HOUR(C1264),2)&amp;":"&amp;RIGHT("0"&amp;MINUTE(C1264),2)&amp;IF(D1264="","","–"&amp;RIGHT("0"&amp;HOUR(D1264),2)&amp;":"&amp;RIGHT("0"&amp;MINUTE(D1264),2))&amp;" ")&amp;F1264)</f>
        <v/>
      </c>
      <c r="N1264" s="54">
        <f>IF(OR(A1264="",F1264=""),"",A1264&amp;"#"&amp;(COUNTIFS($A$5:$A$3004,A1264,$F$5:$F$3004,"?*",$O$5:$O$3004,"&lt;"&amp;O1264)+COUNTIFS($A$5:A1264,A1264,$F$5:F1264,"?*",$O$5:O1264,O1264)))</f>
        <v/>
      </c>
      <c r="O1264" s="54">
        <f>IF(A1264="","",IF(C1264="",0,C1264))</f>
        <v/>
      </c>
    </row>
    <row r="1265">
      <c r="A1265" s="58" t="n"/>
      <c r="B1265" s="49">
        <f>IF(A1265="","",CHOOSE(WEEKDAY(A1265,2),"Пн","Вт","Ср","Чт","Пт","Сб","Вс"))</f>
        <v/>
      </c>
      <c r="C1265" s="59" t="n"/>
      <c r="D1265" s="59" t="n"/>
      <c r="E1265" s="60">
        <f>IF(OR(C1265="",D1265=""),"",MOD(D1265-C1265,1)*24)</f>
        <v/>
      </c>
      <c r="F1265" s="50" t="n"/>
      <c r="G1265" s="51" t="n"/>
      <c r="H1265" s="51" t="n"/>
      <c r="I1265" s="51" t="n"/>
      <c r="J1265" s="51" t="n"/>
      <c r="K1265" s="51" t="n"/>
      <c r="L1265" s="54">
        <f>IF(OR(A1265="",C1265="",D1265=""),"",IF(COUNTIFS($A$5:$A$3004,A1265,$C$5:$C$3004,"&lt;"&amp;D1265,$D$5:$D$3004,"&gt;"&amp;C1265)&gt;1,"⚠️ пересечение",""))</f>
        <v/>
      </c>
      <c r="M1265" s="54">
        <f>IF(F1265="","",IF(J1265="✅ Сделано","✔ ",IF(J1265="❌ Пропущено","✖ ","⏰ "))&amp;IF(C1265="","",RIGHT("0"&amp;HOUR(C1265),2)&amp;":"&amp;RIGHT("0"&amp;MINUTE(C1265),2)&amp;IF(D1265="","","–"&amp;RIGHT("0"&amp;HOUR(D1265),2)&amp;":"&amp;RIGHT("0"&amp;MINUTE(D1265),2))&amp;" ")&amp;F1265)</f>
        <v/>
      </c>
      <c r="N1265" s="54">
        <f>IF(OR(A1265="",F1265=""),"",A1265&amp;"#"&amp;(COUNTIFS($A$5:$A$3004,A1265,$F$5:$F$3004,"?*",$O$5:$O$3004,"&lt;"&amp;O1265)+COUNTIFS($A$5:A1265,A1265,$F$5:F1265,"?*",$O$5:O1265,O1265)))</f>
        <v/>
      </c>
      <c r="O1265" s="54">
        <f>IF(A1265="","",IF(C1265="",0,C1265))</f>
        <v/>
      </c>
    </row>
    <row r="1266">
      <c r="A1266" s="58" t="n"/>
      <c r="B1266" s="49">
        <f>IF(A1266="","",CHOOSE(WEEKDAY(A1266,2),"Пн","Вт","Ср","Чт","Пт","Сб","Вс"))</f>
        <v/>
      </c>
      <c r="C1266" s="59" t="n"/>
      <c r="D1266" s="59" t="n"/>
      <c r="E1266" s="60">
        <f>IF(OR(C1266="",D1266=""),"",MOD(D1266-C1266,1)*24)</f>
        <v/>
      </c>
      <c r="F1266" s="50" t="n"/>
      <c r="G1266" s="51" t="n"/>
      <c r="H1266" s="51" t="n"/>
      <c r="I1266" s="51" t="n"/>
      <c r="J1266" s="51" t="n"/>
      <c r="K1266" s="51" t="n"/>
      <c r="L1266" s="54">
        <f>IF(OR(A1266="",C1266="",D1266=""),"",IF(COUNTIFS($A$5:$A$3004,A1266,$C$5:$C$3004,"&lt;"&amp;D1266,$D$5:$D$3004,"&gt;"&amp;C1266)&gt;1,"⚠️ пересечение",""))</f>
        <v/>
      </c>
      <c r="M1266" s="54">
        <f>IF(F1266="","",IF(J1266="✅ Сделано","✔ ",IF(J1266="❌ Пропущено","✖ ","⏰ "))&amp;IF(C1266="","",RIGHT("0"&amp;HOUR(C1266),2)&amp;":"&amp;RIGHT("0"&amp;MINUTE(C1266),2)&amp;IF(D1266="","","–"&amp;RIGHT("0"&amp;HOUR(D1266),2)&amp;":"&amp;RIGHT("0"&amp;MINUTE(D1266),2))&amp;" ")&amp;F1266)</f>
        <v/>
      </c>
      <c r="N1266" s="54">
        <f>IF(OR(A1266="",F1266=""),"",A1266&amp;"#"&amp;(COUNTIFS($A$5:$A$3004,A1266,$F$5:$F$3004,"?*",$O$5:$O$3004,"&lt;"&amp;O1266)+COUNTIFS($A$5:A1266,A1266,$F$5:F1266,"?*",$O$5:O1266,O1266)))</f>
        <v/>
      </c>
      <c r="O1266" s="54">
        <f>IF(A1266="","",IF(C1266="",0,C1266))</f>
        <v/>
      </c>
    </row>
    <row r="1267">
      <c r="A1267" s="58" t="n"/>
      <c r="B1267" s="49">
        <f>IF(A1267="","",CHOOSE(WEEKDAY(A1267,2),"Пн","Вт","Ср","Чт","Пт","Сб","Вс"))</f>
        <v/>
      </c>
      <c r="C1267" s="59" t="n"/>
      <c r="D1267" s="59" t="n"/>
      <c r="E1267" s="60">
        <f>IF(OR(C1267="",D1267=""),"",MOD(D1267-C1267,1)*24)</f>
        <v/>
      </c>
      <c r="F1267" s="50" t="n"/>
      <c r="G1267" s="51" t="n"/>
      <c r="H1267" s="51" t="n"/>
      <c r="I1267" s="51" t="n"/>
      <c r="J1267" s="51" t="n"/>
      <c r="K1267" s="51" t="n"/>
      <c r="L1267" s="54">
        <f>IF(OR(A1267="",C1267="",D1267=""),"",IF(COUNTIFS($A$5:$A$3004,A1267,$C$5:$C$3004,"&lt;"&amp;D1267,$D$5:$D$3004,"&gt;"&amp;C1267)&gt;1,"⚠️ пересечение",""))</f>
        <v/>
      </c>
      <c r="M1267" s="54">
        <f>IF(F1267="","",IF(J1267="✅ Сделано","✔ ",IF(J1267="❌ Пропущено","✖ ","⏰ "))&amp;IF(C1267="","",RIGHT("0"&amp;HOUR(C1267),2)&amp;":"&amp;RIGHT("0"&amp;MINUTE(C1267),2)&amp;IF(D1267="","","–"&amp;RIGHT("0"&amp;HOUR(D1267),2)&amp;":"&amp;RIGHT("0"&amp;MINUTE(D1267),2))&amp;" ")&amp;F1267)</f>
        <v/>
      </c>
      <c r="N1267" s="54">
        <f>IF(OR(A1267="",F1267=""),"",A1267&amp;"#"&amp;(COUNTIFS($A$5:$A$3004,A1267,$F$5:$F$3004,"?*",$O$5:$O$3004,"&lt;"&amp;O1267)+COUNTIFS($A$5:A1267,A1267,$F$5:F1267,"?*",$O$5:O1267,O1267)))</f>
        <v/>
      </c>
      <c r="O1267" s="54">
        <f>IF(A1267="","",IF(C1267="",0,C1267))</f>
        <v/>
      </c>
    </row>
    <row r="1268">
      <c r="A1268" s="58" t="n"/>
      <c r="B1268" s="49">
        <f>IF(A1268="","",CHOOSE(WEEKDAY(A1268,2),"Пн","Вт","Ср","Чт","Пт","Сб","Вс"))</f>
        <v/>
      </c>
      <c r="C1268" s="59" t="n"/>
      <c r="D1268" s="59" t="n"/>
      <c r="E1268" s="60">
        <f>IF(OR(C1268="",D1268=""),"",MOD(D1268-C1268,1)*24)</f>
        <v/>
      </c>
      <c r="F1268" s="50" t="n"/>
      <c r="G1268" s="51" t="n"/>
      <c r="H1268" s="51" t="n"/>
      <c r="I1268" s="51" t="n"/>
      <c r="J1268" s="51" t="n"/>
      <c r="K1268" s="51" t="n"/>
      <c r="L1268" s="54">
        <f>IF(OR(A1268="",C1268="",D1268=""),"",IF(COUNTIFS($A$5:$A$3004,A1268,$C$5:$C$3004,"&lt;"&amp;D1268,$D$5:$D$3004,"&gt;"&amp;C1268)&gt;1,"⚠️ пересечение",""))</f>
        <v/>
      </c>
      <c r="M1268" s="54">
        <f>IF(F1268="","",IF(J1268="✅ Сделано","✔ ",IF(J1268="❌ Пропущено","✖ ","⏰ "))&amp;IF(C1268="","",RIGHT("0"&amp;HOUR(C1268),2)&amp;":"&amp;RIGHT("0"&amp;MINUTE(C1268),2)&amp;IF(D1268="","","–"&amp;RIGHT("0"&amp;HOUR(D1268),2)&amp;":"&amp;RIGHT("0"&amp;MINUTE(D1268),2))&amp;" ")&amp;F1268)</f>
        <v/>
      </c>
      <c r="N1268" s="54">
        <f>IF(OR(A1268="",F1268=""),"",A1268&amp;"#"&amp;(COUNTIFS($A$5:$A$3004,A1268,$F$5:$F$3004,"?*",$O$5:$O$3004,"&lt;"&amp;O1268)+COUNTIFS($A$5:A1268,A1268,$F$5:F1268,"?*",$O$5:O1268,O1268)))</f>
        <v/>
      </c>
      <c r="O1268" s="54">
        <f>IF(A1268="","",IF(C1268="",0,C1268))</f>
        <v/>
      </c>
    </row>
    <row r="1269">
      <c r="A1269" s="58" t="n"/>
      <c r="B1269" s="49">
        <f>IF(A1269="","",CHOOSE(WEEKDAY(A1269,2),"Пн","Вт","Ср","Чт","Пт","Сб","Вс"))</f>
        <v/>
      </c>
      <c r="C1269" s="59" t="n"/>
      <c r="D1269" s="59" t="n"/>
      <c r="E1269" s="60">
        <f>IF(OR(C1269="",D1269=""),"",MOD(D1269-C1269,1)*24)</f>
        <v/>
      </c>
      <c r="F1269" s="50" t="n"/>
      <c r="G1269" s="51" t="n"/>
      <c r="H1269" s="51" t="n"/>
      <c r="I1269" s="51" t="n"/>
      <c r="J1269" s="51" t="n"/>
      <c r="K1269" s="51" t="n"/>
      <c r="L1269" s="54">
        <f>IF(OR(A1269="",C1269="",D1269=""),"",IF(COUNTIFS($A$5:$A$3004,A1269,$C$5:$C$3004,"&lt;"&amp;D1269,$D$5:$D$3004,"&gt;"&amp;C1269)&gt;1,"⚠️ пересечение",""))</f>
        <v/>
      </c>
      <c r="M1269" s="54">
        <f>IF(F1269="","",IF(J1269="✅ Сделано","✔ ",IF(J1269="❌ Пропущено","✖ ","⏰ "))&amp;IF(C1269="","",RIGHT("0"&amp;HOUR(C1269),2)&amp;":"&amp;RIGHT("0"&amp;MINUTE(C1269),2)&amp;IF(D1269="","","–"&amp;RIGHT("0"&amp;HOUR(D1269),2)&amp;":"&amp;RIGHT("0"&amp;MINUTE(D1269),2))&amp;" ")&amp;F1269)</f>
        <v/>
      </c>
      <c r="N1269" s="54">
        <f>IF(OR(A1269="",F1269=""),"",A1269&amp;"#"&amp;(COUNTIFS($A$5:$A$3004,A1269,$F$5:$F$3004,"?*",$O$5:$O$3004,"&lt;"&amp;O1269)+COUNTIFS($A$5:A1269,A1269,$F$5:F1269,"?*",$O$5:O1269,O1269)))</f>
        <v/>
      </c>
      <c r="O1269" s="54">
        <f>IF(A1269="","",IF(C1269="",0,C1269))</f>
        <v/>
      </c>
    </row>
    <row r="1270">
      <c r="A1270" s="58" t="n"/>
      <c r="B1270" s="49">
        <f>IF(A1270="","",CHOOSE(WEEKDAY(A1270,2),"Пн","Вт","Ср","Чт","Пт","Сб","Вс"))</f>
        <v/>
      </c>
      <c r="C1270" s="59" t="n"/>
      <c r="D1270" s="59" t="n"/>
      <c r="E1270" s="60">
        <f>IF(OR(C1270="",D1270=""),"",MOD(D1270-C1270,1)*24)</f>
        <v/>
      </c>
      <c r="F1270" s="50" t="n"/>
      <c r="G1270" s="51" t="n"/>
      <c r="H1270" s="51" t="n"/>
      <c r="I1270" s="51" t="n"/>
      <c r="J1270" s="51" t="n"/>
      <c r="K1270" s="51" t="n"/>
      <c r="L1270" s="54">
        <f>IF(OR(A1270="",C1270="",D1270=""),"",IF(COUNTIFS($A$5:$A$3004,A1270,$C$5:$C$3004,"&lt;"&amp;D1270,$D$5:$D$3004,"&gt;"&amp;C1270)&gt;1,"⚠️ пересечение",""))</f>
        <v/>
      </c>
      <c r="M1270" s="54">
        <f>IF(F1270="","",IF(J1270="✅ Сделано","✔ ",IF(J1270="❌ Пропущено","✖ ","⏰ "))&amp;IF(C1270="","",RIGHT("0"&amp;HOUR(C1270),2)&amp;":"&amp;RIGHT("0"&amp;MINUTE(C1270),2)&amp;IF(D1270="","","–"&amp;RIGHT("0"&amp;HOUR(D1270),2)&amp;":"&amp;RIGHT("0"&amp;MINUTE(D1270),2))&amp;" ")&amp;F1270)</f>
        <v/>
      </c>
      <c r="N1270" s="54">
        <f>IF(OR(A1270="",F1270=""),"",A1270&amp;"#"&amp;(COUNTIFS($A$5:$A$3004,A1270,$F$5:$F$3004,"?*",$O$5:$O$3004,"&lt;"&amp;O1270)+COUNTIFS($A$5:A1270,A1270,$F$5:F1270,"?*",$O$5:O1270,O1270)))</f>
        <v/>
      </c>
      <c r="O1270" s="54">
        <f>IF(A1270="","",IF(C1270="",0,C1270))</f>
        <v/>
      </c>
    </row>
    <row r="1271">
      <c r="A1271" s="58" t="n"/>
      <c r="B1271" s="49">
        <f>IF(A1271="","",CHOOSE(WEEKDAY(A1271,2),"Пн","Вт","Ср","Чт","Пт","Сб","Вс"))</f>
        <v/>
      </c>
      <c r="C1271" s="59" t="n"/>
      <c r="D1271" s="59" t="n"/>
      <c r="E1271" s="60">
        <f>IF(OR(C1271="",D1271=""),"",MOD(D1271-C1271,1)*24)</f>
        <v/>
      </c>
      <c r="F1271" s="50" t="n"/>
      <c r="G1271" s="51" t="n"/>
      <c r="H1271" s="51" t="n"/>
      <c r="I1271" s="51" t="n"/>
      <c r="J1271" s="51" t="n"/>
      <c r="K1271" s="51" t="n"/>
      <c r="L1271" s="54">
        <f>IF(OR(A1271="",C1271="",D1271=""),"",IF(COUNTIFS($A$5:$A$3004,A1271,$C$5:$C$3004,"&lt;"&amp;D1271,$D$5:$D$3004,"&gt;"&amp;C1271)&gt;1,"⚠️ пересечение",""))</f>
        <v/>
      </c>
      <c r="M1271" s="54">
        <f>IF(F1271="","",IF(J1271="✅ Сделано","✔ ",IF(J1271="❌ Пропущено","✖ ","⏰ "))&amp;IF(C1271="","",RIGHT("0"&amp;HOUR(C1271),2)&amp;":"&amp;RIGHT("0"&amp;MINUTE(C1271),2)&amp;IF(D1271="","","–"&amp;RIGHT("0"&amp;HOUR(D1271),2)&amp;":"&amp;RIGHT("0"&amp;MINUTE(D1271),2))&amp;" ")&amp;F1271)</f>
        <v/>
      </c>
      <c r="N1271" s="54">
        <f>IF(OR(A1271="",F1271=""),"",A1271&amp;"#"&amp;(COUNTIFS($A$5:$A$3004,A1271,$F$5:$F$3004,"?*",$O$5:$O$3004,"&lt;"&amp;O1271)+COUNTIFS($A$5:A1271,A1271,$F$5:F1271,"?*",$O$5:O1271,O1271)))</f>
        <v/>
      </c>
      <c r="O1271" s="54">
        <f>IF(A1271="","",IF(C1271="",0,C1271))</f>
        <v/>
      </c>
    </row>
    <row r="1272">
      <c r="A1272" s="58" t="n"/>
      <c r="B1272" s="49">
        <f>IF(A1272="","",CHOOSE(WEEKDAY(A1272,2),"Пн","Вт","Ср","Чт","Пт","Сб","Вс"))</f>
        <v/>
      </c>
      <c r="C1272" s="59" t="n"/>
      <c r="D1272" s="59" t="n"/>
      <c r="E1272" s="60">
        <f>IF(OR(C1272="",D1272=""),"",MOD(D1272-C1272,1)*24)</f>
        <v/>
      </c>
      <c r="F1272" s="50" t="n"/>
      <c r="G1272" s="51" t="n"/>
      <c r="H1272" s="51" t="n"/>
      <c r="I1272" s="51" t="n"/>
      <c r="J1272" s="51" t="n"/>
      <c r="K1272" s="51" t="n"/>
      <c r="L1272" s="54">
        <f>IF(OR(A1272="",C1272="",D1272=""),"",IF(COUNTIFS($A$5:$A$3004,A1272,$C$5:$C$3004,"&lt;"&amp;D1272,$D$5:$D$3004,"&gt;"&amp;C1272)&gt;1,"⚠️ пересечение",""))</f>
        <v/>
      </c>
      <c r="M1272" s="54">
        <f>IF(F1272="","",IF(J1272="✅ Сделано","✔ ",IF(J1272="❌ Пропущено","✖ ","⏰ "))&amp;IF(C1272="","",RIGHT("0"&amp;HOUR(C1272),2)&amp;":"&amp;RIGHT("0"&amp;MINUTE(C1272),2)&amp;IF(D1272="","","–"&amp;RIGHT("0"&amp;HOUR(D1272),2)&amp;":"&amp;RIGHT("0"&amp;MINUTE(D1272),2))&amp;" ")&amp;F1272)</f>
        <v/>
      </c>
      <c r="N1272" s="54">
        <f>IF(OR(A1272="",F1272=""),"",A1272&amp;"#"&amp;(COUNTIFS($A$5:$A$3004,A1272,$F$5:$F$3004,"?*",$O$5:$O$3004,"&lt;"&amp;O1272)+COUNTIFS($A$5:A1272,A1272,$F$5:F1272,"?*",$O$5:O1272,O1272)))</f>
        <v/>
      </c>
      <c r="O1272" s="54">
        <f>IF(A1272="","",IF(C1272="",0,C1272))</f>
        <v/>
      </c>
    </row>
    <row r="1273">
      <c r="A1273" s="58" t="n"/>
      <c r="B1273" s="49">
        <f>IF(A1273="","",CHOOSE(WEEKDAY(A1273,2),"Пн","Вт","Ср","Чт","Пт","Сб","Вс"))</f>
        <v/>
      </c>
      <c r="C1273" s="59" t="n"/>
      <c r="D1273" s="59" t="n"/>
      <c r="E1273" s="60">
        <f>IF(OR(C1273="",D1273=""),"",MOD(D1273-C1273,1)*24)</f>
        <v/>
      </c>
      <c r="F1273" s="50" t="n"/>
      <c r="G1273" s="51" t="n"/>
      <c r="H1273" s="51" t="n"/>
      <c r="I1273" s="51" t="n"/>
      <c r="J1273" s="51" t="n"/>
      <c r="K1273" s="51" t="n"/>
      <c r="L1273" s="54">
        <f>IF(OR(A1273="",C1273="",D1273=""),"",IF(COUNTIFS($A$5:$A$3004,A1273,$C$5:$C$3004,"&lt;"&amp;D1273,$D$5:$D$3004,"&gt;"&amp;C1273)&gt;1,"⚠️ пересечение",""))</f>
        <v/>
      </c>
      <c r="M1273" s="54">
        <f>IF(F1273="","",IF(J1273="✅ Сделано","✔ ",IF(J1273="❌ Пропущено","✖ ","⏰ "))&amp;IF(C1273="","",RIGHT("0"&amp;HOUR(C1273),2)&amp;":"&amp;RIGHT("0"&amp;MINUTE(C1273),2)&amp;IF(D1273="","","–"&amp;RIGHT("0"&amp;HOUR(D1273),2)&amp;":"&amp;RIGHT("0"&amp;MINUTE(D1273),2))&amp;" ")&amp;F1273)</f>
        <v/>
      </c>
      <c r="N1273" s="54">
        <f>IF(OR(A1273="",F1273=""),"",A1273&amp;"#"&amp;(COUNTIFS($A$5:$A$3004,A1273,$F$5:$F$3004,"?*",$O$5:$O$3004,"&lt;"&amp;O1273)+COUNTIFS($A$5:A1273,A1273,$F$5:F1273,"?*",$O$5:O1273,O1273)))</f>
        <v/>
      </c>
      <c r="O1273" s="54">
        <f>IF(A1273="","",IF(C1273="",0,C1273))</f>
        <v/>
      </c>
    </row>
    <row r="1274">
      <c r="A1274" s="58" t="n"/>
      <c r="B1274" s="49">
        <f>IF(A1274="","",CHOOSE(WEEKDAY(A1274,2),"Пн","Вт","Ср","Чт","Пт","Сб","Вс"))</f>
        <v/>
      </c>
      <c r="C1274" s="59" t="n"/>
      <c r="D1274" s="59" t="n"/>
      <c r="E1274" s="60">
        <f>IF(OR(C1274="",D1274=""),"",MOD(D1274-C1274,1)*24)</f>
        <v/>
      </c>
      <c r="F1274" s="50" t="n"/>
      <c r="G1274" s="51" t="n"/>
      <c r="H1274" s="51" t="n"/>
      <c r="I1274" s="51" t="n"/>
      <c r="J1274" s="51" t="n"/>
      <c r="K1274" s="51" t="n"/>
      <c r="L1274" s="54">
        <f>IF(OR(A1274="",C1274="",D1274=""),"",IF(COUNTIFS($A$5:$A$3004,A1274,$C$5:$C$3004,"&lt;"&amp;D1274,$D$5:$D$3004,"&gt;"&amp;C1274)&gt;1,"⚠️ пересечение",""))</f>
        <v/>
      </c>
      <c r="M1274" s="54">
        <f>IF(F1274="","",IF(J1274="✅ Сделано","✔ ",IF(J1274="❌ Пропущено","✖ ","⏰ "))&amp;IF(C1274="","",RIGHT("0"&amp;HOUR(C1274),2)&amp;":"&amp;RIGHT("0"&amp;MINUTE(C1274),2)&amp;IF(D1274="","","–"&amp;RIGHT("0"&amp;HOUR(D1274),2)&amp;":"&amp;RIGHT("0"&amp;MINUTE(D1274),2))&amp;" ")&amp;F1274)</f>
        <v/>
      </c>
      <c r="N1274" s="54">
        <f>IF(OR(A1274="",F1274=""),"",A1274&amp;"#"&amp;(COUNTIFS($A$5:$A$3004,A1274,$F$5:$F$3004,"?*",$O$5:$O$3004,"&lt;"&amp;O1274)+COUNTIFS($A$5:A1274,A1274,$F$5:F1274,"?*",$O$5:O1274,O1274)))</f>
        <v/>
      </c>
      <c r="O1274" s="54">
        <f>IF(A1274="","",IF(C1274="",0,C1274))</f>
        <v/>
      </c>
    </row>
    <row r="1275">
      <c r="A1275" s="58" t="n"/>
      <c r="B1275" s="49">
        <f>IF(A1275="","",CHOOSE(WEEKDAY(A1275,2),"Пн","Вт","Ср","Чт","Пт","Сб","Вс"))</f>
        <v/>
      </c>
      <c r="C1275" s="59" t="n"/>
      <c r="D1275" s="59" t="n"/>
      <c r="E1275" s="60">
        <f>IF(OR(C1275="",D1275=""),"",MOD(D1275-C1275,1)*24)</f>
        <v/>
      </c>
      <c r="F1275" s="50" t="n"/>
      <c r="G1275" s="51" t="n"/>
      <c r="H1275" s="51" t="n"/>
      <c r="I1275" s="51" t="n"/>
      <c r="J1275" s="51" t="n"/>
      <c r="K1275" s="51" t="n"/>
      <c r="L1275" s="54">
        <f>IF(OR(A1275="",C1275="",D1275=""),"",IF(COUNTIFS($A$5:$A$3004,A1275,$C$5:$C$3004,"&lt;"&amp;D1275,$D$5:$D$3004,"&gt;"&amp;C1275)&gt;1,"⚠️ пересечение",""))</f>
        <v/>
      </c>
      <c r="M1275" s="54">
        <f>IF(F1275="","",IF(J1275="✅ Сделано","✔ ",IF(J1275="❌ Пропущено","✖ ","⏰ "))&amp;IF(C1275="","",RIGHT("0"&amp;HOUR(C1275),2)&amp;":"&amp;RIGHT("0"&amp;MINUTE(C1275),2)&amp;IF(D1275="","","–"&amp;RIGHT("0"&amp;HOUR(D1275),2)&amp;":"&amp;RIGHT("0"&amp;MINUTE(D1275),2))&amp;" ")&amp;F1275)</f>
        <v/>
      </c>
      <c r="N1275" s="54">
        <f>IF(OR(A1275="",F1275=""),"",A1275&amp;"#"&amp;(COUNTIFS($A$5:$A$3004,A1275,$F$5:$F$3004,"?*",$O$5:$O$3004,"&lt;"&amp;O1275)+COUNTIFS($A$5:A1275,A1275,$F$5:F1275,"?*",$O$5:O1275,O1275)))</f>
        <v/>
      </c>
      <c r="O1275" s="54">
        <f>IF(A1275="","",IF(C1275="",0,C1275))</f>
        <v/>
      </c>
    </row>
    <row r="1276">
      <c r="A1276" s="58" t="n"/>
      <c r="B1276" s="49">
        <f>IF(A1276="","",CHOOSE(WEEKDAY(A1276,2),"Пн","Вт","Ср","Чт","Пт","Сб","Вс"))</f>
        <v/>
      </c>
      <c r="C1276" s="59" t="n"/>
      <c r="D1276" s="59" t="n"/>
      <c r="E1276" s="60">
        <f>IF(OR(C1276="",D1276=""),"",MOD(D1276-C1276,1)*24)</f>
        <v/>
      </c>
      <c r="F1276" s="50" t="n"/>
      <c r="G1276" s="51" t="n"/>
      <c r="H1276" s="51" t="n"/>
      <c r="I1276" s="51" t="n"/>
      <c r="J1276" s="51" t="n"/>
      <c r="K1276" s="51" t="n"/>
      <c r="L1276" s="54">
        <f>IF(OR(A1276="",C1276="",D1276=""),"",IF(COUNTIFS($A$5:$A$3004,A1276,$C$5:$C$3004,"&lt;"&amp;D1276,$D$5:$D$3004,"&gt;"&amp;C1276)&gt;1,"⚠️ пересечение",""))</f>
        <v/>
      </c>
      <c r="M1276" s="54">
        <f>IF(F1276="","",IF(J1276="✅ Сделано","✔ ",IF(J1276="❌ Пропущено","✖ ","⏰ "))&amp;IF(C1276="","",RIGHT("0"&amp;HOUR(C1276),2)&amp;":"&amp;RIGHT("0"&amp;MINUTE(C1276),2)&amp;IF(D1276="","","–"&amp;RIGHT("0"&amp;HOUR(D1276),2)&amp;":"&amp;RIGHT("0"&amp;MINUTE(D1276),2))&amp;" ")&amp;F1276)</f>
        <v/>
      </c>
      <c r="N1276" s="54">
        <f>IF(OR(A1276="",F1276=""),"",A1276&amp;"#"&amp;(COUNTIFS($A$5:$A$3004,A1276,$F$5:$F$3004,"?*",$O$5:$O$3004,"&lt;"&amp;O1276)+COUNTIFS($A$5:A1276,A1276,$F$5:F1276,"?*",$O$5:O1276,O1276)))</f>
        <v/>
      </c>
      <c r="O1276" s="54">
        <f>IF(A1276="","",IF(C1276="",0,C1276))</f>
        <v/>
      </c>
    </row>
    <row r="1277">
      <c r="A1277" s="58" t="n"/>
      <c r="B1277" s="49">
        <f>IF(A1277="","",CHOOSE(WEEKDAY(A1277,2),"Пн","Вт","Ср","Чт","Пт","Сб","Вс"))</f>
        <v/>
      </c>
      <c r="C1277" s="59" t="n"/>
      <c r="D1277" s="59" t="n"/>
      <c r="E1277" s="60">
        <f>IF(OR(C1277="",D1277=""),"",MOD(D1277-C1277,1)*24)</f>
        <v/>
      </c>
      <c r="F1277" s="50" t="n"/>
      <c r="G1277" s="51" t="n"/>
      <c r="H1277" s="51" t="n"/>
      <c r="I1277" s="51" t="n"/>
      <c r="J1277" s="51" t="n"/>
      <c r="K1277" s="51" t="n"/>
      <c r="L1277" s="54">
        <f>IF(OR(A1277="",C1277="",D1277=""),"",IF(COUNTIFS($A$5:$A$3004,A1277,$C$5:$C$3004,"&lt;"&amp;D1277,$D$5:$D$3004,"&gt;"&amp;C1277)&gt;1,"⚠️ пересечение",""))</f>
        <v/>
      </c>
      <c r="M1277" s="54">
        <f>IF(F1277="","",IF(J1277="✅ Сделано","✔ ",IF(J1277="❌ Пропущено","✖ ","⏰ "))&amp;IF(C1277="","",RIGHT("0"&amp;HOUR(C1277),2)&amp;":"&amp;RIGHT("0"&amp;MINUTE(C1277),2)&amp;IF(D1277="","","–"&amp;RIGHT("0"&amp;HOUR(D1277),2)&amp;":"&amp;RIGHT("0"&amp;MINUTE(D1277),2))&amp;" ")&amp;F1277)</f>
        <v/>
      </c>
      <c r="N1277" s="54">
        <f>IF(OR(A1277="",F1277=""),"",A1277&amp;"#"&amp;(COUNTIFS($A$5:$A$3004,A1277,$F$5:$F$3004,"?*",$O$5:$O$3004,"&lt;"&amp;O1277)+COUNTIFS($A$5:A1277,A1277,$F$5:F1277,"?*",$O$5:O1277,O1277)))</f>
        <v/>
      </c>
      <c r="O1277" s="54">
        <f>IF(A1277="","",IF(C1277="",0,C1277))</f>
        <v/>
      </c>
    </row>
    <row r="1278">
      <c r="A1278" s="58" t="n"/>
      <c r="B1278" s="49">
        <f>IF(A1278="","",CHOOSE(WEEKDAY(A1278,2),"Пн","Вт","Ср","Чт","Пт","Сб","Вс"))</f>
        <v/>
      </c>
      <c r="C1278" s="59" t="n"/>
      <c r="D1278" s="59" t="n"/>
      <c r="E1278" s="60">
        <f>IF(OR(C1278="",D1278=""),"",MOD(D1278-C1278,1)*24)</f>
        <v/>
      </c>
      <c r="F1278" s="50" t="n"/>
      <c r="G1278" s="51" t="n"/>
      <c r="H1278" s="51" t="n"/>
      <c r="I1278" s="51" t="n"/>
      <c r="J1278" s="51" t="n"/>
      <c r="K1278" s="51" t="n"/>
      <c r="L1278" s="54">
        <f>IF(OR(A1278="",C1278="",D1278=""),"",IF(COUNTIFS($A$5:$A$3004,A1278,$C$5:$C$3004,"&lt;"&amp;D1278,$D$5:$D$3004,"&gt;"&amp;C1278)&gt;1,"⚠️ пересечение",""))</f>
        <v/>
      </c>
      <c r="M1278" s="54">
        <f>IF(F1278="","",IF(J1278="✅ Сделано","✔ ",IF(J1278="❌ Пропущено","✖ ","⏰ "))&amp;IF(C1278="","",RIGHT("0"&amp;HOUR(C1278),2)&amp;":"&amp;RIGHT("0"&amp;MINUTE(C1278),2)&amp;IF(D1278="","","–"&amp;RIGHT("0"&amp;HOUR(D1278),2)&amp;":"&amp;RIGHT("0"&amp;MINUTE(D1278),2))&amp;" ")&amp;F1278)</f>
        <v/>
      </c>
      <c r="N1278" s="54">
        <f>IF(OR(A1278="",F1278=""),"",A1278&amp;"#"&amp;(COUNTIFS($A$5:$A$3004,A1278,$F$5:$F$3004,"?*",$O$5:$O$3004,"&lt;"&amp;O1278)+COUNTIFS($A$5:A1278,A1278,$F$5:F1278,"?*",$O$5:O1278,O1278)))</f>
        <v/>
      </c>
      <c r="O1278" s="54">
        <f>IF(A1278="","",IF(C1278="",0,C1278))</f>
        <v/>
      </c>
    </row>
    <row r="1279">
      <c r="A1279" s="58" t="n"/>
      <c r="B1279" s="49">
        <f>IF(A1279="","",CHOOSE(WEEKDAY(A1279,2),"Пн","Вт","Ср","Чт","Пт","Сб","Вс"))</f>
        <v/>
      </c>
      <c r="C1279" s="59" t="n"/>
      <c r="D1279" s="59" t="n"/>
      <c r="E1279" s="60">
        <f>IF(OR(C1279="",D1279=""),"",MOD(D1279-C1279,1)*24)</f>
        <v/>
      </c>
      <c r="F1279" s="50" t="n"/>
      <c r="G1279" s="51" t="n"/>
      <c r="H1279" s="51" t="n"/>
      <c r="I1279" s="51" t="n"/>
      <c r="J1279" s="51" t="n"/>
      <c r="K1279" s="51" t="n"/>
      <c r="L1279" s="54">
        <f>IF(OR(A1279="",C1279="",D1279=""),"",IF(COUNTIFS($A$5:$A$3004,A1279,$C$5:$C$3004,"&lt;"&amp;D1279,$D$5:$D$3004,"&gt;"&amp;C1279)&gt;1,"⚠️ пересечение",""))</f>
        <v/>
      </c>
      <c r="M1279" s="54">
        <f>IF(F1279="","",IF(J1279="✅ Сделано","✔ ",IF(J1279="❌ Пропущено","✖ ","⏰ "))&amp;IF(C1279="","",RIGHT("0"&amp;HOUR(C1279),2)&amp;":"&amp;RIGHT("0"&amp;MINUTE(C1279),2)&amp;IF(D1279="","","–"&amp;RIGHT("0"&amp;HOUR(D1279),2)&amp;":"&amp;RIGHT("0"&amp;MINUTE(D1279),2))&amp;" ")&amp;F1279)</f>
        <v/>
      </c>
      <c r="N1279" s="54">
        <f>IF(OR(A1279="",F1279=""),"",A1279&amp;"#"&amp;(COUNTIFS($A$5:$A$3004,A1279,$F$5:$F$3004,"?*",$O$5:$O$3004,"&lt;"&amp;O1279)+COUNTIFS($A$5:A1279,A1279,$F$5:F1279,"?*",$O$5:O1279,O1279)))</f>
        <v/>
      </c>
      <c r="O1279" s="54">
        <f>IF(A1279="","",IF(C1279="",0,C1279))</f>
        <v/>
      </c>
    </row>
    <row r="1280">
      <c r="A1280" s="58" t="n"/>
      <c r="B1280" s="49">
        <f>IF(A1280="","",CHOOSE(WEEKDAY(A1280,2),"Пн","Вт","Ср","Чт","Пт","Сб","Вс"))</f>
        <v/>
      </c>
      <c r="C1280" s="59" t="n"/>
      <c r="D1280" s="59" t="n"/>
      <c r="E1280" s="60">
        <f>IF(OR(C1280="",D1280=""),"",MOD(D1280-C1280,1)*24)</f>
        <v/>
      </c>
      <c r="F1280" s="50" t="n"/>
      <c r="G1280" s="51" t="n"/>
      <c r="H1280" s="51" t="n"/>
      <c r="I1280" s="51" t="n"/>
      <c r="J1280" s="51" t="n"/>
      <c r="K1280" s="51" t="n"/>
      <c r="L1280" s="54">
        <f>IF(OR(A1280="",C1280="",D1280=""),"",IF(COUNTIFS($A$5:$A$3004,A1280,$C$5:$C$3004,"&lt;"&amp;D1280,$D$5:$D$3004,"&gt;"&amp;C1280)&gt;1,"⚠️ пересечение",""))</f>
        <v/>
      </c>
      <c r="M1280" s="54">
        <f>IF(F1280="","",IF(J1280="✅ Сделано","✔ ",IF(J1280="❌ Пропущено","✖ ","⏰ "))&amp;IF(C1280="","",RIGHT("0"&amp;HOUR(C1280),2)&amp;":"&amp;RIGHT("0"&amp;MINUTE(C1280),2)&amp;IF(D1280="","","–"&amp;RIGHT("0"&amp;HOUR(D1280),2)&amp;":"&amp;RIGHT("0"&amp;MINUTE(D1280),2))&amp;" ")&amp;F1280)</f>
        <v/>
      </c>
      <c r="N1280" s="54">
        <f>IF(OR(A1280="",F1280=""),"",A1280&amp;"#"&amp;(COUNTIFS($A$5:$A$3004,A1280,$F$5:$F$3004,"?*",$O$5:$O$3004,"&lt;"&amp;O1280)+COUNTIFS($A$5:A1280,A1280,$F$5:F1280,"?*",$O$5:O1280,O1280)))</f>
        <v/>
      </c>
      <c r="O1280" s="54">
        <f>IF(A1280="","",IF(C1280="",0,C1280))</f>
        <v/>
      </c>
    </row>
    <row r="1281">
      <c r="A1281" s="58" t="n"/>
      <c r="B1281" s="49">
        <f>IF(A1281="","",CHOOSE(WEEKDAY(A1281,2),"Пн","Вт","Ср","Чт","Пт","Сб","Вс"))</f>
        <v/>
      </c>
      <c r="C1281" s="59" t="n"/>
      <c r="D1281" s="59" t="n"/>
      <c r="E1281" s="60">
        <f>IF(OR(C1281="",D1281=""),"",MOD(D1281-C1281,1)*24)</f>
        <v/>
      </c>
      <c r="F1281" s="50" t="n"/>
      <c r="G1281" s="51" t="n"/>
      <c r="H1281" s="51" t="n"/>
      <c r="I1281" s="51" t="n"/>
      <c r="J1281" s="51" t="n"/>
      <c r="K1281" s="51" t="n"/>
      <c r="L1281" s="54">
        <f>IF(OR(A1281="",C1281="",D1281=""),"",IF(COUNTIFS($A$5:$A$3004,A1281,$C$5:$C$3004,"&lt;"&amp;D1281,$D$5:$D$3004,"&gt;"&amp;C1281)&gt;1,"⚠️ пересечение",""))</f>
        <v/>
      </c>
      <c r="M1281" s="54">
        <f>IF(F1281="","",IF(J1281="✅ Сделано","✔ ",IF(J1281="❌ Пропущено","✖ ","⏰ "))&amp;IF(C1281="","",RIGHT("0"&amp;HOUR(C1281),2)&amp;":"&amp;RIGHT("0"&amp;MINUTE(C1281),2)&amp;IF(D1281="","","–"&amp;RIGHT("0"&amp;HOUR(D1281),2)&amp;":"&amp;RIGHT("0"&amp;MINUTE(D1281),2))&amp;" ")&amp;F1281)</f>
        <v/>
      </c>
      <c r="N1281" s="54">
        <f>IF(OR(A1281="",F1281=""),"",A1281&amp;"#"&amp;(COUNTIFS($A$5:$A$3004,A1281,$F$5:$F$3004,"?*",$O$5:$O$3004,"&lt;"&amp;O1281)+COUNTIFS($A$5:A1281,A1281,$F$5:F1281,"?*",$O$5:O1281,O1281)))</f>
        <v/>
      </c>
      <c r="O1281" s="54">
        <f>IF(A1281="","",IF(C1281="",0,C1281))</f>
        <v/>
      </c>
    </row>
    <row r="1282">
      <c r="A1282" s="58" t="n"/>
      <c r="B1282" s="49">
        <f>IF(A1282="","",CHOOSE(WEEKDAY(A1282,2),"Пн","Вт","Ср","Чт","Пт","Сб","Вс"))</f>
        <v/>
      </c>
      <c r="C1282" s="59" t="n"/>
      <c r="D1282" s="59" t="n"/>
      <c r="E1282" s="60">
        <f>IF(OR(C1282="",D1282=""),"",MOD(D1282-C1282,1)*24)</f>
        <v/>
      </c>
      <c r="F1282" s="50" t="n"/>
      <c r="G1282" s="51" t="n"/>
      <c r="H1282" s="51" t="n"/>
      <c r="I1282" s="51" t="n"/>
      <c r="J1282" s="51" t="n"/>
      <c r="K1282" s="51" t="n"/>
      <c r="L1282" s="54">
        <f>IF(OR(A1282="",C1282="",D1282=""),"",IF(COUNTIFS($A$5:$A$3004,A1282,$C$5:$C$3004,"&lt;"&amp;D1282,$D$5:$D$3004,"&gt;"&amp;C1282)&gt;1,"⚠️ пересечение",""))</f>
        <v/>
      </c>
      <c r="M1282" s="54">
        <f>IF(F1282="","",IF(J1282="✅ Сделано","✔ ",IF(J1282="❌ Пропущено","✖ ","⏰ "))&amp;IF(C1282="","",RIGHT("0"&amp;HOUR(C1282),2)&amp;":"&amp;RIGHT("0"&amp;MINUTE(C1282),2)&amp;IF(D1282="","","–"&amp;RIGHT("0"&amp;HOUR(D1282),2)&amp;":"&amp;RIGHT("0"&amp;MINUTE(D1282),2))&amp;" ")&amp;F1282)</f>
        <v/>
      </c>
      <c r="N1282" s="54">
        <f>IF(OR(A1282="",F1282=""),"",A1282&amp;"#"&amp;(COUNTIFS($A$5:$A$3004,A1282,$F$5:$F$3004,"?*",$O$5:$O$3004,"&lt;"&amp;O1282)+COUNTIFS($A$5:A1282,A1282,$F$5:F1282,"?*",$O$5:O1282,O1282)))</f>
        <v/>
      </c>
      <c r="O1282" s="54">
        <f>IF(A1282="","",IF(C1282="",0,C1282))</f>
        <v/>
      </c>
    </row>
    <row r="1283">
      <c r="A1283" s="58" t="n"/>
      <c r="B1283" s="49">
        <f>IF(A1283="","",CHOOSE(WEEKDAY(A1283,2),"Пн","Вт","Ср","Чт","Пт","Сб","Вс"))</f>
        <v/>
      </c>
      <c r="C1283" s="59" t="n"/>
      <c r="D1283" s="59" t="n"/>
      <c r="E1283" s="60">
        <f>IF(OR(C1283="",D1283=""),"",MOD(D1283-C1283,1)*24)</f>
        <v/>
      </c>
      <c r="F1283" s="50" t="n"/>
      <c r="G1283" s="51" t="n"/>
      <c r="H1283" s="51" t="n"/>
      <c r="I1283" s="51" t="n"/>
      <c r="J1283" s="51" t="n"/>
      <c r="K1283" s="51" t="n"/>
      <c r="L1283" s="54">
        <f>IF(OR(A1283="",C1283="",D1283=""),"",IF(COUNTIFS($A$5:$A$3004,A1283,$C$5:$C$3004,"&lt;"&amp;D1283,$D$5:$D$3004,"&gt;"&amp;C1283)&gt;1,"⚠️ пересечение",""))</f>
        <v/>
      </c>
      <c r="M1283" s="54">
        <f>IF(F1283="","",IF(J1283="✅ Сделано","✔ ",IF(J1283="❌ Пропущено","✖ ","⏰ "))&amp;IF(C1283="","",RIGHT("0"&amp;HOUR(C1283),2)&amp;":"&amp;RIGHT("0"&amp;MINUTE(C1283),2)&amp;IF(D1283="","","–"&amp;RIGHT("0"&amp;HOUR(D1283),2)&amp;":"&amp;RIGHT("0"&amp;MINUTE(D1283),2))&amp;" ")&amp;F1283)</f>
        <v/>
      </c>
      <c r="N1283" s="54">
        <f>IF(OR(A1283="",F1283=""),"",A1283&amp;"#"&amp;(COUNTIFS($A$5:$A$3004,A1283,$F$5:$F$3004,"?*",$O$5:$O$3004,"&lt;"&amp;O1283)+COUNTIFS($A$5:A1283,A1283,$F$5:F1283,"?*",$O$5:O1283,O1283)))</f>
        <v/>
      </c>
      <c r="O1283" s="54">
        <f>IF(A1283="","",IF(C1283="",0,C1283))</f>
        <v/>
      </c>
    </row>
    <row r="1284">
      <c r="A1284" s="58" t="n"/>
      <c r="B1284" s="49">
        <f>IF(A1284="","",CHOOSE(WEEKDAY(A1284,2),"Пн","Вт","Ср","Чт","Пт","Сб","Вс"))</f>
        <v/>
      </c>
      <c r="C1284" s="59" t="n"/>
      <c r="D1284" s="59" t="n"/>
      <c r="E1284" s="60">
        <f>IF(OR(C1284="",D1284=""),"",MOD(D1284-C1284,1)*24)</f>
        <v/>
      </c>
      <c r="F1284" s="50" t="n"/>
      <c r="G1284" s="51" t="n"/>
      <c r="H1284" s="51" t="n"/>
      <c r="I1284" s="51" t="n"/>
      <c r="J1284" s="51" t="n"/>
      <c r="K1284" s="51" t="n"/>
      <c r="L1284" s="54">
        <f>IF(OR(A1284="",C1284="",D1284=""),"",IF(COUNTIFS($A$5:$A$3004,A1284,$C$5:$C$3004,"&lt;"&amp;D1284,$D$5:$D$3004,"&gt;"&amp;C1284)&gt;1,"⚠️ пересечение",""))</f>
        <v/>
      </c>
      <c r="M1284" s="54">
        <f>IF(F1284="","",IF(J1284="✅ Сделано","✔ ",IF(J1284="❌ Пропущено","✖ ","⏰ "))&amp;IF(C1284="","",RIGHT("0"&amp;HOUR(C1284),2)&amp;":"&amp;RIGHT("0"&amp;MINUTE(C1284),2)&amp;IF(D1284="","","–"&amp;RIGHT("0"&amp;HOUR(D1284),2)&amp;":"&amp;RIGHT("0"&amp;MINUTE(D1284),2))&amp;" ")&amp;F1284)</f>
        <v/>
      </c>
      <c r="N1284" s="54">
        <f>IF(OR(A1284="",F1284=""),"",A1284&amp;"#"&amp;(COUNTIFS($A$5:$A$3004,A1284,$F$5:$F$3004,"?*",$O$5:$O$3004,"&lt;"&amp;O1284)+COUNTIFS($A$5:A1284,A1284,$F$5:F1284,"?*",$O$5:O1284,O1284)))</f>
        <v/>
      </c>
      <c r="O1284" s="54">
        <f>IF(A1284="","",IF(C1284="",0,C1284))</f>
        <v/>
      </c>
    </row>
    <row r="1285">
      <c r="A1285" s="58" t="n"/>
      <c r="B1285" s="49">
        <f>IF(A1285="","",CHOOSE(WEEKDAY(A1285,2),"Пн","Вт","Ср","Чт","Пт","Сб","Вс"))</f>
        <v/>
      </c>
      <c r="C1285" s="59" t="n"/>
      <c r="D1285" s="59" t="n"/>
      <c r="E1285" s="60">
        <f>IF(OR(C1285="",D1285=""),"",MOD(D1285-C1285,1)*24)</f>
        <v/>
      </c>
      <c r="F1285" s="50" t="n"/>
      <c r="G1285" s="51" t="n"/>
      <c r="H1285" s="51" t="n"/>
      <c r="I1285" s="51" t="n"/>
      <c r="J1285" s="51" t="n"/>
      <c r="K1285" s="51" t="n"/>
      <c r="L1285" s="54">
        <f>IF(OR(A1285="",C1285="",D1285=""),"",IF(COUNTIFS($A$5:$A$3004,A1285,$C$5:$C$3004,"&lt;"&amp;D1285,$D$5:$D$3004,"&gt;"&amp;C1285)&gt;1,"⚠️ пересечение",""))</f>
        <v/>
      </c>
      <c r="M1285" s="54">
        <f>IF(F1285="","",IF(J1285="✅ Сделано","✔ ",IF(J1285="❌ Пропущено","✖ ","⏰ "))&amp;IF(C1285="","",RIGHT("0"&amp;HOUR(C1285),2)&amp;":"&amp;RIGHT("0"&amp;MINUTE(C1285),2)&amp;IF(D1285="","","–"&amp;RIGHT("0"&amp;HOUR(D1285),2)&amp;":"&amp;RIGHT("0"&amp;MINUTE(D1285),2))&amp;" ")&amp;F1285)</f>
        <v/>
      </c>
      <c r="N1285" s="54">
        <f>IF(OR(A1285="",F1285=""),"",A1285&amp;"#"&amp;(COUNTIFS($A$5:$A$3004,A1285,$F$5:$F$3004,"?*",$O$5:$O$3004,"&lt;"&amp;O1285)+COUNTIFS($A$5:A1285,A1285,$F$5:F1285,"?*",$O$5:O1285,O1285)))</f>
        <v/>
      </c>
      <c r="O1285" s="54">
        <f>IF(A1285="","",IF(C1285="",0,C1285))</f>
        <v/>
      </c>
    </row>
    <row r="1286">
      <c r="A1286" s="58" t="n"/>
      <c r="B1286" s="49">
        <f>IF(A1286="","",CHOOSE(WEEKDAY(A1286,2),"Пн","Вт","Ср","Чт","Пт","Сб","Вс"))</f>
        <v/>
      </c>
      <c r="C1286" s="59" t="n"/>
      <c r="D1286" s="59" t="n"/>
      <c r="E1286" s="60">
        <f>IF(OR(C1286="",D1286=""),"",MOD(D1286-C1286,1)*24)</f>
        <v/>
      </c>
      <c r="F1286" s="50" t="n"/>
      <c r="G1286" s="51" t="n"/>
      <c r="H1286" s="51" t="n"/>
      <c r="I1286" s="51" t="n"/>
      <c r="J1286" s="51" t="n"/>
      <c r="K1286" s="51" t="n"/>
      <c r="L1286" s="54">
        <f>IF(OR(A1286="",C1286="",D1286=""),"",IF(COUNTIFS($A$5:$A$3004,A1286,$C$5:$C$3004,"&lt;"&amp;D1286,$D$5:$D$3004,"&gt;"&amp;C1286)&gt;1,"⚠️ пересечение",""))</f>
        <v/>
      </c>
      <c r="M1286" s="54">
        <f>IF(F1286="","",IF(J1286="✅ Сделано","✔ ",IF(J1286="❌ Пропущено","✖ ","⏰ "))&amp;IF(C1286="","",RIGHT("0"&amp;HOUR(C1286),2)&amp;":"&amp;RIGHT("0"&amp;MINUTE(C1286),2)&amp;IF(D1286="","","–"&amp;RIGHT("0"&amp;HOUR(D1286),2)&amp;":"&amp;RIGHT("0"&amp;MINUTE(D1286),2))&amp;" ")&amp;F1286)</f>
        <v/>
      </c>
      <c r="N1286" s="54">
        <f>IF(OR(A1286="",F1286=""),"",A1286&amp;"#"&amp;(COUNTIFS($A$5:$A$3004,A1286,$F$5:$F$3004,"?*",$O$5:$O$3004,"&lt;"&amp;O1286)+COUNTIFS($A$5:A1286,A1286,$F$5:F1286,"?*",$O$5:O1286,O1286)))</f>
        <v/>
      </c>
      <c r="O1286" s="54">
        <f>IF(A1286="","",IF(C1286="",0,C1286))</f>
        <v/>
      </c>
    </row>
    <row r="1287">
      <c r="A1287" s="58" t="n"/>
      <c r="B1287" s="49">
        <f>IF(A1287="","",CHOOSE(WEEKDAY(A1287,2),"Пн","Вт","Ср","Чт","Пт","Сб","Вс"))</f>
        <v/>
      </c>
      <c r="C1287" s="59" t="n"/>
      <c r="D1287" s="59" t="n"/>
      <c r="E1287" s="60">
        <f>IF(OR(C1287="",D1287=""),"",MOD(D1287-C1287,1)*24)</f>
        <v/>
      </c>
      <c r="F1287" s="50" t="n"/>
      <c r="G1287" s="51" t="n"/>
      <c r="H1287" s="51" t="n"/>
      <c r="I1287" s="51" t="n"/>
      <c r="J1287" s="51" t="n"/>
      <c r="K1287" s="51" t="n"/>
      <c r="L1287" s="54">
        <f>IF(OR(A1287="",C1287="",D1287=""),"",IF(COUNTIFS($A$5:$A$3004,A1287,$C$5:$C$3004,"&lt;"&amp;D1287,$D$5:$D$3004,"&gt;"&amp;C1287)&gt;1,"⚠️ пересечение",""))</f>
        <v/>
      </c>
      <c r="M1287" s="54">
        <f>IF(F1287="","",IF(J1287="✅ Сделано","✔ ",IF(J1287="❌ Пропущено","✖ ","⏰ "))&amp;IF(C1287="","",RIGHT("0"&amp;HOUR(C1287),2)&amp;":"&amp;RIGHT("0"&amp;MINUTE(C1287),2)&amp;IF(D1287="","","–"&amp;RIGHT("0"&amp;HOUR(D1287),2)&amp;":"&amp;RIGHT("0"&amp;MINUTE(D1287),2))&amp;" ")&amp;F1287)</f>
        <v/>
      </c>
      <c r="N1287" s="54">
        <f>IF(OR(A1287="",F1287=""),"",A1287&amp;"#"&amp;(COUNTIFS($A$5:$A$3004,A1287,$F$5:$F$3004,"?*",$O$5:$O$3004,"&lt;"&amp;O1287)+COUNTIFS($A$5:A1287,A1287,$F$5:F1287,"?*",$O$5:O1287,O1287)))</f>
        <v/>
      </c>
      <c r="O1287" s="54">
        <f>IF(A1287="","",IF(C1287="",0,C1287))</f>
        <v/>
      </c>
    </row>
    <row r="1288">
      <c r="A1288" s="58" t="n"/>
      <c r="B1288" s="49">
        <f>IF(A1288="","",CHOOSE(WEEKDAY(A1288,2),"Пн","Вт","Ср","Чт","Пт","Сб","Вс"))</f>
        <v/>
      </c>
      <c r="C1288" s="59" t="n"/>
      <c r="D1288" s="59" t="n"/>
      <c r="E1288" s="60">
        <f>IF(OR(C1288="",D1288=""),"",MOD(D1288-C1288,1)*24)</f>
        <v/>
      </c>
      <c r="F1288" s="50" t="n"/>
      <c r="G1288" s="51" t="n"/>
      <c r="H1288" s="51" t="n"/>
      <c r="I1288" s="51" t="n"/>
      <c r="J1288" s="51" t="n"/>
      <c r="K1288" s="51" t="n"/>
      <c r="L1288" s="54">
        <f>IF(OR(A1288="",C1288="",D1288=""),"",IF(COUNTIFS($A$5:$A$3004,A1288,$C$5:$C$3004,"&lt;"&amp;D1288,$D$5:$D$3004,"&gt;"&amp;C1288)&gt;1,"⚠️ пересечение",""))</f>
        <v/>
      </c>
      <c r="M1288" s="54">
        <f>IF(F1288="","",IF(J1288="✅ Сделано","✔ ",IF(J1288="❌ Пропущено","✖ ","⏰ "))&amp;IF(C1288="","",RIGHT("0"&amp;HOUR(C1288),2)&amp;":"&amp;RIGHT("0"&amp;MINUTE(C1288),2)&amp;IF(D1288="","","–"&amp;RIGHT("0"&amp;HOUR(D1288),2)&amp;":"&amp;RIGHT("0"&amp;MINUTE(D1288),2))&amp;" ")&amp;F1288)</f>
        <v/>
      </c>
      <c r="N1288" s="54">
        <f>IF(OR(A1288="",F1288=""),"",A1288&amp;"#"&amp;(COUNTIFS($A$5:$A$3004,A1288,$F$5:$F$3004,"?*",$O$5:$O$3004,"&lt;"&amp;O1288)+COUNTIFS($A$5:A1288,A1288,$F$5:F1288,"?*",$O$5:O1288,O1288)))</f>
        <v/>
      </c>
      <c r="O1288" s="54">
        <f>IF(A1288="","",IF(C1288="",0,C1288))</f>
        <v/>
      </c>
    </row>
    <row r="1289">
      <c r="A1289" s="58" t="n"/>
      <c r="B1289" s="49">
        <f>IF(A1289="","",CHOOSE(WEEKDAY(A1289,2),"Пн","Вт","Ср","Чт","Пт","Сб","Вс"))</f>
        <v/>
      </c>
      <c r="C1289" s="59" t="n"/>
      <c r="D1289" s="59" t="n"/>
      <c r="E1289" s="60">
        <f>IF(OR(C1289="",D1289=""),"",MOD(D1289-C1289,1)*24)</f>
        <v/>
      </c>
      <c r="F1289" s="50" t="n"/>
      <c r="G1289" s="51" t="n"/>
      <c r="H1289" s="51" t="n"/>
      <c r="I1289" s="51" t="n"/>
      <c r="J1289" s="51" t="n"/>
      <c r="K1289" s="51" t="n"/>
      <c r="L1289" s="54">
        <f>IF(OR(A1289="",C1289="",D1289=""),"",IF(COUNTIFS($A$5:$A$3004,A1289,$C$5:$C$3004,"&lt;"&amp;D1289,$D$5:$D$3004,"&gt;"&amp;C1289)&gt;1,"⚠️ пересечение",""))</f>
        <v/>
      </c>
      <c r="M1289" s="54">
        <f>IF(F1289="","",IF(J1289="✅ Сделано","✔ ",IF(J1289="❌ Пропущено","✖ ","⏰ "))&amp;IF(C1289="","",RIGHT("0"&amp;HOUR(C1289),2)&amp;":"&amp;RIGHT("0"&amp;MINUTE(C1289),2)&amp;IF(D1289="","","–"&amp;RIGHT("0"&amp;HOUR(D1289),2)&amp;":"&amp;RIGHT("0"&amp;MINUTE(D1289),2))&amp;" ")&amp;F1289)</f>
        <v/>
      </c>
      <c r="N1289" s="54">
        <f>IF(OR(A1289="",F1289=""),"",A1289&amp;"#"&amp;(COUNTIFS($A$5:$A$3004,A1289,$F$5:$F$3004,"?*",$O$5:$O$3004,"&lt;"&amp;O1289)+COUNTIFS($A$5:A1289,A1289,$F$5:F1289,"?*",$O$5:O1289,O1289)))</f>
        <v/>
      </c>
      <c r="O1289" s="54">
        <f>IF(A1289="","",IF(C1289="",0,C1289))</f>
        <v/>
      </c>
    </row>
    <row r="1290">
      <c r="A1290" s="58" t="n"/>
      <c r="B1290" s="49">
        <f>IF(A1290="","",CHOOSE(WEEKDAY(A1290,2),"Пн","Вт","Ср","Чт","Пт","Сб","Вс"))</f>
        <v/>
      </c>
      <c r="C1290" s="59" t="n"/>
      <c r="D1290" s="59" t="n"/>
      <c r="E1290" s="60">
        <f>IF(OR(C1290="",D1290=""),"",MOD(D1290-C1290,1)*24)</f>
        <v/>
      </c>
      <c r="F1290" s="50" t="n"/>
      <c r="G1290" s="51" t="n"/>
      <c r="H1290" s="51" t="n"/>
      <c r="I1290" s="51" t="n"/>
      <c r="J1290" s="51" t="n"/>
      <c r="K1290" s="51" t="n"/>
      <c r="L1290" s="54">
        <f>IF(OR(A1290="",C1290="",D1290=""),"",IF(COUNTIFS($A$5:$A$3004,A1290,$C$5:$C$3004,"&lt;"&amp;D1290,$D$5:$D$3004,"&gt;"&amp;C1290)&gt;1,"⚠️ пересечение",""))</f>
        <v/>
      </c>
      <c r="M1290" s="54">
        <f>IF(F1290="","",IF(J1290="✅ Сделано","✔ ",IF(J1290="❌ Пропущено","✖ ","⏰ "))&amp;IF(C1290="","",RIGHT("0"&amp;HOUR(C1290),2)&amp;":"&amp;RIGHT("0"&amp;MINUTE(C1290),2)&amp;IF(D1290="","","–"&amp;RIGHT("0"&amp;HOUR(D1290),2)&amp;":"&amp;RIGHT("0"&amp;MINUTE(D1290),2))&amp;" ")&amp;F1290)</f>
        <v/>
      </c>
      <c r="N1290" s="54">
        <f>IF(OR(A1290="",F1290=""),"",A1290&amp;"#"&amp;(COUNTIFS($A$5:$A$3004,A1290,$F$5:$F$3004,"?*",$O$5:$O$3004,"&lt;"&amp;O1290)+COUNTIFS($A$5:A1290,A1290,$F$5:F1290,"?*",$O$5:O1290,O1290)))</f>
        <v/>
      </c>
      <c r="O1290" s="54">
        <f>IF(A1290="","",IF(C1290="",0,C1290))</f>
        <v/>
      </c>
    </row>
    <row r="1291">
      <c r="A1291" s="58" t="n"/>
      <c r="B1291" s="49">
        <f>IF(A1291="","",CHOOSE(WEEKDAY(A1291,2),"Пн","Вт","Ср","Чт","Пт","Сб","Вс"))</f>
        <v/>
      </c>
      <c r="C1291" s="59" t="n"/>
      <c r="D1291" s="59" t="n"/>
      <c r="E1291" s="60">
        <f>IF(OR(C1291="",D1291=""),"",MOD(D1291-C1291,1)*24)</f>
        <v/>
      </c>
      <c r="F1291" s="50" t="n"/>
      <c r="G1291" s="51" t="n"/>
      <c r="H1291" s="51" t="n"/>
      <c r="I1291" s="51" t="n"/>
      <c r="J1291" s="51" t="n"/>
      <c r="K1291" s="51" t="n"/>
      <c r="L1291" s="54">
        <f>IF(OR(A1291="",C1291="",D1291=""),"",IF(COUNTIFS($A$5:$A$3004,A1291,$C$5:$C$3004,"&lt;"&amp;D1291,$D$5:$D$3004,"&gt;"&amp;C1291)&gt;1,"⚠️ пересечение",""))</f>
        <v/>
      </c>
      <c r="M1291" s="54">
        <f>IF(F1291="","",IF(J1291="✅ Сделано","✔ ",IF(J1291="❌ Пропущено","✖ ","⏰ "))&amp;IF(C1291="","",RIGHT("0"&amp;HOUR(C1291),2)&amp;":"&amp;RIGHT("0"&amp;MINUTE(C1291),2)&amp;IF(D1291="","","–"&amp;RIGHT("0"&amp;HOUR(D1291),2)&amp;":"&amp;RIGHT("0"&amp;MINUTE(D1291),2))&amp;" ")&amp;F1291)</f>
        <v/>
      </c>
      <c r="N1291" s="54">
        <f>IF(OR(A1291="",F1291=""),"",A1291&amp;"#"&amp;(COUNTIFS($A$5:$A$3004,A1291,$F$5:$F$3004,"?*",$O$5:$O$3004,"&lt;"&amp;O1291)+COUNTIFS($A$5:A1291,A1291,$F$5:F1291,"?*",$O$5:O1291,O1291)))</f>
        <v/>
      </c>
      <c r="O1291" s="54">
        <f>IF(A1291="","",IF(C1291="",0,C1291))</f>
        <v/>
      </c>
    </row>
    <row r="1292">
      <c r="A1292" s="58" t="n"/>
      <c r="B1292" s="49">
        <f>IF(A1292="","",CHOOSE(WEEKDAY(A1292,2),"Пн","Вт","Ср","Чт","Пт","Сб","Вс"))</f>
        <v/>
      </c>
      <c r="C1292" s="59" t="n"/>
      <c r="D1292" s="59" t="n"/>
      <c r="E1292" s="60">
        <f>IF(OR(C1292="",D1292=""),"",MOD(D1292-C1292,1)*24)</f>
        <v/>
      </c>
      <c r="F1292" s="50" t="n"/>
      <c r="G1292" s="51" t="n"/>
      <c r="H1292" s="51" t="n"/>
      <c r="I1292" s="51" t="n"/>
      <c r="J1292" s="51" t="n"/>
      <c r="K1292" s="51" t="n"/>
      <c r="L1292" s="54">
        <f>IF(OR(A1292="",C1292="",D1292=""),"",IF(COUNTIFS($A$5:$A$3004,A1292,$C$5:$C$3004,"&lt;"&amp;D1292,$D$5:$D$3004,"&gt;"&amp;C1292)&gt;1,"⚠️ пересечение",""))</f>
        <v/>
      </c>
      <c r="M1292" s="54">
        <f>IF(F1292="","",IF(J1292="✅ Сделано","✔ ",IF(J1292="❌ Пропущено","✖ ","⏰ "))&amp;IF(C1292="","",RIGHT("0"&amp;HOUR(C1292),2)&amp;":"&amp;RIGHT("0"&amp;MINUTE(C1292),2)&amp;IF(D1292="","","–"&amp;RIGHT("0"&amp;HOUR(D1292),2)&amp;":"&amp;RIGHT("0"&amp;MINUTE(D1292),2))&amp;" ")&amp;F1292)</f>
        <v/>
      </c>
      <c r="N1292" s="54">
        <f>IF(OR(A1292="",F1292=""),"",A1292&amp;"#"&amp;(COUNTIFS($A$5:$A$3004,A1292,$F$5:$F$3004,"?*",$O$5:$O$3004,"&lt;"&amp;O1292)+COUNTIFS($A$5:A1292,A1292,$F$5:F1292,"?*",$O$5:O1292,O1292)))</f>
        <v/>
      </c>
      <c r="O1292" s="54">
        <f>IF(A1292="","",IF(C1292="",0,C1292))</f>
        <v/>
      </c>
    </row>
    <row r="1293">
      <c r="A1293" s="58" t="n"/>
      <c r="B1293" s="49">
        <f>IF(A1293="","",CHOOSE(WEEKDAY(A1293,2),"Пн","Вт","Ср","Чт","Пт","Сб","Вс"))</f>
        <v/>
      </c>
      <c r="C1293" s="59" t="n"/>
      <c r="D1293" s="59" t="n"/>
      <c r="E1293" s="60">
        <f>IF(OR(C1293="",D1293=""),"",MOD(D1293-C1293,1)*24)</f>
        <v/>
      </c>
      <c r="F1293" s="50" t="n"/>
      <c r="G1293" s="51" t="n"/>
      <c r="H1293" s="51" t="n"/>
      <c r="I1293" s="51" t="n"/>
      <c r="J1293" s="51" t="n"/>
      <c r="K1293" s="51" t="n"/>
      <c r="L1293" s="54">
        <f>IF(OR(A1293="",C1293="",D1293=""),"",IF(COUNTIFS($A$5:$A$3004,A1293,$C$5:$C$3004,"&lt;"&amp;D1293,$D$5:$D$3004,"&gt;"&amp;C1293)&gt;1,"⚠️ пересечение",""))</f>
        <v/>
      </c>
      <c r="M1293" s="54">
        <f>IF(F1293="","",IF(J1293="✅ Сделано","✔ ",IF(J1293="❌ Пропущено","✖ ","⏰ "))&amp;IF(C1293="","",RIGHT("0"&amp;HOUR(C1293),2)&amp;":"&amp;RIGHT("0"&amp;MINUTE(C1293),2)&amp;IF(D1293="","","–"&amp;RIGHT("0"&amp;HOUR(D1293),2)&amp;":"&amp;RIGHT("0"&amp;MINUTE(D1293),2))&amp;" ")&amp;F1293)</f>
        <v/>
      </c>
      <c r="N1293" s="54">
        <f>IF(OR(A1293="",F1293=""),"",A1293&amp;"#"&amp;(COUNTIFS($A$5:$A$3004,A1293,$F$5:$F$3004,"?*",$O$5:$O$3004,"&lt;"&amp;O1293)+COUNTIFS($A$5:A1293,A1293,$F$5:F1293,"?*",$O$5:O1293,O1293)))</f>
        <v/>
      </c>
      <c r="O1293" s="54">
        <f>IF(A1293="","",IF(C1293="",0,C1293))</f>
        <v/>
      </c>
    </row>
    <row r="1294">
      <c r="A1294" s="58" t="n"/>
      <c r="B1294" s="49">
        <f>IF(A1294="","",CHOOSE(WEEKDAY(A1294,2),"Пн","Вт","Ср","Чт","Пт","Сб","Вс"))</f>
        <v/>
      </c>
      <c r="C1294" s="59" t="n"/>
      <c r="D1294" s="59" t="n"/>
      <c r="E1294" s="60">
        <f>IF(OR(C1294="",D1294=""),"",MOD(D1294-C1294,1)*24)</f>
        <v/>
      </c>
      <c r="F1294" s="50" t="n"/>
      <c r="G1294" s="51" t="n"/>
      <c r="H1294" s="51" t="n"/>
      <c r="I1294" s="51" t="n"/>
      <c r="J1294" s="51" t="n"/>
      <c r="K1294" s="51" t="n"/>
      <c r="L1294" s="54">
        <f>IF(OR(A1294="",C1294="",D1294=""),"",IF(COUNTIFS($A$5:$A$3004,A1294,$C$5:$C$3004,"&lt;"&amp;D1294,$D$5:$D$3004,"&gt;"&amp;C1294)&gt;1,"⚠️ пересечение",""))</f>
        <v/>
      </c>
      <c r="M1294" s="54">
        <f>IF(F1294="","",IF(J1294="✅ Сделано","✔ ",IF(J1294="❌ Пропущено","✖ ","⏰ "))&amp;IF(C1294="","",RIGHT("0"&amp;HOUR(C1294),2)&amp;":"&amp;RIGHT("0"&amp;MINUTE(C1294),2)&amp;IF(D1294="","","–"&amp;RIGHT("0"&amp;HOUR(D1294),2)&amp;":"&amp;RIGHT("0"&amp;MINUTE(D1294),2))&amp;" ")&amp;F1294)</f>
        <v/>
      </c>
      <c r="N1294" s="54">
        <f>IF(OR(A1294="",F1294=""),"",A1294&amp;"#"&amp;(COUNTIFS($A$5:$A$3004,A1294,$F$5:$F$3004,"?*",$O$5:$O$3004,"&lt;"&amp;O1294)+COUNTIFS($A$5:A1294,A1294,$F$5:F1294,"?*",$O$5:O1294,O1294)))</f>
        <v/>
      </c>
      <c r="O1294" s="54">
        <f>IF(A1294="","",IF(C1294="",0,C1294))</f>
        <v/>
      </c>
    </row>
    <row r="1295">
      <c r="A1295" s="58" t="n"/>
      <c r="B1295" s="49">
        <f>IF(A1295="","",CHOOSE(WEEKDAY(A1295,2),"Пн","Вт","Ср","Чт","Пт","Сб","Вс"))</f>
        <v/>
      </c>
      <c r="C1295" s="59" t="n"/>
      <c r="D1295" s="59" t="n"/>
      <c r="E1295" s="60">
        <f>IF(OR(C1295="",D1295=""),"",MOD(D1295-C1295,1)*24)</f>
        <v/>
      </c>
      <c r="F1295" s="50" t="n"/>
      <c r="G1295" s="51" t="n"/>
      <c r="H1295" s="51" t="n"/>
      <c r="I1295" s="51" t="n"/>
      <c r="J1295" s="51" t="n"/>
      <c r="K1295" s="51" t="n"/>
      <c r="L1295" s="54">
        <f>IF(OR(A1295="",C1295="",D1295=""),"",IF(COUNTIFS($A$5:$A$3004,A1295,$C$5:$C$3004,"&lt;"&amp;D1295,$D$5:$D$3004,"&gt;"&amp;C1295)&gt;1,"⚠️ пересечение",""))</f>
        <v/>
      </c>
      <c r="M1295" s="54">
        <f>IF(F1295="","",IF(J1295="✅ Сделано","✔ ",IF(J1295="❌ Пропущено","✖ ","⏰ "))&amp;IF(C1295="","",RIGHT("0"&amp;HOUR(C1295),2)&amp;":"&amp;RIGHT("0"&amp;MINUTE(C1295),2)&amp;IF(D1295="","","–"&amp;RIGHT("0"&amp;HOUR(D1295),2)&amp;":"&amp;RIGHT("0"&amp;MINUTE(D1295),2))&amp;" ")&amp;F1295)</f>
        <v/>
      </c>
      <c r="N1295" s="54">
        <f>IF(OR(A1295="",F1295=""),"",A1295&amp;"#"&amp;(COUNTIFS($A$5:$A$3004,A1295,$F$5:$F$3004,"?*",$O$5:$O$3004,"&lt;"&amp;O1295)+COUNTIFS($A$5:A1295,A1295,$F$5:F1295,"?*",$O$5:O1295,O1295)))</f>
        <v/>
      </c>
      <c r="O1295" s="54">
        <f>IF(A1295="","",IF(C1295="",0,C1295))</f>
        <v/>
      </c>
    </row>
    <row r="1296">
      <c r="A1296" s="58" t="n"/>
      <c r="B1296" s="49">
        <f>IF(A1296="","",CHOOSE(WEEKDAY(A1296,2),"Пн","Вт","Ср","Чт","Пт","Сб","Вс"))</f>
        <v/>
      </c>
      <c r="C1296" s="59" t="n"/>
      <c r="D1296" s="59" t="n"/>
      <c r="E1296" s="60">
        <f>IF(OR(C1296="",D1296=""),"",MOD(D1296-C1296,1)*24)</f>
        <v/>
      </c>
      <c r="F1296" s="50" t="n"/>
      <c r="G1296" s="51" t="n"/>
      <c r="H1296" s="51" t="n"/>
      <c r="I1296" s="51" t="n"/>
      <c r="J1296" s="51" t="n"/>
      <c r="K1296" s="51" t="n"/>
      <c r="L1296" s="54">
        <f>IF(OR(A1296="",C1296="",D1296=""),"",IF(COUNTIFS($A$5:$A$3004,A1296,$C$5:$C$3004,"&lt;"&amp;D1296,$D$5:$D$3004,"&gt;"&amp;C1296)&gt;1,"⚠️ пересечение",""))</f>
        <v/>
      </c>
      <c r="M1296" s="54">
        <f>IF(F1296="","",IF(J1296="✅ Сделано","✔ ",IF(J1296="❌ Пропущено","✖ ","⏰ "))&amp;IF(C1296="","",RIGHT("0"&amp;HOUR(C1296),2)&amp;":"&amp;RIGHT("0"&amp;MINUTE(C1296),2)&amp;IF(D1296="","","–"&amp;RIGHT("0"&amp;HOUR(D1296),2)&amp;":"&amp;RIGHT("0"&amp;MINUTE(D1296),2))&amp;" ")&amp;F1296)</f>
        <v/>
      </c>
      <c r="N1296" s="54">
        <f>IF(OR(A1296="",F1296=""),"",A1296&amp;"#"&amp;(COUNTIFS($A$5:$A$3004,A1296,$F$5:$F$3004,"?*",$O$5:$O$3004,"&lt;"&amp;O1296)+COUNTIFS($A$5:A1296,A1296,$F$5:F1296,"?*",$O$5:O1296,O1296)))</f>
        <v/>
      </c>
      <c r="O1296" s="54">
        <f>IF(A1296="","",IF(C1296="",0,C1296))</f>
        <v/>
      </c>
    </row>
    <row r="1297">
      <c r="A1297" s="58" t="n"/>
      <c r="B1297" s="49">
        <f>IF(A1297="","",CHOOSE(WEEKDAY(A1297,2),"Пн","Вт","Ср","Чт","Пт","Сб","Вс"))</f>
        <v/>
      </c>
      <c r="C1297" s="59" t="n"/>
      <c r="D1297" s="59" t="n"/>
      <c r="E1297" s="60">
        <f>IF(OR(C1297="",D1297=""),"",MOD(D1297-C1297,1)*24)</f>
        <v/>
      </c>
      <c r="F1297" s="50" t="n"/>
      <c r="G1297" s="51" t="n"/>
      <c r="H1297" s="51" t="n"/>
      <c r="I1297" s="51" t="n"/>
      <c r="J1297" s="51" t="n"/>
      <c r="K1297" s="51" t="n"/>
      <c r="L1297" s="54">
        <f>IF(OR(A1297="",C1297="",D1297=""),"",IF(COUNTIFS($A$5:$A$3004,A1297,$C$5:$C$3004,"&lt;"&amp;D1297,$D$5:$D$3004,"&gt;"&amp;C1297)&gt;1,"⚠️ пересечение",""))</f>
        <v/>
      </c>
      <c r="M1297" s="54">
        <f>IF(F1297="","",IF(J1297="✅ Сделано","✔ ",IF(J1297="❌ Пропущено","✖ ","⏰ "))&amp;IF(C1297="","",RIGHT("0"&amp;HOUR(C1297),2)&amp;":"&amp;RIGHT("0"&amp;MINUTE(C1297),2)&amp;IF(D1297="","","–"&amp;RIGHT("0"&amp;HOUR(D1297),2)&amp;":"&amp;RIGHT("0"&amp;MINUTE(D1297),2))&amp;" ")&amp;F1297)</f>
        <v/>
      </c>
      <c r="N1297" s="54">
        <f>IF(OR(A1297="",F1297=""),"",A1297&amp;"#"&amp;(COUNTIFS($A$5:$A$3004,A1297,$F$5:$F$3004,"?*",$O$5:$O$3004,"&lt;"&amp;O1297)+COUNTIFS($A$5:A1297,A1297,$F$5:F1297,"?*",$O$5:O1297,O1297)))</f>
        <v/>
      </c>
      <c r="O1297" s="54">
        <f>IF(A1297="","",IF(C1297="",0,C1297))</f>
        <v/>
      </c>
    </row>
    <row r="1298">
      <c r="A1298" s="58" t="n"/>
      <c r="B1298" s="49">
        <f>IF(A1298="","",CHOOSE(WEEKDAY(A1298,2),"Пн","Вт","Ср","Чт","Пт","Сб","Вс"))</f>
        <v/>
      </c>
      <c r="C1298" s="59" t="n"/>
      <c r="D1298" s="59" t="n"/>
      <c r="E1298" s="60">
        <f>IF(OR(C1298="",D1298=""),"",MOD(D1298-C1298,1)*24)</f>
        <v/>
      </c>
      <c r="F1298" s="50" t="n"/>
      <c r="G1298" s="51" t="n"/>
      <c r="H1298" s="51" t="n"/>
      <c r="I1298" s="51" t="n"/>
      <c r="J1298" s="51" t="n"/>
      <c r="K1298" s="51" t="n"/>
      <c r="L1298" s="54">
        <f>IF(OR(A1298="",C1298="",D1298=""),"",IF(COUNTIFS($A$5:$A$3004,A1298,$C$5:$C$3004,"&lt;"&amp;D1298,$D$5:$D$3004,"&gt;"&amp;C1298)&gt;1,"⚠️ пересечение",""))</f>
        <v/>
      </c>
      <c r="M1298" s="54">
        <f>IF(F1298="","",IF(J1298="✅ Сделано","✔ ",IF(J1298="❌ Пропущено","✖ ","⏰ "))&amp;IF(C1298="","",RIGHT("0"&amp;HOUR(C1298),2)&amp;":"&amp;RIGHT("0"&amp;MINUTE(C1298),2)&amp;IF(D1298="","","–"&amp;RIGHT("0"&amp;HOUR(D1298),2)&amp;":"&amp;RIGHT("0"&amp;MINUTE(D1298),2))&amp;" ")&amp;F1298)</f>
        <v/>
      </c>
      <c r="N1298" s="54">
        <f>IF(OR(A1298="",F1298=""),"",A1298&amp;"#"&amp;(COUNTIFS($A$5:$A$3004,A1298,$F$5:$F$3004,"?*",$O$5:$O$3004,"&lt;"&amp;O1298)+COUNTIFS($A$5:A1298,A1298,$F$5:F1298,"?*",$O$5:O1298,O1298)))</f>
        <v/>
      </c>
      <c r="O1298" s="54">
        <f>IF(A1298="","",IF(C1298="",0,C1298))</f>
        <v/>
      </c>
    </row>
    <row r="1299">
      <c r="A1299" s="58" t="n"/>
      <c r="B1299" s="49">
        <f>IF(A1299="","",CHOOSE(WEEKDAY(A1299,2),"Пн","Вт","Ср","Чт","Пт","Сб","Вс"))</f>
        <v/>
      </c>
      <c r="C1299" s="59" t="n"/>
      <c r="D1299" s="59" t="n"/>
      <c r="E1299" s="60">
        <f>IF(OR(C1299="",D1299=""),"",MOD(D1299-C1299,1)*24)</f>
        <v/>
      </c>
      <c r="F1299" s="50" t="n"/>
      <c r="G1299" s="51" t="n"/>
      <c r="H1299" s="51" t="n"/>
      <c r="I1299" s="51" t="n"/>
      <c r="J1299" s="51" t="n"/>
      <c r="K1299" s="51" t="n"/>
      <c r="L1299" s="54">
        <f>IF(OR(A1299="",C1299="",D1299=""),"",IF(COUNTIFS($A$5:$A$3004,A1299,$C$5:$C$3004,"&lt;"&amp;D1299,$D$5:$D$3004,"&gt;"&amp;C1299)&gt;1,"⚠️ пересечение",""))</f>
        <v/>
      </c>
      <c r="M1299" s="54">
        <f>IF(F1299="","",IF(J1299="✅ Сделано","✔ ",IF(J1299="❌ Пропущено","✖ ","⏰ "))&amp;IF(C1299="","",RIGHT("0"&amp;HOUR(C1299),2)&amp;":"&amp;RIGHT("0"&amp;MINUTE(C1299),2)&amp;IF(D1299="","","–"&amp;RIGHT("0"&amp;HOUR(D1299),2)&amp;":"&amp;RIGHT("0"&amp;MINUTE(D1299),2))&amp;" ")&amp;F1299)</f>
        <v/>
      </c>
      <c r="N1299" s="54">
        <f>IF(OR(A1299="",F1299=""),"",A1299&amp;"#"&amp;(COUNTIFS($A$5:$A$3004,A1299,$F$5:$F$3004,"?*",$O$5:$O$3004,"&lt;"&amp;O1299)+COUNTIFS($A$5:A1299,A1299,$F$5:F1299,"?*",$O$5:O1299,O1299)))</f>
        <v/>
      </c>
      <c r="O1299" s="54">
        <f>IF(A1299="","",IF(C1299="",0,C1299))</f>
        <v/>
      </c>
    </row>
    <row r="1300">
      <c r="A1300" s="58" t="n"/>
      <c r="B1300" s="49">
        <f>IF(A1300="","",CHOOSE(WEEKDAY(A1300,2),"Пн","Вт","Ср","Чт","Пт","Сб","Вс"))</f>
        <v/>
      </c>
      <c r="C1300" s="59" t="n"/>
      <c r="D1300" s="59" t="n"/>
      <c r="E1300" s="60">
        <f>IF(OR(C1300="",D1300=""),"",MOD(D1300-C1300,1)*24)</f>
        <v/>
      </c>
      <c r="F1300" s="50" t="n"/>
      <c r="G1300" s="51" t="n"/>
      <c r="H1300" s="51" t="n"/>
      <c r="I1300" s="51" t="n"/>
      <c r="J1300" s="51" t="n"/>
      <c r="K1300" s="51" t="n"/>
      <c r="L1300" s="54">
        <f>IF(OR(A1300="",C1300="",D1300=""),"",IF(COUNTIFS($A$5:$A$3004,A1300,$C$5:$C$3004,"&lt;"&amp;D1300,$D$5:$D$3004,"&gt;"&amp;C1300)&gt;1,"⚠️ пересечение",""))</f>
        <v/>
      </c>
      <c r="M1300" s="54">
        <f>IF(F1300="","",IF(J1300="✅ Сделано","✔ ",IF(J1300="❌ Пропущено","✖ ","⏰ "))&amp;IF(C1300="","",RIGHT("0"&amp;HOUR(C1300),2)&amp;":"&amp;RIGHT("0"&amp;MINUTE(C1300),2)&amp;IF(D1300="","","–"&amp;RIGHT("0"&amp;HOUR(D1300),2)&amp;":"&amp;RIGHT("0"&amp;MINUTE(D1300),2))&amp;" ")&amp;F1300)</f>
        <v/>
      </c>
      <c r="N1300" s="54">
        <f>IF(OR(A1300="",F1300=""),"",A1300&amp;"#"&amp;(COUNTIFS($A$5:$A$3004,A1300,$F$5:$F$3004,"?*",$O$5:$O$3004,"&lt;"&amp;O1300)+COUNTIFS($A$5:A1300,A1300,$F$5:F1300,"?*",$O$5:O1300,O1300)))</f>
        <v/>
      </c>
      <c r="O1300" s="54">
        <f>IF(A1300="","",IF(C1300="",0,C1300))</f>
        <v/>
      </c>
    </row>
    <row r="1301">
      <c r="A1301" s="58" t="n"/>
      <c r="B1301" s="49">
        <f>IF(A1301="","",CHOOSE(WEEKDAY(A1301,2),"Пн","Вт","Ср","Чт","Пт","Сб","Вс"))</f>
        <v/>
      </c>
      <c r="C1301" s="59" t="n"/>
      <c r="D1301" s="59" t="n"/>
      <c r="E1301" s="60">
        <f>IF(OR(C1301="",D1301=""),"",MOD(D1301-C1301,1)*24)</f>
        <v/>
      </c>
      <c r="F1301" s="50" t="n"/>
      <c r="G1301" s="51" t="n"/>
      <c r="H1301" s="51" t="n"/>
      <c r="I1301" s="51" t="n"/>
      <c r="J1301" s="51" t="n"/>
      <c r="K1301" s="51" t="n"/>
      <c r="L1301" s="54">
        <f>IF(OR(A1301="",C1301="",D1301=""),"",IF(COUNTIFS($A$5:$A$3004,A1301,$C$5:$C$3004,"&lt;"&amp;D1301,$D$5:$D$3004,"&gt;"&amp;C1301)&gt;1,"⚠️ пересечение",""))</f>
        <v/>
      </c>
      <c r="M1301" s="54">
        <f>IF(F1301="","",IF(J1301="✅ Сделано","✔ ",IF(J1301="❌ Пропущено","✖ ","⏰ "))&amp;IF(C1301="","",RIGHT("0"&amp;HOUR(C1301),2)&amp;":"&amp;RIGHT("0"&amp;MINUTE(C1301),2)&amp;IF(D1301="","","–"&amp;RIGHT("0"&amp;HOUR(D1301),2)&amp;":"&amp;RIGHT("0"&amp;MINUTE(D1301),2))&amp;" ")&amp;F1301)</f>
        <v/>
      </c>
      <c r="N1301" s="54">
        <f>IF(OR(A1301="",F1301=""),"",A1301&amp;"#"&amp;(COUNTIFS($A$5:$A$3004,A1301,$F$5:$F$3004,"?*",$O$5:$O$3004,"&lt;"&amp;O1301)+COUNTIFS($A$5:A1301,A1301,$F$5:F1301,"?*",$O$5:O1301,O1301)))</f>
        <v/>
      </c>
      <c r="O1301" s="54">
        <f>IF(A1301="","",IF(C1301="",0,C1301))</f>
        <v/>
      </c>
    </row>
    <row r="1302">
      <c r="A1302" s="58" t="n"/>
      <c r="B1302" s="49">
        <f>IF(A1302="","",CHOOSE(WEEKDAY(A1302,2),"Пн","Вт","Ср","Чт","Пт","Сб","Вс"))</f>
        <v/>
      </c>
      <c r="C1302" s="59" t="n"/>
      <c r="D1302" s="59" t="n"/>
      <c r="E1302" s="60">
        <f>IF(OR(C1302="",D1302=""),"",MOD(D1302-C1302,1)*24)</f>
        <v/>
      </c>
      <c r="F1302" s="50" t="n"/>
      <c r="G1302" s="51" t="n"/>
      <c r="H1302" s="51" t="n"/>
      <c r="I1302" s="51" t="n"/>
      <c r="J1302" s="51" t="n"/>
      <c r="K1302" s="51" t="n"/>
      <c r="L1302" s="54">
        <f>IF(OR(A1302="",C1302="",D1302=""),"",IF(COUNTIFS($A$5:$A$3004,A1302,$C$5:$C$3004,"&lt;"&amp;D1302,$D$5:$D$3004,"&gt;"&amp;C1302)&gt;1,"⚠️ пересечение",""))</f>
        <v/>
      </c>
      <c r="M1302" s="54">
        <f>IF(F1302="","",IF(J1302="✅ Сделано","✔ ",IF(J1302="❌ Пропущено","✖ ","⏰ "))&amp;IF(C1302="","",RIGHT("0"&amp;HOUR(C1302),2)&amp;":"&amp;RIGHT("0"&amp;MINUTE(C1302),2)&amp;IF(D1302="","","–"&amp;RIGHT("0"&amp;HOUR(D1302),2)&amp;":"&amp;RIGHT("0"&amp;MINUTE(D1302),2))&amp;" ")&amp;F1302)</f>
        <v/>
      </c>
      <c r="N1302" s="54">
        <f>IF(OR(A1302="",F1302=""),"",A1302&amp;"#"&amp;(COUNTIFS($A$5:$A$3004,A1302,$F$5:$F$3004,"?*",$O$5:$O$3004,"&lt;"&amp;O1302)+COUNTIFS($A$5:A1302,A1302,$F$5:F1302,"?*",$O$5:O1302,O1302)))</f>
        <v/>
      </c>
      <c r="O1302" s="54">
        <f>IF(A1302="","",IF(C1302="",0,C1302))</f>
        <v/>
      </c>
    </row>
    <row r="1303">
      <c r="A1303" s="58" t="n"/>
      <c r="B1303" s="49">
        <f>IF(A1303="","",CHOOSE(WEEKDAY(A1303,2),"Пн","Вт","Ср","Чт","Пт","Сб","Вс"))</f>
        <v/>
      </c>
      <c r="C1303" s="59" t="n"/>
      <c r="D1303" s="59" t="n"/>
      <c r="E1303" s="60">
        <f>IF(OR(C1303="",D1303=""),"",MOD(D1303-C1303,1)*24)</f>
        <v/>
      </c>
      <c r="F1303" s="50" t="n"/>
      <c r="G1303" s="51" t="n"/>
      <c r="H1303" s="51" t="n"/>
      <c r="I1303" s="51" t="n"/>
      <c r="J1303" s="51" t="n"/>
      <c r="K1303" s="51" t="n"/>
      <c r="L1303" s="54">
        <f>IF(OR(A1303="",C1303="",D1303=""),"",IF(COUNTIFS($A$5:$A$3004,A1303,$C$5:$C$3004,"&lt;"&amp;D1303,$D$5:$D$3004,"&gt;"&amp;C1303)&gt;1,"⚠️ пересечение",""))</f>
        <v/>
      </c>
      <c r="M1303" s="54">
        <f>IF(F1303="","",IF(J1303="✅ Сделано","✔ ",IF(J1303="❌ Пропущено","✖ ","⏰ "))&amp;IF(C1303="","",RIGHT("0"&amp;HOUR(C1303),2)&amp;":"&amp;RIGHT("0"&amp;MINUTE(C1303),2)&amp;IF(D1303="","","–"&amp;RIGHT("0"&amp;HOUR(D1303),2)&amp;":"&amp;RIGHT("0"&amp;MINUTE(D1303),2))&amp;" ")&amp;F1303)</f>
        <v/>
      </c>
      <c r="N1303" s="54">
        <f>IF(OR(A1303="",F1303=""),"",A1303&amp;"#"&amp;(COUNTIFS($A$5:$A$3004,A1303,$F$5:$F$3004,"?*",$O$5:$O$3004,"&lt;"&amp;O1303)+COUNTIFS($A$5:A1303,A1303,$F$5:F1303,"?*",$O$5:O1303,O1303)))</f>
        <v/>
      </c>
      <c r="O1303" s="54">
        <f>IF(A1303="","",IF(C1303="",0,C1303))</f>
        <v/>
      </c>
    </row>
    <row r="1304">
      <c r="A1304" s="58" t="n"/>
      <c r="B1304" s="49">
        <f>IF(A1304="","",CHOOSE(WEEKDAY(A1304,2),"Пн","Вт","Ср","Чт","Пт","Сб","Вс"))</f>
        <v/>
      </c>
      <c r="C1304" s="59" t="n"/>
      <c r="D1304" s="59" t="n"/>
      <c r="E1304" s="60">
        <f>IF(OR(C1304="",D1304=""),"",MOD(D1304-C1304,1)*24)</f>
        <v/>
      </c>
      <c r="F1304" s="50" t="n"/>
      <c r="G1304" s="51" t="n"/>
      <c r="H1304" s="51" t="n"/>
      <c r="I1304" s="51" t="n"/>
      <c r="J1304" s="51" t="n"/>
      <c r="K1304" s="51" t="n"/>
      <c r="L1304" s="54">
        <f>IF(OR(A1304="",C1304="",D1304=""),"",IF(COUNTIFS($A$5:$A$3004,A1304,$C$5:$C$3004,"&lt;"&amp;D1304,$D$5:$D$3004,"&gt;"&amp;C1304)&gt;1,"⚠️ пересечение",""))</f>
        <v/>
      </c>
      <c r="M1304" s="54">
        <f>IF(F1304="","",IF(J1304="✅ Сделано","✔ ",IF(J1304="❌ Пропущено","✖ ","⏰ "))&amp;IF(C1304="","",RIGHT("0"&amp;HOUR(C1304),2)&amp;":"&amp;RIGHT("0"&amp;MINUTE(C1304),2)&amp;IF(D1304="","","–"&amp;RIGHT("0"&amp;HOUR(D1304),2)&amp;":"&amp;RIGHT("0"&amp;MINUTE(D1304),2))&amp;" ")&amp;F1304)</f>
        <v/>
      </c>
      <c r="N1304" s="54">
        <f>IF(OR(A1304="",F1304=""),"",A1304&amp;"#"&amp;(COUNTIFS($A$5:$A$3004,A1304,$F$5:$F$3004,"?*",$O$5:$O$3004,"&lt;"&amp;O1304)+COUNTIFS($A$5:A1304,A1304,$F$5:F1304,"?*",$O$5:O1304,O1304)))</f>
        <v/>
      </c>
      <c r="O1304" s="54">
        <f>IF(A1304="","",IF(C1304="",0,C1304))</f>
        <v/>
      </c>
    </row>
    <row r="1305">
      <c r="A1305" s="58" t="n"/>
      <c r="B1305" s="49">
        <f>IF(A1305="","",CHOOSE(WEEKDAY(A1305,2),"Пн","Вт","Ср","Чт","Пт","Сб","Вс"))</f>
        <v/>
      </c>
      <c r="C1305" s="59" t="n"/>
      <c r="D1305" s="59" t="n"/>
      <c r="E1305" s="60">
        <f>IF(OR(C1305="",D1305=""),"",MOD(D1305-C1305,1)*24)</f>
        <v/>
      </c>
      <c r="F1305" s="50" t="n"/>
      <c r="G1305" s="51" t="n"/>
      <c r="H1305" s="51" t="n"/>
      <c r="I1305" s="51" t="n"/>
      <c r="J1305" s="51" t="n"/>
      <c r="K1305" s="51" t="n"/>
      <c r="L1305" s="54">
        <f>IF(OR(A1305="",C1305="",D1305=""),"",IF(COUNTIFS($A$5:$A$3004,A1305,$C$5:$C$3004,"&lt;"&amp;D1305,$D$5:$D$3004,"&gt;"&amp;C1305)&gt;1,"⚠️ пересечение",""))</f>
        <v/>
      </c>
      <c r="M1305" s="54">
        <f>IF(F1305="","",IF(J1305="✅ Сделано","✔ ",IF(J1305="❌ Пропущено","✖ ","⏰ "))&amp;IF(C1305="","",RIGHT("0"&amp;HOUR(C1305),2)&amp;":"&amp;RIGHT("0"&amp;MINUTE(C1305),2)&amp;IF(D1305="","","–"&amp;RIGHT("0"&amp;HOUR(D1305),2)&amp;":"&amp;RIGHT("0"&amp;MINUTE(D1305),2))&amp;" ")&amp;F1305)</f>
        <v/>
      </c>
      <c r="N1305" s="54">
        <f>IF(OR(A1305="",F1305=""),"",A1305&amp;"#"&amp;(COUNTIFS($A$5:$A$3004,A1305,$F$5:$F$3004,"?*",$O$5:$O$3004,"&lt;"&amp;O1305)+COUNTIFS($A$5:A1305,A1305,$F$5:F1305,"?*",$O$5:O1305,O1305)))</f>
        <v/>
      </c>
      <c r="O1305" s="54">
        <f>IF(A1305="","",IF(C1305="",0,C1305))</f>
        <v/>
      </c>
    </row>
    <row r="1306">
      <c r="A1306" s="58" t="n"/>
      <c r="B1306" s="49">
        <f>IF(A1306="","",CHOOSE(WEEKDAY(A1306,2),"Пн","Вт","Ср","Чт","Пт","Сб","Вс"))</f>
        <v/>
      </c>
      <c r="C1306" s="59" t="n"/>
      <c r="D1306" s="59" t="n"/>
      <c r="E1306" s="60">
        <f>IF(OR(C1306="",D1306=""),"",MOD(D1306-C1306,1)*24)</f>
        <v/>
      </c>
      <c r="F1306" s="50" t="n"/>
      <c r="G1306" s="51" t="n"/>
      <c r="H1306" s="51" t="n"/>
      <c r="I1306" s="51" t="n"/>
      <c r="J1306" s="51" t="n"/>
      <c r="K1306" s="51" t="n"/>
      <c r="L1306" s="54">
        <f>IF(OR(A1306="",C1306="",D1306=""),"",IF(COUNTIFS($A$5:$A$3004,A1306,$C$5:$C$3004,"&lt;"&amp;D1306,$D$5:$D$3004,"&gt;"&amp;C1306)&gt;1,"⚠️ пересечение",""))</f>
        <v/>
      </c>
      <c r="M1306" s="54">
        <f>IF(F1306="","",IF(J1306="✅ Сделано","✔ ",IF(J1306="❌ Пропущено","✖ ","⏰ "))&amp;IF(C1306="","",RIGHT("0"&amp;HOUR(C1306),2)&amp;":"&amp;RIGHT("0"&amp;MINUTE(C1306),2)&amp;IF(D1306="","","–"&amp;RIGHT("0"&amp;HOUR(D1306),2)&amp;":"&amp;RIGHT("0"&amp;MINUTE(D1306),2))&amp;" ")&amp;F1306)</f>
        <v/>
      </c>
      <c r="N1306" s="54">
        <f>IF(OR(A1306="",F1306=""),"",A1306&amp;"#"&amp;(COUNTIFS($A$5:$A$3004,A1306,$F$5:$F$3004,"?*",$O$5:$O$3004,"&lt;"&amp;O1306)+COUNTIFS($A$5:A1306,A1306,$F$5:F1306,"?*",$O$5:O1306,O1306)))</f>
        <v/>
      </c>
      <c r="O1306" s="54">
        <f>IF(A1306="","",IF(C1306="",0,C1306))</f>
        <v/>
      </c>
    </row>
    <row r="1307">
      <c r="A1307" s="58" t="n"/>
      <c r="B1307" s="49">
        <f>IF(A1307="","",CHOOSE(WEEKDAY(A1307,2),"Пн","Вт","Ср","Чт","Пт","Сб","Вс"))</f>
        <v/>
      </c>
      <c r="C1307" s="59" t="n"/>
      <c r="D1307" s="59" t="n"/>
      <c r="E1307" s="60">
        <f>IF(OR(C1307="",D1307=""),"",MOD(D1307-C1307,1)*24)</f>
        <v/>
      </c>
      <c r="F1307" s="50" t="n"/>
      <c r="G1307" s="51" t="n"/>
      <c r="H1307" s="51" t="n"/>
      <c r="I1307" s="51" t="n"/>
      <c r="J1307" s="51" t="n"/>
      <c r="K1307" s="51" t="n"/>
      <c r="L1307" s="54">
        <f>IF(OR(A1307="",C1307="",D1307=""),"",IF(COUNTIFS($A$5:$A$3004,A1307,$C$5:$C$3004,"&lt;"&amp;D1307,$D$5:$D$3004,"&gt;"&amp;C1307)&gt;1,"⚠️ пересечение",""))</f>
        <v/>
      </c>
      <c r="M1307" s="54">
        <f>IF(F1307="","",IF(J1307="✅ Сделано","✔ ",IF(J1307="❌ Пропущено","✖ ","⏰ "))&amp;IF(C1307="","",RIGHT("0"&amp;HOUR(C1307),2)&amp;":"&amp;RIGHT("0"&amp;MINUTE(C1307),2)&amp;IF(D1307="","","–"&amp;RIGHT("0"&amp;HOUR(D1307),2)&amp;":"&amp;RIGHT("0"&amp;MINUTE(D1307),2))&amp;" ")&amp;F1307)</f>
        <v/>
      </c>
      <c r="N1307" s="54">
        <f>IF(OR(A1307="",F1307=""),"",A1307&amp;"#"&amp;(COUNTIFS($A$5:$A$3004,A1307,$F$5:$F$3004,"?*",$O$5:$O$3004,"&lt;"&amp;O1307)+COUNTIFS($A$5:A1307,A1307,$F$5:F1307,"?*",$O$5:O1307,O1307)))</f>
        <v/>
      </c>
      <c r="O1307" s="54">
        <f>IF(A1307="","",IF(C1307="",0,C1307))</f>
        <v/>
      </c>
    </row>
    <row r="1308">
      <c r="A1308" s="58" t="n"/>
      <c r="B1308" s="49">
        <f>IF(A1308="","",CHOOSE(WEEKDAY(A1308,2),"Пн","Вт","Ср","Чт","Пт","Сб","Вс"))</f>
        <v/>
      </c>
      <c r="C1308" s="59" t="n"/>
      <c r="D1308" s="59" t="n"/>
      <c r="E1308" s="60">
        <f>IF(OR(C1308="",D1308=""),"",MOD(D1308-C1308,1)*24)</f>
        <v/>
      </c>
      <c r="F1308" s="50" t="n"/>
      <c r="G1308" s="51" t="n"/>
      <c r="H1308" s="51" t="n"/>
      <c r="I1308" s="51" t="n"/>
      <c r="J1308" s="51" t="n"/>
      <c r="K1308" s="51" t="n"/>
      <c r="L1308" s="54">
        <f>IF(OR(A1308="",C1308="",D1308=""),"",IF(COUNTIFS($A$5:$A$3004,A1308,$C$5:$C$3004,"&lt;"&amp;D1308,$D$5:$D$3004,"&gt;"&amp;C1308)&gt;1,"⚠️ пересечение",""))</f>
        <v/>
      </c>
      <c r="M1308" s="54">
        <f>IF(F1308="","",IF(J1308="✅ Сделано","✔ ",IF(J1308="❌ Пропущено","✖ ","⏰ "))&amp;IF(C1308="","",RIGHT("0"&amp;HOUR(C1308),2)&amp;":"&amp;RIGHT("0"&amp;MINUTE(C1308),2)&amp;IF(D1308="","","–"&amp;RIGHT("0"&amp;HOUR(D1308),2)&amp;":"&amp;RIGHT("0"&amp;MINUTE(D1308),2))&amp;" ")&amp;F1308)</f>
        <v/>
      </c>
      <c r="N1308" s="54">
        <f>IF(OR(A1308="",F1308=""),"",A1308&amp;"#"&amp;(COUNTIFS($A$5:$A$3004,A1308,$F$5:$F$3004,"?*",$O$5:$O$3004,"&lt;"&amp;O1308)+COUNTIFS($A$5:A1308,A1308,$F$5:F1308,"?*",$O$5:O1308,O1308)))</f>
        <v/>
      </c>
      <c r="O1308" s="54">
        <f>IF(A1308="","",IF(C1308="",0,C1308))</f>
        <v/>
      </c>
    </row>
    <row r="1309">
      <c r="A1309" s="58" t="n"/>
      <c r="B1309" s="49">
        <f>IF(A1309="","",CHOOSE(WEEKDAY(A1309,2),"Пн","Вт","Ср","Чт","Пт","Сб","Вс"))</f>
        <v/>
      </c>
      <c r="C1309" s="59" t="n"/>
      <c r="D1309" s="59" t="n"/>
      <c r="E1309" s="60">
        <f>IF(OR(C1309="",D1309=""),"",MOD(D1309-C1309,1)*24)</f>
        <v/>
      </c>
      <c r="F1309" s="50" t="n"/>
      <c r="G1309" s="51" t="n"/>
      <c r="H1309" s="51" t="n"/>
      <c r="I1309" s="51" t="n"/>
      <c r="J1309" s="51" t="n"/>
      <c r="K1309" s="51" t="n"/>
      <c r="L1309" s="54">
        <f>IF(OR(A1309="",C1309="",D1309=""),"",IF(COUNTIFS($A$5:$A$3004,A1309,$C$5:$C$3004,"&lt;"&amp;D1309,$D$5:$D$3004,"&gt;"&amp;C1309)&gt;1,"⚠️ пересечение",""))</f>
        <v/>
      </c>
      <c r="M1309" s="54">
        <f>IF(F1309="","",IF(J1309="✅ Сделано","✔ ",IF(J1309="❌ Пропущено","✖ ","⏰ "))&amp;IF(C1309="","",RIGHT("0"&amp;HOUR(C1309),2)&amp;":"&amp;RIGHT("0"&amp;MINUTE(C1309),2)&amp;IF(D1309="","","–"&amp;RIGHT("0"&amp;HOUR(D1309),2)&amp;":"&amp;RIGHT("0"&amp;MINUTE(D1309),2))&amp;" ")&amp;F1309)</f>
        <v/>
      </c>
      <c r="N1309" s="54">
        <f>IF(OR(A1309="",F1309=""),"",A1309&amp;"#"&amp;(COUNTIFS($A$5:$A$3004,A1309,$F$5:$F$3004,"?*",$O$5:$O$3004,"&lt;"&amp;O1309)+COUNTIFS($A$5:A1309,A1309,$F$5:F1309,"?*",$O$5:O1309,O1309)))</f>
        <v/>
      </c>
      <c r="O1309" s="54">
        <f>IF(A1309="","",IF(C1309="",0,C1309))</f>
        <v/>
      </c>
    </row>
    <row r="1310">
      <c r="A1310" s="58" t="n"/>
      <c r="B1310" s="49">
        <f>IF(A1310="","",CHOOSE(WEEKDAY(A1310,2),"Пн","Вт","Ср","Чт","Пт","Сб","Вс"))</f>
        <v/>
      </c>
      <c r="C1310" s="59" t="n"/>
      <c r="D1310" s="59" t="n"/>
      <c r="E1310" s="60">
        <f>IF(OR(C1310="",D1310=""),"",MOD(D1310-C1310,1)*24)</f>
        <v/>
      </c>
      <c r="F1310" s="50" t="n"/>
      <c r="G1310" s="51" t="n"/>
      <c r="H1310" s="51" t="n"/>
      <c r="I1310" s="51" t="n"/>
      <c r="J1310" s="51" t="n"/>
      <c r="K1310" s="51" t="n"/>
      <c r="L1310" s="54">
        <f>IF(OR(A1310="",C1310="",D1310=""),"",IF(COUNTIFS($A$5:$A$3004,A1310,$C$5:$C$3004,"&lt;"&amp;D1310,$D$5:$D$3004,"&gt;"&amp;C1310)&gt;1,"⚠️ пересечение",""))</f>
        <v/>
      </c>
      <c r="M1310" s="54">
        <f>IF(F1310="","",IF(J1310="✅ Сделано","✔ ",IF(J1310="❌ Пропущено","✖ ","⏰ "))&amp;IF(C1310="","",RIGHT("0"&amp;HOUR(C1310),2)&amp;":"&amp;RIGHT("0"&amp;MINUTE(C1310),2)&amp;IF(D1310="","","–"&amp;RIGHT("0"&amp;HOUR(D1310),2)&amp;":"&amp;RIGHT("0"&amp;MINUTE(D1310),2))&amp;" ")&amp;F1310)</f>
        <v/>
      </c>
      <c r="N1310" s="54">
        <f>IF(OR(A1310="",F1310=""),"",A1310&amp;"#"&amp;(COUNTIFS($A$5:$A$3004,A1310,$F$5:$F$3004,"?*",$O$5:$O$3004,"&lt;"&amp;O1310)+COUNTIFS($A$5:A1310,A1310,$F$5:F1310,"?*",$O$5:O1310,O1310)))</f>
        <v/>
      </c>
      <c r="O1310" s="54">
        <f>IF(A1310="","",IF(C1310="",0,C1310))</f>
        <v/>
      </c>
    </row>
    <row r="1311">
      <c r="A1311" s="58" t="n"/>
      <c r="B1311" s="49">
        <f>IF(A1311="","",CHOOSE(WEEKDAY(A1311,2),"Пн","Вт","Ср","Чт","Пт","Сб","Вс"))</f>
        <v/>
      </c>
      <c r="C1311" s="59" t="n"/>
      <c r="D1311" s="59" t="n"/>
      <c r="E1311" s="60">
        <f>IF(OR(C1311="",D1311=""),"",MOD(D1311-C1311,1)*24)</f>
        <v/>
      </c>
      <c r="F1311" s="50" t="n"/>
      <c r="G1311" s="51" t="n"/>
      <c r="H1311" s="51" t="n"/>
      <c r="I1311" s="51" t="n"/>
      <c r="J1311" s="51" t="n"/>
      <c r="K1311" s="51" t="n"/>
      <c r="L1311" s="54">
        <f>IF(OR(A1311="",C1311="",D1311=""),"",IF(COUNTIFS($A$5:$A$3004,A1311,$C$5:$C$3004,"&lt;"&amp;D1311,$D$5:$D$3004,"&gt;"&amp;C1311)&gt;1,"⚠️ пересечение",""))</f>
        <v/>
      </c>
      <c r="M1311" s="54">
        <f>IF(F1311="","",IF(J1311="✅ Сделано","✔ ",IF(J1311="❌ Пропущено","✖ ","⏰ "))&amp;IF(C1311="","",RIGHT("0"&amp;HOUR(C1311),2)&amp;":"&amp;RIGHT("0"&amp;MINUTE(C1311),2)&amp;IF(D1311="","","–"&amp;RIGHT("0"&amp;HOUR(D1311),2)&amp;":"&amp;RIGHT("0"&amp;MINUTE(D1311),2))&amp;" ")&amp;F1311)</f>
        <v/>
      </c>
      <c r="N1311" s="54">
        <f>IF(OR(A1311="",F1311=""),"",A1311&amp;"#"&amp;(COUNTIFS($A$5:$A$3004,A1311,$F$5:$F$3004,"?*",$O$5:$O$3004,"&lt;"&amp;O1311)+COUNTIFS($A$5:A1311,A1311,$F$5:F1311,"?*",$O$5:O1311,O1311)))</f>
        <v/>
      </c>
      <c r="O1311" s="54">
        <f>IF(A1311="","",IF(C1311="",0,C1311))</f>
        <v/>
      </c>
    </row>
    <row r="1312">
      <c r="A1312" s="58" t="n"/>
      <c r="B1312" s="49">
        <f>IF(A1312="","",CHOOSE(WEEKDAY(A1312,2),"Пн","Вт","Ср","Чт","Пт","Сб","Вс"))</f>
        <v/>
      </c>
      <c r="C1312" s="59" t="n"/>
      <c r="D1312" s="59" t="n"/>
      <c r="E1312" s="60">
        <f>IF(OR(C1312="",D1312=""),"",MOD(D1312-C1312,1)*24)</f>
        <v/>
      </c>
      <c r="F1312" s="50" t="n"/>
      <c r="G1312" s="51" t="n"/>
      <c r="H1312" s="51" t="n"/>
      <c r="I1312" s="51" t="n"/>
      <c r="J1312" s="51" t="n"/>
      <c r="K1312" s="51" t="n"/>
      <c r="L1312" s="54">
        <f>IF(OR(A1312="",C1312="",D1312=""),"",IF(COUNTIFS($A$5:$A$3004,A1312,$C$5:$C$3004,"&lt;"&amp;D1312,$D$5:$D$3004,"&gt;"&amp;C1312)&gt;1,"⚠️ пересечение",""))</f>
        <v/>
      </c>
      <c r="M1312" s="54">
        <f>IF(F1312="","",IF(J1312="✅ Сделано","✔ ",IF(J1312="❌ Пропущено","✖ ","⏰ "))&amp;IF(C1312="","",RIGHT("0"&amp;HOUR(C1312),2)&amp;":"&amp;RIGHT("0"&amp;MINUTE(C1312),2)&amp;IF(D1312="","","–"&amp;RIGHT("0"&amp;HOUR(D1312),2)&amp;":"&amp;RIGHT("0"&amp;MINUTE(D1312),2))&amp;" ")&amp;F1312)</f>
        <v/>
      </c>
      <c r="N1312" s="54">
        <f>IF(OR(A1312="",F1312=""),"",A1312&amp;"#"&amp;(COUNTIFS($A$5:$A$3004,A1312,$F$5:$F$3004,"?*",$O$5:$O$3004,"&lt;"&amp;O1312)+COUNTIFS($A$5:A1312,A1312,$F$5:F1312,"?*",$O$5:O1312,O1312)))</f>
        <v/>
      </c>
      <c r="O1312" s="54">
        <f>IF(A1312="","",IF(C1312="",0,C1312))</f>
        <v/>
      </c>
    </row>
    <row r="1313">
      <c r="A1313" s="58" t="n"/>
      <c r="B1313" s="49">
        <f>IF(A1313="","",CHOOSE(WEEKDAY(A1313,2),"Пн","Вт","Ср","Чт","Пт","Сб","Вс"))</f>
        <v/>
      </c>
      <c r="C1313" s="59" t="n"/>
      <c r="D1313" s="59" t="n"/>
      <c r="E1313" s="60">
        <f>IF(OR(C1313="",D1313=""),"",MOD(D1313-C1313,1)*24)</f>
        <v/>
      </c>
      <c r="F1313" s="50" t="n"/>
      <c r="G1313" s="51" t="n"/>
      <c r="H1313" s="51" t="n"/>
      <c r="I1313" s="51" t="n"/>
      <c r="J1313" s="51" t="n"/>
      <c r="K1313" s="51" t="n"/>
      <c r="L1313" s="54">
        <f>IF(OR(A1313="",C1313="",D1313=""),"",IF(COUNTIFS($A$5:$A$3004,A1313,$C$5:$C$3004,"&lt;"&amp;D1313,$D$5:$D$3004,"&gt;"&amp;C1313)&gt;1,"⚠️ пересечение",""))</f>
        <v/>
      </c>
      <c r="M1313" s="54">
        <f>IF(F1313="","",IF(J1313="✅ Сделано","✔ ",IF(J1313="❌ Пропущено","✖ ","⏰ "))&amp;IF(C1313="","",RIGHT("0"&amp;HOUR(C1313),2)&amp;":"&amp;RIGHT("0"&amp;MINUTE(C1313),2)&amp;IF(D1313="","","–"&amp;RIGHT("0"&amp;HOUR(D1313),2)&amp;":"&amp;RIGHT("0"&amp;MINUTE(D1313),2))&amp;" ")&amp;F1313)</f>
        <v/>
      </c>
      <c r="N1313" s="54">
        <f>IF(OR(A1313="",F1313=""),"",A1313&amp;"#"&amp;(COUNTIFS($A$5:$A$3004,A1313,$F$5:$F$3004,"?*",$O$5:$O$3004,"&lt;"&amp;O1313)+COUNTIFS($A$5:A1313,A1313,$F$5:F1313,"?*",$O$5:O1313,O1313)))</f>
        <v/>
      </c>
      <c r="O1313" s="54">
        <f>IF(A1313="","",IF(C1313="",0,C1313))</f>
        <v/>
      </c>
    </row>
    <row r="1314">
      <c r="A1314" s="58" t="n"/>
      <c r="B1314" s="49">
        <f>IF(A1314="","",CHOOSE(WEEKDAY(A1314,2),"Пн","Вт","Ср","Чт","Пт","Сб","Вс"))</f>
        <v/>
      </c>
      <c r="C1314" s="59" t="n"/>
      <c r="D1314" s="59" t="n"/>
      <c r="E1314" s="60">
        <f>IF(OR(C1314="",D1314=""),"",MOD(D1314-C1314,1)*24)</f>
        <v/>
      </c>
      <c r="F1314" s="50" t="n"/>
      <c r="G1314" s="51" t="n"/>
      <c r="H1314" s="51" t="n"/>
      <c r="I1314" s="51" t="n"/>
      <c r="J1314" s="51" t="n"/>
      <c r="K1314" s="51" t="n"/>
      <c r="L1314" s="54">
        <f>IF(OR(A1314="",C1314="",D1314=""),"",IF(COUNTIFS($A$5:$A$3004,A1314,$C$5:$C$3004,"&lt;"&amp;D1314,$D$5:$D$3004,"&gt;"&amp;C1314)&gt;1,"⚠️ пересечение",""))</f>
        <v/>
      </c>
      <c r="M1314" s="54">
        <f>IF(F1314="","",IF(J1314="✅ Сделано","✔ ",IF(J1314="❌ Пропущено","✖ ","⏰ "))&amp;IF(C1314="","",RIGHT("0"&amp;HOUR(C1314),2)&amp;":"&amp;RIGHT("0"&amp;MINUTE(C1314),2)&amp;IF(D1314="","","–"&amp;RIGHT("0"&amp;HOUR(D1314),2)&amp;":"&amp;RIGHT("0"&amp;MINUTE(D1314),2))&amp;" ")&amp;F1314)</f>
        <v/>
      </c>
      <c r="N1314" s="54">
        <f>IF(OR(A1314="",F1314=""),"",A1314&amp;"#"&amp;(COUNTIFS($A$5:$A$3004,A1314,$F$5:$F$3004,"?*",$O$5:$O$3004,"&lt;"&amp;O1314)+COUNTIFS($A$5:A1314,A1314,$F$5:F1314,"?*",$O$5:O1314,O1314)))</f>
        <v/>
      </c>
      <c r="O1314" s="54">
        <f>IF(A1314="","",IF(C1314="",0,C1314))</f>
        <v/>
      </c>
    </row>
    <row r="1315">
      <c r="A1315" s="58" t="n"/>
      <c r="B1315" s="49">
        <f>IF(A1315="","",CHOOSE(WEEKDAY(A1315,2),"Пн","Вт","Ср","Чт","Пт","Сб","Вс"))</f>
        <v/>
      </c>
      <c r="C1315" s="59" t="n"/>
      <c r="D1315" s="59" t="n"/>
      <c r="E1315" s="60">
        <f>IF(OR(C1315="",D1315=""),"",MOD(D1315-C1315,1)*24)</f>
        <v/>
      </c>
      <c r="F1315" s="50" t="n"/>
      <c r="G1315" s="51" t="n"/>
      <c r="H1315" s="51" t="n"/>
      <c r="I1315" s="51" t="n"/>
      <c r="J1315" s="51" t="n"/>
      <c r="K1315" s="51" t="n"/>
      <c r="L1315" s="54">
        <f>IF(OR(A1315="",C1315="",D1315=""),"",IF(COUNTIFS($A$5:$A$3004,A1315,$C$5:$C$3004,"&lt;"&amp;D1315,$D$5:$D$3004,"&gt;"&amp;C1315)&gt;1,"⚠️ пересечение",""))</f>
        <v/>
      </c>
      <c r="M1315" s="54">
        <f>IF(F1315="","",IF(J1315="✅ Сделано","✔ ",IF(J1315="❌ Пропущено","✖ ","⏰ "))&amp;IF(C1315="","",RIGHT("0"&amp;HOUR(C1315),2)&amp;":"&amp;RIGHT("0"&amp;MINUTE(C1315),2)&amp;IF(D1315="","","–"&amp;RIGHT("0"&amp;HOUR(D1315),2)&amp;":"&amp;RIGHT("0"&amp;MINUTE(D1315),2))&amp;" ")&amp;F1315)</f>
        <v/>
      </c>
      <c r="N1315" s="54">
        <f>IF(OR(A1315="",F1315=""),"",A1315&amp;"#"&amp;(COUNTIFS($A$5:$A$3004,A1315,$F$5:$F$3004,"?*",$O$5:$O$3004,"&lt;"&amp;O1315)+COUNTIFS($A$5:A1315,A1315,$F$5:F1315,"?*",$O$5:O1315,O1315)))</f>
        <v/>
      </c>
      <c r="O1315" s="54">
        <f>IF(A1315="","",IF(C1315="",0,C1315))</f>
        <v/>
      </c>
    </row>
    <row r="1316">
      <c r="A1316" s="58" t="n"/>
      <c r="B1316" s="49">
        <f>IF(A1316="","",CHOOSE(WEEKDAY(A1316,2),"Пн","Вт","Ср","Чт","Пт","Сб","Вс"))</f>
        <v/>
      </c>
      <c r="C1316" s="59" t="n"/>
      <c r="D1316" s="59" t="n"/>
      <c r="E1316" s="60">
        <f>IF(OR(C1316="",D1316=""),"",MOD(D1316-C1316,1)*24)</f>
        <v/>
      </c>
      <c r="F1316" s="50" t="n"/>
      <c r="G1316" s="51" t="n"/>
      <c r="H1316" s="51" t="n"/>
      <c r="I1316" s="51" t="n"/>
      <c r="J1316" s="51" t="n"/>
      <c r="K1316" s="51" t="n"/>
      <c r="L1316" s="54">
        <f>IF(OR(A1316="",C1316="",D1316=""),"",IF(COUNTIFS($A$5:$A$3004,A1316,$C$5:$C$3004,"&lt;"&amp;D1316,$D$5:$D$3004,"&gt;"&amp;C1316)&gt;1,"⚠️ пересечение",""))</f>
        <v/>
      </c>
      <c r="M1316" s="54">
        <f>IF(F1316="","",IF(J1316="✅ Сделано","✔ ",IF(J1316="❌ Пропущено","✖ ","⏰ "))&amp;IF(C1316="","",RIGHT("0"&amp;HOUR(C1316),2)&amp;":"&amp;RIGHT("0"&amp;MINUTE(C1316),2)&amp;IF(D1316="","","–"&amp;RIGHT("0"&amp;HOUR(D1316),2)&amp;":"&amp;RIGHT("0"&amp;MINUTE(D1316),2))&amp;" ")&amp;F1316)</f>
        <v/>
      </c>
      <c r="N1316" s="54">
        <f>IF(OR(A1316="",F1316=""),"",A1316&amp;"#"&amp;(COUNTIFS($A$5:$A$3004,A1316,$F$5:$F$3004,"?*",$O$5:$O$3004,"&lt;"&amp;O1316)+COUNTIFS($A$5:A1316,A1316,$F$5:F1316,"?*",$O$5:O1316,O1316)))</f>
        <v/>
      </c>
      <c r="O1316" s="54">
        <f>IF(A1316="","",IF(C1316="",0,C1316))</f>
        <v/>
      </c>
    </row>
    <row r="1317">
      <c r="A1317" s="58" t="n"/>
      <c r="B1317" s="49">
        <f>IF(A1317="","",CHOOSE(WEEKDAY(A1317,2),"Пн","Вт","Ср","Чт","Пт","Сб","Вс"))</f>
        <v/>
      </c>
      <c r="C1317" s="59" t="n"/>
      <c r="D1317" s="59" t="n"/>
      <c r="E1317" s="60">
        <f>IF(OR(C1317="",D1317=""),"",MOD(D1317-C1317,1)*24)</f>
        <v/>
      </c>
      <c r="F1317" s="50" t="n"/>
      <c r="G1317" s="51" t="n"/>
      <c r="H1317" s="51" t="n"/>
      <c r="I1317" s="51" t="n"/>
      <c r="J1317" s="51" t="n"/>
      <c r="K1317" s="51" t="n"/>
      <c r="L1317" s="54">
        <f>IF(OR(A1317="",C1317="",D1317=""),"",IF(COUNTIFS($A$5:$A$3004,A1317,$C$5:$C$3004,"&lt;"&amp;D1317,$D$5:$D$3004,"&gt;"&amp;C1317)&gt;1,"⚠️ пересечение",""))</f>
        <v/>
      </c>
      <c r="M1317" s="54">
        <f>IF(F1317="","",IF(J1317="✅ Сделано","✔ ",IF(J1317="❌ Пропущено","✖ ","⏰ "))&amp;IF(C1317="","",RIGHT("0"&amp;HOUR(C1317),2)&amp;":"&amp;RIGHT("0"&amp;MINUTE(C1317),2)&amp;IF(D1317="","","–"&amp;RIGHT("0"&amp;HOUR(D1317),2)&amp;":"&amp;RIGHT("0"&amp;MINUTE(D1317),2))&amp;" ")&amp;F1317)</f>
        <v/>
      </c>
      <c r="N1317" s="54">
        <f>IF(OR(A1317="",F1317=""),"",A1317&amp;"#"&amp;(COUNTIFS($A$5:$A$3004,A1317,$F$5:$F$3004,"?*",$O$5:$O$3004,"&lt;"&amp;O1317)+COUNTIFS($A$5:A1317,A1317,$F$5:F1317,"?*",$O$5:O1317,O1317)))</f>
        <v/>
      </c>
      <c r="O1317" s="54">
        <f>IF(A1317="","",IF(C1317="",0,C1317))</f>
        <v/>
      </c>
    </row>
    <row r="1318">
      <c r="A1318" s="58" t="n"/>
      <c r="B1318" s="49">
        <f>IF(A1318="","",CHOOSE(WEEKDAY(A1318,2),"Пн","Вт","Ср","Чт","Пт","Сб","Вс"))</f>
        <v/>
      </c>
      <c r="C1318" s="59" t="n"/>
      <c r="D1318" s="59" t="n"/>
      <c r="E1318" s="60">
        <f>IF(OR(C1318="",D1318=""),"",MOD(D1318-C1318,1)*24)</f>
        <v/>
      </c>
      <c r="F1318" s="50" t="n"/>
      <c r="G1318" s="51" t="n"/>
      <c r="H1318" s="51" t="n"/>
      <c r="I1318" s="51" t="n"/>
      <c r="J1318" s="51" t="n"/>
      <c r="K1318" s="51" t="n"/>
      <c r="L1318" s="54">
        <f>IF(OR(A1318="",C1318="",D1318=""),"",IF(COUNTIFS($A$5:$A$3004,A1318,$C$5:$C$3004,"&lt;"&amp;D1318,$D$5:$D$3004,"&gt;"&amp;C1318)&gt;1,"⚠️ пересечение",""))</f>
        <v/>
      </c>
      <c r="M1318" s="54">
        <f>IF(F1318="","",IF(J1318="✅ Сделано","✔ ",IF(J1318="❌ Пропущено","✖ ","⏰ "))&amp;IF(C1318="","",RIGHT("0"&amp;HOUR(C1318),2)&amp;":"&amp;RIGHT("0"&amp;MINUTE(C1318),2)&amp;IF(D1318="","","–"&amp;RIGHT("0"&amp;HOUR(D1318),2)&amp;":"&amp;RIGHT("0"&amp;MINUTE(D1318),2))&amp;" ")&amp;F1318)</f>
        <v/>
      </c>
      <c r="N1318" s="54">
        <f>IF(OR(A1318="",F1318=""),"",A1318&amp;"#"&amp;(COUNTIFS($A$5:$A$3004,A1318,$F$5:$F$3004,"?*",$O$5:$O$3004,"&lt;"&amp;O1318)+COUNTIFS($A$5:A1318,A1318,$F$5:F1318,"?*",$O$5:O1318,O1318)))</f>
        <v/>
      </c>
      <c r="O1318" s="54">
        <f>IF(A1318="","",IF(C1318="",0,C1318))</f>
        <v/>
      </c>
    </row>
    <row r="1319">
      <c r="A1319" s="58" t="n"/>
      <c r="B1319" s="49">
        <f>IF(A1319="","",CHOOSE(WEEKDAY(A1319,2),"Пн","Вт","Ср","Чт","Пт","Сб","Вс"))</f>
        <v/>
      </c>
      <c r="C1319" s="59" t="n"/>
      <c r="D1319" s="59" t="n"/>
      <c r="E1319" s="60">
        <f>IF(OR(C1319="",D1319=""),"",MOD(D1319-C1319,1)*24)</f>
        <v/>
      </c>
      <c r="F1319" s="50" t="n"/>
      <c r="G1319" s="51" t="n"/>
      <c r="H1319" s="51" t="n"/>
      <c r="I1319" s="51" t="n"/>
      <c r="J1319" s="51" t="n"/>
      <c r="K1319" s="51" t="n"/>
      <c r="L1319" s="54">
        <f>IF(OR(A1319="",C1319="",D1319=""),"",IF(COUNTIFS($A$5:$A$3004,A1319,$C$5:$C$3004,"&lt;"&amp;D1319,$D$5:$D$3004,"&gt;"&amp;C1319)&gt;1,"⚠️ пересечение",""))</f>
        <v/>
      </c>
      <c r="M1319" s="54">
        <f>IF(F1319="","",IF(J1319="✅ Сделано","✔ ",IF(J1319="❌ Пропущено","✖ ","⏰ "))&amp;IF(C1319="","",RIGHT("0"&amp;HOUR(C1319),2)&amp;":"&amp;RIGHT("0"&amp;MINUTE(C1319),2)&amp;IF(D1319="","","–"&amp;RIGHT("0"&amp;HOUR(D1319),2)&amp;":"&amp;RIGHT("0"&amp;MINUTE(D1319),2))&amp;" ")&amp;F1319)</f>
        <v/>
      </c>
      <c r="N1319" s="54">
        <f>IF(OR(A1319="",F1319=""),"",A1319&amp;"#"&amp;(COUNTIFS($A$5:$A$3004,A1319,$F$5:$F$3004,"?*",$O$5:$O$3004,"&lt;"&amp;O1319)+COUNTIFS($A$5:A1319,A1319,$F$5:F1319,"?*",$O$5:O1319,O1319)))</f>
        <v/>
      </c>
      <c r="O1319" s="54">
        <f>IF(A1319="","",IF(C1319="",0,C1319))</f>
        <v/>
      </c>
    </row>
    <row r="1320">
      <c r="A1320" s="58" t="n"/>
      <c r="B1320" s="49">
        <f>IF(A1320="","",CHOOSE(WEEKDAY(A1320,2),"Пн","Вт","Ср","Чт","Пт","Сб","Вс"))</f>
        <v/>
      </c>
      <c r="C1320" s="59" t="n"/>
      <c r="D1320" s="59" t="n"/>
      <c r="E1320" s="60">
        <f>IF(OR(C1320="",D1320=""),"",MOD(D1320-C1320,1)*24)</f>
        <v/>
      </c>
      <c r="F1320" s="50" t="n"/>
      <c r="G1320" s="51" t="n"/>
      <c r="H1320" s="51" t="n"/>
      <c r="I1320" s="51" t="n"/>
      <c r="J1320" s="51" t="n"/>
      <c r="K1320" s="51" t="n"/>
      <c r="L1320" s="54">
        <f>IF(OR(A1320="",C1320="",D1320=""),"",IF(COUNTIFS($A$5:$A$3004,A1320,$C$5:$C$3004,"&lt;"&amp;D1320,$D$5:$D$3004,"&gt;"&amp;C1320)&gt;1,"⚠️ пересечение",""))</f>
        <v/>
      </c>
      <c r="M1320" s="54">
        <f>IF(F1320="","",IF(J1320="✅ Сделано","✔ ",IF(J1320="❌ Пропущено","✖ ","⏰ "))&amp;IF(C1320="","",RIGHT("0"&amp;HOUR(C1320),2)&amp;":"&amp;RIGHT("0"&amp;MINUTE(C1320),2)&amp;IF(D1320="","","–"&amp;RIGHT("0"&amp;HOUR(D1320),2)&amp;":"&amp;RIGHT("0"&amp;MINUTE(D1320),2))&amp;" ")&amp;F1320)</f>
        <v/>
      </c>
      <c r="N1320" s="54">
        <f>IF(OR(A1320="",F1320=""),"",A1320&amp;"#"&amp;(COUNTIFS($A$5:$A$3004,A1320,$F$5:$F$3004,"?*",$O$5:$O$3004,"&lt;"&amp;O1320)+COUNTIFS($A$5:A1320,A1320,$F$5:F1320,"?*",$O$5:O1320,O1320)))</f>
        <v/>
      </c>
      <c r="O1320" s="54">
        <f>IF(A1320="","",IF(C1320="",0,C1320))</f>
        <v/>
      </c>
    </row>
    <row r="1321">
      <c r="A1321" s="58" t="n"/>
      <c r="B1321" s="49">
        <f>IF(A1321="","",CHOOSE(WEEKDAY(A1321,2),"Пн","Вт","Ср","Чт","Пт","Сб","Вс"))</f>
        <v/>
      </c>
      <c r="C1321" s="59" t="n"/>
      <c r="D1321" s="59" t="n"/>
      <c r="E1321" s="60">
        <f>IF(OR(C1321="",D1321=""),"",MOD(D1321-C1321,1)*24)</f>
        <v/>
      </c>
      <c r="F1321" s="50" t="n"/>
      <c r="G1321" s="51" t="n"/>
      <c r="H1321" s="51" t="n"/>
      <c r="I1321" s="51" t="n"/>
      <c r="J1321" s="51" t="n"/>
      <c r="K1321" s="51" t="n"/>
      <c r="L1321" s="54">
        <f>IF(OR(A1321="",C1321="",D1321=""),"",IF(COUNTIFS($A$5:$A$3004,A1321,$C$5:$C$3004,"&lt;"&amp;D1321,$D$5:$D$3004,"&gt;"&amp;C1321)&gt;1,"⚠️ пересечение",""))</f>
        <v/>
      </c>
      <c r="M1321" s="54">
        <f>IF(F1321="","",IF(J1321="✅ Сделано","✔ ",IF(J1321="❌ Пропущено","✖ ","⏰ "))&amp;IF(C1321="","",RIGHT("0"&amp;HOUR(C1321),2)&amp;":"&amp;RIGHT("0"&amp;MINUTE(C1321),2)&amp;IF(D1321="","","–"&amp;RIGHT("0"&amp;HOUR(D1321),2)&amp;":"&amp;RIGHT("0"&amp;MINUTE(D1321),2))&amp;" ")&amp;F1321)</f>
        <v/>
      </c>
      <c r="N1321" s="54">
        <f>IF(OR(A1321="",F1321=""),"",A1321&amp;"#"&amp;(COUNTIFS($A$5:$A$3004,A1321,$F$5:$F$3004,"?*",$O$5:$O$3004,"&lt;"&amp;O1321)+COUNTIFS($A$5:A1321,A1321,$F$5:F1321,"?*",$O$5:O1321,O1321)))</f>
        <v/>
      </c>
      <c r="O1321" s="54">
        <f>IF(A1321="","",IF(C1321="",0,C1321))</f>
        <v/>
      </c>
    </row>
    <row r="1322">
      <c r="A1322" s="58" t="n"/>
      <c r="B1322" s="49">
        <f>IF(A1322="","",CHOOSE(WEEKDAY(A1322,2),"Пн","Вт","Ср","Чт","Пт","Сб","Вс"))</f>
        <v/>
      </c>
      <c r="C1322" s="59" t="n"/>
      <c r="D1322" s="59" t="n"/>
      <c r="E1322" s="60">
        <f>IF(OR(C1322="",D1322=""),"",MOD(D1322-C1322,1)*24)</f>
        <v/>
      </c>
      <c r="F1322" s="50" t="n"/>
      <c r="G1322" s="51" t="n"/>
      <c r="H1322" s="51" t="n"/>
      <c r="I1322" s="51" t="n"/>
      <c r="J1322" s="51" t="n"/>
      <c r="K1322" s="51" t="n"/>
      <c r="L1322" s="54">
        <f>IF(OR(A1322="",C1322="",D1322=""),"",IF(COUNTIFS($A$5:$A$3004,A1322,$C$5:$C$3004,"&lt;"&amp;D1322,$D$5:$D$3004,"&gt;"&amp;C1322)&gt;1,"⚠️ пересечение",""))</f>
        <v/>
      </c>
      <c r="M1322" s="54">
        <f>IF(F1322="","",IF(J1322="✅ Сделано","✔ ",IF(J1322="❌ Пропущено","✖ ","⏰ "))&amp;IF(C1322="","",RIGHT("0"&amp;HOUR(C1322),2)&amp;":"&amp;RIGHT("0"&amp;MINUTE(C1322),2)&amp;IF(D1322="","","–"&amp;RIGHT("0"&amp;HOUR(D1322),2)&amp;":"&amp;RIGHT("0"&amp;MINUTE(D1322),2))&amp;" ")&amp;F1322)</f>
        <v/>
      </c>
      <c r="N1322" s="54">
        <f>IF(OR(A1322="",F1322=""),"",A1322&amp;"#"&amp;(COUNTIFS($A$5:$A$3004,A1322,$F$5:$F$3004,"?*",$O$5:$O$3004,"&lt;"&amp;O1322)+COUNTIFS($A$5:A1322,A1322,$F$5:F1322,"?*",$O$5:O1322,O1322)))</f>
        <v/>
      </c>
      <c r="O1322" s="54">
        <f>IF(A1322="","",IF(C1322="",0,C1322))</f>
        <v/>
      </c>
    </row>
    <row r="1323">
      <c r="A1323" s="58" t="n"/>
      <c r="B1323" s="49">
        <f>IF(A1323="","",CHOOSE(WEEKDAY(A1323,2),"Пн","Вт","Ср","Чт","Пт","Сб","Вс"))</f>
        <v/>
      </c>
      <c r="C1323" s="59" t="n"/>
      <c r="D1323" s="59" t="n"/>
      <c r="E1323" s="60">
        <f>IF(OR(C1323="",D1323=""),"",MOD(D1323-C1323,1)*24)</f>
        <v/>
      </c>
      <c r="F1323" s="50" t="n"/>
      <c r="G1323" s="51" t="n"/>
      <c r="H1323" s="51" t="n"/>
      <c r="I1323" s="51" t="n"/>
      <c r="J1323" s="51" t="n"/>
      <c r="K1323" s="51" t="n"/>
      <c r="L1323" s="54">
        <f>IF(OR(A1323="",C1323="",D1323=""),"",IF(COUNTIFS($A$5:$A$3004,A1323,$C$5:$C$3004,"&lt;"&amp;D1323,$D$5:$D$3004,"&gt;"&amp;C1323)&gt;1,"⚠️ пересечение",""))</f>
        <v/>
      </c>
      <c r="M1323" s="54">
        <f>IF(F1323="","",IF(J1323="✅ Сделано","✔ ",IF(J1323="❌ Пропущено","✖ ","⏰ "))&amp;IF(C1323="","",RIGHT("0"&amp;HOUR(C1323),2)&amp;":"&amp;RIGHT("0"&amp;MINUTE(C1323),2)&amp;IF(D1323="","","–"&amp;RIGHT("0"&amp;HOUR(D1323),2)&amp;":"&amp;RIGHT("0"&amp;MINUTE(D1323),2))&amp;" ")&amp;F1323)</f>
        <v/>
      </c>
      <c r="N1323" s="54">
        <f>IF(OR(A1323="",F1323=""),"",A1323&amp;"#"&amp;(COUNTIFS($A$5:$A$3004,A1323,$F$5:$F$3004,"?*",$O$5:$O$3004,"&lt;"&amp;O1323)+COUNTIFS($A$5:A1323,A1323,$F$5:F1323,"?*",$O$5:O1323,O1323)))</f>
        <v/>
      </c>
      <c r="O1323" s="54">
        <f>IF(A1323="","",IF(C1323="",0,C1323))</f>
        <v/>
      </c>
    </row>
    <row r="1324">
      <c r="A1324" s="58" t="n"/>
      <c r="B1324" s="49">
        <f>IF(A1324="","",CHOOSE(WEEKDAY(A1324,2),"Пн","Вт","Ср","Чт","Пт","Сб","Вс"))</f>
        <v/>
      </c>
      <c r="C1324" s="59" t="n"/>
      <c r="D1324" s="59" t="n"/>
      <c r="E1324" s="60">
        <f>IF(OR(C1324="",D1324=""),"",MOD(D1324-C1324,1)*24)</f>
        <v/>
      </c>
      <c r="F1324" s="50" t="n"/>
      <c r="G1324" s="51" t="n"/>
      <c r="H1324" s="51" t="n"/>
      <c r="I1324" s="51" t="n"/>
      <c r="J1324" s="51" t="n"/>
      <c r="K1324" s="51" t="n"/>
      <c r="L1324" s="54">
        <f>IF(OR(A1324="",C1324="",D1324=""),"",IF(COUNTIFS($A$5:$A$3004,A1324,$C$5:$C$3004,"&lt;"&amp;D1324,$D$5:$D$3004,"&gt;"&amp;C1324)&gt;1,"⚠️ пересечение",""))</f>
        <v/>
      </c>
      <c r="M1324" s="54">
        <f>IF(F1324="","",IF(J1324="✅ Сделано","✔ ",IF(J1324="❌ Пропущено","✖ ","⏰ "))&amp;IF(C1324="","",RIGHT("0"&amp;HOUR(C1324),2)&amp;":"&amp;RIGHT("0"&amp;MINUTE(C1324),2)&amp;IF(D1324="","","–"&amp;RIGHT("0"&amp;HOUR(D1324),2)&amp;":"&amp;RIGHT("0"&amp;MINUTE(D1324),2))&amp;" ")&amp;F1324)</f>
        <v/>
      </c>
      <c r="N1324" s="54">
        <f>IF(OR(A1324="",F1324=""),"",A1324&amp;"#"&amp;(COUNTIFS($A$5:$A$3004,A1324,$F$5:$F$3004,"?*",$O$5:$O$3004,"&lt;"&amp;O1324)+COUNTIFS($A$5:A1324,A1324,$F$5:F1324,"?*",$O$5:O1324,O1324)))</f>
        <v/>
      </c>
      <c r="O1324" s="54">
        <f>IF(A1324="","",IF(C1324="",0,C1324))</f>
        <v/>
      </c>
    </row>
    <row r="1325">
      <c r="A1325" s="58" t="n"/>
      <c r="B1325" s="49">
        <f>IF(A1325="","",CHOOSE(WEEKDAY(A1325,2),"Пн","Вт","Ср","Чт","Пт","Сб","Вс"))</f>
        <v/>
      </c>
      <c r="C1325" s="59" t="n"/>
      <c r="D1325" s="59" t="n"/>
      <c r="E1325" s="60">
        <f>IF(OR(C1325="",D1325=""),"",MOD(D1325-C1325,1)*24)</f>
        <v/>
      </c>
      <c r="F1325" s="50" t="n"/>
      <c r="G1325" s="51" t="n"/>
      <c r="H1325" s="51" t="n"/>
      <c r="I1325" s="51" t="n"/>
      <c r="J1325" s="51" t="n"/>
      <c r="K1325" s="51" t="n"/>
      <c r="L1325" s="54">
        <f>IF(OR(A1325="",C1325="",D1325=""),"",IF(COUNTIFS($A$5:$A$3004,A1325,$C$5:$C$3004,"&lt;"&amp;D1325,$D$5:$D$3004,"&gt;"&amp;C1325)&gt;1,"⚠️ пересечение",""))</f>
        <v/>
      </c>
      <c r="M1325" s="54">
        <f>IF(F1325="","",IF(J1325="✅ Сделано","✔ ",IF(J1325="❌ Пропущено","✖ ","⏰ "))&amp;IF(C1325="","",RIGHT("0"&amp;HOUR(C1325),2)&amp;":"&amp;RIGHT("0"&amp;MINUTE(C1325),2)&amp;IF(D1325="","","–"&amp;RIGHT("0"&amp;HOUR(D1325),2)&amp;":"&amp;RIGHT("0"&amp;MINUTE(D1325),2))&amp;" ")&amp;F1325)</f>
        <v/>
      </c>
      <c r="N1325" s="54">
        <f>IF(OR(A1325="",F1325=""),"",A1325&amp;"#"&amp;(COUNTIFS($A$5:$A$3004,A1325,$F$5:$F$3004,"?*",$O$5:$O$3004,"&lt;"&amp;O1325)+COUNTIFS($A$5:A1325,A1325,$F$5:F1325,"?*",$O$5:O1325,O1325)))</f>
        <v/>
      </c>
      <c r="O1325" s="54">
        <f>IF(A1325="","",IF(C1325="",0,C1325))</f>
        <v/>
      </c>
    </row>
    <row r="1326">
      <c r="A1326" s="58" t="n"/>
      <c r="B1326" s="49">
        <f>IF(A1326="","",CHOOSE(WEEKDAY(A1326,2),"Пн","Вт","Ср","Чт","Пт","Сб","Вс"))</f>
        <v/>
      </c>
      <c r="C1326" s="59" t="n"/>
      <c r="D1326" s="59" t="n"/>
      <c r="E1326" s="60">
        <f>IF(OR(C1326="",D1326=""),"",MOD(D1326-C1326,1)*24)</f>
        <v/>
      </c>
      <c r="F1326" s="50" t="n"/>
      <c r="G1326" s="51" t="n"/>
      <c r="H1326" s="51" t="n"/>
      <c r="I1326" s="51" t="n"/>
      <c r="J1326" s="51" t="n"/>
      <c r="K1326" s="51" t="n"/>
      <c r="L1326" s="54">
        <f>IF(OR(A1326="",C1326="",D1326=""),"",IF(COUNTIFS($A$5:$A$3004,A1326,$C$5:$C$3004,"&lt;"&amp;D1326,$D$5:$D$3004,"&gt;"&amp;C1326)&gt;1,"⚠️ пересечение",""))</f>
        <v/>
      </c>
      <c r="M1326" s="54">
        <f>IF(F1326="","",IF(J1326="✅ Сделано","✔ ",IF(J1326="❌ Пропущено","✖ ","⏰ "))&amp;IF(C1326="","",RIGHT("0"&amp;HOUR(C1326),2)&amp;":"&amp;RIGHT("0"&amp;MINUTE(C1326),2)&amp;IF(D1326="","","–"&amp;RIGHT("0"&amp;HOUR(D1326),2)&amp;":"&amp;RIGHT("0"&amp;MINUTE(D1326),2))&amp;" ")&amp;F1326)</f>
        <v/>
      </c>
      <c r="N1326" s="54">
        <f>IF(OR(A1326="",F1326=""),"",A1326&amp;"#"&amp;(COUNTIFS($A$5:$A$3004,A1326,$F$5:$F$3004,"?*",$O$5:$O$3004,"&lt;"&amp;O1326)+COUNTIFS($A$5:A1326,A1326,$F$5:F1326,"?*",$O$5:O1326,O1326)))</f>
        <v/>
      </c>
      <c r="O1326" s="54">
        <f>IF(A1326="","",IF(C1326="",0,C1326))</f>
        <v/>
      </c>
    </row>
    <row r="1327">
      <c r="A1327" s="58" t="n"/>
      <c r="B1327" s="49">
        <f>IF(A1327="","",CHOOSE(WEEKDAY(A1327,2),"Пн","Вт","Ср","Чт","Пт","Сб","Вс"))</f>
        <v/>
      </c>
      <c r="C1327" s="59" t="n"/>
      <c r="D1327" s="59" t="n"/>
      <c r="E1327" s="60">
        <f>IF(OR(C1327="",D1327=""),"",MOD(D1327-C1327,1)*24)</f>
        <v/>
      </c>
      <c r="F1327" s="50" t="n"/>
      <c r="G1327" s="51" t="n"/>
      <c r="H1327" s="51" t="n"/>
      <c r="I1327" s="51" t="n"/>
      <c r="J1327" s="51" t="n"/>
      <c r="K1327" s="51" t="n"/>
      <c r="L1327" s="54">
        <f>IF(OR(A1327="",C1327="",D1327=""),"",IF(COUNTIFS($A$5:$A$3004,A1327,$C$5:$C$3004,"&lt;"&amp;D1327,$D$5:$D$3004,"&gt;"&amp;C1327)&gt;1,"⚠️ пересечение",""))</f>
        <v/>
      </c>
      <c r="M1327" s="54">
        <f>IF(F1327="","",IF(J1327="✅ Сделано","✔ ",IF(J1327="❌ Пропущено","✖ ","⏰ "))&amp;IF(C1327="","",RIGHT("0"&amp;HOUR(C1327),2)&amp;":"&amp;RIGHT("0"&amp;MINUTE(C1327),2)&amp;IF(D1327="","","–"&amp;RIGHT("0"&amp;HOUR(D1327),2)&amp;":"&amp;RIGHT("0"&amp;MINUTE(D1327),2))&amp;" ")&amp;F1327)</f>
        <v/>
      </c>
      <c r="N1327" s="54">
        <f>IF(OR(A1327="",F1327=""),"",A1327&amp;"#"&amp;(COUNTIFS($A$5:$A$3004,A1327,$F$5:$F$3004,"?*",$O$5:$O$3004,"&lt;"&amp;O1327)+COUNTIFS($A$5:A1327,A1327,$F$5:F1327,"?*",$O$5:O1327,O1327)))</f>
        <v/>
      </c>
      <c r="O1327" s="54">
        <f>IF(A1327="","",IF(C1327="",0,C1327))</f>
        <v/>
      </c>
    </row>
    <row r="1328">
      <c r="A1328" s="58" t="n"/>
      <c r="B1328" s="49">
        <f>IF(A1328="","",CHOOSE(WEEKDAY(A1328,2),"Пн","Вт","Ср","Чт","Пт","Сб","Вс"))</f>
        <v/>
      </c>
      <c r="C1328" s="59" t="n"/>
      <c r="D1328" s="59" t="n"/>
      <c r="E1328" s="60">
        <f>IF(OR(C1328="",D1328=""),"",MOD(D1328-C1328,1)*24)</f>
        <v/>
      </c>
      <c r="F1328" s="50" t="n"/>
      <c r="G1328" s="51" t="n"/>
      <c r="H1328" s="51" t="n"/>
      <c r="I1328" s="51" t="n"/>
      <c r="J1328" s="51" t="n"/>
      <c r="K1328" s="51" t="n"/>
      <c r="L1328" s="54">
        <f>IF(OR(A1328="",C1328="",D1328=""),"",IF(COUNTIFS($A$5:$A$3004,A1328,$C$5:$C$3004,"&lt;"&amp;D1328,$D$5:$D$3004,"&gt;"&amp;C1328)&gt;1,"⚠️ пересечение",""))</f>
        <v/>
      </c>
      <c r="M1328" s="54">
        <f>IF(F1328="","",IF(J1328="✅ Сделано","✔ ",IF(J1328="❌ Пропущено","✖ ","⏰ "))&amp;IF(C1328="","",RIGHT("0"&amp;HOUR(C1328),2)&amp;":"&amp;RIGHT("0"&amp;MINUTE(C1328),2)&amp;IF(D1328="","","–"&amp;RIGHT("0"&amp;HOUR(D1328),2)&amp;":"&amp;RIGHT("0"&amp;MINUTE(D1328),2))&amp;" ")&amp;F1328)</f>
        <v/>
      </c>
      <c r="N1328" s="54">
        <f>IF(OR(A1328="",F1328=""),"",A1328&amp;"#"&amp;(COUNTIFS($A$5:$A$3004,A1328,$F$5:$F$3004,"?*",$O$5:$O$3004,"&lt;"&amp;O1328)+COUNTIFS($A$5:A1328,A1328,$F$5:F1328,"?*",$O$5:O1328,O1328)))</f>
        <v/>
      </c>
      <c r="O1328" s="54">
        <f>IF(A1328="","",IF(C1328="",0,C1328))</f>
        <v/>
      </c>
    </row>
    <row r="1329">
      <c r="A1329" s="58" t="n"/>
      <c r="B1329" s="49">
        <f>IF(A1329="","",CHOOSE(WEEKDAY(A1329,2),"Пн","Вт","Ср","Чт","Пт","Сб","Вс"))</f>
        <v/>
      </c>
      <c r="C1329" s="59" t="n"/>
      <c r="D1329" s="59" t="n"/>
      <c r="E1329" s="60">
        <f>IF(OR(C1329="",D1329=""),"",MOD(D1329-C1329,1)*24)</f>
        <v/>
      </c>
      <c r="F1329" s="50" t="n"/>
      <c r="G1329" s="51" t="n"/>
      <c r="H1329" s="51" t="n"/>
      <c r="I1329" s="51" t="n"/>
      <c r="J1329" s="51" t="n"/>
      <c r="K1329" s="51" t="n"/>
      <c r="L1329" s="54">
        <f>IF(OR(A1329="",C1329="",D1329=""),"",IF(COUNTIFS($A$5:$A$3004,A1329,$C$5:$C$3004,"&lt;"&amp;D1329,$D$5:$D$3004,"&gt;"&amp;C1329)&gt;1,"⚠️ пересечение",""))</f>
        <v/>
      </c>
      <c r="M1329" s="54">
        <f>IF(F1329="","",IF(J1329="✅ Сделано","✔ ",IF(J1329="❌ Пропущено","✖ ","⏰ "))&amp;IF(C1329="","",RIGHT("0"&amp;HOUR(C1329),2)&amp;":"&amp;RIGHT("0"&amp;MINUTE(C1329),2)&amp;IF(D1329="","","–"&amp;RIGHT("0"&amp;HOUR(D1329),2)&amp;":"&amp;RIGHT("0"&amp;MINUTE(D1329),2))&amp;" ")&amp;F1329)</f>
        <v/>
      </c>
      <c r="N1329" s="54">
        <f>IF(OR(A1329="",F1329=""),"",A1329&amp;"#"&amp;(COUNTIFS($A$5:$A$3004,A1329,$F$5:$F$3004,"?*",$O$5:$O$3004,"&lt;"&amp;O1329)+COUNTIFS($A$5:A1329,A1329,$F$5:F1329,"?*",$O$5:O1329,O1329)))</f>
        <v/>
      </c>
      <c r="O1329" s="54">
        <f>IF(A1329="","",IF(C1329="",0,C1329))</f>
        <v/>
      </c>
    </row>
    <row r="1330">
      <c r="A1330" s="58" t="n"/>
      <c r="B1330" s="49">
        <f>IF(A1330="","",CHOOSE(WEEKDAY(A1330,2),"Пн","Вт","Ср","Чт","Пт","Сб","Вс"))</f>
        <v/>
      </c>
      <c r="C1330" s="59" t="n"/>
      <c r="D1330" s="59" t="n"/>
      <c r="E1330" s="60">
        <f>IF(OR(C1330="",D1330=""),"",MOD(D1330-C1330,1)*24)</f>
        <v/>
      </c>
      <c r="F1330" s="50" t="n"/>
      <c r="G1330" s="51" t="n"/>
      <c r="H1330" s="51" t="n"/>
      <c r="I1330" s="51" t="n"/>
      <c r="J1330" s="51" t="n"/>
      <c r="K1330" s="51" t="n"/>
      <c r="L1330" s="54">
        <f>IF(OR(A1330="",C1330="",D1330=""),"",IF(COUNTIFS($A$5:$A$3004,A1330,$C$5:$C$3004,"&lt;"&amp;D1330,$D$5:$D$3004,"&gt;"&amp;C1330)&gt;1,"⚠️ пересечение",""))</f>
        <v/>
      </c>
      <c r="M1330" s="54">
        <f>IF(F1330="","",IF(J1330="✅ Сделано","✔ ",IF(J1330="❌ Пропущено","✖ ","⏰ "))&amp;IF(C1330="","",RIGHT("0"&amp;HOUR(C1330),2)&amp;":"&amp;RIGHT("0"&amp;MINUTE(C1330),2)&amp;IF(D1330="","","–"&amp;RIGHT("0"&amp;HOUR(D1330),2)&amp;":"&amp;RIGHT("0"&amp;MINUTE(D1330),2))&amp;" ")&amp;F1330)</f>
        <v/>
      </c>
      <c r="N1330" s="54">
        <f>IF(OR(A1330="",F1330=""),"",A1330&amp;"#"&amp;(COUNTIFS($A$5:$A$3004,A1330,$F$5:$F$3004,"?*",$O$5:$O$3004,"&lt;"&amp;O1330)+COUNTIFS($A$5:A1330,A1330,$F$5:F1330,"?*",$O$5:O1330,O1330)))</f>
        <v/>
      </c>
      <c r="O1330" s="54">
        <f>IF(A1330="","",IF(C1330="",0,C1330))</f>
        <v/>
      </c>
    </row>
    <row r="1331">
      <c r="A1331" s="58" t="n"/>
      <c r="B1331" s="49">
        <f>IF(A1331="","",CHOOSE(WEEKDAY(A1331,2),"Пн","Вт","Ср","Чт","Пт","Сб","Вс"))</f>
        <v/>
      </c>
      <c r="C1331" s="59" t="n"/>
      <c r="D1331" s="59" t="n"/>
      <c r="E1331" s="60">
        <f>IF(OR(C1331="",D1331=""),"",MOD(D1331-C1331,1)*24)</f>
        <v/>
      </c>
      <c r="F1331" s="50" t="n"/>
      <c r="G1331" s="51" t="n"/>
      <c r="H1331" s="51" t="n"/>
      <c r="I1331" s="51" t="n"/>
      <c r="J1331" s="51" t="n"/>
      <c r="K1331" s="51" t="n"/>
      <c r="L1331" s="54">
        <f>IF(OR(A1331="",C1331="",D1331=""),"",IF(COUNTIFS($A$5:$A$3004,A1331,$C$5:$C$3004,"&lt;"&amp;D1331,$D$5:$D$3004,"&gt;"&amp;C1331)&gt;1,"⚠️ пересечение",""))</f>
        <v/>
      </c>
      <c r="M1331" s="54">
        <f>IF(F1331="","",IF(J1331="✅ Сделано","✔ ",IF(J1331="❌ Пропущено","✖ ","⏰ "))&amp;IF(C1331="","",RIGHT("0"&amp;HOUR(C1331),2)&amp;":"&amp;RIGHT("0"&amp;MINUTE(C1331),2)&amp;IF(D1331="","","–"&amp;RIGHT("0"&amp;HOUR(D1331),2)&amp;":"&amp;RIGHT("0"&amp;MINUTE(D1331),2))&amp;" ")&amp;F1331)</f>
        <v/>
      </c>
      <c r="N1331" s="54">
        <f>IF(OR(A1331="",F1331=""),"",A1331&amp;"#"&amp;(COUNTIFS($A$5:$A$3004,A1331,$F$5:$F$3004,"?*",$O$5:$O$3004,"&lt;"&amp;O1331)+COUNTIFS($A$5:A1331,A1331,$F$5:F1331,"?*",$O$5:O1331,O1331)))</f>
        <v/>
      </c>
      <c r="O1331" s="54">
        <f>IF(A1331="","",IF(C1331="",0,C1331))</f>
        <v/>
      </c>
    </row>
    <row r="1332">
      <c r="A1332" s="58" t="n"/>
      <c r="B1332" s="49">
        <f>IF(A1332="","",CHOOSE(WEEKDAY(A1332,2),"Пн","Вт","Ср","Чт","Пт","Сб","Вс"))</f>
        <v/>
      </c>
      <c r="C1332" s="59" t="n"/>
      <c r="D1332" s="59" t="n"/>
      <c r="E1332" s="60">
        <f>IF(OR(C1332="",D1332=""),"",MOD(D1332-C1332,1)*24)</f>
        <v/>
      </c>
      <c r="F1332" s="50" t="n"/>
      <c r="G1332" s="51" t="n"/>
      <c r="H1332" s="51" t="n"/>
      <c r="I1332" s="51" t="n"/>
      <c r="J1332" s="51" t="n"/>
      <c r="K1332" s="51" t="n"/>
      <c r="L1332" s="54">
        <f>IF(OR(A1332="",C1332="",D1332=""),"",IF(COUNTIFS($A$5:$A$3004,A1332,$C$5:$C$3004,"&lt;"&amp;D1332,$D$5:$D$3004,"&gt;"&amp;C1332)&gt;1,"⚠️ пересечение",""))</f>
        <v/>
      </c>
      <c r="M1332" s="54">
        <f>IF(F1332="","",IF(J1332="✅ Сделано","✔ ",IF(J1332="❌ Пропущено","✖ ","⏰ "))&amp;IF(C1332="","",RIGHT("0"&amp;HOUR(C1332),2)&amp;":"&amp;RIGHT("0"&amp;MINUTE(C1332),2)&amp;IF(D1332="","","–"&amp;RIGHT("0"&amp;HOUR(D1332),2)&amp;":"&amp;RIGHT("0"&amp;MINUTE(D1332),2))&amp;" ")&amp;F1332)</f>
        <v/>
      </c>
      <c r="N1332" s="54">
        <f>IF(OR(A1332="",F1332=""),"",A1332&amp;"#"&amp;(COUNTIFS($A$5:$A$3004,A1332,$F$5:$F$3004,"?*",$O$5:$O$3004,"&lt;"&amp;O1332)+COUNTIFS($A$5:A1332,A1332,$F$5:F1332,"?*",$O$5:O1332,O1332)))</f>
        <v/>
      </c>
      <c r="O1332" s="54">
        <f>IF(A1332="","",IF(C1332="",0,C1332))</f>
        <v/>
      </c>
    </row>
    <row r="1333">
      <c r="A1333" s="58" t="n"/>
      <c r="B1333" s="49">
        <f>IF(A1333="","",CHOOSE(WEEKDAY(A1333,2),"Пн","Вт","Ср","Чт","Пт","Сб","Вс"))</f>
        <v/>
      </c>
      <c r="C1333" s="59" t="n"/>
      <c r="D1333" s="59" t="n"/>
      <c r="E1333" s="60">
        <f>IF(OR(C1333="",D1333=""),"",MOD(D1333-C1333,1)*24)</f>
        <v/>
      </c>
      <c r="F1333" s="50" t="n"/>
      <c r="G1333" s="51" t="n"/>
      <c r="H1333" s="51" t="n"/>
      <c r="I1333" s="51" t="n"/>
      <c r="J1333" s="51" t="n"/>
      <c r="K1333" s="51" t="n"/>
      <c r="L1333" s="54">
        <f>IF(OR(A1333="",C1333="",D1333=""),"",IF(COUNTIFS($A$5:$A$3004,A1333,$C$5:$C$3004,"&lt;"&amp;D1333,$D$5:$D$3004,"&gt;"&amp;C1333)&gt;1,"⚠️ пересечение",""))</f>
        <v/>
      </c>
      <c r="M1333" s="54">
        <f>IF(F1333="","",IF(J1333="✅ Сделано","✔ ",IF(J1333="❌ Пропущено","✖ ","⏰ "))&amp;IF(C1333="","",RIGHT("0"&amp;HOUR(C1333),2)&amp;":"&amp;RIGHT("0"&amp;MINUTE(C1333),2)&amp;IF(D1333="","","–"&amp;RIGHT("0"&amp;HOUR(D1333),2)&amp;":"&amp;RIGHT("0"&amp;MINUTE(D1333),2))&amp;" ")&amp;F1333)</f>
        <v/>
      </c>
      <c r="N1333" s="54">
        <f>IF(OR(A1333="",F1333=""),"",A1333&amp;"#"&amp;(COUNTIFS($A$5:$A$3004,A1333,$F$5:$F$3004,"?*",$O$5:$O$3004,"&lt;"&amp;O1333)+COUNTIFS($A$5:A1333,A1333,$F$5:F1333,"?*",$O$5:O1333,O1333)))</f>
        <v/>
      </c>
      <c r="O1333" s="54">
        <f>IF(A1333="","",IF(C1333="",0,C1333))</f>
        <v/>
      </c>
    </row>
    <row r="1334">
      <c r="A1334" s="58" t="n"/>
      <c r="B1334" s="49">
        <f>IF(A1334="","",CHOOSE(WEEKDAY(A1334,2),"Пн","Вт","Ср","Чт","Пт","Сб","Вс"))</f>
        <v/>
      </c>
      <c r="C1334" s="59" t="n"/>
      <c r="D1334" s="59" t="n"/>
      <c r="E1334" s="60">
        <f>IF(OR(C1334="",D1334=""),"",MOD(D1334-C1334,1)*24)</f>
        <v/>
      </c>
      <c r="F1334" s="50" t="n"/>
      <c r="G1334" s="51" t="n"/>
      <c r="H1334" s="51" t="n"/>
      <c r="I1334" s="51" t="n"/>
      <c r="J1334" s="51" t="n"/>
      <c r="K1334" s="51" t="n"/>
      <c r="L1334" s="54">
        <f>IF(OR(A1334="",C1334="",D1334=""),"",IF(COUNTIFS($A$5:$A$3004,A1334,$C$5:$C$3004,"&lt;"&amp;D1334,$D$5:$D$3004,"&gt;"&amp;C1334)&gt;1,"⚠️ пересечение",""))</f>
        <v/>
      </c>
      <c r="M1334" s="54">
        <f>IF(F1334="","",IF(J1334="✅ Сделано","✔ ",IF(J1334="❌ Пропущено","✖ ","⏰ "))&amp;IF(C1334="","",RIGHT("0"&amp;HOUR(C1334),2)&amp;":"&amp;RIGHT("0"&amp;MINUTE(C1334),2)&amp;IF(D1334="","","–"&amp;RIGHT("0"&amp;HOUR(D1334),2)&amp;":"&amp;RIGHT("0"&amp;MINUTE(D1334),2))&amp;" ")&amp;F1334)</f>
        <v/>
      </c>
      <c r="N1334" s="54">
        <f>IF(OR(A1334="",F1334=""),"",A1334&amp;"#"&amp;(COUNTIFS($A$5:$A$3004,A1334,$F$5:$F$3004,"?*",$O$5:$O$3004,"&lt;"&amp;O1334)+COUNTIFS($A$5:A1334,A1334,$F$5:F1334,"?*",$O$5:O1334,O1334)))</f>
        <v/>
      </c>
      <c r="O1334" s="54">
        <f>IF(A1334="","",IF(C1334="",0,C1334))</f>
        <v/>
      </c>
    </row>
    <row r="1335">
      <c r="A1335" s="58" t="n"/>
      <c r="B1335" s="49">
        <f>IF(A1335="","",CHOOSE(WEEKDAY(A1335,2),"Пн","Вт","Ср","Чт","Пт","Сб","Вс"))</f>
        <v/>
      </c>
      <c r="C1335" s="59" t="n"/>
      <c r="D1335" s="59" t="n"/>
      <c r="E1335" s="60">
        <f>IF(OR(C1335="",D1335=""),"",MOD(D1335-C1335,1)*24)</f>
        <v/>
      </c>
      <c r="F1335" s="50" t="n"/>
      <c r="G1335" s="51" t="n"/>
      <c r="H1335" s="51" t="n"/>
      <c r="I1335" s="51" t="n"/>
      <c r="J1335" s="51" t="n"/>
      <c r="K1335" s="51" t="n"/>
      <c r="L1335" s="54">
        <f>IF(OR(A1335="",C1335="",D1335=""),"",IF(COUNTIFS($A$5:$A$3004,A1335,$C$5:$C$3004,"&lt;"&amp;D1335,$D$5:$D$3004,"&gt;"&amp;C1335)&gt;1,"⚠️ пересечение",""))</f>
        <v/>
      </c>
      <c r="M1335" s="54">
        <f>IF(F1335="","",IF(J1335="✅ Сделано","✔ ",IF(J1335="❌ Пропущено","✖ ","⏰ "))&amp;IF(C1335="","",RIGHT("0"&amp;HOUR(C1335),2)&amp;":"&amp;RIGHT("0"&amp;MINUTE(C1335),2)&amp;IF(D1335="","","–"&amp;RIGHT("0"&amp;HOUR(D1335),2)&amp;":"&amp;RIGHT("0"&amp;MINUTE(D1335),2))&amp;" ")&amp;F1335)</f>
        <v/>
      </c>
      <c r="N1335" s="54">
        <f>IF(OR(A1335="",F1335=""),"",A1335&amp;"#"&amp;(COUNTIFS($A$5:$A$3004,A1335,$F$5:$F$3004,"?*",$O$5:$O$3004,"&lt;"&amp;O1335)+COUNTIFS($A$5:A1335,A1335,$F$5:F1335,"?*",$O$5:O1335,O1335)))</f>
        <v/>
      </c>
      <c r="O1335" s="54">
        <f>IF(A1335="","",IF(C1335="",0,C1335))</f>
        <v/>
      </c>
    </row>
    <row r="1336">
      <c r="A1336" s="58" t="n"/>
      <c r="B1336" s="49">
        <f>IF(A1336="","",CHOOSE(WEEKDAY(A1336,2),"Пн","Вт","Ср","Чт","Пт","Сб","Вс"))</f>
        <v/>
      </c>
      <c r="C1336" s="59" t="n"/>
      <c r="D1336" s="59" t="n"/>
      <c r="E1336" s="60">
        <f>IF(OR(C1336="",D1336=""),"",MOD(D1336-C1336,1)*24)</f>
        <v/>
      </c>
      <c r="F1336" s="50" t="n"/>
      <c r="G1336" s="51" t="n"/>
      <c r="H1336" s="51" t="n"/>
      <c r="I1336" s="51" t="n"/>
      <c r="J1336" s="51" t="n"/>
      <c r="K1336" s="51" t="n"/>
      <c r="L1336" s="54">
        <f>IF(OR(A1336="",C1336="",D1336=""),"",IF(COUNTIFS($A$5:$A$3004,A1336,$C$5:$C$3004,"&lt;"&amp;D1336,$D$5:$D$3004,"&gt;"&amp;C1336)&gt;1,"⚠️ пересечение",""))</f>
        <v/>
      </c>
      <c r="M1336" s="54">
        <f>IF(F1336="","",IF(J1336="✅ Сделано","✔ ",IF(J1336="❌ Пропущено","✖ ","⏰ "))&amp;IF(C1336="","",RIGHT("0"&amp;HOUR(C1336),2)&amp;":"&amp;RIGHT("0"&amp;MINUTE(C1336),2)&amp;IF(D1336="","","–"&amp;RIGHT("0"&amp;HOUR(D1336),2)&amp;":"&amp;RIGHT("0"&amp;MINUTE(D1336),2))&amp;" ")&amp;F1336)</f>
        <v/>
      </c>
      <c r="N1336" s="54">
        <f>IF(OR(A1336="",F1336=""),"",A1336&amp;"#"&amp;(COUNTIFS($A$5:$A$3004,A1336,$F$5:$F$3004,"?*",$O$5:$O$3004,"&lt;"&amp;O1336)+COUNTIFS($A$5:A1336,A1336,$F$5:F1336,"?*",$O$5:O1336,O1336)))</f>
        <v/>
      </c>
      <c r="O1336" s="54">
        <f>IF(A1336="","",IF(C1336="",0,C1336))</f>
        <v/>
      </c>
    </row>
    <row r="1337">
      <c r="A1337" s="58" t="n"/>
      <c r="B1337" s="49">
        <f>IF(A1337="","",CHOOSE(WEEKDAY(A1337,2),"Пн","Вт","Ср","Чт","Пт","Сб","Вс"))</f>
        <v/>
      </c>
      <c r="C1337" s="59" t="n"/>
      <c r="D1337" s="59" t="n"/>
      <c r="E1337" s="60">
        <f>IF(OR(C1337="",D1337=""),"",MOD(D1337-C1337,1)*24)</f>
        <v/>
      </c>
      <c r="F1337" s="50" t="n"/>
      <c r="G1337" s="51" t="n"/>
      <c r="H1337" s="51" t="n"/>
      <c r="I1337" s="51" t="n"/>
      <c r="J1337" s="51" t="n"/>
      <c r="K1337" s="51" t="n"/>
      <c r="L1337" s="54">
        <f>IF(OR(A1337="",C1337="",D1337=""),"",IF(COUNTIFS($A$5:$A$3004,A1337,$C$5:$C$3004,"&lt;"&amp;D1337,$D$5:$D$3004,"&gt;"&amp;C1337)&gt;1,"⚠️ пересечение",""))</f>
        <v/>
      </c>
      <c r="M1337" s="54">
        <f>IF(F1337="","",IF(J1337="✅ Сделано","✔ ",IF(J1337="❌ Пропущено","✖ ","⏰ "))&amp;IF(C1337="","",RIGHT("0"&amp;HOUR(C1337),2)&amp;":"&amp;RIGHT("0"&amp;MINUTE(C1337),2)&amp;IF(D1337="","","–"&amp;RIGHT("0"&amp;HOUR(D1337),2)&amp;":"&amp;RIGHT("0"&amp;MINUTE(D1337),2))&amp;" ")&amp;F1337)</f>
        <v/>
      </c>
      <c r="N1337" s="54">
        <f>IF(OR(A1337="",F1337=""),"",A1337&amp;"#"&amp;(COUNTIFS($A$5:$A$3004,A1337,$F$5:$F$3004,"?*",$O$5:$O$3004,"&lt;"&amp;O1337)+COUNTIFS($A$5:A1337,A1337,$F$5:F1337,"?*",$O$5:O1337,O1337)))</f>
        <v/>
      </c>
      <c r="O1337" s="54">
        <f>IF(A1337="","",IF(C1337="",0,C1337))</f>
        <v/>
      </c>
    </row>
    <row r="1338">
      <c r="A1338" s="58" t="n"/>
      <c r="B1338" s="49">
        <f>IF(A1338="","",CHOOSE(WEEKDAY(A1338,2),"Пн","Вт","Ср","Чт","Пт","Сб","Вс"))</f>
        <v/>
      </c>
      <c r="C1338" s="59" t="n"/>
      <c r="D1338" s="59" t="n"/>
      <c r="E1338" s="60">
        <f>IF(OR(C1338="",D1338=""),"",MOD(D1338-C1338,1)*24)</f>
        <v/>
      </c>
      <c r="F1338" s="50" t="n"/>
      <c r="G1338" s="51" t="n"/>
      <c r="H1338" s="51" t="n"/>
      <c r="I1338" s="51" t="n"/>
      <c r="J1338" s="51" t="n"/>
      <c r="K1338" s="51" t="n"/>
      <c r="L1338" s="54">
        <f>IF(OR(A1338="",C1338="",D1338=""),"",IF(COUNTIFS($A$5:$A$3004,A1338,$C$5:$C$3004,"&lt;"&amp;D1338,$D$5:$D$3004,"&gt;"&amp;C1338)&gt;1,"⚠️ пересечение",""))</f>
        <v/>
      </c>
      <c r="M1338" s="54">
        <f>IF(F1338="","",IF(J1338="✅ Сделано","✔ ",IF(J1338="❌ Пропущено","✖ ","⏰ "))&amp;IF(C1338="","",RIGHT("0"&amp;HOUR(C1338),2)&amp;":"&amp;RIGHT("0"&amp;MINUTE(C1338),2)&amp;IF(D1338="","","–"&amp;RIGHT("0"&amp;HOUR(D1338),2)&amp;":"&amp;RIGHT("0"&amp;MINUTE(D1338),2))&amp;" ")&amp;F1338)</f>
        <v/>
      </c>
      <c r="N1338" s="54">
        <f>IF(OR(A1338="",F1338=""),"",A1338&amp;"#"&amp;(COUNTIFS($A$5:$A$3004,A1338,$F$5:$F$3004,"?*",$O$5:$O$3004,"&lt;"&amp;O1338)+COUNTIFS($A$5:A1338,A1338,$F$5:F1338,"?*",$O$5:O1338,O1338)))</f>
        <v/>
      </c>
      <c r="O1338" s="54">
        <f>IF(A1338="","",IF(C1338="",0,C1338))</f>
        <v/>
      </c>
    </row>
    <row r="1339">
      <c r="A1339" s="58" t="n"/>
      <c r="B1339" s="49">
        <f>IF(A1339="","",CHOOSE(WEEKDAY(A1339,2),"Пн","Вт","Ср","Чт","Пт","Сб","Вс"))</f>
        <v/>
      </c>
      <c r="C1339" s="59" t="n"/>
      <c r="D1339" s="59" t="n"/>
      <c r="E1339" s="60">
        <f>IF(OR(C1339="",D1339=""),"",MOD(D1339-C1339,1)*24)</f>
        <v/>
      </c>
      <c r="F1339" s="50" t="n"/>
      <c r="G1339" s="51" t="n"/>
      <c r="H1339" s="51" t="n"/>
      <c r="I1339" s="51" t="n"/>
      <c r="J1339" s="51" t="n"/>
      <c r="K1339" s="51" t="n"/>
      <c r="L1339" s="54">
        <f>IF(OR(A1339="",C1339="",D1339=""),"",IF(COUNTIFS($A$5:$A$3004,A1339,$C$5:$C$3004,"&lt;"&amp;D1339,$D$5:$D$3004,"&gt;"&amp;C1339)&gt;1,"⚠️ пересечение",""))</f>
        <v/>
      </c>
      <c r="M1339" s="54">
        <f>IF(F1339="","",IF(J1339="✅ Сделано","✔ ",IF(J1339="❌ Пропущено","✖ ","⏰ "))&amp;IF(C1339="","",RIGHT("0"&amp;HOUR(C1339),2)&amp;":"&amp;RIGHT("0"&amp;MINUTE(C1339),2)&amp;IF(D1339="","","–"&amp;RIGHT("0"&amp;HOUR(D1339),2)&amp;":"&amp;RIGHT("0"&amp;MINUTE(D1339),2))&amp;" ")&amp;F1339)</f>
        <v/>
      </c>
      <c r="N1339" s="54">
        <f>IF(OR(A1339="",F1339=""),"",A1339&amp;"#"&amp;(COUNTIFS($A$5:$A$3004,A1339,$F$5:$F$3004,"?*",$O$5:$O$3004,"&lt;"&amp;O1339)+COUNTIFS($A$5:A1339,A1339,$F$5:F1339,"?*",$O$5:O1339,O1339)))</f>
        <v/>
      </c>
      <c r="O1339" s="54">
        <f>IF(A1339="","",IF(C1339="",0,C1339))</f>
        <v/>
      </c>
    </row>
    <row r="1340">
      <c r="A1340" s="58" t="n"/>
      <c r="B1340" s="49">
        <f>IF(A1340="","",CHOOSE(WEEKDAY(A1340,2),"Пн","Вт","Ср","Чт","Пт","Сб","Вс"))</f>
        <v/>
      </c>
      <c r="C1340" s="59" t="n"/>
      <c r="D1340" s="59" t="n"/>
      <c r="E1340" s="60">
        <f>IF(OR(C1340="",D1340=""),"",MOD(D1340-C1340,1)*24)</f>
        <v/>
      </c>
      <c r="F1340" s="50" t="n"/>
      <c r="G1340" s="51" t="n"/>
      <c r="H1340" s="51" t="n"/>
      <c r="I1340" s="51" t="n"/>
      <c r="J1340" s="51" t="n"/>
      <c r="K1340" s="51" t="n"/>
      <c r="L1340" s="54">
        <f>IF(OR(A1340="",C1340="",D1340=""),"",IF(COUNTIFS($A$5:$A$3004,A1340,$C$5:$C$3004,"&lt;"&amp;D1340,$D$5:$D$3004,"&gt;"&amp;C1340)&gt;1,"⚠️ пересечение",""))</f>
        <v/>
      </c>
      <c r="M1340" s="54">
        <f>IF(F1340="","",IF(J1340="✅ Сделано","✔ ",IF(J1340="❌ Пропущено","✖ ","⏰ "))&amp;IF(C1340="","",RIGHT("0"&amp;HOUR(C1340),2)&amp;":"&amp;RIGHT("0"&amp;MINUTE(C1340),2)&amp;IF(D1340="","","–"&amp;RIGHT("0"&amp;HOUR(D1340),2)&amp;":"&amp;RIGHT("0"&amp;MINUTE(D1340),2))&amp;" ")&amp;F1340)</f>
        <v/>
      </c>
      <c r="N1340" s="54">
        <f>IF(OR(A1340="",F1340=""),"",A1340&amp;"#"&amp;(COUNTIFS($A$5:$A$3004,A1340,$F$5:$F$3004,"?*",$O$5:$O$3004,"&lt;"&amp;O1340)+COUNTIFS($A$5:A1340,A1340,$F$5:F1340,"?*",$O$5:O1340,O1340)))</f>
        <v/>
      </c>
      <c r="O1340" s="54">
        <f>IF(A1340="","",IF(C1340="",0,C1340))</f>
        <v/>
      </c>
    </row>
    <row r="1341">
      <c r="A1341" s="58" t="n"/>
      <c r="B1341" s="49">
        <f>IF(A1341="","",CHOOSE(WEEKDAY(A1341,2),"Пн","Вт","Ср","Чт","Пт","Сб","Вс"))</f>
        <v/>
      </c>
      <c r="C1341" s="59" t="n"/>
      <c r="D1341" s="59" t="n"/>
      <c r="E1341" s="60">
        <f>IF(OR(C1341="",D1341=""),"",MOD(D1341-C1341,1)*24)</f>
        <v/>
      </c>
      <c r="F1341" s="50" t="n"/>
      <c r="G1341" s="51" t="n"/>
      <c r="H1341" s="51" t="n"/>
      <c r="I1341" s="51" t="n"/>
      <c r="J1341" s="51" t="n"/>
      <c r="K1341" s="51" t="n"/>
      <c r="L1341" s="54">
        <f>IF(OR(A1341="",C1341="",D1341=""),"",IF(COUNTIFS($A$5:$A$3004,A1341,$C$5:$C$3004,"&lt;"&amp;D1341,$D$5:$D$3004,"&gt;"&amp;C1341)&gt;1,"⚠️ пересечение",""))</f>
        <v/>
      </c>
      <c r="M1341" s="54">
        <f>IF(F1341="","",IF(J1341="✅ Сделано","✔ ",IF(J1341="❌ Пропущено","✖ ","⏰ "))&amp;IF(C1341="","",RIGHT("0"&amp;HOUR(C1341),2)&amp;":"&amp;RIGHT("0"&amp;MINUTE(C1341),2)&amp;IF(D1341="","","–"&amp;RIGHT("0"&amp;HOUR(D1341),2)&amp;":"&amp;RIGHT("0"&amp;MINUTE(D1341),2))&amp;" ")&amp;F1341)</f>
        <v/>
      </c>
      <c r="N1341" s="54">
        <f>IF(OR(A1341="",F1341=""),"",A1341&amp;"#"&amp;(COUNTIFS($A$5:$A$3004,A1341,$F$5:$F$3004,"?*",$O$5:$O$3004,"&lt;"&amp;O1341)+COUNTIFS($A$5:A1341,A1341,$F$5:F1341,"?*",$O$5:O1341,O1341)))</f>
        <v/>
      </c>
      <c r="O1341" s="54">
        <f>IF(A1341="","",IF(C1341="",0,C1341))</f>
        <v/>
      </c>
    </row>
    <row r="1342">
      <c r="A1342" s="58" t="n"/>
      <c r="B1342" s="49">
        <f>IF(A1342="","",CHOOSE(WEEKDAY(A1342,2),"Пн","Вт","Ср","Чт","Пт","Сб","Вс"))</f>
        <v/>
      </c>
      <c r="C1342" s="59" t="n"/>
      <c r="D1342" s="59" t="n"/>
      <c r="E1342" s="60">
        <f>IF(OR(C1342="",D1342=""),"",MOD(D1342-C1342,1)*24)</f>
        <v/>
      </c>
      <c r="F1342" s="50" t="n"/>
      <c r="G1342" s="51" t="n"/>
      <c r="H1342" s="51" t="n"/>
      <c r="I1342" s="51" t="n"/>
      <c r="J1342" s="51" t="n"/>
      <c r="K1342" s="51" t="n"/>
      <c r="L1342" s="54">
        <f>IF(OR(A1342="",C1342="",D1342=""),"",IF(COUNTIFS($A$5:$A$3004,A1342,$C$5:$C$3004,"&lt;"&amp;D1342,$D$5:$D$3004,"&gt;"&amp;C1342)&gt;1,"⚠️ пересечение",""))</f>
        <v/>
      </c>
      <c r="M1342" s="54">
        <f>IF(F1342="","",IF(J1342="✅ Сделано","✔ ",IF(J1342="❌ Пропущено","✖ ","⏰ "))&amp;IF(C1342="","",RIGHT("0"&amp;HOUR(C1342),2)&amp;":"&amp;RIGHT("0"&amp;MINUTE(C1342),2)&amp;IF(D1342="","","–"&amp;RIGHT("0"&amp;HOUR(D1342),2)&amp;":"&amp;RIGHT("0"&amp;MINUTE(D1342),2))&amp;" ")&amp;F1342)</f>
        <v/>
      </c>
      <c r="N1342" s="54">
        <f>IF(OR(A1342="",F1342=""),"",A1342&amp;"#"&amp;(COUNTIFS($A$5:$A$3004,A1342,$F$5:$F$3004,"?*",$O$5:$O$3004,"&lt;"&amp;O1342)+COUNTIFS($A$5:A1342,A1342,$F$5:F1342,"?*",$O$5:O1342,O1342)))</f>
        <v/>
      </c>
      <c r="O1342" s="54">
        <f>IF(A1342="","",IF(C1342="",0,C1342))</f>
        <v/>
      </c>
    </row>
    <row r="1343">
      <c r="A1343" s="58" t="n"/>
      <c r="B1343" s="49">
        <f>IF(A1343="","",CHOOSE(WEEKDAY(A1343,2),"Пн","Вт","Ср","Чт","Пт","Сб","Вс"))</f>
        <v/>
      </c>
      <c r="C1343" s="59" t="n"/>
      <c r="D1343" s="59" t="n"/>
      <c r="E1343" s="60">
        <f>IF(OR(C1343="",D1343=""),"",MOD(D1343-C1343,1)*24)</f>
        <v/>
      </c>
      <c r="F1343" s="50" t="n"/>
      <c r="G1343" s="51" t="n"/>
      <c r="H1343" s="51" t="n"/>
      <c r="I1343" s="51" t="n"/>
      <c r="J1343" s="51" t="n"/>
      <c r="K1343" s="51" t="n"/>
      <c r="L1343" s="54">
        <f>IF(OR(A1343="",C1343="",D1343=""),"",IF(COUNTIFS($A$5:$A$3004,A1343,$C$5:$C$3004,"&lt;"&amp;D1343,$D$5:$D$3004,"&gt;"&amp;C1343)&gt;1,"⚠️ пересечение",""))</f>
        <v/>
      </c>
      <c r="M1343" s="54">
        <f>IF(F1343="","",IF(J1343="✅ Сделано","✔ ",IF(J1343="❌ Пропущено","✖ ","⏰ "))&amp;IF(C1343="","",RIGHT("0"&amp;HOUR(C1343),2)&amp;":"&amp;RIGHT("0"&amp;MINUTE(C1343),2)&amp;IF(D1343="","","–"&amp;RIGHT("0"&amp;HOUR(D1343),2)&amp;":"&amp;RIGHT("0"&amp;MINUTE(D1343),2))&amp;" ")&amp;F1343)</f>
        <v/>
      </c>
      <c r="N1343" s="54">
        <f>IF(OR(A1343="",F1343=""),"",A1343&amp;"#"&amp;(COUNTIFS($A$5:$A$3004,A1343,$F$5:$F$3004,"?*",$O$5:$O$3004,"&lt;"&amp;O1343)+COUNTIFS($A$5:A1343,A1343,$F$5:F1343,"?*",$O$5:O1343,O1343)))</f>
        <v/>
      </c>
      <c r="O1343" s="54">
        <f>IF(A1343="","",IF(C1343="",0,C1343))</f>
        <v/>
      </c>
    </row>
    <row r="1344">
      <c r="A1344" s="58" t="n"/>
      <c r="B1344" s="49">
        <f>IF(A1344="","",CHOOSE(WEEKDAY(A1344,2),"Пн","Вт","Ср","Чт","Пт","Сб","Вс"))</f>
        <v/>
      </c>
      <c r="C1344" s="59" t="n"/>
      <c r="D1344" s="59" t="n"/>
      <c r="E1344" s="60">
        <f>IF(OR(C1344="",D1344=""),"",MOD(D1344-C1344,1)*24)</f>
        <v/>
      </c>
      <c r="F1344" s="50" t="n"/>
      <c r="G1344" s="51" t="n"/>
      <c r="H1344" s="51" t="n"/>
      <c r="I1344" s="51" t="n"/>
      <c r="J1344" s="51" t="n"/>
      <c r="K1344" s="51" t="n"/>
      <c r="L1344" s="54">
        <f>IF(OR(A1344="",C1344="",D1344=""),"",IF(COUNTIFS($A$5:$A$3004,A1344,$C$5:$C$3004,"&lt;"&amp;D1344,$D$5:$D$3004,"&gt;"&amp;C1344)&gt;1,"⚠️ пересечение",""))</f>
        <v/>
      </c>
      <c r="M1344" s="54">
        <f>IF(F1344="","",IF(J1344="✅ Сделано","✔ ",IF(J1344="❌ Пропущено","✖ ","⏰ "))&amp;IF(C1344="","",RIGHT("0"&amp;HOUR(C1344),2)&amp;":"&amp;RIGHT("0"&amp;MINUTE(C1344),2)&amp;IF(D1344="","","–"&amp;RIGHT("0"&amp;HOUR(D1344),2)&amp;":"&amp;RIGHT("0"&amp;MINUTE(D1344),2))&amp;" ")&amp;F1344)</f>
        <v/>
      </c>
      <c r="N1344" s="54">
        <f>IF(OR(A1344="",F1344=""),"",A1344&amp;"#"&amp;(COUNTIFS($A$5:$A$3004,A1344,$F$5:$F$3004,"?*",$O$5:$O$3004,"&lt;"&amp;O1344)+COUNTIFS($A$5:A1344,A1344,$F$5:F1344,"?*",$O$5:O1344,O1344)))</f>
        <v/>
      </c>
      <c r="O1344" s="54">
        <f>IF(A1344="","",IF(C1344="",0,C1344))</f>
        <v/>
      </c>
    </row>
    <row r="1345">
      <c r="A1345" s="58" t="n"/>
      <c r="B1345" s="49">
        <f>IF(A1345="","",CHOOSE(WEEKDAY(A1345,2),"Пн","Вт","Ср","Чт","Пт","Сб","Вс"))</f>
        <v/>
      </c>
      <c r="C1345" s="59" t="n"/>
      <c r="D1345" s="59" t="n"/>
      <c r="E1345" s="60">
        <f>IF(OR(C1345="",D1345=""),"",MOD(D1345-C1345,1)*24)</f>
        <v/>
      </c>
      <c r="F1345" s="50" t="n"/>
      <c r="G1345" s="51" t="n"/>
      <c r="H1345" s="51" t="n"/>
      <c r="I1345" s="51" t="n"/>
      <c r="J1345" s="51" t="n"/>
      <c r="K1345" s="51" t="n"/>
      <c r="L1345" s="54">
        <f>IF(OR(A1345="",C1345="",D1345=""),"",IF(COUNTIFS($A$5:$A$3004,A1345,$C$5:$C$3004,"&lt;"&amp;D1345,$D$5:$D$3004,"&gt;"&amp;C1345)&gt;1,"⚠️ пересечение",""))</f>
        <v/>
      </c>
      <c r="M1345" s="54">
        <f>IF(F1345="","",IF(J1345="✅ Сделано","✔ ",IF(J1345="❌ Пропущено","✖ ","⏰ "))&amp;IF(C1345="","",RIGHT("0"&amp;HOUR(C1345),2)&amp;":"&amp;RIGHT("0"&amp;MINUTE(C1345),2)&amp;IF(D1345="","","–"&amp;RIGHT("0"&amp;HOUR(D1345),2)&amp;":"&amp;RIGHT("0"&amp;MINUTE(D1345),2))&amp;" ")&amp;F1345)</f>
        <v/>
      </c>
      <c r="N1345" s="54">
        <f>IF(OR(A1345="",F1345=""),"",A1345&amp;"#"&amp;(COUNTIFS($A$5:$A$3004,A1345,$F$5:$F$3004,"?*",$O$5:$O$3004,"&lt;"&amp;O1345)+COUNTIFS($A$5:A1345,A1345,$F$5:F1345,"?*",$O$5:O1345,O1345)))</f>
        <v/>
      </c>
      <c r="O1345" s="54">
        <f>IF(A1345="","",IF(C1345="",0,C1345))</f>
        <v/>
      </c>
    </row>
    <row r="1346">
      <c r="A1346" s="58" t="n"/>
      <c r="B1346" s="49">
        <f>IF(A1346="","",CHOOSE(WEEKDAY(A1346,2),"Пн","Вт","Ср","Чт","Пт","Сб","Вс"))</f>
        <v/>
      </c>
      <c r="C1346" s="59" t="n"/>
      <c r="D1346" s="59" t="n"/>
      <c r="E1346" s="60">
        <f>IF(OR(C1346="",D1346=""),"",MOD(D1346-C1346,1)*24)</f>
        <v/>
      </c>
      <c r="F1346" s="50" t="n"/>
      <c r="G1346" s="51" t="n"/>
      <c r="H1346" s="51" t="n"/>
      <c r="I1346" s="51" t="n"/>
      <c r="J1346" s="51" t="n"/>
      <c r="K1346" s="51" t="n"/>
      <c r="L1346" s="54">
        <f>IF(OR(A1346="",C1346="",D1346=""),"",IF(COUNTIFS($A$5:$A$3004,A1346,$C$5:$C$3004,"&lt;"&amp;D1346,$D$5:$D$3004,"&gt;"&amp;C1346)&gt;1,"⚠️ пересечение",""))</f>
        <v/>
      </c>
      <c r="M1346" s="54">
        <f>IF(F1346="","",IF(J1346="✅ Сделано","✔ ",IF(J1346="❌ Пропущено","✖ ","⏰ "))&amp;IF(C1346="","",RIGHT("0"&amp;HOUR(C1346),2)&amp;":"&amp;RIGHT("0"&amp;MINUTE(C1346),2)&amp;IF(D1346="","","–"&amp;RIGHT("0"&amp;HOUR(D1346),2)&amp;":"&amp;RIGHT("0"&amp;MINUTE(D1346),2))&amp;" ")&amp;F1346)</f>
        <v/>
      </c>
      <c r="N1346" s="54">
        <f>IF(OR(A1346="",F1346=""),"",A1346&amp;"#"&amp;(COUNTIFS($A$5:$A$3004,A1346,$F$5:$F$3004,"?*",$O$5:$O$3004,"&lt;"&amp;O1346)+COUNTIFS($A$5:A1346,A1346,$F$5:F1346,"?*",$O$5:O1346,O1346)))</f>
        <v/>
      </c>
      <c r="O1346" s="54">
        <f>IF(A1346="","",IF(C1346="",0,C1346))</f>
        <v/>
      </c>
    </row>
    <row r="1347">
      <c r="A1347" s="58" t="n"/>
      <c r="B1347" s="49">
        <f>IF(A1347="","",CHOOSE(WEEKDAY(A1347,2),"Пн","Вт","Ср","Чт","Пт","Сб","Вс"))</f>
        <v/>
      </c>
      <c r="C1347" s="59" t="n"/>
      <c r="D1347" s="59" t="n"/>
      <c r="E1347" s="60">
        <f>IF(OR(C1347="",D1347=""),"",MOD(D1347-C1347,1)*24)</f>
        <v/>
      </c>
      <c r="F1347" s="50" t="n"/>
      <c r="G1347" s="51" t="n"/>
      <c r="H1347" s="51" t="n"/>
      <c r="I1347" s="51" t="n"/>
      <c r="J1347" s="51" t="n"/>
      <c r="K1347" s="51" t="n"/>
      <c r="L1347" s="54">
        <f>IF(OR(A1347="",C1347="",D1347=""),"",IF(COUNTIFS($A$5:$A$3004,A1347,$C$5:$C$3004,"&lt;"&amp;D1347,$D$5:$D$3004,"&gt;"&amp;C1347)&gt;1,"⚠️ пересечение",""))</f>
        <v/>
      </c>
      <c r="M1347" s="54">
        <f>IF(F1347="","",IF(J1347="✅ Сделано","✔ ",IF(J1347="❌ Пропущено","✖ ","⏰ "))&amp;IF(C1347="","",RIGHT("0"&amp;HOUR(C1347),2)&amp;":"&amp;RIGHT("0"&amp;MINUTE(C1347),2)&amp;IF(D1347="","","–"&amp;RIGHT("0"&amp;HOUR(D1347),2)&amp;":"&amp;RIGHT("0"&amp;MINUTE(D1347),2))&amp;" ")&amp;F1347)</f>
        <v/>
      </c>
      <c r="N1347" s="54">
        <f>IF(OR(A1347="",F1347=""),"",A1347&amp;"#"&amp;(COUNTIFS($A$5:$A$3004,A1347,$F$5:$F$3004,"?*",$O$5:$O$3004,"&lt;"&amp;O1347)+COUNTIFS($A$5:A1347,A1347,$F$5:F1347,"?*",$O$5:O1347,O1347)))</f>
        <v/>
      </c>
      <c r="O1347" s="54">
        <f>IF(A1347="","",IF(C1347="",0,C1347))</f>
        <v/>
      </c>
    </row>
    <row r="1348">
      <c r="A1348" s="58" t="n"/>
      <c r="B1348" s="49">
        <f>IF(A1348="","",CHOOSE(WEEKDAY(A1348,2),"Пн","Вт","Ср","Чт","Пт","Сб","Вс"))</f>
        <v/>
      </c>
      <c r="C1348" s="59" t="n"/>
      <c r="D1348" s="59" t="n"/>
      <c r="E1348" s="60">
        <f>IF(OR(C1348="",D1348=""),"",MOD(D1348-C1348,1)*24)</f>
        <v/>
      </c>
      <c r="F1348" s="50" t="n"/>
      <c r="G1348" s="51" t="n"/>
      <c r="H1348" s="51" t="n"/>
      <c r="I1348" s="51" t="n"/>
      <c r="J1348" s="51" t="n"/>
      <c r="K1348" s="51" t="n"/>
      <c r="L1348" s="54">
        <f>IF(OR(A1348="",C1348="",D1348=""),"",IF(COUNTIFS($A$5:$A$3004,A1348,$C$5:$C$3004,"&lt;"&amp;D1348,$D$5:$D$3004,"&gt;"&amp;C1348)&gt;1,"⚠️ пересечение",""))</f>
        <v/>
      </c>
      <c r="M1348" s="54">
        <f>IF(F1348="","",IF(J1348="✅ Сделано","✔ ",IF(J1348="❌ Пропущено","✖ ","⏰ "))&amp;IF(C1348="","",RIGHT("0"&amp;HOUR(C1348),2)&amp;":"&amp;RIGHT("0"&amp;MINUTE(C1348),2)&amp;IF(D1348="","","–"&amp;RIGHT("0"&amp;HOUR(D1348),2)&amp;":"&amp;RIGHT("0"&amp;MINUTE(D1348),2))&amp;" ")&amp;F1348)</f>
        <v/>
      </c>
      <c r="N1348" s="54">
        <f>IF(OR(A1348="",F1348=""),"",A1348&amp;"#"&amp;(COUNTIFS($A$5:$A$3004,A1348,$F$5:$F$3004,"?*",$O$5:$O$3004,"&lt;"&amp;O1348)+COUNTIFS($A$5:A1348,A1348,$F$5:F1348,"?*",$O$5:O1348,O1348)))</f>
        <v/>
      </c>
      <c r="O1348" s="54">
        <f>IF(A1348="","",IF(C1348="",0,C1348))</f>
        <v/>
      </c>
    </row>
    <row r="1349">
      <c r="A1349" s="58" t="n"/>
      <c r="B1349" s="49">
        <f>IF(A1349="","",CHOOSE(WEEKDAY(A1349,2),"Пн","Вт","Ср","Чт","Пт","Сб","Вс"))</f>
        <v/>
      </c>
      <c r="C1349" s="59" t="n"/>
      <c r="D1349" s="59" t="n"/>
      <c r="E1349" s="60">
        <f>IF(OR(C1349="",D1349=""),"",MOD(D1349-C1349,1)*24)</f>
        <v/>
      </c>
      <c r="F1349" s="50" t="n"/>
      <c r="G1349" s="51" t="n"/>
      <c r="H1349" s="51" t="n"/>
      <c r="I1349" s="51" t="n"/>
      <c r="J1349" s="51" t="n"/>
      <c r="K1349" s="51" t="n"/>
      <c r="L1349" s="54">
        <f>IF(OR(A1349="",C1349="",D1349=""),"",IF(COUNTIFS($A$5:$A$3004,A1349,$C$5:$C$3004,"&lt;"&amp;D1349,$D$5:$D$3004,"&gt;"&amp;C1349)&gt;1,"⚠️ пересечение",""))</f>
        <v/>
      </c>
      <c r="M1349" s="54">
        <f>IF(F1349="","",IF(J1349="✅ Сделано","✔ ",IF(J1349="❌ Пропущено","✖ ","⏰ "))&amp;IF(C1349="","",RIGHT("0"&amp;HOUR(C1349),2)&amp;":"&amp;RIGHT("0"&amp;MINUTE(C1349),2)&amp;IF(D1349="","","–"&amp;RIGHT("0"&amp;HOUR(D1349),2)&amp;":"&amp;RIGHT("0"&amp;MINUTE(D1349),2))&amp;" ")&amp;F1349)</f>
        <v/>
      </c>
      <c r="N1349" s="54">
        <f>IF(OR(A1349="",F1349=""),"",A1349&amp;"#"&amp;(COUNTIFS($A$5:$A$3004,A1349,$F$5:$F$3004,"?*",$O$5:$O$3004,"&lt;"&amp;O1349)+COUNTIFS($A$5:A1349,A1349,$F$5:F1349,"?*",$O$5:O1349,O1349)))</f>
        <v/>
      </c>
      <c r="O1349" s="54">
        <f>IF(A1349="","",IF(C1349="",0,C1349))</f>
        <v/>
      </c>
    </row>
    <row r="1350">
      <c r="A1350" s="58" t="n"/>
      <c r="B1350" s="49">
        <f>IF(A1350="","",CHOOSE(WEEKDAY(A1350,2),"Пн","Вт","Ср","Чт","Пт","Сб","Вс"))</f>
        <v/>
      </c>
      <c r="C1350" s="59" t="n"/>
      <c r="D1350" s="59" t="n"/>
      <c r="E1350" s="60">
        <f>IF(OR(C1350="",D1350=""),"",MOD(D1350-C1350,1)*24)</f>
        <v/>
      </c>
      <c r="F1350" s="50" t="n"/>
      <c r="G1350" s="51" t="n"/>
      <c r="H1350" s="51" t="n"/>
      <c r="I1350" s="51" t="n"/>
      <c r="J1350" s="51" t="n"/>
      <c r="K1350" s="51" t="n"/>
      <c r="L1350" s="54">
        <f>IF(OR(A1350="",C1350="",D1350=""),"",IF(COUNTIFS($A$5:$A$3004,A1350,$C$5:$C$3004,"&lt;"&amp;D1350,$D$5:$D$3004,"&gt;"&amp;C1350)&gt;1,"⚠️ пересечение",""))</f>
        <v/>
      </c>
      <c r="M1350" s="54">
        <f>IF(F1350="","",IF(J1350="✅ Сделано","✔ ",IF(J1350="❌ Пропущено","✖ ","⏰ "))&amp;IF(C1350="","",RIGHT("0"&amp;HOUR(C1350),2)&amp;":"&amp;RIGHT("0"&amp;MINUTE(C1350),2)&amp;IF(D1350="","","–"&amp;RIGHT("0"&amp;HOUR(D1350),2)&amp;":"&amp;RIGHT("0"&amp;MINUTE(D1350),2))&amp;" ")&amp;F1350)</f>
        <v/>
      </c>
      <c r="N1350" s="54">
        <f>IF(OR(A1350="",F1350=""),"",A1350&amp;"#"&amp;(COUNTIFS($A$5:$A$3004,A1350,$F$5:$F$3004,"?*",$O$5:$O$3004,"&lt;"&amp;O1350)+COUNTIFS($A$5:A1350,A1350,$F$5:F1350,"?*",$O$5:O1350,O1350)))</f>
        <v/>
      </c>
      <c r="O1350" s="54">
        <f>IF(A1350="","",IF(C1350="",0,C1350))</f>
        <v/>
      </c>
    </row>
    <row r="1351">
      <c r="A1351" s="58" t="n"/>
      <c r="B1351" s="49">
        <f>IF(A1351="","",CHOOSE(WEEKDAY(A1351,2),"Пн","Вт","Ср","Чт","Пт","Сб","Вс"))</f>
        <v/>
      </c>
      <c r="C1351" s="59" t="n"/>
      <c r="D1351" s="59" t="n"/>
      <c r="E1351" s="60">
        <f>IF(OR(C1351="",D1351=""),"",MOD(D1351-C1351,1)*24)</f>
        <v/>
      </c>
      <c r="F1351" s="50" t="n"/>
      <c r="G1351" s="51" t="n"/>
      <c r="H1351" s="51" t="n"/>
      <c r="I1351" s="51" t="n"/>
      <c r="J1351" s="51" t="n"/>
      <c r="K1351" s="51" t="n"/>
      <c r="L1351" s="54">
        <f>IF(OR(A1351="",C1351="",D1351=""),"",IF(COUNTIFS($A$5:$A$3004,A1351,$C$5:$C$3004,"&lt;"&amp;D1351,$D$5:$D$3004,"&gt;"&amp;C1351)&gt;1,"⚠️ пересечение",""))</f>
        <v/>
      </c>
      <c r="M1351" s="54">
        <f>IF(F1351="","",IF(J1351="✅ Сделано","✔ ",IF(J1351="❌ Пропущено","✖ ","⏰ "))&amp;IF(C1351="","",RIGHT("0"&amp;HOUR(C1351),2)&amp;":"&amp;RIGHT("0"&amp;MINUTE(C1351),2)&amp;IF(D1351="","","–"&amp;RIGHT("0"&amp;HOUR(D1351),2)&amp;":"&amp;RIGHT("0"&amp;MINUTE(D1351),2))&amp;" ")&amp;F1351)</f>
        <v/>
      </c>
      <c r="N1351" s="54">
        <f>IF(OR(A1351="",F1351=""),"",A1351&amp;"#"&amp;(COUNTIFS($A$5:$A$3004,A1351,$F$5:$F$3004,"?*",$O$5:$O$3004,"&lt;"&amp;O1351)+COUNTIFS($A$5:A1351,A1351,$F$5:F1351,"?*",$O$5:O1351,O1351)))</f>
        <v/>
      </c>
      <c r="O1351" s="54">
        <f>IF(A1351="","",IF(C1351="",0,C1351))</f>
        <v/>
      </c>
    </row>
    <row r="1352">
      <c r="A1352" s="58" t="n"/>
      <c r="B1352" s="49">
        <f>IF(A1352="","",CHOOSE(WEEKDAY(A1352,2),"Пн","Вт","Ср","Чт","Пт","Сб","Вс"))</f>
        <v/>
      </c>
      <c r="C1352" s="59" t="n"/>
      <c r="D1352" s="59" t="n"/>
      <c r="E1352" s="60">
        <f>IF(OR(C1352="",D1352=""),"",MOD(D1352-C1352,1)*24)</f>
        <v/>
      </c>
      <c r="F1352" s="50" t="n"/>
      <c r="G1352" s="51" t="n"/>
      <c r="H1352" s="51" t="n"/>
      <c r="I1352" s="51" t="n"/>
      <c r="J1352" s="51" t="n"/>
      <c r="K1352" s="51" t="n"/>
      <c r="L1352" s="54">
        <f>IF(OR(A1352="",C1352="",D1352=""),"",IF(COUNTIFS($A$5:$A$3004,A1352,$C$5:$C$3004,"&lt;"&amp;D1352,$D$5:$D$3004,"&gt;"&amp;C1352)&gt;1,"⚠️ пересечение",""))</f>
        <v/>
      </c>
      <c r="M1352" s="54">
        <f>IF(F1352="","",IF(J1352="✅ Сделано","✔ ",IF(J1352="❌ Пропущено","✖ ","⏰ "))&amp;IF(C1352="","",RIGHT("0"&amp;HOUR(C1352),2)&amp;":"&amp;RIGHT("0"&amp;MINUTE(C1352),2)&amp;IF(D1352="","","–"&amp;RIGHT("0"&amp;HOUR(D1352),2)&amp;":"&amp;RIGHT("0"&amp;MINUTE(D1352),2))&amp;" ")&amp;F1352)</f>
        <v/>
      </c>
      <c r="N1352" s="54">
        <f>IF(OR(A1352="",F1352=""),"",A1352&amp;"#"&amp;(COUNTIFS($A$5:$A$3004,A1352,$F$5:$F$3004,"?*",$O$5:$O$3004,"&lt;"&amp;O1352)+COUNTIFS($A$5:A1352,A1352,$F$5:F1352,"?*",$O$5:O1352,O1352)))</f>
        <v/>
      </c>
      <c r="O1352" s="54">
        <f>IF(A1352="","",IF(C1352="",0,C1352))</f>
        <v/>
      </c>
    </row>
    <row r="1353">
      <c r="A1353" s="58" t="n"/>
      <c r="B1353" s="49">
        <f>IF(A1353="","",CHOOSE(WEEKDAY(A1353,2),"Пн","Вт","Ср","Чт","Пт","Сб","Вс"))</f>
        <v/>
      </c>
      <c r="C1353" s="59" t="n"/>
      <c r="D1353" s="59" t="n"/>
      <c r="E1353" s="60">
        <f>IF(OR(C1353="",D1353=""),"",MOD(D1353-C1353,1)*24)</f>
        <v/>
      </c>
      <c r="F1353" s="50" t="n"/>
      <c r="G1353" s="51" t="n"/>
      <c r="H1353" s="51" t="n"/>
      <c r="I1353" s="51" t="n"/>
      <c r="J1353" s="51" t="n"/>
      <c r="K1353" s="51" t="n"/>
      <c r="L1353" s="54">
        <f>IF(OR(A1353="",C1353="",D1353=""),"",IF(COUNTIFS($A$5:$A$3004,A1353,$C$5:$C$3004,"&lt;"&amp;D1353,$D$5:$D$3004,"&gt;"&amp;C1353)&gt;1,"⚠️ пересечение",""))</f>
        <v/>
      </c>
      <c r="M1353" s="54">
        <f>IF(F1353="","",IF(J1353="✅ Сделано","✔ ",IF(J1353="❌ Пропущено","✖ ","⏰ "))&amp;IF(C1353="","",RIGHT("0"&amp;HOUR(C1353),2)&amp;":"&amp;RIGHT("0"&amp;MINUTE(C1353),2)&amp;IF(D1353="","","–"&amp;RIGHT("0"&amp;HOUR(D1353),2)&amp;":"&amp;RIGHT("0"&amp;MINUTE(D1353),2))&amp;" ")&amp;F1353)</f>
        <v/>
      </c>
      <c r="N1353" s="54">
        <f>IF(OR(A1353="",F1353=""),"",A1353&amp;"#"&amp;(COUNTIFS($A$5:$A$3004,A1353,$F$5:$F$3004,"?*",$O$5:$O$3004,"&lt;"&amp;O1353)+COUNTIFS($A$5:A1353,A1353,$F$5:F1353,"?*",$O$5:O1353,O1353)))</f>
        <v/>
      </c>
      <c r="O1353" s="54">
        <f>IF(A1353="","",IF(C1353="",0,C1353))</f>
        <v/>
      </c>
    </row>
    <row r="1354">
      <c r="A1354" s="58" t="n"/>
      <c r="B1354" s="49">
        <f>IF(A1354="","",CHOOSE(WEEKDAY(A1354,2),"Пн","Вт","Ср","Чт","Пт","Сб","Вс"))</f>
        <v/>
      </c>
      <c r="C1354" s="59" t="n"/>
      <c r="D1354" s="59" t="n"/>
      <c r="E1354" s="60">
        <f>IF(OR(C1354="",D1354=""),"",MOD(D1354-C1354,1)*24)</f>
        <v/>
      </c>
      <c r="F1354" s="50" t="n"/>
      <c r="G1354" s="51" t="n"/>
      <c r="H1354" s="51" t="n"/>
      <c r="I1354" s="51" t="n"/>
      <c r="J1354" s="51" t="n"/>
      <c r="K1354" s="51" t="n"/>
      <c r="L1354" s="54">
        <f>IF(OR(A1354="",C1354="",D1354=""),"",IF(COUNTIFS($A$5:$A$3004,A1354,$C$5:$C$3004,"&lt;"&amp;D1354,$D$5:$D$3004,"&gt;"&amp;C1354)&gt;1,"⚠️ пересечение",""))</f>
        <v/>
      </c>
      <c r="M1354" s="54">
        <f>IF(F1354="","",IF(J1354="✅ Сделано","✔ ",IF(J1354="❌ Пропущено","✖ ","⏰ "))&amp;IF(C1354="","",RIGHT("0"&amp;HOUR(C1354),2)&amp;":"&amp;RIGHT("0"&amp;MINUTE(C1354),2)&amp;IF(D1354="","","–"&amp;RIGHT("0"&amp;HOUR(D1354),2)&amp;":"&amp;RIGHT("0"&amp;MINUTE(D1354),2))&amp;" ")&amp;F1354)</f>
        <v/>
      </c>
      <c r="N1354" s="54">
        <f>IF(OR(A1354="",F1354=""),"",A1354&amp;"#"&amp;(COUNTIFS($A$5:$A$3004,A1354,$F$5:$F$3004,"?*",$O$5:$O$3004,"&lt;"&amp;O1354)+COUNTIFS($A$5:A1354,A1354,$F$5:F1354,"?*",$O$5:O1354,O1354)))</f>
        <v/>
      </c>
      <c r="O1354" s="54">
        <f>IF(A1354="","",IF(C1354="",0,C1354))</f>
        <v/>
      </c>
    </row>
    <row r="1355">
      <c r="A1355" s="58" t="n"/>
      <c r="B1355" s="49">
        <f>IF(A1355="","",CHOOSE(WEEKDAY(A1355,2),"Пн","Вт","Ср","Чт","Пт","Сб","Вс"))</f>
        <v/>
      </c>
      <c r="C1355" s="59" t="n"/>
      <c r="D1355" s="59" t="n"/>
      <c r="E1355" s="60">
        <f>IF(OR(C1355="",D1355=""),"",MOD(D1355-C1355,1)*24)</f>
        <v/>
      </c>
      <c r="F1355" s="50" t="n"/>
      <c r="G1355" s="51" t="n"/>
      <c r="H1355" s="51" t="n"/>
      <c r="I1355" s="51" t="n"/>
      <c r="J1355" s="51" t="n"/>
      <c r="K1355" s="51" t="n"/>
      <c r="L1355" s="54">
        <f>IF(OR(A1355="",C1355="",D1355=""),"",IF(COUNTIFS($A$5:$A$3004,A1355,$C$5:$C$3004,"&lt;"&amp;D1355,$D$5:$D$3004,"&gt;"&amp;C1355)&gt;1,"⚠️ пересечение",""))</f>
        <v/>
      </c>
      <c r="M1355" s="54">
        <f>IF(F1355="","",IF(J1355="✅ Сделано","✔ ",IF(J1355="❌ Пропущено","✖ ","⏰ "))&amp;IF(C1355="","",RIGHT("0"&amp;HOUR(C1355),2)&amp;":"&amp;RIGHT("0"&amp;MINUTE(C1355),2)&amp;IF(D1355="","","–"&amp;RIGHT("0"&amp;HOUR(D1355),2)&amp;":"&amp;RIGHT("0"&amp;MINUTE(D1355),2))&amp;" ")&amp;F1355)</f>
        <v/>
      </c>
      <c r="N1355" s="54">
        <f>IF(OR(A1355="",F1355=""),"",A1355&amp;"#"&amp;(COUNTIFS($A$5:$A$3004,A1355,$F$5:$F$3004,"?*",$O$5:$O$3004,"&lt;"&amp;O1355)+COUNTIFS($A$5:A1355,A1355,$F$5:F1355,"?*",$O$5:O1355,O1355)))</f>
        <v/>
      </c>
      <c r="O1355" s="54">
        <f>IF(A1355="","",IF(C1355="",0,C1355))</f>
        <v/>
      </c>
    </row>
    <row r="1356">
      <c r="A1356" s="58" t="n"/>
      <c r="B1356" s="49">
        <f>IF(A1356="","",CHOOSE(WEEKDAY(A1356,2),"Пн","Вт","Ср","Чт","Пт","Сб","Вс"))</f>
        <v/>
      </c>
      <c r="C1356" s="59" t="n"/>
      <c r="D1356" s="59" t="n"/>
      <c r="E1356" s="60">
        <f>IF(OR(C1356="",D1356=""),"",MOD(D1356-C1356,1)*24)</f>
        <v/>
      </c>
      <c r="F1356" s="50" t="n"/>
      <c r="G1356" s="51" t="n"/>
      <c r="H1356" s="51" t="n"/>
      <c r="I1356" s="51" t="n"/>
      <c r="J1356" s="51" t="n"/>
      <c r="K1356" s="51" t="n"/>
      <c r="L1356" s="54">
        <f>IF(OR(A1356="",C1356="",D1356=""),"",IF(COUNTIFS($A$5:$A$3004,A1356,$C$5:$C$3004,"&lt;"&amp;D1356,$D$5:$D$3004,"&gt;"&amp;C1356)&gt;1,"⚠️ пересечение",""))</f>
        <v/>
      </c>
      <c r="M1356" s="54">
        <f>IF(F1356="","",IF(J1356="✅ Сделано","✔ ",IF(J1356="❌ Пропущено","✖ ","⏰ "))&amp;IF(C1356="","",RIGHT("0"&amp;HOUR(C1356),2)&amp;":"&amp;RIGHT("0"&amp;MINUTE(C1356),2)&amp;IF(D1356="","","–"&amp;RIGHT("0"&amp;HOUR(D1356),2)&amp;":"&amp;RIGHT("0"&amp;MINUTE(D1356),2))&amp;" ")&amp;F1356)</f>
        <v/>
      </c>
      <c r="N1356" s="54">
        <f>IF(OR(A1356="",F1356=""),"",A1356&amp;"#"&amp;(COUNTIFS($A$5:$A$3004,A1356,$F$5:$F$3004,"?*",$O$5:$O$3004,"&lt;"&amp;O1356)+COUNTIFS($A$5:A1356,A1356,$F$5:F1356,"?*",$O$5:O1356,O1356)))</f>
        <v/>
      </c>
      <c r="O1356" s="54">
        <f>IF(A1356="","",IF(C1356="",0,C1356))</f>
        <v/>
      </c>
    </row>
    <row r="1357">
      <c r="A1357" s="58" t="n"/>
      <c r="B1357" s="49">
        <f>IF(A1357="","",CHOOSE(WEEKDAY(A1357,2),"Пн","Вт","Ср","Чт","Пт","Сб","Вс"))</f>
        <v/>
      </c>
      <c r="C1357" s="59" t="n"/>
      <c r="D1357" s="59" t="n"/>
      <c r="E1357" s="60">
        <f>IF(OR(C1357="",D1357=""),"",MOD(D1357-C1357,1)*24)</f>
        <v/>
      </c>
      <c r="F1357" s="50" t="n"/>
      <c r="G1357" s="51" t="n"/>
      <c r="H1357" s="51" t="n"/>
      <c r="I1357" s="51" t="n"/>
      <c r="J1357" s="51" t="n"/>
      <c r="K1357" s="51" t="n"/>
      <c r="L1357" s="54">
        <f>IF(OR(A1357="",C1357="",D1357=""),"",IF(COUNTIFS($A$5:$A$3004,A1357,$C$5:$C$3004,"&lt;"&amp;D1357,$D$5:$D$3004,"&gt;"&amp;C1357)&gt;1,"⚠️ пересечение",""))</f>
        <v/>
      </c>
      <c r="M1357" s="54">
        <f>IF(F1357="","",IF(J1357="✅ Сделано","✔ ",IF(J1357="❌ Пропущено","✖ ","⏰ "))&amp;IF(C1357="","",RIGHT("0"&amp;HOUR(C1357),2)&amp;":"&amp;RIGHT("0"&amp;MINUTE(C1357),2)&amp;IF(D1357="","","–"&amp;RIGHT("0"&amp;HOUR(D1357),2)&amp;":"&amp;RIGHT("0"&amp;MINUTE(D1357),2))&amp;" ")&amp;F1357)</f>
        <v/>
      </c>
      <c r="N1357" s="54">
        <f>IF(OR(A1357="",F1357=""),"",A1357&amp;"#"&amp;(COUNTIFS($A$5:$A$3004,A1357,$F$5:$F$3004,"?*",$O$5:$O$3004,"&lt;"&amp;O1357)+COUNTIFS($A$5:A1357,A1357,$F$5:F1357,"?*",$O$5:O1357,O1357)))</f>
        <v/>
      </c>
      <c r="O1357" s="54">
        <f>IF(A1357="","",IF(C1357="",0,C1357))</f>
        <v/>
      </c>
    </row>
    <row r="1358">
      <c r="A1358" s="58" t="n"/>
      <c r="B1358" s="49">
        <f>IF(A1358="","",CHOOSE(WEEKDAY(A1358,2),"Пн","Вт","Ср","Чт","Пт","Сб","Вс"))</f>
        <v/>
      </c>
      <c r="C1358" s="59" t="n"/>
      <c r="D1358" s="59" t="n"/>
      <c r="E1358" s="60">
        <f>IF(OR(C1358="",D1358=""),"",MOD(D1358-C1358,1)*24)</f>
        <v/>
      </c>
      <c r="F1358" s="50" t="n"/>
      <c r="G1358" s="51" t="n"/>
      <c r="H1358" s="51" t="n"/>
      <c r="I1358" s="51" t="n"/>
      <c r="J1358" s="51" t="n"/>
      <c r="K1358" s="51" t="n"/>
      <c r="L1358" s="54">
        <f>IF(OR(A1358="",C1358="",D1358=""),"",IF(COUNTIFS($A$5:$A$3004,A1358,$C$5:$C$3004,"&lt;"&amp;D1358,$D$5:$D$3004,"&gt;"&amp;C1358)&gt;1,"⚠️ пересечение",""))</f>
        <v/>
      </c>
      <c r="M1358" s="54">
        <f>IF(F1358="","",IF(J1358="✅ Сделано","✔ ",IF(J1358="❌ Пропущено","✖ ","⏰ "))&amp;IF(C1358="","",RIGHT("0"&amp;HOUR(C1358),2)&amp;":"&amp;RIGHT("0"&amp;MINUTE(C1358),2)&amp;IF(D1358="","","–"&amp;RIGHT("0"&amp;HOUR(D1358),2)&amp;":"&amp;RIGHT("0"&amp;MINUTE(D1358),2))&amp;" ")&amp;F1358)</f>
        <v/>
      </c>
      <c r="N1358" s="54">
        <f>IF(OR(A1358="",F1358=""),"",A1358&amp;"#"&amp;(COUNTIFS($A$5:$A$3004,A1358,$F$5:$F$3004,"?*",$O$5:$O$3004,"&lt;"&amp;O1358)+COUNTIFS($A$5:A1358,A1358,$F$5:F1358,"?*",$O$5:O1358,O1358)))</f>
        <v/>
      </c>
      <c r="O1358" s="54">
        <f>IF(A1358="","",IF(C1358="",0,C1358))</f>
        <v/>
      </c>
    </row>
    <row r="1359">
      <c r="A1359" s="58" t="n"/>
      <c r="B1359" s="49">
        <f>IF(A1359="","",CHOOSE(WEEKDAY(A1359,2),"Пн","Вт","Ср","Чт","Пт","Сб","Вс"))</f>
        <v/>
      </c>
      <c r="C1359" s="59" t="n"/>
      <c r="D1359" s="59" t="n"/>
      <c r="E1359" s="60">
        <f>IF(OR(C1359="",D1359=""),"",MOD(D1359-C1359,1)*24)</f>
        <v/>
      </c>
      <c r="F1359" s="50" t="n"/>
      <c r="G1359" s="51" t="n"/>
      <c r="H1359" s="51" t="n"/>
      <c r="I1359" s="51" t="n"/>
      <c r="J1359" s="51" t="n"/>
      <c r="K1359" s="51" t="n"/>
      <c r="L1359" s="54">
        <f>IF(OR(A1359="",C1359="",D1359=""),"",IF(COUNTIFS($A$5:$A$3004,A1359,$C$5:$C$3004,"&lt;"&amp;D1359,$D$5:$D$3004,"&gt;"&amp;C1359)&gt;1,"⚠️ пересечение",""))</f>
        <v/>
      </c>
      <c r="M1359" s="54">
        <f>IF(F1359="","",IF(J1359="✅ Сделано","✔ ",IF(J1359="❌ Пропущено","✖ ","⏰ "))&amp;IF(C1359="","",RIGHT("0"&amp;HOUR(C1359),2)&amp;":"&amp;RIGHT("0"&amp;MINUTE(C1359),2)&amp;IF(D1359="","","–"&amp;RIGHT("0"&amp;HOUR(D1359),2)&amp;":"&amp;RIGHT("0"&amp;MINUTE(D1359),2))&amp;" ")&amp;F1359)</f>
        <v/>
      </c>
      <c r="N1359" s="54">
        <f>IF(OR(A1359="",F1359=""),"",A1359&amp;"#"&amp;(COUNTIFS($A$5:$A$3004,A1359,$F$5:$F$3004,"?*",$O$5:$O$3004,"&lt;"&amp;O1359)+COUNTIFS($A$5:A1359,A1359,$F$5:F1359,"?*",$O$5:O1359,O1359)))</f>
        <v/>
      </c>
      <c r="O1359" s="54">
        <f>IF(A1359="","",IF(C1359="",0,C1359))</f>
        <v/>
      </c>
    </row>
    <row r="1360">
      <c r="A1360" s="58" t="n"/>
      <c r="B1360" s="49">
        <f>IF(A1360="","",CHOOSE(WEEKDAY(A1360,2),"Пн","Вт","Ср","Чт","Пт","Сб","Вс"))</f>
        <v/>
      </c>
      <c r="C1360" s="59" t="n"/>
      <c r="D1360" s="59" t="n"/>
      <c r="E1360" s="60">
        <f>IF(OR(C1360="",D1360=""),"",MOD(D1360-C1360,1)*24)</f>
        <v/>
      </c>
      <c r="F1360" s="50" t="n"/>
      <c r="G1360" s="51" t="n"/>
      <c r="H1360" s="51" t="n"/>
      <c r="I1360" s="51" t="n"/>
      <c r="J1360" s="51" t="n"/>
      <c r="K1360" s="51" t="n"/>
      <c r="L1360" s="54">
        <f>IF(OR(A1360="",C1360="",D1360=""),"",IF(COUNTIFS($A$5:$A$3004,A1360,$C$5:$C$3004,"&lt;"&amp;D1360,$D$5:$D$3004,"&gt;"&amp;C1360)&gt;1,"⚠️ пересечение",""))</f>
        <v/>
      </c>
      <c r="M1360" s="54">
        <f>IF(F1360="","",IF(J1360="✅ Сделано","✔ ",IF(J1360="❌ Пропущено","✖ ","⏰ "))&amp;IF(C1360="","",RIGHT("0"&amp;HOUR(C1360),2)&amp;":"&amp;RIGHT("0"&amp;MINUTE(C1360),2)&amp;IF(D1360="","","–"&amp;RIGHT("0"&amp;HOUR(D1360),2)&amp;":"&amp;RIGHT("0"&amp;MINUTE(D1360),2))&amp;" ")&amp;F1360)</f>
        <v/>
      </c>
      <c r="N1360" s="54">
        <f>IF(OR(A1360="",F1360=""),"",A1360&amp;"#"&amp;(COUNTIFS($A$5:$A$3004,A1360,$F$5:$F$3004,"?*",$O$5:$O$3004,"&lt;"&amp;O1360)+COUNTIFS($A$5:A1360,A1360,$F$5:F1360,"?*",$O$5:O1360,O1360)))</f>
        <v/>
      </c>
      <c r="O1360" s="54">
        <f>IF(A1360="","",IF(C1360="",0,C1360))</f>
        <v/>
      </c>
    </row>
    <row r="1361">
      <c r="A1361" s="58" t="n"/>
      <c r="B1361" s="49">
        <f>IF(A1361="","",CHOOSE(WEEKDAY(A1361,2),"Пн","Вт","Ср","Чт","Пт","Сб","Вс"))</f>
        <v/>
      </c>
      <c r="C1361" s="59" t="n"/>
      <c r="D1361" s="59" t="n"/>
      <c r="E1361" s="60">
        <f>IF(OR(C1361="",D1361=""),"",MOD(D1361-C1361,1)*24)</f>
        <v/>
      </c>
      <c r="F1361" s="50" t="n"/>
      <c r="G1361" s="51" t="n"/>
      <c r="H1361" s="51" t="n"/>
      <c r="I1361" s="51" t="n"/>
      <c r="J1361" s="51" t="n"/>
      <c r="K1361" s="51" t="n"/>
      <c r="L1361" s="54">
        <f>IF(OR(A1361="",C1361="",D1361=""),"",IF(COUNTIFS($A$5:$A$3004,A1361,$C$5:$C$3004,"&lt;"&amp;D1361,$D$5:$D$3004,"&gt;"&amp;C1361)&gt;1,"⚠️ пересечение",""))</f>
        <v/>
      </c>
      <c r="M1361" s="54">
        <f>IF(F1361="","",IF(J1361="✅ Сделано","✔ ",IF(J1361="❌ Пропущено","✖ ","⏰ "))&amp;IF(C1361="","",RIGHT("0"&amp;HOUR(C1361),2)&amp;":"&amp;RIGHT("0"&amp;MINUTE(C1361),2)&amp;IF(D1361="","","–"&amp;RIGHT("0"&amp;HOUR(D1361),2)&amp;":"&amp;RIGHT("0"&amp;MINUTE(D1361),2))&amp;" ")&amp;F1361)</f>
        <v/>
      </c>
      <c r="N1361" s="54">
        <f>IF(OR(A1361="",F1361=""),"",A1361&amp;"#"&amp;(COUNTIFS($A$5:$A$3004,A1361,$F$5:$F$3004,"?*",$O$5:$O$3004,"&lt;"&amp;O1361)+COUNTIFS($A$5:A1361,A1361,$F$5:F1361,"?*",$O$5:O1361,O1361)))</f>
        <v/>
      </c>
      <c r="O1361" s="54">
        <f>IF(A1361="","",IF(C1361="",0,C1361))</f>
        <v/>
      </c>
    </row>
    <row r="1362">
      <c r="A1362" s="58" t="n"/>
      <c r="B1362" s="49">
        <f>IF(A1362="","",CHOOSE(WEEKDAY(A1362,2),"Пн","Вт","Ср","Чт","Пт","Сб","Вс"))</f>
        <v/>
      </c>
      <c r="C1362" s="59" t="n"/>
      <c r="D1362" s="59" t="n"/>
      <c r="E1362" s="60">
        <f>IF(OR(C1362="",D1362=""),"",MOD(D1362-C1362,1)*24)</f>
        <v/>
      </c>
      <c r="F1362" s="50" t="n"/>
      <c r="G1362" s="51" t="n"/>
      <c r="H1362" s="51" t="n"/>
      <c r="I1362" s="51" t="n"/>
      <c r="J1362" s="51" t="n"/>
      <c r="K1362" s="51" t="n"/>
      <c r="L1362" s="54">
        <f>IF(OR(A1362="",C1362="",D1362=""),"",IF(COUNTIFS($A$5:$A$3004,A1362,$C$5:$C$3004,"&lt;"&amp;D1362,$D$5:$D$3004,"&gt;"&amp;C1362)&gt;1,"⚠️ пересечение",""))</f>
        <v/>
      </c>
      <c r="M1362" s="54">
        <f>IF(F1362="","",IF(J1362="✅ Сделано","✔ ",IF(J1362="❌ Пропущено","✖ ","⏰ "))&amp;IF(C1362="","",RIGHT("0"&amp;HOUR(C1362),2)&amp;":"&amp;RIGHT("0"&amp;MINUTE(C1362),2)&amp;IF(D1362="","","–"&amp;RIGHT("0"&amp;HOUR(D1362),2)&amp;":"&amp;RIGHT("0"&amp;MINUTE(D1362),2))&amp;" ")&amp;F1362)</f>
        <v/>
      </c>
      <c r="N1362" s="54">
        <f>IF(OR(A1362="",F1362=""),"",A1362&amp;"#"&amp;(COUNTIFS($A$5:$A$3004,A1362,$F$5:$F$3004,"?*",$O$5:$O$3004,"&lt;"&amp;O1362)+COUNTIFS($A$5:A1362,A1362,$F$5:F1362,"?*",$O$5:O1362,O1362)))</f>
        <v/>
      </c>
      <c r="O1362" s="54">
        <f>IF(A1362="","",IF(C1362="",0,C1362))</f>
        <v/>
      </c>
    </row>
    <row r="1363">
      <c r="A1363" s="58" t="n"/>
      <c r="B1363" s="49">
        <f>IF(A1363="","",CHOOSE(WEEKDAY(A1363,2),"Пн","Вт","Ср","Чт","Пт","Сб","Вс"))</f>
        <v/>
      </c>
      <c r="C1363" s="59" t="n"/>
      <c r="D1363" s="59" t="n"/>
      <c r="E1363" s="60">
        <f>IF(OR(C1363="",D1363=""),"",MOD(D1363-C1363,1)*24)</f>
        <v/>
      </c>
      <c r="F1363" s="50" t="n"/>
      <c r="G1363" s="51" t="n"/>
      <c r="H1363" s="51" t="n"/>
      <c r="I1363" s="51" t="n"/>
      <c r="J1363" s="51" t="n"/>
      <c r="K1363" s="51" t="n"/>
      <c r="L1363" s="54">
        <f>IF(OR(A1363="",C1363="",D1363=""),"",IF(COUNTIFS($A$5:$A$3004,A1363,$C$5:$C$3004,"&lt;"&amp;D1363,$D$5:$D$3004,"&gt;"&amp;C1363)&gt;1,"⚠️ пересечение",""))</f>
        <v/>
      </c>
      <c r="M1363" s="54">
        <f>IF(F1363="","",IF(J1363="✅ Сделано","✔ ",IF(J1363="❌ Пропущено","✖ ","⏰ "))&amp;IF(C1363="","",RIGHT("0"&amp;HOUR(C1363),2)&amp;":"&amp;RIGHT("0"&amp;MINUTE(C1363),2)&amp;IF(D1363="","","–"&amp;RIGHT("0"&amp;HOUR(D1363),2)&amp;":"&amp;RIGHT("0"&amp;MINUTE(D1363),2))&amp;" ")&amp;F1363)</f>
        <v/>
      </c>
      <c r="N1363" s="54">
        <f>IF(OR(A1363="",F1363=""),"",A1363&amp;"#"&amp;(COUNTIFS($A$5:$A$3004,A1363,$F$5:$F$3004,"?*",$O$5:$O$3004,"&lt;"&amp;O1363)+COUNTIFS($A$5:A1363,A1363,$F$5:F1363,"?*",$O$5:O1363,O1363)))</f>
        <v/>
      </c>
      <c r="O1363" s="54">
        <f>IF(A1363="","",IF(C1363="",0,C1363))</f>
        <v/>
      </c>
    </row>
    <row r="1364">
      <c r="A1364" s="58" t="n"/>
      <c r="B1364" s="49">
        <f>IF(A1364="","",CHOOSE(WEEKDAY(A1364,2),"Пн","Вт","Ср","Чт","Пт","Сб","Вс"))</f>
        <v/>
      </c>
      <c r="C1364" s="59" t="n"/>
      <c r="D1364" s="59" t="n"/>
      <c r="E1364" s="60">
        <f>IF(OR(C1364="",D1364=""),"",MOD(D1364-C1364,1)*24)</f>
        <v/>
      </c>
      <c r="F1364" s="50" t="n"/>
      <c r="G1364" s="51" t="n"/>
      <c r="H1364" s="51" t="n"/>
      <c r="I1364" s="51" t="n"/>
      <c r="J1364" s="51" t="n"/>
      <c r="K1364" s="51" t="n"/>
      <c r="L1364" s="54">
        <f>IF(OR(A1364="",C1364="",D1364=""),"",IF(COUNTIFS($A$5:$A$3004,A1364,$C$5:$C$3004,"&lt;"&amp;D1364,$D$5:$D$3004,"&gt;"&amp;C1364)&gt;1,"⚠️ пересечение",""))</f>
        <v/>
      </c>
      <c r="M1364" s="54">
        <f>IF(F1364="","",IF(J1364="✅ Сделано","✔ ",IF(J1364="❌ Пропущено","✖ ","⏰ "))&amp;IF(C1364="","",RIGHT("0"&amp;HOUR(C1364),2)&amp;":"&amp;RIGHT("0"&amp;MINUTE(C1364),2)&amp;IF(D1364="","","–"&amp;RIGHT("0"&amp;HOUR(D1364),2)&amp;":"&amp;RIGHT("0"&amp;MINUTE(D1364),2))&amp;" ")&amp;F1364)</f>
        <v/>
      </c>
      <c r="N1364" s="54">
        <f>IF(OR(A1364="",F1364=""),"",A1364&amp;"#"&amp;(COUNTIFS($A$5:$A$3004,A1364,$F$5:$F$3004,"?*",$O$5:$O$3004,"&lt;"&amp;O1364)+COUNTIFS($A$5:A1364,A1364,$F$5:F1364,"?*",$O$5:O1364,O1364)))</f>
        <v/>
      </c>
      <c r="O1364" s="54">
        <f>IF(A1364="","",IF(C1364="",0,C1364))</f>
        <v/>
      </c>
    </row>
    <row r="1365">
      <c r="A1365" s="58" t="n"/>
      <c r="B1365" s="49">
        <f>IF(A1365="","",CHOOSE(WEEKDAY(A1365,2),"Пн","Вт","Ср","Чт","Пт","Сб","Вс"))</f>
        <v/>
      </c>
      <c r="C1365" s="59" t="n"/>
      <c r="D1365" s="59" t="n"/>
      <c r="E1365" s="60">
        <f>IF(OR(C1365="",D1365=""),"",MOD(D1365-C1365,1)*24)</f>
        <v/>
      </c>
      <c r="F1365" s="50" t="n"/>
      <c r="G1365" s="51" t="n"/>
      <c r="H1365" s="51" t="n"/>
      <c r="I1365" s="51" t="n"/>
      <c r="J1365" s="51" t="n"/>
      <c r="K1365" s="51" t="n"/>
      <c r="L1365" s="54">
        <f>IF(OR(A1365="",C1365="",D1365=""),"",IF(COUNTIFS($A$5:$A$3004,A1365,$C$5:$C$3004,"&lt;"&amp;D1365,$D$5:$D$3004,"&gt;"&amp;C1365)&gt;1,"⚠️ пересечение",""))</f>
        <v/>
      </c>
      <c r="M1365" s="54">
        <f>IF(F1365="","",IF(J1365="✅ Сделано","✔ ",IF(J1365="❌ Пропущено","✖ ","⏰ "))&amp;IF(C1365="","",RIGHT("0"&amp;HOUR(C1365),2)&amp;":"&amp;RIGHT("0"&amp;MINUTE(C1365),2)&amp;IF(D1365="","","–"&amp;RIGHT("0"&amp;HOUR(D1365),2)&amp;":"&amp;RIGHT("0"&amp;MINUTE(D1365),2))&amp;" ")&amp;F1365)</f>
        <v/>
      </c>
      <c r="N1365" s="54">
        <f>IF(OR(A1365="",F1365=""),"",A1365&amp;"#"&amp;(COUNTIFS($A$5:$A$3004,A1365,$F$5:$F$3004,"?*",$O$5:$O$3004,"&lt;"&amp;O1365)+COUNTIFS($A$5:A1365,A1365,$F$5:F1365,"?*",$O$5:O1365,O1365)))</f>
        <v/>
      </c>
      <c r="O1365" s="54">
        <f>IF(A1365="","",IF(C1365="",0,C1365))</f>
        <v/>
      </c>
    </row>
    <row r="1366">
      <c r="A1366" s="58" t="n"/>
      <c r="B1366" s="49">
        <f>IF(A1366="","",CHOOSE(WEEKDAY(A1366,2),"Пн","Вт","Ср","Чт","Пт","Сб","Вс"))</f>
        <v/>
      </c>
      <c r="C1366" s="59" t="n"/>
      <c r="D1366" s="59" t="n"/>
      <c r="E1366" s="60">
        <f>IF(OR(C1366="",D1366=""),"",MOD(D1366-C1366,1)*24)</f>
        <v/>
      </c>
      <c r="F1366" s="50" t="n"/>
      <c r="G1366" s="51" t="n"/>
      <c r="H1366" s="51" t="n"/>
      <c r="I1366" s="51" t="n"/>
      <c r="J1366" s="51" t="n"/>
      <c r="K1366" s="51" t="n"/>
      <c r="L1366" s="54">
        <f>IF(OR(A1366="",C1366="",D1366=""),"",IF(COUNTIFS($A$5:$A$3004,A1366,$C$5:$C$3004,"&lt;"&amp;D1366,$D$5:$D$3004,"&gt;"&amp;C1366)&gt;1,"⚠️ пересечение",""))</f>
        <v/>
      </c>
      <c r="M1366" s="54">
        <f>IF(F1366="","",IF(J1366="✅ Сделано","✔ ",IF(J1366="❌ Пропущено","✖ ","⏰ "))&amp;IF(C1366="","",RIGHT("0"&amp;HOUR(C1366),2)&amp;":"&amp;RIGHT("0"&amp;MINUTE(C1366),2)&amp;IF(D1366="","","–"&amp;RIGHT("0"&amp;HOUR(D1366),2)&amp;":"&amp;RIGHT("0"&amp;MINUTE(D1366),2))&amp;" ")&amp;F1366)</f>
        <v/>
      </c>
      <c r="N1366" s="54">
        <f>IF(OR(A1366="",F1366=""),"",A1366&amp;"#"&amp;(COUNTIFS($A$5:$A$3004,A1366,$F$5:$F$3004,"?*",$O$5:$O$3004,"&lt;"&amp;O1366)+COUNTIFS($A$5:A1366,A1366,$F$5:F1366,"?*",$O$5:O1366,O1366)))</f>
        <v/>
      </c>
      <c r="O1366" s="54">
        <f>IF(A1366="","",IF(C1366="",0,C1366))</f>
        <v/>
      </c>
    </row>
    <row r="1367">
      <c r="A1367" s="58" t="n"/>
      <c r="B1367" s="49">
        <f>IF(A1367="","",CHOOSE(WEEKDAY(A1367,2),"Пн","Вт","Ср","Чт","Пт","Сб","Вс"))</f>
        <v/>
      </c>
      <c r="C1367" s="59" t="n"/>
      <c r="D1367" s="59" t="n"/>
      <c r="E1367" s="60">
        <f>IF(OR(C1367="",D1367=""),"",MOD(D1367-C1367,1)*24)</f>
        <v/>
      </c>
      <c r="F1367" s="50" t="n"/>
      <c r="G1367" s="51" t="n"/>
      <c r="H1367" s="51" t="n"/>
      <c r="I1367" s="51" t="n"/>
      <c r="J1367" s="51" t="n"/>
      <c r="K1367" s="51" t="n"/>
      <c r="L1367" s="54">
        <f>IF(OR(A1367="",C1367="",D1367=""),"",IF(COUNTIFS($A$5:$A$3004,A1367,$C$5:$C$3004,"&lt;"&amp;D1367,$D$5:$D$3004,"&gt;"&amp;C1367)&gt;1,"⚠️ пересечение",""))</f>
        <v/>
      </c>
      <c r="M1367" s="54">
        <f>IF(F1367="","",IF(J1367="✅ Сделано","✔ ",IF(J1367="❌ Пропущено","✖ ","⏰ "))&amp;IF(C1367="","",RIGHT("0"&amp;HOUR(C1367),2)&amp;":"&amp;RIGHT("0"&amp;MINUTE(C1367),2)&amp;IF(D1367="","","–"&amp;RIGHT("0"&amp;HOUR(D1367),2)&amp;":"&amp;RIGHT("0"&amp;MINUTE(D1367),2))&amp;" ")&amp;F1367)</f>
        <v/>
      </c>
      <c r="N1367" s="54">
        <f>IF(OR(A1367="",F1367=""),"",A1367&amp;"#"&amp;(COUNTIFS($A$5:$A$3004,A1367,$F$5:$F$3004,"?*",$O$5:$O$3004,"&lt;"&amp;O1367)+COUNTIFS($A$5:A1367,A1367,$F$5:F1367,"?*",$O$5:O1367,O1367)))</f>
        <v/>
      </c>
      <c r="O1367" s="54">
        <f>IF(A1367="","",IF(C1367="",0,C1367))</f>
        <v/>
      </c>
    </row>
    <row r="1368">
      <c r="A1368" s="58" t="n"/>
      <c r="B1368" s="49">
        <f>IF(A1368="","",CHOOSE(WEEKDAY(A1368,2),"Пн","Вт","Ср","Чт","Пт","Сб","Вс"))</f>
        <v/>
      </c>
      <c r="C1368" s="59" t="n"/>
      <c r="D1368" s="59" t="n"/>
      <c r="E1368" s="60">
        <f>IF(OR(C1368="",D1368=""),"",MOD(D1368-C1368,1)*24)</f>
        <v/>
      </c>
      <c r="F1368" s="50" t="n"/>
      <c r="G1368" s="51" t="n"/>
      <c r="H1368" s="51" t="n"/>
      <c r="I1368" s="51" t="n"/>
      <c r="J1368" s="51" t="n"/>
      <c r="K1368" s="51" t="n"/>
      <c r="L1368" s="54">
        <f>IF(OR(A1368="",C1368="",D1368=""),"",IF(COUNTIFS($A$5:$A$3004,A1368,$C$5:$C$3004,"&lt;"&amp;D1368,$D$5:$D$3004,"&gt;"&amp;C1368)&gt;1,"⚠️ пересечение",""))</f>
        <v/>
      </c>
      <c r="M1368" s="54">
        <f>IF(F1368="","",IF(J1368="✅ Сделано","✔ ",IF(J1368="❌ Пропущено","✖ ","⏰ "))&amp;IF(C1368="","",RIGHT("0"&amp;HOUR(C1368),2)&amp;":"&amp;RIGHT("0"&amp;MINUTE(C1368),2)&amp;IF(D1368="","","–"&amp;RIGHT("0"&amp;HOUR(D1368),2)&amp;":"&amp;RIGHT("0"&amp;MINUTE(D1368),2))&amp;" ")&amp;F1368)</f>
        <v/>
      </c>
      <c r="N1368" s="54">
        <f>IF(OR(A1368="",F1368=""),"",A1368&amp;"#"&amp;(COUNTIFS($A$5:$A$3004,A1368,$F$5:$F$3004,"?*",$O$5:$O$3004,"&lt;"&amp;O1368)+COUNTIFS($A$5:A1368,A1368,$F$5:F1368,"?*",$O$5:O1368,O1368)))</f>
        <v/>
      </c>
      <c r="O1368" s="54">
        <f>IF(A1368="","",IF(C1368="",0,C1368))</f>
        <v/>
      </c>
    </row>
    <row r="1369">
      <c r="A1369" s="58" t="n"/>
      <c r="B1369" s="49">
        <f>IF(A1369="","",CHOOSE(WEEKDAY(A1369,2),"Пн","Вт","Ср","Чт","Пт","Сб","Вс"))</f>
        <v/>
      </c>
      <c r="C1369" s="59" t="n"/>
      <c r="D1369" s="59" t="n"/>
      <c r="E1369" s="60">
        <f>IF(OR(C1369="",D1369=""),"",MOD(D1369-C1369,1)*24)</f>
        <v/>
      </c>
      <c r="F1369" s="50" t="n"/>
      <c r="G1369" s="51" t="n"/>
      <c r="H1369" s="51" t="n"/>
      <c r="I1369" s="51" t="n"/>
      <c r="J1369" s="51" t="n"/>
      <c r="K1369" s="51" t="n"/>
      <c r="L1369" s="54">
        <f>IF(OR(A1369="",C1369="",D1369=""),"",IF(COUNTIFS($A$5:$A$3004,A1369,$C$5:$C$3004,"&lt;"&amp;D1369,$D$5:$D$3004,"&gt;"&amp;C1369)&gt;1,"⚠️ пересечение",""))</f>
        <v/>
      </c>
      <c r="M1369" s="54">
        <f>IF(F1369="","",IF(J1369="✅ Сделано","✔ ",IF(J1369="❌ Пропущено","✖ ","⏰ "))&amp;IF(C1369="","",RIGHT("0"&amp;HOUR(C1369),2)&amp;":"&amp;RIGHT("0"&amp;MINUTE(C1369),2)&amp;IF(D1369="","","–"&amp;RIGHT("0"&amp;HOUR(D1369),2)&amp;":"&amp;RIGHT("0"&amp;MINUTE(D1369),2))&amp;" ")&amp;F1369)</f>
        <v/>
      </c>
      <c r="N1369" s="54">
        <f>IF(OR(A1369="",F1369=""),"",A1369&amp;"#"&amp;(COUNTIFS($A$5:$A$3004,A1369,$F$5:$F$3004,"?*",$O$5:$O$3004,"&lt;"&amp;O1369)+COUNTIFS($A$5:A1369,A1369,$F$5:F1369,"?*",$O$5:O1369,O1369)))</f>
        <v/>
      </c>
      <c r="O1369" s="54">
        <f>IF(A1369="","",IF(C1369="",0,C1369))</f>
        <v/>
      </c>
    </row>
    <row r="1370">
      <c r="A1370" s="58" t="n"/>
      <c r="B1370" s="49">
        <f>IF(A1370="","",CHOOSE(WEEKDAY(A1370,2),"Пн","Вт","Ср","Чт","Пт","Сб","Вс"))</f>
        <v/>
      </c>
      <c r="C1370" s="59" t="n"/>
      <c r="D1370" s="59" t="n"/>
      <c r="E1370" s="60">
        <f>IF(OR(C1370="",D1370=""),"",MOD(D1370-C1370,1)*24)</f>
        <v/>
      </c>
      <c r="F1370" s="50" t="n"/>
      <c r="G1370" s="51" t="n"/>
      <c r="H1370" s="51" t="n"/>
      <c r="I1370" s="51" t="n"/>
      <c r="J1370" s="51" t="n"/>
      <c r="K1370" s="51" t="n"/>
      <c r="L1370" s="54">
        <f>IF(OR(A1370="",C1370="",D1370=""),"",IF(COUNTIFS($A$5:$A$3004,A1370,$C$5:$C$3004,"&lt;"&amp;D1370,$D$5:$D$3004,"&gt;"&amp;C1370)&gt;1,"⚠️ пересечение",""))</f>
        <v/>
      </c>
      <c r="M1370" s="54">
        <f>IF(F1370="","",IF(J1370="✅ Сделано","✔ ",IF(J1370="❌ Пропущено","✖ ","⏰ "))&amp;IF(C1370="","",RIGHT("0"&amp;HOUR(C1370),2)&amp;":"&amp;RIGHT("0"&amp;MINUTE(C1370),2)&amp;IF(D1370="","","–"&amp;RIGHT("0"&amp;HOUR(D1370),2)&amp;":"&amp;RIGHT("0"&amp;MINUTE(D1370),2))&amp;" ")&amp;F1370)</f>
        <v/>
      </c>
      <c r="N1370" s="54">
        <f>IF(OR(A1370="",F1370=""),"",A1370&amp;"#"&amp;(COUNTIFS($A$5:$A$3004,A1370,$F$5:$F$3004,"?*",$O$5:$O$3004,"&lt;"&amp;O1370)+COUNTIFS($A$5:A1370,A1370,$F$5:F1370,"?*",$O$5:O1370,O1370)))</f>
        <v/>
      </c>
      <c r="O1370" s="54">
        <f>IF(A1370="","",IF(C1370="",0,C1370))</f>
        <v/>
      </c>
    </row>
    <row r="1371">
      <c r="A1371" s="58" t="n"/>
      <c r="B1371" s="49">
        <f>IF(A1371="","",CHOOSE(WEEKDAY(A1371,2),"Пн","Вт","Ср","Чт","Пт","Сб","Вс"))</f>
        <v/>
      </c>
      <c r="C1371" s="59" t="n"/>
      <c r="D1371" s="59" t="n"/>
      <c r="E1371" s="60">
        <f>IF(OR(C1371="",D1371=""),"",MOD(D1371-C1371,1)*24)</f>
        <v/>
      </c>
      <c r="F1371" s="50" t="n"/>
      <c r="G1371" s="51" t="n"/>
      <c r="H1371" s="51" t="n"/>
      <c r="I1371" s="51" t="n"/>
      <c r="J1371" s="51" t="n"/>
      <c r="K1371" s="51" t="n"/>
      <c r="L1371" s="54">
        <f>IF(OR(A1371="",C1371="",D1371=""),"",IF(COUNTIFS($A$5:$A$3004,A1371,$C$5:$C$3004,"&lt;"&amp;D1371,$D$5:$D$3004,"&gt;"&amp;C1371)&gt;1,"⚠️ пересечение",""))</f>
        <v/>
      </c>
      <c r="M1371" s="54">
        <f>IF(F1371="","",IF(J1371="✅ Сделано","✔ ",IF(J1371="❌ Пропущено","✖ ","⏰ "))&amp;IF(C1371="","",RIGHT("0"&amp;HOUR(C1371),2)&amp;":"&amp;RIGHT("0"&amp;MINUTE(C1371),2)&amp;IF(D1371="","","–"&amp;RIGHT("0"&amp;HOUR(D1371),2)&amp;":"&amp;RIGHT("0"&amp;MINUTE(D1371),2))&amp;" ")&amp;F1371)</f>
        <v/>
      </c>
      <c r="N1371" s="54">
        <f>IF(OR(A1371="",F1371=""),"",A1371&amp;"#"&amp;(COUNTIFS($A$5:$A$3004,A1371,$F$5:$F$3004,"?*",$O$5:$O$3004,"&lt;"&amp;O1371)+COUNTIFS($A$5:A1371,A1371,$F$5:F1371,"?*",$O$5:O1371,O1371)))</f>
        <v/>
      </c>
      <c r="O1371" s="54">
        <f>IF(A1371="","",IF(C1371="",0,C1371))</f>
        <v/>
      </c>
    </row>
    <row r="1372">
      <c r="A1372" s="58" t="n"/>
      <c r="B1372" s="49">
        <f>IF(A1372="","",CHOOSE(WEEKDAY(A1372,2),"Пн","Вт","Ср","Чт","Пт","Сб","Вс"))</f>
        <v/>
      </c>
      <c r="C1372" s="59" t="n"/>
      <c r="D1372" s="59" t="n"/>
      <c r="E1372" s="60">
        <f>IF(OR(C1372="",D1372=""),"",MOD(D1372-C1372,1)*24)</f>
        <v/>
      </c>
      <c r="F1372" s="50" t="n"/>
      <c r="G1372" s="51" t="n"/>
      <c r="H1372" s="51" t="n"/>
      <c r="I1372" s="51" t="n"/>
      <c r="J1372" s="51" t="n"/>
      <c r="K1372" s="51" t="n"/>
      <c r="L1372" s="54">
        <f>IF(OR(A1372="",C1372="",D1372=""),"",IF(COUNTIFS($A$5:$A$3004,A1372,$C$5:$C$3004,"&lt;"&amp;D1372,$D$5:$D$3004,"&gt;"&amp;C1372)&gt;1,"⚠️ пересечение",""))</f>
        <v/>
      </c>
      <c r="M1372" s="54">
        <f>IF(F1372="","",IF(J1372="✅ Сделано","✔ ",IF(J1372="❌ Пропущено","✖ ","⏰ "))&amp;IF(C1372="","",RIGHT("0"&amp;HOUR(C1372),2)&amp;":"&amp;RIGHT("0"&amp;MINUTE(C1372),2)&amp;IF(D1372="","","–"&amp;RIGHT("0"&amp;HOUR(D1372),2)&amp;":"&amp;RIGHT("0"&amp;MINUTE(D1372),2))&amp;" ")&amp;F1372)</f>
        <v/>
      </c>
      <c r="N1372" s="54">
        <f>IF(OR(A1372="",F1372=""),"",A1372&amp;"#"&amp;(COUNTIFS($A$5:$A$3004,A1372,$F$5:$F$3004,"?*",$O$5:$O$3004,"&lt;"&amp;O1372)+COUNTIFS($A$5:A1372,A1372,$F$5:F1372,"?*",$O$5:O1372,O1372)))</f>
        <v/>
      </c>
      <c r="O1372" s="54">
        <f>IF(A1372="","",IF(C1372="",0,C1372))</f>
        <v/>
      </c>
    </row>
    <row r="1373">
      <c r="A1373" s="58" t="n"/>
      <c r="B1373" s="49">
        <f>IF(A1373="","",CHOOSE(WEEKDAY(A1373,2),"Пн","Вт","Ср","Чт","Пт","Сб","Вс"))</f>
        <v/>
      </c>
      <c r="C1373" s="59" t="n"/>
      <c r="D1373" s="59" t="n"/>
      <c r="E1373" s="60">
        <f>IF(OR(C1373="",D1373=""),"",MOD(D1373-C1373,1)*24)</f>
        <v/>
      </c>
      <c r="F1373" s="50" t="n"/>
      <c r="G1373" s="51" t="n"/>
      <c r="H1373" s="51" t="n"/>
      <c r="I1373" s="51" t="n"/>
      <c r="J1373" s="51" t="n"/>
      <c r="K1373" s="51" t="n"/>
      <c r="L1373" s="54">
        <f>IF(OR(A1373="",C1373="",D1373=""),"",IF(COUNTIFS($A$5:$A$3004,A1373,$C$5:$C$3004,"&lt;"&amp;D1373,$D$5:$D$3004,"&gt;"&amp;C1373)&gt;1,"⚠️ пересечение",""))</f>
        <v/>
      </c>
      <c r="M1373" s="54">
        <f>IF(F1373="","",IF(J1373="✅ Сделано","✔ ",IF(J1373="❌ Пропущено","✖ ","⏰ "))&amp;IF(C1373="","",RIGHT("0"&amp;HOUR(C1373),2)&amp;":"&amp;RIGHT("0"&amp;MINUTE(C1373),2)&amp;IF(D1373="","","–"&amp;RIGHT("0"&amp;HOUR(D1373),2)&amp;":"&amp;RIGHT("0"&amp;MINUTE(D1373),2))&amp;" ")&amp;F1373)</f>
        <v/>
      </c>
      <c r="N1373" s="54">
        <f>IF(OR(A1373="",F1373=""),"",A1373&amp;"#"&amp;(COUNTIFS($A$5:$A$3004,A1373,$F$5:$F$3004,"?*",$O$5:$O$3004,"&lt;"&amp;O1373)+COUNTIFS($A$5:A1373,A1373,$F$5:F1373,"?*",$O$5:O1373,O1373)))</f>
        <v/>
      </c>
      <c r="O1373" s="54">
        <f>IF(A1373="","",IF(C1373="",0,C1373))</f>
        <v/>
      </c>
    </row>
    <row r="1374">
      <c r="A1374" s="58" t="n"/>
      <c r="B1374" s="49">
        <f>IF(A1374="","",CHOOSE(WEEKDAY(A1374,2),"Пн","Вт","Ср","Чт","Пт","Сб","Вс"))</f>
        <v/>
      </c>
      <c r="C1374" s="59" t="n"/>
      <c r="D1374" s="59" t="n"/>
      <c r="E1374" s="60">
        <f>IF(OR(C1374="",D1374=""),"",MOD(D1374-C1374,1)*24)</f>
        <v/>
      </c>
      <c r="F1374" s="50" t="n"/>
      <c r="G1374" s="51" t="n"/>
      <c r="H1374" s="51" t="n"/>
      <c r="I1374" s="51" t="n"/>
      <c r="J1374" s="51" t="n"/>
      <c r="K1374" s="51" t="n"/>
      <c r="L1374" s="54">
        <f>IF(OR(A1374="",C1374="",D1374=""),"",IF(COUNTIFS($A$5:$A$3004,A1374,$C$5:$C$3004,"&lt;"&amp;D1374,$D$5:$D$3004,"&gt;"&amp;C1374)&gt;1,"⚠️ пересечение",""))</f>
        <v/>
      </c>
      <c r="M1374" s="54">
        <f>IF(F1374="","",IF(J1374="✅ Сделано","✔ ",IF(J1374="❌ Пропущено","✖ ","⏰ "))&amp;IF(C1374="","",RIGHT("0"&amp;HOUR(C1374),2)&amp;":"&amp;RIGHT("0"&amp;MINUTE(C1374),2)&amp;IF(D1374="","","–"&amp;RIGHT("0"&amp;HOUR(D1374),2)&amp;":"&amp;RIGHT("0"&amp;MINUTE(D1374),2))&amp;" ")&amp;F1374)</f>
        <v/>
      </c>
      <c r="N1374" s="54">
        <f>IF(OR(A1374="",F1374=""),"",A1374&amp;"#"&amp;(COUNTIFS($A$5:$A$3004,A1374,$F$5:$F$3004,"?*",$O$5:$O$3004,"&lt;"&amp;O1374)+COUNTIFS($A$5:A1374,A1374,$F$5:F1374,"?*",$O$5:O1374,O1374)))</f>
        <v/>
      </c>
      <c r="O1374" s="54">
        <f>IF(A1374="","",IF(C1374="",0,C1374))</f>
        <v/>
      </c>
    </row>
    <row r="1375">
      <c r="A1375" s="58" t="n"/>
      <c r="B1375" s="49">
        <f>IF(A1375="","",CHOOSE(WEEKDAY(A1375,2),"Пн","Вт","Ср","Чт","Пт","Сб","Вс"))</f>
        <v/>
      </c>
      <c r="C1375" s="59" t="n"/>
      <c r="D1375" s="59" t="n"/>
      <c r="E1375" s="60">
        <f>IF(OR(C1375="",D1375=""),"",MOD(D1375-C1375,1)*24)</f>
        <v/>
      </c>
      <c r="F1375" s="50" t="n"/>
      <c r="G1375" s="51" t="n"/>
      <c r="H1375" s="51" t="n"/>
      <c r="I1375" s="51" t="n"/>
      <c r="J1375" s="51" t="n"/>
      <c r="K1375" s="51" t="n"/>
      <c r="L1375" s="54">
        <f>IF(OR(A1375="",C1375="",D1375=""),"",IF(COUNTIFS($A$5:$A$3004,A1375,$C$5:$C$3004,"&lt;"&amp;D1375,$D$5:$D$3004,"&gt;"&amp;C1375)&gt;1,"⚠️ пересечение",""))</f>
        <v/>
      </c>
      <c r="M1375" s="54">
        <f>IF(F1375="","",IF(J1375="✅ Сделано","✔ ",IF(J1375="❌ Пропущено","✖ ","⏰ "))&amp;IF(C1375="","",RIGHT("0"&amp;HOUR(C1375),2)&amp;":"&amp;RIGHT("0"&amp;MINUTE(C1375),2)&amp;IF(D1375="","","–"&amp;RIGHT("0"&amp;HOUR(D1375),2)&amp;":"&amp;RIGHT("0"&amp;MINUTE(D1375),2))&amp;" ")&amp;F1375)</f>
        <v/>
      </c>
      <c r="N1375" s="54">
        <f>IF(OR(A1375="",F1375=""),"",A1375&amp;"#"&amp;(COUNTIFS($A$5:$A$3004,A1375,$F$5:$F$3004,"?*",$O$5:$O$3004,"&lt;"&amp;O1375)+COUNTIFS($A$5:A1375,A1375,$F$5:F1375,"?*",$O$5:O1375,O1375)))</f>
        <v/>
      </c>
      <c r="O1375" s="54">
        <f>IF(A1375="","",IF(C1375="",0,C1375))</f>
        <v/>
      </c>
    </row>
    <row r="1376">
      <c r="A1376" s="58" t="n"/>
      <c r="B1376" s="49">
        <f>IF(A1376="","",CHOOSE(WEEKDAY(A1376,2),"Пн","Вт","Ср","Чт","Пт","Сб","Вс"))</f>
        <v/>
      </c>
      <c r="C1376" s="59" t="n"/>
      <c r="D1376" s="59" t="n"/>
      <c r="E1376" s="60">
        <f>IF(OR(C1376="",D1376=""),"",MOD(D1376-C1376,1)*24)</f>
        <v/>
      </c>
      <c r="F1376" s="50" t="n"/>
      <c r="G1376" s="51" t="n"/>
      <c r="H1376" s="51" t="n"/>
      <c r="I1376" s="51" t="n"/>
      <c r="J1376" s="51" t="n"/>
      <c r="K1376" s="51" t="n"/>
      <c r="L1376" s="54">
        <f>IF(OR(A1376="",C1376="",D1376=""),"",IF(COUNTIFS($A$5:$A$3004,A1376,$C$5:$C$3004,"&lt;"&amp;D1376,$D$5:$D$3004,"&gt;"&amp;C1376)&gt;1,"⚠️ пересечение",""))</f>
        <v/>
      </c>
      <c r="M1376" s="54">
        <f>IF(F1376="","",IF(J1376="✅ Сделано","✔ ",IF(J1376="❌ Пропущено","✖ ","⏰ "))&amp;IF(C1376="","",RIGHT("0"&amp;HOUR(C1376),2)&amp;":"&amp;RIGHT("0"&amp;MINUTE(C1376),2)&amp;IF(D1376="","","–"&amp;RIGHT("0"&amp;HOUR(D1376),2)&amp;":"&amp;RIGHT("0"&amp;MINUTE(D1376),2))&amp;" ")&amp;F1376)</f>
        <v/>
      </c>
      <c r="N1376" s="54">
        <f>IF(OR(A1376="",F1376=""),"",A1376&amp;"#"&amp;(COUNTIFS($A$5:$A$3004,A1376,$F$5:$F$3004,"?*",$O$5:$O$3004,"&lt;"&amp;O1376)+COUNTIFS($A$5:A1376,A1376,$F$5:F1376,"?*",$O$5:O1376,O1376)))</f>
        <v/>
      </c>
      <c r="O1376" s="54">
        <f>IF(A1376="","",IF(C1376="",0,C1376))</f>
        <v/>
      </c>
    </row>
    <row r="1377">
      <c r="A1377" s="58" t="n"/>
      <c r="B1377" s="49">
        <f>IF(A1377="","",CHOOSE(WEEKDAY(A1377,2),"Пн","Вт","Ср","Чт","Пт","Сб","Вс"))</f>
        <v/>
      </c>
      <c r="C1377" s="59" t="n"/>
      <c r="D1377" s="59" t="n"/>
      <c r="E1377" s="60">
        <f>IF(OR(C1377="",D1377=""),"",MOD(D1377-C1377,1)*24)</f>
        <v/>
      </c>
      <c r="F1377" s="50" t="n"/>
      <c r="G1377" s="51" t="n"/>
      <c r="H1377" s="51" t="n"/>
      <c r="I1377" s="51" t="n"/>
      <c r="J1377" s="51" t="n"/>
      <c r="K1377" s="51" t="n"/>
      <c r="L1377" s="54">
        <f>IF(OR(A1377="",C1377="",D1377=""),"",IF(COUNTIFS($A$5:$A$3004,A1377,$C$5:$C$3004,"&lt;"&amp;D1377,$D$5:$D$3004,"&gt;"&amp;C1377)&gt;1,"⚠️ пересечение",""))</f>
        <v/>
      </c>
      <c r="M1377" s="54">
        <f>IF(F1377="","",IF(J1377="✅ Сделано","✔ ",IF(J1377="❌ Пропущено","✖ ","⏰ "))&amp;IF(C1377="","",RIGHT("0"&amp;HOUR(C1377),2)&amp;":"&amp;RIGHT("0"&amp;MINUTE(C1377),2)&amp;IF(D1377="","","–"&amp;RIGHT("0"&amp;HOUR(D1377),2)&amp;":"&amp;RIGHT("0"&amp;MINUTE(D1377),2))&amp;" ")&amp;F1377)</f>
        <v/>
      </c>
      <c r="N1377" s="54">
        <f>IF(OR(A1377="",F1377=""),"",A1377&amp;"#"&amp;(COUNTIFS($A$5:$A$3004,A1377,$F$5:$F$3004,"?*",$O$5:$O$3004,"&lt;"&amp;O1377)+COUNTIFS($A$5:A1377,A1377,$F$5:F1377,"?*",$O$5:O1377,O1377)))</f>
        <v/>
      </c>
      <c r="O1377" s="54">
        <f>IF(A1377="","",IF(C1377="",0,C1377))</f>
        <v/>
      </c>
    </row>
    <row r="1378">
      <c r="A1378" s="58" t="n"/>
      <c r="B1378" s="49">
        <f>IF(A1378="","",CHOOSE(WEEKDAY(A1378,2),"Пн","Вт","Ср","Чт","Пт","Сб","Вс"))</f>
        <v/>
      </c>
      <c r="C1378" s="59" t="n"/>
      <c r="D1378" s="59" t="n"/>
      <c r="E1378" s="60">
        <f>IF(OR(C1378="",D1378=""),"",MOD(D1378-C1378,1)*24)</f>
        <v/>
      </c>
      <c r="F1378" s="50" t="n"/>
      <c r="G1378" s="51" t="n"/>
      <c r="H1378" s="51" t="n"/>
      <c r="I1378" s="51" t="n"/>
      <c r="J1378" s="51" t="n"/>
      <c r="K1378" s="51" t="n"/>
      <c r="L1378" s="54">
        <f>IF(OR(A1378="",C1378="",D1378=""),"",IF(COUNTIFS($A$5:$A$3004,A1378,$C$5:$C$3004,"&lt;"&amp;D1378,$D$5:$D$3004,"&gt;"&amp;C1378)&gt;1,"⚠️ пересечение",""))</f>
        <v/>
      </c>
      <c r="M1378" s="54">
        <f>IF(F1378="","",IF(J1378="✅ Сделано","✔ ",IF(J1378="❌ Пропущено","✖ ","⏰ "))&amp;IF(C1378="","",RIGHT("0"&amp;HOUR(C1378),2)&amp;":"&amp;RIGHT("0"&amp;MINUTE(C1378),2)&amp;IF(D1378="","","–"&amp;RIGHT("0"&amp;HOUR(D1378),2)&amp;":"&amp;RIGHT("0"&amp;MINUTE(D1378),2))&amp;" ")&amp;F1378)</f>
        <v/>
      </c>
      <c r="N1378" s="54">
        <f>IF(OR(A1378="",F1378=""),"",A1378&amp;"#"&amp;(COUNTIFS($A$5:$A$3004,A1378,$F$5:$F$3004,"?*",$O$5:$O$3004,"&lt;"&amp;O1378)+COUNTIFS($A$5:A1378,A1378,$F$5:F1378,"?*",$O$5:O1378,O1378)))</f>
        <v/>
      </c>
      <c r="O1378" s="54">
        <f>IF(A1378="","",IF(C1378="",0,C1378))</f>
        <v/>
      </c>
    </row>
    <row r="1379">
      <c r="A1379" s="58" t="n"/>
      <c r="B1379" s="49">
        <f>IF(A1379="","",CHOOSE(WEEKDAY(A1379,2),"Пн","Вт","Ср","Чт","Пт","Сб","Вс"))</f>
        <v/>
      </c>
      <c r="C1379" s="59" t="n"/>
      <c r="D1379" s="59" t="n"/>
      <c r="E1379" s="60">
        <f>IF(OR(C1379="",D1379=""),"",MOD(D1379-C1379,1)*24)</f>
        <v/>
      </c>
      <c r="F1379" s="50" t="n"/>
      <c r="G1379" s="51" t="n"/>
      <c r="H1379" s="51" t="n"/>
      <c r="I1379" s="51" t="n"/>
      <c r="J1379" s="51" t="n"/>
      <c r="K1379" s="51" t="n"/>
      <c r="L1379" s="54">
        <f>IF(OR(A1379="",C1379="",D1379=""),"",IF(COUNTIFS($A$5:$A$3004,A1379,$C$5:$C$3004,"&lt;"&amp;D1379,$D$5:$D$3004,"&gt;"&amp;C1379)&gt;1,"⚠️ пересечение",""))</f>
        <v/>
      </c>
      <c r="M1379" s="54">
        <f>IF(F1379="","",IF(J1379="✅ Сделано","✔ ",IF(J1379="❌ Пропущено","✖ ","⏰ "))&amp;IF(C1379="","",RIGHT("0"&amp;HOUR(C1379),2)&amp;":"&amp;RIGHT("0"&amp;MINUTE(C1379),2)&amp;IF(D1379="","","–"&amp;RIGHT("0"&amp;HOUR(D1379),2)&amp;":"&amp;RIGHT("0"&amp;MINUTE(D1379),2))&amp;" ")&amp;F1379)</f>
        <v/>
      </c>
      <c r="N1379" s="54">
        <f>IF(OR(A1379="",F1379=""),"",A1379&amp;"#"&amp;(COUNTIFS($A$5:$A$3004,A1379,$F$5:$F$3004,"?*",$O$5:$O$3004,"&lt;"&amp;O1379)+COUNTIFS($A$5:A1379,A1379,$F$5:F1379,"?*",$O$5:O1379,O1379)))</f>
        <v/>
      </c>
      <c r="O1379" s="54">
        <f>IF(A1379="","",IF(C1379="",0,C1379))</f>
        <v/>
      </c>
    </row>
    <row r="1380">
      <c r="A1380" s="58" t="n"/>
      <c r="B1380" s="49">
        <f>IF(A1380="","",CHOOSE(WEEKDAY(A1380,2),"Пн","Вт","Ср","Чт","Пт","Сб","Вс"))</f>
        <v/>
      </c>
      <c r="C1380" s="59" t="n"/>
      <c r="D1380" s="59" t="n"/>
      <c r="E1380" s="60">
        <f>IF(OR(C1380="",D1380=""),"",MOD(D1380-C1380,1)*24)</f>
        <v/>
      </c>
      <c r="F1380" s="50" t="n"/>
      <c r="G1380" s="51" t="n"/>
      <c r="H1380" s="51" t="n"/>
      <c r="I1380" s="51" t="n"/>
      <c r="J1380" s="51" t="n"/>
      <c r="K1380" s="51" t="n"/>
      <c r="L1380" s="54">
        <f>IF(OR(A1380="",C1380="",D1380=""),"",IF(COUNTIFS($A$5:$A$3004,A1380,$C$5:$C$3004,"&lt;"&amp;D1380,$D$5:$D$3004,"&gt;"&amp;C1380)&gt;1,"⚠️ пересечение",""))</f>
        <v/>
      </c>
      <c r="M1380" s="54">
        <f>IF(F1380="","",IF(J1380="✅ Сделано","✔ ",IF(J1380="❌ Пропущено","✖ ","⏰ "))&amp;IF(C1380="","",RIGHT("0"&amp;HOUR(C1380),2)&amp;":"&amp;RIGHT("0"&amp;MINUTE(C1380),2)&amp;IF(D1380="","","–"&amp;RIGHT("0"&amp;HOUR(D1380),2)&amp;":"&amp;RIGHT("0"&amp;MINUTE(D1380),2))&amp;" ")&amp;F1380)</f>
        <v/>
      </c>
      <c r="N1380" s="54">
        <f>IF(OR(A1380="",F1380=""),"",A1380&amp;"#"&amp;(COUNTIFS($A$5:$A$3004,A1380,$F$5:$F$3004,"?*",$O$5:$O$3004,"&lt;"&amp;O1380)+COUNTIFS($A$5:A1380,A1380,$F$5:F1380,"?*",$O$5:O1380,O1380)))</f>
        <v/>
      </c>
      <c r="O1380" s="54">
        <f>IF(A1380="","",IF(C1380="",0,C1380))</f>
        <v/>
      </c>
    </row>
    <row r="1381">
      <c r="A1381" s="58" t="n"/>
      <c r="B1381" s="49">
        <f>IF(A1381="","",CHOOSE(WEEKDAY(A1381,2),"Пн","Вт","Ср","Чт","Пт","Сб","Вс"))</f>
        <v/>
      </c>
      <c r="C1381" s="59" t="n"/>
      <c r="D1381" s="59" t="n"/>
      <c r="E1381" s="60">
        <f>IF(OR(C1381="",D1381=""),"",MOD(D1381-C1381,1)*24)</f>
        <v/>
      </c>
      <c r="F1381" s="50" t="n"/>
      <c r="G1381" s="51" t="n"/>
      <c r="H1381" s="51" t="n"/>
      <c r="I1381" s="51" t="n"/>
      <c r="J1381" s="51" t="n"/>
      <c r="K1381" s="51" t="n"/>
      <c r="L1381" s="54">
        <f>IF(OR(A1381="",C1381="",D1381=""),"",IF(COUNTIFS($A$5:$A$3004,A1381,$C$5:$C$3004,"&lt;"&amp;D1381,$D$5:$D$3004,"&gt;"&amp;C1381)&gt;1,"⚠️ пересечение",""))</f>
        <v/>
      </c>
      <c r="M1381" s="54">
        <f>IF(F1381="","",IF(J1381="✅ Сделано","✔ ",IF(J1381="❌ Пропущено","✖ ","⏰ "))&amp;IF(C1381="","",RIGHT("0"&amp;HOUR(C1381),2)&amp;":"&amp;RIGHT("0"&amp;MINUTE(C1381),2)&amp;IF(D1381="","","–"&amp;RIGHT("0"&amp;HOUR(D1381),2)&amp;":"&amp;RIGHT("0"&amp;MINUTE(D1381),2))&amp;" ")&amp;F1381)</f>
        <v/>
      </c>
      <c r="N1381" s="54">
        <f>IF(OR(A1381="",F1381=""),"",A1381&amp;"#"&amp;(COUNTIFS($A$5:$A$3004,A1381,$F$5:$F$3004,"?*",$O$5:$O$3004,"&lt;"&amp;O1381)+COUNTIFS($A$5:A1381,A1381,$F$5:F1381,"?*",$O$5:O1381,O1381)))</f>
        <v/>
      </c>
      <c r="O1381" s="54">
        <f>IF(A1381="","",IF(C1381="",0,C1381))</f>
        <v/>
      </c>
    </row>
    <row r="1382">
      <c r="A1382" s="58" t="n"/>
      <c r="B1382" s="49">
        <f>IF(A1382="","",CHOOSE(WEEKDAY(A1382,2),"Пн","Вт","Ср","Чт","Пт","Сб","Вс"))</f>
        <v/>
      </c>
      <c r="C1382" s="59" t="n"/>
      <c r="D1382" s="59" t="n"/>
      <c r="E1382" s="60">
        <f>IF(OR(C1382="",D1382=""),"",MOD(D1382-C1382,1)*24)</f>
        <v/>
      </c>
      <c r="F1382" s="50" t="n"/>
      <c r="G1382" s="51" t="n"/>
      <c r="H1382" s="51" t="n"/>
      <c r="I1382" s="51" t="n"/>
      <c r="J1382" s="51" t="n"/>
      <c r="K1382" s="51" t="n"/>
      <c r="L1382" s="54">
        <f>IF(OR(A1382="",C1382="",D1382=""),"",IF(COUNTIFS($A$5:$A$3004,A1382,$C$5:$C$3004,"&lt;"&amp;D1382,$D$5:$D$3004,"&gt;"&amp;C1382)&gt;1,"⚠️ пересечение",""))</f>
        <v/>
      </c>
      <c r="M1382" s="54">
        <f>IF(F1382="","",IF(J1382="✅ Сделано","✔ ",IF(J1382="❌ Пропущено","✖ ","⏰ "))&amp;IF(C1382="","",RIGHT("0"&amp;HOUR(C1382),2)&amp;":"&amp;RIGHT("0"&amp;MINUTE(C1382),2)&amp;IF(D1382="","","–"&amp;RIGHT("0"&amp;HOUR(D1382),2)&amp;":"&amp;RIGHT("0"&amp;MINUTE(D1382),2))&amp;" ")&amp;F1382)</f>
        <v/>
      </c>
      <c r="N1382" s="54">
        <f>IF(OR(A1382="",F1382=""),"",A1382&amp;"#"&amp;(COUNTIFS($A$5:$A$3004,A1382,$F$5:$F$3004,"?*",$O$5:$O$3004,"&lt;"&amp;O1382)+COUNTIFS($A$5:A1382,A1382,$F$5:F1382,"?*",$O$5:O1382,O1382)))</f>
        <v/>
      </c>
      <c r="O1382" s="54">
        <f>IF(A1382="","",IF(C1382="",0,C1382))</f>
        <v/>
      </c>
    </row>
    <row r="1383">
      <c r="A1383" s="58" t="n"/>
      <c r="B1383" s="49">
        <f>IF(A1383="","",CHOOSE(WEEKDAY(A1383,2),"Пн","Вт","Ср","Чт","Пт","Сб","Вс"))</f>
        <v/>
      </c>
      <c r="C1383" s="59" t="n"/>
      <c r="D1383" s="59" t="n"/>
      <c r="E1383" s="60">
        <f>IF(OR(C1383="",D1383=""),"",MOD(D1383-C1383,1)*24)</f>
        <v/>
      </c>
      <c r="F1383" s="50" t="n"/>
      <c r="G1383" s="51" t="n"/>
      <c r="H1383" s="51" t="n"/>
      <c r="I1383" s="51" t="n"/>
      <c r="J1383" s="51" t="n"/>
      <c r="K1383" s="51" t="n"/>
      <c r="L1383" s="54">
        <f>IF(OR(A1383="",C1383="",D1383=""),"",IF(COUNTIFS($A$5:$A$3004,A1383,$C$5:$C$3004,"&lt;"&amp;D1383,$D$5:$D$3004,"&gt;"&amp;C1383)&gt;1,"⚠️ пересечение",""))</f>
        <v/>
      </c>
      <c r="M1383" s="54">
        <f>IF(F1383="","",IF(J1383="✅ Сделано","✔ ",IF(J1383="❌ Пропущено","✖ ","⏰ "))&amp;IF(C1383="","",RIGHT("0"&amp;HOUR(C1383),2)&amp;":"&amp;RIGHT("0"&amp;MINUTE(C1383),2)&amp;IF(D1383="","","–"&amp;RIGHT("0"&amp;HOUR(D1383),2)&amp;":"&amp;RIGHT("0"&amp;MINUTE(D1383),2))&amp;" ")&amp;F1383)</f>
        <v/>
      </c>
      <c r="N1383" s="54">
        <f>IF(OR(A1383="",F1383=""),"",A1383&amp;"#"&amp;(COUNTIFS($A$5:$A$3004,A1383,$F$5:$F$3004,"?*",$O$5:$O$3004,"&lt;"&amp;O1383)+COUNTIFS($A$5:A1383,A1383,$F$5:F1383,"?*",$O$5:O1383,O1383)))</f>
        <v/>
      </c>
      <c r="O1383" s="54">
        <f>IF(A1383="","",IF(C1383="",0,C1383))</f>
        <v/>
      </c>
    </row>
    <row r="1384">
      <c r="A1384" s="58" t="n"/>
      <c r="B1384" s="49">
        <f>IF(A1384="","",CHOOSE(WEEKDAY(A1384,2),"Пн","Вт","Ср","Чт","Пт","Сб","Вс"))</f>
        <v/>
      </c>
      <c r="C1384" s="59" t="n"/>
      <c r="D1384" s="59" t="n"/>
      <c r="E1384" s="60">
        <f>IF(OR(C1384="",D1384=""),"",MOD(D1384-C1384,1)*24)</f>
        <v/>
      </c>
      <c r="F1384" s="50" t="n"/>
      <c r="G1384" s="51" t="n"/>
      <c r="H1384" s="51" t="n"/>
      <c r="I1384" s="51" t="n"/>
      <c r="J1384" s="51" t="n"/>
      <c r="K1384" s="51" t="n"/>
      <c r="L1384" s="54">
        <f>IF(OR(A1384="",C1384="",D1384=""),"",IF(COUNTIFS($A$5:$A$3004,A1384,$C$5:$C$3004,"&lt;"&amp;D1384,$D$5:$D$3004,"&gt;"&amp;C1384)&gt;1,"⚠️ пересечение",""))</f>
        <v/>
      </c>
      <c r="M1384" s="54">
        <f>IF(F1384="","",IF(J1384="✅ Сделано","✔ ",IF(J1384="❌ Пропущено","✖ ","⏰ "))&amp;IF(C1384="","",RIGHT("0"&amp;HOUR(C1384),2)&amp;":"&amp;RIGHT("0"&amp;MINUTE(C1384),2)&amp;IF(D1384="","","–"&amp;RIGHT("0"&amp;HOUR(D1384),2)&amp;":"&amp;RIGHT("0"&amp;MINUTE(D1384),2))&amp;" ")&amp;F1384)</f>
        <v/>
      </c>
      <c r="N1384" s="54">
        <f>IF(OR(A1384="",F1384=""),"",A1384&amp;"#"&amp;(COUNTIFS($A$5:$A$3004,A1384,$F$5:$F$3004,"?*",$O$5:$O$3004,"&lt;"&amp;O1384)+COUNTIFS($A$5:A1384,A1384,$F$5:F1384,"?*",$O$5:O1384,O1384)))</f>
        <v/>
      </c>
      <c r="O1384" s="54">
        <f>IF(A1384="","",IF(C1384="",0,C1384))</f>
        <v/>
      </c>
    </row>
    <row r="1385">
      <c r="A1385" s="58" t="n"/>
      <c r="B1385" s="49">
        <f>IF(A1385="","",CHOOSE(WEEKDAY(A1385,2),"Пн","Вт","Ср","Чт","Пт","Сб","Вс"))</f>
        <v/>
      </c>
      <c r="C1385" s="59" t="n"/>
      <c r="D1385" s="59" t="n"/>
      <c r="E1385" s="60">
        <f>IF(OR(C1385="",D1385=""),"",MOD(D1385-C1385,1)*24)</f>
        <v/>
      </c>
      <c r="F1385" s="50" t="n"/>
      <c r="G1385" s="51" t="n"/>
      <c r="H1385" s="51" t="n"/>
      <c r="I1385" s="51" t="n"/>
      <c r="J1385" s="51" t="n"/>
      <c r="K1385" s="51" t="n"/>
      <c r="L1385" s="54">
        <f>IF(OR(A1385="",C1385="",D1385=""),"",IF(COUNTIFS($A$5:$A$3004,A1385,$C$5:$C$3004,"&lt;"&amp;D1385,$D$5:$D$3004,"&gt;"&amp;C1385)&gt;1,"⚠️ пересечение",""))</f>
        <v/>
      </c>
      <c r="M1385" s="54">
        <f>IF(F1385="","",IF(J1385="✅ Сделано","✔ ",IF(J1385="❌ Пропущено","✖ ","⏰ "))&amp;IF(C1385="","",RIGHT("0"&amp;HOUR(C1385),2)&amp;":"&amp;RIGHT("0"&amp;MINUTE(C1385),2)&amp;IF(D1385="","","–"&amp;RIGHT("0"&amp;HOUR(D1385),2)&amp;":"&amp;RIGHT("0"&amp;MINUTE(D1385),2))&amp;" ")&amp;F1385)</f>
        <v/>
      </c>
      <c r="N1385" s="54">
        <f>IF(OR(A1385="",F1385=""),"",A1385&amp;"#"&amp;(COUNTIFS($A$5:$A$3004,A1385,$F$5:$F$3004,"?*",$O$5:$O$3004,"&lt;"&amp;O1385)+COUNTIFS($A$5:A1385,A1385,$F$5:F1385,"?*",$O$5:O1385,O1385)))</f>
        <v/>
      </c>
      <c r="O1385" s="54">
        <f>IF(A1385="","",IF(C1385="",0,C1385))</f>
        <v/>
      </c>
    </row>
    <row r="1386">
      <c r="A1386" s="58" t="n"/>
      <c r="B1386" s="49">
        <f>IF(A1386="","",CHOOSE(WEEKDAY(A1386,2),"Пн","Вт","Ср","Чт","Пт","Сб","Вс"))</f>
        <v/>
      </c>
      <c r="C1386" s="59" t="n"/>
      <c r="D1386" s="59" t="n"/>
      <c r="E1386" s="60">
        <f>IF(OR(C1386="",D1386=""),"",MOD(D1386-C1386,1)*24)</f>
        <v/>
      </c>
      <c r="F1386" s="50" t="n"/>
      <c r="G1386" s="51" t="n"/>
      <c r="H1386" s="51" t="n"/>
      <c r="I1386" s="51" t="n"/>
      <c r="J1386" s="51" t="n"/>
      <c r="K1386" s="51" t="n"/>
      <c r="L1386" s="54">
        <f>IF(OR(A1386="",C1386="",D1386=""),"",IF(COUNTIFS($A$5:$A$3004,A1386,$C$5:$C$3004,"&lt;"&amp;D1386,$D$5:$D$3004,"&gt;"&amp;C1386)&gt;1,"⚠️ пересечение",""))</f>
        <v/>
      </c>
      <c r="M1386" s="54">
        <f>IF(F1386="","",IF(J1386="✅ Сделано","✔ ",IF(J1386="❌ Пропущено","✖ ","⏰ "))&amp;IF(C1386="","",RIGHT("0"&amp;HOUR(C1386),2)&amp;":"&amp;RIGHT("0"&amp;MINUTE(C1386),2)&amp;IF(D1386="","","–"&amp;RIGHT("0"&amp;HOUR(D1386),2)&amp;":"&amp;RIGHT("0"&amp;MINUTE(D1386),2))&amp;" ")&amp;F1386)</f>
        <v/>
      </c>
      <c r="N1386" s="54">
        <f>IF(OR(A1386="",F1386=""),"",A1386&amp;"#"&amp;(COUNTIFS($A$5:$A$3004,A1386,$F$5:$F$3004,"?*",$O$5:$O$3004,"&lt;"&amp;O1386)+COUNTIFS($A$5:A1386,A1386,$F$5:F1386,"?*",$O$5:O1386,O1386)))</f>
        <v/>
      </c>
      <c r="O1386" s="54">
        <f>IF(A1386="","",IF(C1386="",0,C1386))</f>
        <v/>
      </c>
    </row>
    <row r="1387">
      <c r="A1387" s="58" t="n"/>
      <c r="B1387" s="49">
        <f>IF(A1387="","",CHOOSE(WEEKDAY(A1387,2),"Пн","Вт","Ср","Чт","Пт","Сб","Вс"))</f>
        <v/>
      </c>
      <c r="C1387" s="59" t="n"/>
      <c r="D1387" s="59" t="n"/>
      <c r="E1387" s="60">
        <f>IF(OR(C1387="",D1387=""),"",MOD(D1387-C1387,1)*24)</f>
        <v/>
      </c>
      <c r="F1387" s="50" t="n"/>
      <c r="G1387" s="51" t="n"/>
      <c r="H1387" s="51" t="n"/>
      <c r="I1387" s="51" t="n"/>
      <c r="J1387" s="51" t="n"/>
      <c r="K1387" s="51" t="n"/>
      <c r="L1387" s="54">
        <f>IF(OR(A1387="",C1387="",D1387=""),"",IF(COUNTIFS($A$5:$A$3004,A1387,$C$5:$C$3004,"&lt;"&amp;D1387,$D$5:$D$3004,"&gt;"&amp;C1387)&gt;1,"⚠️ пересечение",""))</f>
        <v/>
      </c>
      <c r="M1387" s="54">
        <f>IF(F1387="","",IF(J1387="✅ Сделано","✔ ",IF(J1387="❌ Пропущено","✖ ","⏰ "))&amp;IF(C1387="","",RIGHT("0"&amp;HOUR(C1387),2)&amp;":"&amp;RIGHT("0"&amp;MINUTE(C1387),2)&amp;IF(D1387="","","–"&amp;RIGHT("0"&amp;HOUR(D1387),2)&amp;":"&amp;RIGHT("0"&amp;MINUTE(D1387),2))&amp;" ")&amp;F1387)</f>
        <v/>
      </c>
      <c r="N1387" s="54">
        <f>IF(OR(A1387="",F1387=""),"",A1387&amp;"#"&amp;(COUNTIFS($A$5:$A$3004,A1387,$F$5:$F$3004,"?*",$O$5:$O$3004,"&lt;"&amp;O1387)+COUNTIFS($A$5:A1387,A1387,$F$5:F1387,"?*",$O$5:O1387,O1387)))</f>
        <v/>
      </c>
      <c r="O1387" s="54">
        <f>IF(A1387="","",IF(C1387="",0,C1387))</f>
        <v/>
      </c>
    </row>
    <row r="1388">
      <c r="A1388" s="58" t="n"/>
      <c r="B1388" s="49">
        <f>IF(A1388="","",CHOOSE(WEEKDAY(A1388,2),"Пн","Вт","Ср","Чт","Пт","Сб","Вс"))</f>
        <v/>
      </c>
      <c r="C1388" s="59" t="n"/>
      <c r="D1388" s="59" t="n"/>
      <c r="E1388" s="60">
        <f>IF(OR(C1388="",D1388=""),"",MOD(D1388-C1388,1)*24)</f>
        <v/>
      </c>
      <c r="F1388" s="50" t="n"/>
      <c r="G1388" s="51" t="n"/>
      <c r="H1388" s="51" t="n"/>
      <c r="I1388" s="51" t="n"/>
      <c r="J1388" s="51" t="n"/>
      <c r="K1388" s="51" t="n"/>
      <c r="L1388" s="54">
        <f>IF(OR(A1388="",C1388="",D1388=""),"",IF(COUNTIFS($A$5:$A$3004,A1388,$C$5:$C$3004,"&lt;"&amp;D1388,$D$5:$D$3004,"&gt;"&amp;C1388)&gt;1,"⚠️ пересечение",""))</f>
        <v/>
      </c>
      <c r="M1388" s="54">
        <f>IF(F1388="","",IF(J1388="✅ Сделано","✔ ",IF(J1388="❌ Пропущено","✖ ","⏰ "))&amp;IF(C1388="","",RIGHT("0"&amp;HOUR(C1388),2)&amp;":"&amp;RIGHT("0"&amp;MINUTE(C1388),2)&amp;IF(D1388="","","–"&amp;RIGHT("0"&amp;HOUR(D1388),2)&amp;":"&amp;RIGHT("0"&amp;MINUTE(D1388),2))&amp;" ")&amp;F1388)</f>
        <v/>
      </c>
      <c r="N1388" s="54">
        <f>IF(OR(A1388="",F1388=""),"",A1388&amp;"#"&amp;(COUNTIFS($A$5:$A$3004,A1388,$F$5:$F$3004,"?*",$O$5:$O$3004,"&lt;"&amp;O1388)+COUNTIFS($A$5:A1388,A1388,$F$5:F1388,"?*",$O$5:O1388,O1388)))</f>
        <v/>
      </c>
      <c r="O1388" s="54">
        <f>IF(A1388="","",IF(C1388="",0,C1388))</f>
        <v/>
      </c>
    </row>
    <row r="1389">
      <c r="A1389" s="58" t="n"/>
      <c r="B1389" s="49">
        <f>IF(A1389="","",CHOOSE(WEEKDAY(A1389,2),"Пн","Вт","Ср","Чт","Пт","Сб","Вс"))</f>
        <v/>
      </c>
      <c r="C1389" s="59" t="n"/>
      <c r="D1389" s="59" t="n"/>
      <c r="E1389" s="60">
        <f>IF(OR(C1389="",D1389=""),"",MOD(D1389-C1389,1)*24)</f>
        <v/>
      </c>
      <c r="F1389" s="50" t="n"/>
      <c r="G1389" s="51" t="n"/>
      <c r="H1389" s="51" t="n"/>
      <c r="I1389" s="51" t="n"/>
      <c r="J1389" s="51" t="n"/>
      <c r="K1389" s="51" t="n"/>
      <c r="L1389" s="54">
        <f>IF(OR(A1389="",C1389="",D1389=""),"",IF(COUNTIFS($A$5:$A$3004,A1389,$C$5:$C$3004,"&lt;"&amp;D1389,$D$5:$D$3004,"&gt;"&amp;C1389)&gt;1,"⚠️ пересечение",""))</f>
        <v/>
      </c>
      <c r="M1389" s="54">
        <f>IF(F1389="","",IF(J1389="✅ Сделано","✔ ",IF(J1389="❌ Пропущено","✖ ","⏰ "))&amp;IF(C1389="","",RIGHT("0"&amp;HOUR(C1389),2)&amp;":"&amp;RIGHT("0"&amp;MINUTE(C1389),2)&amp;IF(D1389="","","–"&amp;RIGHT("0"&amp;HOUR(D1389),2)&amp;":"&amp;RIGHT("0"&amp;MINUTE(D1389),2))&amp;" ")&amp;F1389)</f>
        <v/>
      </c>
      <c r="N1389" s="54">
        <f>IF(OR(A1389="",F1389=""),"",A1389&amp;"#"&amp;(COUNTIFS($A$5:$A$3004,A1389,$F$5:$F$3004,"?*",$O$5:$O$3004,"&lt;"&amp;O1389)+COUNTIFS($A$5:A1389,A1389,$F$5:F1389,"?*",$O$5:O1389,O1389)))</f>
        <v/>
      </c>
      <c r="O1389" s="54">
        <f>IF(A1389="","",IF(C1389="",0,C1389))</f>
        <v/>
      </c>
    </row>
    <row r="1390">
      <c r="A1390" s="58" t="n"/>
      <c r="B1390" s="49">
        <f>IF(A1390="","",CHOOSE(WEEKDAY(A1390,2),"Пн","Вт","Ср","Чт","Пт","Сб","Вс"))</f>
        <v/>
      </c>
      <c r="C1390" s="59" t="n"/>
      <c r="D1390" s="59" t="n"/>
      <c r="E1390" s="60">
        <f>IF(OR(C1390="",D1390=""),"",MOD(D1390-C1390,1)*24)</f>
        <v/>
      </c>
      <c r="F1390" s="50" t="n"/>
      <c r="G1390" s="51" t="n"/>
      <c r="H1390" s="51" t="n"/>
      <c r="I1390" s="51" t="n"/>
      <c r="J1390" s="51" t="n"/>
      <c r="K1390" s="51" t="n"/>
      <c r="L1390" s="54">
        <f>IF(OR(A1390="",C1390="",D1390=""),"",IF(COUNTIFS($A$5:$A$3004,A1390,$C$5:$C$3004,"&lt;"&amp;D1390,$D$5:$D$3004,"&gt;"&amp;C1390)&gt;1,"⚠️ пересечение",""))</f>
        <v/>
      </c>
      <c r="M1390" s="54">
        <f>IF(F1390="","",IF(J1390="✅ Сделано","✔ ",IF(J1390="❌ Пропущено","✖ ","⏰ "))&amp;IF(C1390="","",RIGHT("0"&amp;HOUR(C1390),2)&amp;":"&amp;RIGHT("0"&amp;MINUTE(C1390),2)&amp;IF(D1390="","","–"&amp;RIGHT("0"&amp;HOUR(D1390),2)&amp;":"&amp;RIGHT("0"&amp;MINUTE(D1390),2))&amp;" ")&amp;F1390)</f>
        <v/>
      </c>
      <c r="N1390" s="54">
        <f>IF(OR(A1390="",F1390=""),"",A1390&amp;"#"&amp;(COUNTIFS($A$5:$A$3004,A1390,$F$5:$F$3004,"?*",$O$5:$O$3004,"&lt;"&amp;O1390)+COUNTIFS($A$5:A1390,A1390,$F$5:F1390,"?*",$O$5:O1390,O1390)))</f>
        <v/>
      </c>
      <c r="O1390" s="54">
        <f>IF(A1390="","",IF(C1390="",0,C1390))</f>
        <v/>
      </c>
    </row>
    <row r="1391">
      <c r="A1391" s="58" t="n"/>
      <c r="B1391" s="49">
        <f>IF(A1391="","",CHOOSE(WEEKDAY(A1391,2),"Пн","Вт","Ср","Чт","Пт","Сб","Вс"))</f>
        <v/>
      </c>
      <c r="C1391" s="59" t="n"/>
      <c r="D1391" s="59" t="n"/>
      <c r="E1391" s="60">
        <f>IF(OR(C1391="",D1391=""),"",MOD(D1391-C1391,1)*24)</f>
        <v/>
      </c>
      <c r="F1391" s="50" t="n"/>
      <c r="G1391" s="51" t="n"/>
      <c r="H1391" s="51" t="n"/>
      <c r="I1391" s="51" t="n"/>
      <c r="J1391" s="51" t="n"/>
      <c r="K1391" s="51" t="n"/>
      <c r="L1391" s="54">
        <f>IF(OR(A1391="",C1391="",D1391=""),"",IF(COUNTIFS($A$5:$A$3004,A1391,$C$5:$C$3004,"&lt;"&amp;D1391,$D$5:$D$3004,"&gt;"&amp;C1391)&gt;1,"⚠️ пересечение",""))</f>
        <v/>
      </c>
      <c r="M1391" s="54">
        <f>IF(F1391="","",IF(J1391="✅ Сделано","✔ ",IF(J1391="❌ Пропущено","✖ ","⏰ "))&amp;IF(C1391="","",RIGHT("0"&amp;HOUR(C1391),2)&amp;":"&amp;RIGHT("0"&amp;MINUTE(C1391),2)&amp;IF(D1391="","","–"&amp;RIGHT("0"&amp;HOUR(D1391),2)&amp;":"&amp;RIGHT("0"&amp;MINUTE(D1391),2))&amp;" ")&amp;F1391)</f>
        <v/>
      </c>
      <c r="N1391" s="54">
        <f>IF(OR(A1391="",F1391=""),"",A1391&amp;"#"&amp;(COUNTIFS($A$5:$A$3004,A1391,$F$5:$F$3004,"?*",$O$5:$O$3004,"&lt;"&amp;O1391)+COUNTIFS($A$5:A1391,A1391,$F$5:F1391,"?*",$O$5:O1391,O1391)))</f>
        <v/>
      </c>
      <c r="O1391" s="54">
        <f>IF(A1391="","",IF(C1391="",0,C1391))</f>
        <v/>
      </c>
    </row>
    <row r="1392">
      <c r="A1392" s="58" t="n"/>
      <c r="B1392" s="49">
        <f>IF(A1392="","",CHOOSE(WEEKDAY(A1392,2),"Пн","Вт","Ср","Чт","Пт","Сб","Вс"))</f>
        <v/>
      </c>
      <c r="C1392" s="59" t="n"/>
      <c r="D1392" s="59" t="n"/>
      <c r="E1392" s="60">
        <f>IF(OR(C1392="",D1392=""),"",MOD(D1392-C1392,1)*24)</f>
        <v/>
      </c>
      <c r="F1392" s="50" t="n"/>
      <c r="G1392" s="51" t="n"/>
      <c r="H1392" s="51" t="n"/>
      <c r="I1392" s="51" t="n"/>
      <c r="J1392" s="51" t="n"/>
      <c r="K1392" s="51" t="n"/>
      <c r="L1392" s="54">
        <f>IF(OR(A1392="",C1392="",D1392=""),"",IF(COUNTIFS($A$5:$A$3004,A1392,$C$5:$C$3004,"&lt;"&amp;D1392,$D$5:$D$3004,"&gt;"&amp;C1392)&gt;1,"⚠️ пересечение",""))</f>
        <v/>
      </c>
      <c r="M1392" s="54">
        <f>IF(F1392="","",IF(J1392="✅ Сделано","✔ ",IF(J1392="❌ Пропущено","✖ ","⏰ "))&amp;IF(C1392="","",RIGHT("0"&amp;HOUR(C1392),2)&amp;":"&amp;RIGHT("0"&amp;MINUTE(C1392),2)&amp;IF(D1392="","","–"&amp;RIGHT("0"&amp;HOUR(D1392),2)&amp;":"&amp;RIGHT("0"&amp;MINUTE(D1392),2))&amp;" ")&amp;F1392)</f>
        <v/>
      </c>
      <c r="N1392" s="54">
        <f>IF(OR(A1392="",F1392=""),"",A1392&amp;"#"&amp;(COUNTIFS($A$5:$A$3004,A1392,$F$5:$F$3004,"?*",$O$5:$O$3004,"&lt;"&amp;O1392)+COUNTIFS($A$5:A1392,A1392,$F$5:F1392,"?*",$O$5:O1392,O1392)))</f>
        <v/>
      </c>
      <c r="O1392" s="54">
        <f>IF(A1392="","",IF(C1392="",0,C1392))</f>
        <v/>
      </c>
    </row>
    <row r="1393">
      <c r="A1393" s="58" t="n"/>
      <c r="B1393" s="49">
        <f>IF(A1393="","",CHOOSE(WEEKDAY(A1393,2),"Пн","Вт","Ср","Чт","Пт","Сб","Вс"))</f>
        <v/>
      </c>
      <c r="C1393" s="59" t="n"/>
      <c r="D1393" s="59" t="n"/>
      <c r="E1393" s="60">
        <f>IF(OR(C1393="",D1393=""),"",MOD(D1393-C1393,1)*24)</f>
        <v/>
      </c>
      <c r="F1393" s="50" t="n"/>
      <c r="G1393" s="51" t="n"/>
      <c r="H1393" s="51" t="n"/>
      <c r="I1393" s="51" t="n"/>
      <c r="J1393" s="51" t="n"/>
      <c r="K1393" s="51" t="n"/>
      <c r="L1393" s="54">
        <f>IF(OR(A1393="",C1393="",D1393=""),"",IF(COUNTIFS($A$5:$A$3004,A1393,$C$5:$C$3004,"&lt;"&amp;D1393,$D$5:$D$3004,"&gt;"&amp;C1393)&gt;1,"⚠️ пересечение",""))</f>
        <v/>
      </c>
      <c r="M1393" s="54">
        <f>IF(F1393="","",IF(J1393="✅ Сделано","✔ ",IF(J1393="❌ Пропущено","✖ ","⏰ "))&amp;IF(C1393="","",RIGHT("0"&amp;HOUR(C1393),2)&amp;":"&amp;RIGHT("0"&amp;MINUTE(C1393),2)&amp;IF(D1393="","","–"&amp;RIGHT("0"&amp;HOUR(D1393),2)&amp;":"&amp;RIGHT("0"&amp;MINUTE(D1393),2))&amp;" ")&amp;F1393)</f>
        <v/>
      </c>
      <c r="N1393" s="54">
        <f>IF(OR(A1393="",F1393=""),"",A1393&amp;"#"&amp;(COUNTIFS($A$5:$A$3004,A1393,$F$5:$F$3004,"?*",$O$5:$O$3004,"&lt;"&amp;O1393)+COUNTIFS($A$5:A1393,A1393,$F$5:F1393,"?*",$O$5:O1393,O1393)))</f>
        <v/>
      </c>
      <c r="O1393" s="54">
        <f>IF(A1393="","",IF(C1393="",0,C1393))</f>
        <v/>
      </c>
    </row>
    <row r="1394">
      <c r="A1394" s="58" t="n"/>
      <c r="B1394" s="49">
        <f>IF(A1394="","",CHOOSE(WEEKDAY(A1394,2),"Пн","Вт","Ср","Чт","Пт","Сб","Вс"))</f>
        <v/>
      </c>
      <c r="C1394" s="59" t="n"/>
      <c r="D1394" s="59" t="n"/>
      <c r="E1394" s="60">
        <f>IF(OR(C1394="",D1394=""),"",MOD(D1394-C1394,1)*24)</f>
        <v/>
      </c>
      <c r="F1394" s="50" t="n"/>
      <c r="G1394" s="51" t="n"/>
      <c r="H1394" s="51" t="n"/>
      <c r="I1394" s="51" t="n"/>
      <c r="J1394" s="51" t="n"/>
      <c r="K1394" s="51" t="n"/>
      <c r="L1394" s="54">
        <f>IF(OR(A1394="",C1394="",D1394=""),"",IF(COUNTIFS($A$5:$A$3004,A1394,$C$5:$C$3004,"&lt;"&amp;D1394,$D$5:$D$3004,"&gt;"&amp;C1394)&gt;1,"⚠️ пересечение",""))</f>
        <v/>
      </c>
      <c r="M1394" s="54">
        <f>IF(F1394="","",IF(J1394="✅ Сделано","✔ ",IF(J1394="❌ Пропущено","✖ ","⏰ "))&amp;IF(C1394="","",RIGHT("0"&amp;HOUR(C1394),2)&amp;":"&amp;RIGHT("0"&amp;MINUTE(C1394),2)&amp;IF(D1394="","","–"&amp;RIGHT("0"&amp;HOUR(D1394),2)&amp;":"&amp;RIGHT("0"&amp;MINUTE(D1394),2))&amp;" ")&amp;F1394)</f>
        <v/>
      </c>
      <c r="N1394" s="54">
        <f>IF(OR(A1394="",F1394=""),"",A1394&amp;"#"&amp;(COUNTIFS($A$5:$A$3004,A1394,$F$5:$F$3004,"?*",$O$5:$O$3004,"&lt;"&amp;O1394)+COUNTIFS($A$5:A1394,A1394,$F$5:F1394,"?*",$O$5:O1394,O1394)))</f>
        <v/>
      </c>
      <c r="O1394" s="54">
        <f>IF(A1394="","",IF(C1394="",0,C1394))</f>
        <v/>
      </c>
    </row>
    <row r="1395">
      <c r="A1395" s="58" t="n"/>
      <c r="B1395" s="49">
        <f>IF(A1395="","",CHOOSE(WEEKDAY(A1395,2),"Пн","Вт","Ср","Чт","Пт","Сб","Вс"))</f>
        <v/>
      </c>
      <c r="C1395" s="59" t="n"/>
      <c r="D1395" s="59" t="n"/>
      <c r="E1395" s="60">
        <f>IF(OR(C1395="",D1395=""),"",MOD(D1395-C1395,1)*24)</f>
        <v/>
      </c>
      <c r="F1395" s="50" t="n"/>
      <c r="G1395" s="51" t="n"/>
      <c r="H1395" s="51" t="n"/>
      <c r="I1395" s="51" t="n"/>
      <c r="J1395" s="51" t="n"/>
      <c r="K1395" s="51" t="n"/>
      <c r="L1395" s="54">
        <f>IF(OR(A1395="",C1395="",D1395=""),"",IF(COUNTIFS($A$5:$A$3004,A1395,$C$5:$C$3004,"&lt;"&amp;D1395,$D$5:$D$3004,"&gt;"&amp;C1395)&gt;1,"⚠️ пересечение",""))</f>
        <v/>
      </c>
      <c r="M1395" s="54">
        <f>IF(F1395="","",IF(J1395="✅ Сделано","✔ ",IF(J1395="❌ Пропущено","✖ ","⏰ "))&amp;IF(C1395="","",RIGHT("0"&amp;HOUR(C1395),2)&amp;":"&amp;RIGHT("0"&amp;MINUTE(C1395),2)&amp;IF(D1395="","","–"&amp;RIGHT("0"&amp;HOUR(D1395),2)&amp;":"&amp;RIGHT("0"&amp;MINUTE(D1395),2))&amp;" ")&amp;F1395)</f>
        <v/>
      </c>
      <c r="N1395" s="54">
        <f>IF(OR(A1395="",F1395=""),"",A1395&amp;"#"&amp;(COUNTIFS($A$5:$A$3004,A1395,$F$5:$F$3004,"?*",$O$5:$O$3004,"&lt;"&amp;O1395)+COUNTIFS($A$5:A1395,A1395,$F$5:F1395,"?*",$O$5:O1395,O1395)))</f>
        <v/>
      </c>
      <c r="O1395" s="54">
        <f>IF(A1395="","",IF(C1395="",0,C1395))</f>
        <v/>
      </c>
    </row>
    <row r="1396">
      <c r="A1396" s="58" t="n"/>
      <c r="B1396" s="49">
        <f>IF(A1396="","",CHOOSE(WEEKDAY(A1396,2),"Пн","Вт","Ср","Чт","Пт","Сб","Вс"))</f>
        <v/>
      </c>
      <c r="C1396" s="59" t="n"/>
      <c r="D1396" s="59" t="n"/>
      <c r="E1396" s="60">
        <f>IF(OR(C1396="",D1396=""),"",MOD(D1396-C1396,1)*24)</f>
        <v/>
      </c>
      <c r="F1396" s="50" t="n"/>
      <c r="G1396" s="51" t="n"/>
      <c r="H1396" s="51" t="n"/>
      <c r="I1396" s="51" t="n"/>
      <c r="J1396" s="51" t="n"/>
      <c r="K1396" s="51" t="n"/>
      <c r="L1396" s="54">
        <f>IF(OR(A1396="",C1396="",D1396=""),"",IF(COUNTIFS($A$5:$A$3004,A1396,$C$5:$C$3004,"&lt;"&amp;D1396,$D$5:$D$3004,"&gt;"&amp;C1396)&gt;1,"⚠️ пересечение",""))</f>
        <v/>
      </c>
      <c r="M1396" s="54">
        <f>IF(F1396="","",IF(J1396="✅ Сделано","✔ ",IF(J1396="❌ Пропущено","✖ ","⏰ "))&amp;IF(C1396="","",RIGHT("0"&amp;HOUR(C1396),2)&amp;":"&amp;RIGHT("0"&amp;MINUTE(C1396),2)&amp;IF(D1396="","","–"&amp;RIGHT("0"&amp;HOUR(D1396),2)&amp;":"&amp;RIGHT("0"&amp;MINUTE(D1396),2))&amp;" ")&amp;F1396)</f>
        <v/>
      </c>
      <c r="N1396" s="54">
        <f>IF(OR(A1396="",F1396=""),"",A1396&amp;"#"&amp;(COUNTIFS($A$5:$A$3004,A1396,$F$5:$F$3004,"?*",$O$5:$O$3004,"&lt;"&amp;O1396)+COUNTIFS($A$5:A1396,A1396,$F$5:F1396,"?*",$O$5:O1396,O1396)))</f>
        <v/>
      </c>
      <c r="O1396" s="54">
        <f>IF(A1396="","",IF(C1396="",0,C1396))</f>
        <v/>
      </c>
    </row>
    <row r="1397">
      <c r="A1397" s="58" t="n"/>
      <c r="B1397" s="49">
        <f>IF(A1397="","",CHOOSE(WEEKDAY(A1397,2),"Пн","Вт","Ср","Чт","Пт","Сб","Вс"))</f>
        <v/>
      </c>
      <c r="C1397" s="59" t="n"/>
      <c r="D1397" s="59" t="n"/>
      <c r="E1397" s="60">
        <f>IF(OR(C1397="",D1397=""),"",MOD(D1397-C1397,1)*24)</f>
        <v/>
      </c>
      <c r="F1397" s="50" t="n"/>
      <c r="G1397" s="51" t="n"/>
      <c r="H1397" s="51" t="n"/>
      <c r="I1397" s="51" t="n"/>
      <c r="J1397" s="51" t="n"/>
      <c r="K1397" s="51" t="n"/>
      <c r="L1397" s="54">
        <f>IF(OR(A1397="",C1397="",D1397=""),"",IF(COUNTIFS($A$5:$A$3004,A1397,$C$5:$C$3004,"&lt;"&amp;D1397,$D$5:$D$3004,"&gt;"&amp;C1397)&gt;1,"⚠️ пересечение",""))</f>
        <v/>
      </c>
      <c r="M1397" s="54">
        <f>IF(F1397="","",IF(J1397="✅ Сделано","✔ ",IF(J1397="❌ Пропущено","✖ ","⏰ "))&amp;IF(C1397="","",RIGHT("0"&amp;HOUR(C1397),2)&amp;":"&amp;RIGHT("0"&amp;MINUTE(C1397),2)&amp;IF(D1397="","","–"&amp;RIGHT("0"&amp;HOUR(D1397),2)&amp;":"&amp;RIGHT("0"&amp;MINUTE(D1397),2))&amp;" ")&amp;F1397)</f>
        <v/>
      </c>
      <c r="N1397" s="54">
        <f>IF(OR(A1397="",F1397=""),"",A1397&amp;"#"&amp;(COUNTIFS($A$5:$A$3004,A1397,$F$5:$F$3004,"?*",$O$5:$O$3004,"&lt;"&amp;O1397)+COUNTIFS($A$5:A1397,A1397,$F$5:F1397,"?*",$O$5:O1397,O1397)))</f>
        <v/>
      </c>
      <c r="O1397" s="54">
        <f>IF(A1397="","",IF(C1397="",0,C1397))</f>
        <v/>
      </c>
    </row>
    <row r="1398">
      <c r="A1398" s="58" t="n"/>
      <c r="B1398" s="49">
        <f>IF(A1398="","",CHOOSE(WEEKDAY(A1398,2),"Пн","Вт","Ср","Чт","Пт","Сб","Вс"))</f>
        <v/>
      </c>
      <c r="C1398" s="59" t="n"/>
      <c r="D1398" s="59" t="n"/>
      <c r="E1398" s="60">
        <f>IF(OR(C1398="",D1398=""),"",MOD(D1398-C1398,1)*24)</f>
        <v/>
      </c>
      <c r="F1398" s="50" t="n"/>
      <c r="G1398" s="51" t="n"/>
      <c r="H1398" s="51" t="n"/>
      <c r="I1398" s="51" t="n"/>
      <c r="J1398" s="51" t="n"/>
      <c r="K1398" s="51" t="n"/>
      <c r="L1398" s="54">
        <f>IF(OR(A1398="",C1398="",D1398=""),"",IF(COUNTIFS($A$5:$A$3004,A1398,$C$5:$C$3004,"&lt;"&amp;D1398,$D$5:$D$3004,"&gt;"&amp;C1398)&gt;1,"⚠️ пересечение",""))</f>
        <v/>
      </c>
      <c r="M1398" s="54">
        <f>IF(F1398="","",IF(J1398="✅ Сделано","✔ ",IF(J1398="❌ Пропущено","✖ ","⏰ "))&amp;IF(C1398="","",RIGHT("0"&amp;HOUR(C1398),2)&amp;":"&amp;RIGHT("0"&amp;MINUTE(C1398),2)&amp;IF(D1398="","","–"&amp;RIGHT("0"&amp;HOUR(D1398),2)&amp;":"&amp;RIGHT("0"&amp;MINUTE(D1398),2))&amp;" ")&amp;F1398)</f>
        <v/>
      </c>
      <c r="N1398" s="54">
        <f>IF(OR(A1398="",F1398=""),"",A1398&amp;"#"&amp;(COUNTIFS($A$5:$A$3004,A1398,$F$5:$F$3004,"?*",$O$5:$O$3004,"&lt;"&amp;O1398)+COUNTIFS($A$5:A1398,A1398,$F$5:F1398,"?*",$O$5:O1398,O1398)))</f>
        <v/>
      </c>
      <c r="O1398" s="54">
        <f>IF(A1398="","",IF(C1398="",0,C1398))</f>
        <v/>
      </c>
    </row>
    <row r="1399">
      <c r="A1399" s="58" t="n"/>
      <c r="B1399" s="49">
        <f>IF(A1399="","",CHOOSE(WEEKDAY(A1399,2),"Пн","Вт","Ср","Чт","Пт","Сб","Вс"))</f>
        <v/>
      </c>
      <c r="C1399" s="59" t="n"/>
      <c r="D1399" s="59" t="n"/>
      <c r="E1399" s="60">
        <f>IF(OR(C1399="",D1399=""),"",MOD(D1399-C1399,1)*24)</f>
        <v/>
      </c>
      <c r="F1399" s="50" t="n"/>
      <c r="G1399" s="51" t="n"/>
      <c r="H1399" s="51" t="n"/>
      <c r="I1399" s="51" t="n"/>
      <c r="J1399" s="51" t="n"/>
      <c r="K1399" s="51" t="n"/>
      <c r="L1399" s="54">
        <f>IF(OR(A1399="",C1399="",D1399=""),"",IF(COUNTIFS($A$5:$A$3004,A1399,$C$5:$C$3004,"&lt;"&amp;D1399,$D$5:$D$3004,"&gt;"&amp;C1399)&gt;1,"⚠️ пересечение",""))</f>
        <v/>
      </c>
      <c r="M1399" s="54">
        <f>IF(F1399="","",IF(J1399="✅ Сделано","✔ ",IF(J1399="❌ Пропущено","✖ ","⏰ "))&amp;IF(C1399="","",RIGHT("0"&amp;HOUR(C1399),2)&amp;":"&amp;RIGHT("0"&amp;MINUTE(C1399),2)&amp;IF(D1399="","","–"&amp;RIGHT("0"&amp;HOUR(D1399),2)&amp;":"&amp;RIGHT("0"&amp;MINUTE(D1399),2))&amp;" ")&amp;F1399)</f>
        <v/>
      </c>
      <c r="N1399" s="54">
        <f>IF(OR(A1399="",F1399=""),"",A1399&amp;"#"&amp;(COUNTIFS($A$5:$A$3004,A1399,$F$5:$F$3004,"?*",$O$5:$O$3004,"&lt;"&amp;O1399)+COUNTIFS($A$5:A1399,A1399,$F$5:F1399,"?*",$O$5:O1399,O1399)))</f>
        <v/>
      </c>
      <c r="O1399" s="54">
        <f>IF(A1399="","",IF(C1399="",0,C1399))</f>
        <v/>
      </c>
    </row>
    <row r="1400">
      <c r="A1400" s="58" t="n"/>
      <c r="B1400" s="49">
        <f>IF(A1400="","",CHOOSE(WEEKDAY(A1400,2),"Пн","Вт","Ср","Чт","Пт","Сб","Вс"))</f>
        <v/>
      </c>
      <c r="C1400" s="59" t="n"/>
      <c r="D1400" s="59" t="n"/>
      <c r="E1400" s="60">
        <f>IF(OR(C1400="",D1400=""),"",MOD(D1400-C1400,1)*24)</f>
        <v/>
      </c>
      <c r="F1400" s="50" t="n"/>
      <c r="G1400" s="51" t="n"/>
      <c r="H1400" s="51" t="n"/>
      <c r="I1400" s="51" t="n"/>
      <c r="J1400" s="51" t="n"/>
      <c r="K1400" s="51" t="n"/>
      <c r="L1400" s="54">
        <f>IF(OR(A1400="",C1400="",D1400=""),"",IF(COUNTIFS($A$5:$A$3004,A1400,$C$5:$C$3004,"&lt;"&amp;D1400,$D$5:$D$3004,"&gt;"&amp;C1400)&gt;1,"⚠️ пересечение",""))</f>
        <v/>
      </c>
      <c r="M1400" s="54">
        <f>IF(F1400="","",IF(J1400="✅ Сделано","✔ ",IF(J1400="❌ Пропущено","✖ ","⏰ "))&amp;IF(C1400="","",RIGHT("0"&amp;HOUR(C1400),2)&amp;":"&amp;RIGHT("0"&amp;MINUTE(C1400),2)&amp;IF(D1400="","","–"&amp;RIGHT("0"&amp;HOUR(D1400),2)&amp;":"&amp;RIGHT("0"&amp;MINUTE(D1400),2))&amp;" ")&amp;F1400)</f>
        <v/>
      </c>
      <c r="N1400" s="54">
        <f>IF(OR(A1400="",F1400=""),"",A1400&amp;"#"&amp;(COUNTIFS($A$5:$A$3004,A1400,$F$5:$F$3004,"?*",$O$5:$O$3004,"&lt;"&amp;O1400)+COUNTIFS($A$5:A1400,A1400,$F$5:F1400,"?*",$O$5:O1400,O1400)))</f>
        <v/>
      </c>
      <c r="O1400" s="54">
        <f>IF(A1400="","",IF(C1400="",0,C1400))</f>
        <v/>
      </c>
    </row>
    <row r="1401">
      <c r="A1401" s="58" t="n"/>
      <c r="B1401" s="49">
        <f>IF(A1401="","",CHOOSE(WEEKDAY(A1401,2),"Пн","Вт","Ср","Чт","Пт","Сб","Вс"))</f>
        <v/>
      </c>
      <c r="C1401" s="59" t="n"/>
      <c r="D1401" s="59" t="n"/>
      <c r="E1401" s="60">
        <f>IF(OR(C1401="",D1401=""),"",MOD(D1401-C1401,1)*24)</f>
        <v/>
      </c>
      <c r="F1401" s="50" t="n"/>
      <c r="G1401" s="51" t="n"/>
      <c r="H1401" s="51" t="n"/>
      <c r="I1401" s="51" t="n"/>
      <c r="J1401" s="51" t="n"/>
      <c r="K1401" s="51" t="n"/>
      <c r="L1401" s="54">
        <f>IF(OR(A1401="",C1401="",D1401=""),"",IF(COUNTIFS($A$5:$A$3004,A1401,$C$5:$C$3004,"&lt;"&amp;D1401,$D$5:$D$3004,"&gt;"&amp;C1401)&gt;1,"⚠️ пересечение",""))</f>
        <v/>
      </c>
      <c r="M1401" s="54">
        <f>IF(F1401="","",IF(J1401="✅ Сделано","✔ ",IF(J1401="❌ Пропущено","✖ ","⏰ "))&amp;IF(C1401="","",RIGHT("0"&amp;HOUR(C1401),2)&amp;":"&amp;RIGHT("0"&amp;MINUTE(C1401),2)&amp;IF(D1401="","","–"&amp;RIGHT("0"&amp;HOUR(D1401),2)&amp;":"&amp;RIGHT("0"&amp;MINUTE(D1401),2))&amp;" ")&amp;F1401)</f>
        <v/>
      </c>
      <c r="N1401" s="54">
        <f>IF(OR(A1401="",F1401=""),"",A1401&amp;"#"&amp;(COUNTIFS($A$5:$A$3004,A1401,$F$5:$F$3004,"?*",$O$5:$O$3004,"&lt;"&amp;O1401)+COUNTIFS($A$5:A1401,A1401,$F$5:F1401,"?*",$O$5:O1401,O1401)))</f>
        <v/>
      </c>
      <c r="O1401" s="54">
        <f>IF(A1401="","",IF(C1401="",0,C1401))</f>
        <v/>
      </c>
    </row>
    <row r="1402">
      <c r="A1402" s="58" t="n"/>
      <c r="B1402" s="49">
        <f>IF(A1402="","",CHOOSE(WEEKDAY(A1402,2),"Пн","Вт","Ср","Чт","Пт","Сб","Вс"))</f>
        <v/>
      </c>
      <c r="C1402" s="59" t="n"/>
      <c r="D1402" s="59" t="n"/>
      <c r="E1402" s="60">
        <f>IF(OR(C1402="",D1402=""),"",MOD(D1402-C1402,1)*24)</f>
        <v/>
      </c>
      <c r="F1402" s="50" t="n"/>
      <c r="G1402" s="51" t="n"/>
      <c r="H1402" s="51" t="n"/>
      <c r="I1402" s="51" t="n"/>
      <c r="J1402" s="51" t="n"/>
      <c r="K1402" s="51" t="n"/>
      <c r="L1402" s="54">
        <f>IF(OR(A1402="",C1402="",D1402=""),"",IF(COUNTIFS($A$5:$A$3004,A1402,$C$5:$C$3004,"&lt;"&amp;D1402,$D$5:$D$3004,"&gt;"&amp;C1402)&gt;1,"⚠️ пересечение",""))</f>
        <v/>
      </c>
      <c r="M1402" s="54">
        <f>IF(F1402="","",IF(J1402="✅ Сделано","✔ ",IF(J1402="❌ Пропущено","✖ ","⏰ "))&amp;IF(C1402="","",RIGHT("0"&amp;HOUR(C1402),2)&amp;":"&amp;RIGHT("0"&amp;MINUTE(C1402),2)&amp;IF(D1402="","","–"&amp;RIGHT("0"&amp;HOUR(D1402),2)&amp;":"&amp;RIGHT("0"&amp;MINUTE(D1402),2))&amp;" ")&amp;F1402)</f>
        <v/>
      </c>
      <c r="N1402" s="54">
        <f>IF(OR(A1402="",F1402=""),"",A1402&amp;"#"&amp;(COUNTIFS($A$5:$A$3004,A1402,$F$5:$F$3004,"?*",$O$5:$O$3004,"&lt;"&amp;O1402)+COUNTIFS($A$5:A1402,A1402,$F$5:F1402,"?*",$O$5:O1402,O1402)))</f>
        <v/>
      </c>
      <c r="O1402" s="54">
        <f>IF(A1402="","",IF(C1402="",0,C1402))</f>
        <v/>
      </c>
    </row>
    <row r="1403">
      <c r="A1403" s="58" t="n"/>
      <c r="B1403" s="49">
        <f>IF(A1403="","",CHOOSE(WEEKDAY(A1403,2),"Пн","Вт","Ср","Чт","Пт","Сб","Вс"))</f>
        <v/>
      </c>
      <c r="C1403" s="59" t="n"/>
      <c r="D1403" s="59" t="n"/>
      <c r="E1403" s="60">
        <f>IF(OR(C1403="",D1403=""),"",MOD(D1403-C1403,1)*24)</f>
        <v/>
      </c>
      <c r="F1403" s="50" t="n"/>
      <c r="G1403" s="51" t="n"/>
      <c r="H1403" s="51" t="n"/>
      <c r="I1403" s="51" t="n"/>
      <c r="J1403" s="51" t="n"/>
      <c r="K1403" s="51" t="n"/>
      <c r="L1403" s="54">
        <f>IF(OR(A1403="",C1403="",D1403=""),"",IF(COUNTIFS($A$5:$A$3004,A1403,$C$5:$C$3004,"&lt;"&amp;D1403,$D$5:$D$3004,"&gt;"&amp;C1403)&gt;1,"⚠️ пересечение",""))</f>
        <v/>
      </c>
      <c r="M1403" s="54">
        <f>IF(F1403="","",IF(J1403="✅ Сделано","✔ ",IF(J1403="❌ Пропущено","✖ ","⏰ "))&amp;IF(C1403="","",RIGHT("0"&amp;HOUR(C1403),2)&amp;":"&amp;RIGHT("0"&amp;MINUTE(C1403),2)&amp;IF(D1403="","","–"&amp;RIGHT("0"&amp;HOUR(D1403),2)&amp;":"&amp;RIGHT("0"&amp;MINUTE(D1403),2))&amp;" ")&amp;F1403)</f>
        <v/>
      </c>
      <c r="N1403" s="54">
        <f>IF(OR(A1403="",F1403=""),"",A1403&amp;"#"&amp;(COUNTIFS($A$5:$A$3004,A1403,$F$5:$F$3004,"?*",$O$5:$O$3004,"&lt;"&amp;O1403)+COUNTIFS($A$5:A1403,A1403,$F$5:F1403,"?*",$O$5:O1403,O1403)))</f>
        <v/>
      </c>
      <c r="O1403" s="54">
        <f>IF(A1403="","",IF(C1403="",0,C1403))</f>
        <v/>
      </c>
    </row>
    <row r="1404">
      <c r="A1404" s="58" t="n"/>
      <c r="B1404" s="49">
        <f>IF(A1404="","",CHOOSE(WEEKDAY(A1404,2),"Пн","Вт","Ср","Чт","Пт","Сб","Вс"))</f>
        <v/>
      </c>
      <c r="C1404" s="59" t="n"/>
      <c r="D1404" s="59" t="n"/>
      <c r="E1404" s="60">
        <f>IF(OR(C1404="",D1404=""),"",MOD(D1404-C1404,1)*24)</f>
        <v/>
      </c>
      <c r="F1404" s="50" t="n"/>
      <c r="G1404" s="51" t="n"/>
      <c r="H1404" s="51" t="n"/>
      <c r="I1404" s="51" t="n"/>
      <c r="J1404" s="51" t="n"/>
      <c r="K1404" s="51" t="n"/>
      <c r="L1404" s="54">
        <f>IF(OR(A1404="",C1404="",D1404=""),"",IF(COUNTIFS($A$5:$A$3004,A1404,$C$5:$C$3004,"&lt;"&amp;D1404,$D$5:$D$3004,"&gt;"&amp;C1404)&gt;1,"⚠️ пересечение",""))</f>
        <v/>
      </c>
      <c r="M1404" s="54">
        <f>IF(F1404="","",IF(J1404="✅ Сделано","✔ ",IF(J1404="❌ Пропущено","✖ ","⏰ "))&amp;IF(C1404="","",RIGHT("0"&amp;HOUR(C1404),2)&amp;":"&amp;RIGHT("0"&amp;MINUTE(C1404),2)&amp;IF(D1404="","","–"&amp;RIGHT("0"&amp;HOUR(D1404),2)&amp;":"&amp;RIGHT("0"&amp;MINUTE(D1404),2))&amp;" ")&amp;F1404)</f>
        <v/>
      </c>
      <c r="N1404" s="54">
        <f>IF(OR(A1404="",F1404=""),"",A1404&amp;"#"&amp;(COUNTIFS($A$5:$A$3004,A1404,$F$5:$F$3004,"?*",$O$5:$O$3004,"&lt;"&amp;O1404)+COUNTIFS($A$5:A1404,A1404,$F$5:F1404,"?*",$O$5:O1404,O1404)))</f>
        <v/>
      </c>
      <c r="O1404" s="54">
        <f>IF(A1404="","",IF(C1404="",0,C1404))</f>
        <v/>
      </c>
    </row>
    <row r="1405">
      <c r="A1405" s="58" t="n"/>
      <c r="B1405" s="49">
        <f>IF(A1405="","",CHOOSE(WEEKDAY(A1405,2),"Пн","Вт","Ср","Чт","Пт","Сб","Вс"))</f>
        <v/>
      </c>
      <c r="C1405" s="59" t="n"/>
      <c r="D1405" s="59" t="n"/>
      <c r="E1405" s="60">
        <f>IF(OR(C1405="",D1405=""),"",MOD(D1405-C1405,1)*24)</f>
        <v/>
      </c>
      <c r="F1405" s="50" t="n"/>
      <c r="G1405" s="51" t="n"/>
      <c r="H1405" s="51" t="n"/>
      <c r="I1405" s="51" t="n"/>
      <c r="J1405" s="51" t="n"/>
      <c r="K1405" s="51" t="n"/>
      <c r="L1405" s="54">
        <f>IF(OR(A1405="",C1405="",D1405=""),"",IF(COUNTIFS($A$5:$A$3004,A1405,$C$5:$C$3004,"&lt;"&amp;D1405,$D$5:$D$3004,"&gt;"&amp;C1405)&gt;1,"⚠️ пересечение",""))</f>
        <v/>
      </c>
      <c r="M1405" s="54">
        <f>IF(F1405="","",IF(J1405="✅ Сделано","✔ ",IF(J1405="❌ Пропущено","✖ ","⏰ "))&amp;IF(C1405="","",RIGHT("0"&amp;HOUR(C1405),2)&amp;":"&amp;RIGHT("0"&amp;MINUTE(C1405),2)&amp;IF(D1405="","","–"&amp;RIGHT("0"&amp;HOUR(D1405),2)&amp;":"&amp;RIGHT("0"&amp;MINUTE(D1405),2))&amp;" ")&amp;F1405)</f>
        <v/>
      </c>
      <c r="N1405" s="54">
        <f>IF(OR(A1405="",F1405=""),"",A1405&amp;"#"&amp;(COUNTIFS($A$5:$A$3004,A1405,$F$5:$F$3004,"?*",$O$5:$O$3004,"&lt;"&amp;O1405)+COUNTIFS($A$5:A1405,A1405,$F$5:F1405,"?*",$O$5:O1405,O1405)))</f>
        <v/>
      </c>
      <c r="O1405" s="54">
        <f>IF(A1405="","",IF(C1405="",0,C1405))</f>
        <v/>
      </c>
    </row>
    <row r="1406">
      <c r="A1406" s="58" t="n"/>
      <c r="B1406" s="49">
        <f>IF(A1406="","",CHOOSE(WEEKDAY(A1406,2),"Пн","Вт","Ср","Чт","Пт","Сб","Вс"))</f>
        <v/>
      </c>
      <c r="C1406" s="59" t="n"/>
      <c r="D1406" s="59" t="n"/>
      <c r="E1406" s="60">
        <f>IF(OR(C1406="",D1406=""),"",MOD(D1406-C1406,1)*24)</f>
        <v/>
      </c>
      <c r="F1406" s="50" t="n"/>
      <c r="G1406" s="51" t="n"/>
      <c r="H1406" s="51" t="n"/>
      <c r="I1406" s="51" t="n"/>
      <c r="J1406" s="51" t="n"/>
      <c r="K1406" s="51" t="n"/>
      <c r="L1406" s="54">
        <f>IF(OR(A1406="",C1406="",D1406=""),"",IF(COUNTIFS($A$5:$A$3004,A1406,$C$5:$C$3004,"&lt;"&amp;D1406,$D$5:$D$3004,"&gt;"&amp;C1406)&gt;1,"⚠️ пересечение",""))</f>
        <v/>
      </c>
      <c r="M1406" s="54">
        <f>IF(F1406="","",IF(J1406="✅ Сделано","✔ ",IF(J1406="❌ Пропущено","✖ ","⏰ "))&amp;IF(C1406="","",RIGHT("0"&amp;HOUR(C1406),2)&amp;":"&amp;RIGHT("0"&amp;MINUTE(C1406),2)&amp;IF(D1406="","","–"&amp;RIGHT("0"&amp;HOUR(D1406),2)&amp;":"&amp;RIGHT("0"&amp;MINUTE(D1406),2))&amp;" ")&amp;F1406)</f>
        <v/>
      </c>
      <c r="N1406" s="54">
        <f>IF(OR(A1406="",F1406=""),"",A1406&amp;"#"&amp;(COUNTIFS($A$5:$A$3004,A1406,$F$5:$F$3004,"?*",$O$5:$O$3004,"&lt;"&amp;O1406)+COUNTIFS($A$5:A1406,A1406,$F$5:F1406,"?*",$O$5:O1406,O1406)))</f>
        <v/>
      </c>
      <c r="O1406" s="54">
        <f>IF(A1406="","",IF(C1406="",0,C1406))</f>
        <v/>
      </c>
    </row>
    <row r="1407">
      <c r="A1407" s="58" t="n"/>
      <c r="B1407" s="49">
        <f>IF(A1407="","",CHOOSE(WEEKDAY(A1407,2),"Пн","Вт","Ср","Чт","Пт","Сб","Вс"))</f>
        <v/>
      </c>
      <c r="C1407" s="59" t="n"/>
      <c r="D1407" s="59" t="n"/>
      <c r="E1407" s="60">
        <f>IF(OR(C1407="",D1407=""),"",MOD(D1407-C1407,1)*24)</f>
        <v/>
      </c>
      <c r="F1407" s="50" t="n"/>
      <c r="G1407" s="51" t="n"/>
      <c r="H1407" s="51" t="n"/>
      <c r="I1407" s="51" t="n"/>
      <c r="J1407" s="51" t="n"/>
      <c r="K1407" s="51" t="n"/>
      <c r="L1407" s="54">
        <f>IF(OR(A1407="",C1407="",D1407=""),"",IF(COUNTIFS($A$5:$A$3004,A1407,$C$5:$C$3004,"&lt;"&amp;D1407,$D$5:$D$3004,"&gt;"&amp;C1407)&gt;1,"⚠️ пересечение",""))</f>
        <v/>
      </c>
      <c r="M1407" s="54">
        <f>IF(F1407="","",IF(J1407="✅ Сделано","✔ ",IF(J1407="❌ Пропущено","✖ ","⏰ "))&amp;IF(C1407="","",RIGHT("0"&amp;HOUR(C1407),2)&amp;":"&amp;RIGHT("0"&amp;MINUTE(C1407),2)&amp;IF(D1407="","","–"&amp;RIGHT("0"&amp;HOUR(D1407),2)&amp;":"&amp;RIGHT("0"&amp;MINUTE(D1407),2))&amp;" ")&amp;F1407)</f>
        <v/>
      </c>
      <c r="N1407" s="54">
        <f>IF(OR(A1407="",F1407=""),"",A1407&amp;"#"&amp;(COUNTIFS($A$5:$A$3004,A1407,$F$5:$F$3004,"?*",$O$5:$O$3004,"&lt;"&amp;O1407)+COUNTIFS($A$5:A1407,A1407,$F$5:F1407,"?*",$O$5:O1407,O1407)))</f>
        <v/>
      </c>
      <c r="O1407" s="54">
        <f>IF(A1407="","",IF(C1407="",0,C1407))</f>
        <v/>
      </c>
    </row>
    <row r="1408">
      <c r="A1408" s="58" t="n"/>
      <c r="B1408" s="49">
        <f>IF(A1408="","",CHOOSE(WEEKDAY(A1408,2),"Пн","Вт","Ср","Чт","Пт","Сб","Вс"))</f>
        <v/>
      </c>
      <c r="C1408" s="59" t="n"/>
      <c r="D1408" s="59" t="n"/>
      <c r="E1408" s="60">
        <f>IF(OR(C1408="",D1408=""),"",MOD(D1408-C1408,1)*24)</f>
        <v/>
      </c>
      <c r="F1408" s="50" t="n"/>
      <c r="G1408" s="51" t="n"/>
      <c r="H1408" s="51" t="n"/>
      <c r="I1408" s="51" t="n"/>
      <c r="J1408" s="51" t="n"/>
      <c r="K1408" s="51" t="n"/>
      <c r="L1408" s="54">
        <f>IF(OR(A1408="",C1408="",D1408=""),"",IF(COUNTIFS($A$5:$A$3004,A1408,$C$5:$C$3004,"&lt;"&amp;D1408,$D$5:$D$3004,"&gt;"&amp;C1408)&gt;1,"⚠️ пересечение",""))</f>
        <v/>
      </c>
      <c r="M1408" s="54">
        <f>IF(F1408="","",IF(J1408="✅ Сделано","✔ ",IF(J1408="❌ Пропущено","✖ ","⏰ "))&amp;IF(C1408="","",RIGHT("0"&amp;HOUR(C1408),2)&amp;":"&amp;RIGHT("0"&amp;MINUTE(C1408),2)&amp;IF(D1408="","","–"&amp;RIGHT("0"&amp;HOUR(D1408),2)&amp;":"&amp;RIGHT("0"&amp;MINUTE(D1408),2))&amp;" ")&amp;F1408)</f>
        <v/>
      </c>
      <c r="N1408" s="54">
        <f>IF(OR(A1408="",F1408=""),"",A1408&amp;"#"&amp;(COUNTIFS($A$5:$A$3004,A1408,$F$5:$F$3004,"?*",$O$5:$O$3004,"&lt;"&amp;O1408)+COUNTIFS($A$5:A1408,A1408,$F$5:F1408,"?*",$O$5:O1408,O1408)))</f>
        <v/>
      </c>
      <c r="O1408" s="54">
        <f>IF(A1408="","",IF(C1408="",0,C1408))</f>
        <v/>
      </c>
    </row>
    <row r="1409">
      <c r="A1409" s="58" t="n"/>
      <c r="B1409" s="49">
        <f>IF(A1409="","",CHOOSE(WEEKDAY(A1409,2),"Пн","Вт","Ср","Чт","Пт","Сб","Вс"))</f>
        <v/>
      </c>
      <c r="C1409" s="59" t="n"/>
      <c r="D1409" s="59" t="n"/>
      <c r="E1409" s="60">
        <f>IF(OR(C1409="",D1409=""),"",MOD(D1409-C1409,1)*24)</f>
        <v/>
      </c>
      <c r="F1409" s="50" t="n"/>
      <c r="G1409" s="51" t="n"/>
      <c r="H1409" s="51" t="n"/>
      <c r="I1409" s="51" t="n"/>
      <c r="J1409" s="51" t="n"/>
      <c r="K1409" s="51" t="n"/>
      <c r="L1409" s="54">
        <f>IF(OR(A1409="",C1409="",D1409=""),"",IF(COUNTIFS($A$5:$A$3004,A1409,$C$5:$C$3004,"&lt;"&amp;D1409,$D$5:$D$3004,"&gt;"&amp;C1409)&gt;1,"⚠️ пересечение",""))</f>
        <v/>
      </c>
      <c r="M1409" s="54">
        <f>IF(F1409="","",IF(J1409="✅ Сделано","✔ ",IF(J1409="❌ Пропущено","✖ ","⏰ "))&amp;IF(C1409="","",RIGHT("0"&amp;HOUR(C1409),2)&amp;":"&amp;RIGHT("0"&amp;MINUTE(C1409),2)&amp;IF(D1409="","","–"&amp;RIGHT("0"&amp;HOUR(D1409),2)&amp;":"&amp;RIGHT("0"&amp;MINUTE(D1409),2))&amp;" ")&amp;F1409)</f>
        <v/>
      </c>
      <c r="N1409" s="54">
        <f>IF(OR(A1409="",F1409=""),"",A1409&amp;"#"&amp;(COUNTIFS($A$5:$A$3004,A1409,$F$5:$F$3004,"?*",$O$5:$O$3004,"&lt;"&amp;O1409)+COUNTIFS($A$5:A1409,A1409,$F$5:F1409,"?*",$O$5:O1409,O1409)))</f>
        <v/>
      </c>
      <c r="O1409" s="54">
        <f>IF(A1409="","",IF(C1409="",0,C1409))</f>
        <v/>
      </c>
    </row>
    <row r="1410">
      <c r="A1410" s="58" t="n"/>
      <c r="B1410" s="49">
        <f>IF(A1410="","",CHOOSE(WEEKDAY(A1410,2),"Пн","Вт","Ср","Чт","Пт","Сб","Вс"))</f>
        <v/>
      </c>
      <c r="C1410" s="59" t="n"/>
      <c r="D1410" s="59" t="n"/>
      <c r="E1410" s="60">
        <f>IF(OR(C1410="",D1410=""),"",MOD(D1410-C1410,1)*24)</f>
        <v/>
      </c>
      <c r="F1410" s="50" t="n"/>
      <c r="G1410" s="51" t="n"/>
      <c r="H1410" s="51" t="n"/>
      <c r="I1410" s="51" t="n"/>
      <c r="J1410" s="51" t="n"/>
      <c r="K1410" s="51" t="n"/>
      <c r="L1410" s="54">
        <f>IF(OR(A1410="",C1410="",D1410=""),"",IF(COUNTIFS($A$5:$A$3004,A1410,$C$5:$C$3004,"&lt;"&amp;D1410,$D$5:$D$3004,"&gt;"&amp;C1410)&gt;1,"⚠️ пересечение",""))</f>
        <v/>
      </c>
      <c r="M1410" s="54">
        <f>IF(F1410="","",IF(J1410="✅ Сделано","✔ ",IF(J1410="❌ Пропущено","✖ ","⏰ "))&amp;IF(C1410="","",RIGHT("0"&amp;HOUR(C1410),2)&amp;":"&amp;RIGHT("0"&amp;MINUTE(C1410),2)&amp;IF(D1410="","","–"&amp;RIGHT("0"&amp;HOUR(D1410),2)&amp;":"&amp;RIGHT("0"&amp;MINUTE(D1410),2))&amp;" ")&amp;F1410)</f>
        <v/>
      </c>
      <c r="N1410" s="54">
        <f>IF(OR(A1410="",F1410=""),"",A1410&amp;"#"&amp;(COUNTIFS($A$5:$A$3004,A1410,$F$5:$F$3004,"?*",$O$5:$O$3004,"&lt;"&amp;O1410)+COUNTIFS($A$5:A1410,A1410,$F$5:F1410,"?*",$O$5:O1410,O1410)))</f>
        <v/>
      </c>
      <c r="O1410" s="54">
        <f>IF(A1410="","",IF(C1410="",0,C1410))</f>
        <v/>
      </c>
    </row>
    <row r="1411">
      <c r="A1411" s="58" t="n"/>
      <c r="B1411" s="49">
        <f>IF(A1411="","",CHOOSE(WEEKDAY(A1411,2),"Пн","Вт","Ср","Чт","Пт","Сб","Вс"))</f>
        <v/>
      </c>
      <c r="C1411" s="59" t="n"/>
      <c r="D1411" s="59" t="n"/>
      <c r="E1411" s="60">
        <f>IF(OR(C1411="",D1411=""),"",MOD(D1411-C1411,1)*24)</f>
        <v/>
      </c>
      <c r="F1411" s="50" t="n"/>
      <c r="G1411" s="51" t="n"/>
      <c r="H1411" s="51" t="n"/>
      <c r="I1411" s="51" t="n"/>
      <c r="J1411" s="51" t="n"/>
      <c r="K1411" s="51" t="n"/>
      <c r="L1411" s="54">
        <f>IF(OR(A1411="",C1411="",D1411=""),"",IF(COUNTIFS($A$5:$A$3004,A1411,$C$5:$C$3004,"&lt;"&amp;D1411,$D$5:$D$3004,"&gt;"&amp;C1411)&gt;1,"⚠️ пересечение",""))</f>
        <v/>
      </c>
      <c r="M1411" s="54">
        <f>IF(F1411="","",IF(J1411="✅ Сделано","✔ ",IF(J1411="❌ Пропущено","✖ ","⏰ "))&amp;IF(C1411="","",RIGHT("0"&amp;HOUR(C1411),2)&amp;":"&amp;RIGHT("0"&amp;MINUTE(C1411),2)&amp;IF(D1411="","","–"&amp;RIGHT("0"&amp;HOUR(D1411),2)&amp;":"&amp;RIGHT("0"&amp;MINUTE(D1411),2))&amp;" ")&amp;F1411)</f>
        <v/>
      </c>
      <c r="N1411" s="54">
        <f>IF(OR(A1411="",F1411=""),"",A1411&amp;"#"&amp;(COUNTIFS($A$5:$A$3004,A1411,$F$5:$F$3004,"?*",$O$5:$O$3004,"&lt;"&amp;O1411)+COUNTIFS($A$5:A1411,A1411,$F$5:F1411,"?*",$O$5:O1411,O1411)))</f>
        <v/>
      </c>
      <c r="O1411" s="54">
        <f>IF(A1411="","",IF(C1411="",0,C1411))</f>
        <v/>
      </c>
    </row>
    <row r="1412">
      <c r="A1412" s="58" t="n"/>
      <c r="B1412" s="49">
        <f>IF(A1412="","",CHOOSE(WEEKDAY(A1412,2),"Пн","Вт","Ср","Чт","Пт","Сб","Вс"))</f>
        <v/>
      </c>
      <c r="C1412" s="59" t="n"/>
      <c r="D1412" s="59" t="n"/>
      <c r="E1412" s="60">
        <f>IF(OR(C1412="",D1412=""),"",MOD(D1412-C1412,1)*24)</f>
        <v/>
      </c>
      <c r="F1412" s="50" t="n"/>
      <c r="G1412" s="51" t="n"/>
      <c r="H1412" s="51" t="n"/>
      <c r="I1412" s="51" t="n"/>
      <c r="J1412" s="51" t="n"/>
      <c r="K1412" s="51" t="n"/>
      <c r="L1412" s="54">
        <f>IF(OR(A1412="",C1412="",D1412=""),"",IF(COUNTIFS($A$5:$A$3004,A1412,$C$5:$C$3004,"&lt;"&amp;D1412,$D$5:$D$3004,"&gt;"&amp;C1412)&gt;1,"⚠️ пересечение",""))</f>
        <v/>
      </c>
      <c r="M1412" s="54">
        <f>IF(F1412="","",IF(J1412="✅ Сделано","✔ ",IF(J1412="❌ Пропущено","✖ ","⏰ "))&amp;IF(C1412="","",RIGHT("0"&amp;HOUR(C1412),2)&amp;":"&amp;RIGHT("0"&amp;MINUTE(C1412),2)&amp;IF(D1412="","","–"&amp;RIGHT("0"&amp;HOUR(D1412),2)&amp;":"&amp;RIGHT("0"&amp;MINUTE(D1412),2))&amp;" ")&amp;F1412)</f>
        <v/>
      </c>
      <c r="N1412" s="54">
        <f>IF(OR(A1412="",F1412=""),"",A1412&amp;"#"&amp;(COUNTIFS($A$5:$A$3004,A1412,$F$5:$F$3004,"?*",$O$5:$O$3004,"&lt;"&amp;O1412)+COUNTIFS($A$5:A1412,A1412,$F$5:F1412,"?*",$O$5:O1412,O1412)))</f>
        <v/>
      </c>
      <c r="O1412" s="54">
        <f>IF(A1412="","",IF(C1412="",0,C1412))</f>
        <v/>
      </c>
    </row>
    <row r="1413">
      <c r="A1413" s="58" t="n"/>
      <c r="B1413" s="49">
        <f>IF(A1413="","",CHOOSE(WEEKDAY(A1413,2),"Пн","Вт","Ср","Чт","Пт","Сб","Вс"))</f>
        <v/>
      </c>
      <c r="C1413" s="59" t="n"/>
      <c r="D1413" s="59" t="n"/>
      <c r="E1413" s="60">
        <f>IF(OR(C1413="",D1413=""),"",MOD(D1413-C1413,1)*24)</f>
        <v/>
      </c>
      <c r="F1413" s="50" t="n"/>
      <c r="G1413" s="51" t="n"/>
      <c r="H1413" s="51" t="n"/>
      <c r="I1413" s="51" t="n"/>
      <c r="J1413" s="51" t="n"/>
      <c r="K1413" s="51" t="n"/>
      <c r="L1413" s="54">
        <f>IF(OR(A1413="",C1413="",D1413=""),"",IF(COUNTIFS($A$5:$A$3004,A1413,$C$5:$C$3004,"&lt;"&amp;D1413,$D$5:$D$3004,"&gt;"&amp;C1413)&gt;1,"⚠️ пересечение",""))</f>
        <v/>
      </c>
      <c r="M1413" s="54">
        <f>IF(F1413="","",IF(J1413="✅ Сделано","✔ ",IF(J1413="❌ Пропущено","✖ ","⏰ "))&amp;IF(C1413="","",RIGHT("0"&amp;HOUR(C1413),2)&amp;":"&amp;RIGHT("0"&amp;MINUTE(C1413),2)&amp;IF(D1413="","","–"&amp;RIGHT("0"&amp;HOUR(D1413),2)&amp;":"&amp;RIGHT("0"&amp;MINUTE(D1413),2))&amp;" ")&amp;F1413)</f>
        <v/>
      </c>
      <c r="N1413" s="54">
        <f>IF(OR(A1413="",F1413=""),"",A1413&amp;"#"&amp;(COUNTIFS($A$5:$A$3004,A1413,$F$5:$F$3004,"?*",$O$5:$O$3004,"&lt;"&amp;O1413)+COUNTIFS($A$5:A1413,A1413,$F$5:F1413,"?*",$O$5:O1413,O1413)))</f>
        <v/>
      </c>
      <c r="O1413" s="54">
        <f>IF(A1413="","",IF(C1413="",0,C1413))</f>
        <v/>
      </c>
    </row>
    <row r="1414">
      <c r="A1414" s="58" t="n"/>
      <c r="B1414" s="49">
        <f>IF(A1414="","",CHOOSE(WEEKDAY(A1414,2),"Пн","Вт","Ср","Чт","Пт","Сб","Вс"))</f>
        <v/>
      </c>
      <c r="C1414" s="59" t="n"/>
      <c r="D1414" s="59" t="n"/>
      <c r="E1414" s="60">
        <f>IF(OR(C1414="",D1414=""),"",MOD(D1414-C1414,1)*24)</f>
        <v/>
      </c>
      <c r="F1414" s="50" t="n"/>
      <c r="G1414" s="51" t="n"/>
      <c r="H1414" s="51" t="n"/>
      <c r="I1414" s="51" t="n"/>
      <c r="J1414" s="51" t="n"/>
      <c r="K1414" s="51" t="n"/>
      <c r="L1414" s="54">
        <f>IF(OR(A1414="",C1414="",D1414=""),"",IF(COUNTIFS($A$5:$A$3004,A1414,$C$5:$C$3004,"&lt;"&amp;D1414,$D$5:$D$3004,"&gt;"&amp;C1414)&gt;1,"⚠️ пересечение",""))</f>
        <v/>
      </c>
      <c r="M1414" s="54">
        <f>IF(F1414="","",IF(J1414="✅ Сделано","✔ ",IF(J1414="❌ Пропущено","✖ ","⏰ "))&amp;IF(C1414="","",RIGHT("0"&amp;HOUR(C1414),2)&amp;":"&amp;RIGHT("0"&amp;MINUTE(C1414),2)&amp;IF(D1414="","","–"&amp;RIGHT("0"&amp;HOUR(D1414),2)&amp;":"&amp;RIGHT("0"&amp;MINUTE(D1414),2))&amp;" ")&amp;F1414)</f>
        <v/>
      </c>
      <c r="N1414" s="54">
        <f>IF(OR(A1414="",F1414=""),"",A1414&amp;"#"&amp;(COUNTIFS($A$5:$A$3004,A1414,$F$5:$F$3004,"?*",$O$5:$O$3004,"&lt;"&amp;O1414)+COUNTIFS($A$5:A1414,A1414,$F$5:F1414,"?*",$O$5:O1414,O1414)))</f>
        <v/>
      </c>
      <c r="O1414" s="54">
        <f>IF(A1414="","",IF(C1414="",0,C1414))</f>
        <v/>
      </c>
    </row>
    <row r="1415">
      <c r="A1415" s="58" t="n"/>
      <c r="B1415" s="49">
        <f>IF(A1415="","",CHOOSE(WEEKDAY(A1415,2),"Пн","Вт","Ср","Чт","Пт","Сб","Вс"))</f>
        <v/>
      </c>
      <c r="C1415" s="59" t="n"/>
      <c r="D1415" s="59" t="n"/>
      <c r="E1415" s="60">
        <f>IF(OR(C1415="",D1415=""),"",MOD(D1415-C1415,1)*24)</f>
        <v/>
      </c>
      <c r="F1415" s="50" t="n"/>
      <c r="G1415" s="51" t="n"/>
      <c r="H1415" s="51" t="n"/>
      <c r="I1415" s="51" t="n"/>
      <c r="J1415" s="51" t="n"/>
      <c r="K1415" s="51" t="n"/>
      <c r="L1415" s="54">
        <f>IF(OR(A1415="",C1415="",D1415=""),"",IF(COUNTIFS($A$5:$A$3004,A1415,$C$5:$C$3004,"&lt;"&amp;D1415,$D$5:$D$3004,"&gt;"&amp;C1415)&gt;1,"⚠️ пересечение",""))</f>
        <v/>
      </c>
      <c r="M1415" s="54">
        <f>IF(F1415="","",IF(J1415="✅ Сделано","✔ ",IF(J1415="❌ Пропущено","✖ ","⏰ "))&amp;IF(C1415="","",RIGHT("0"&amp;HOUR(C1415),2)&amp;":"&amp;RIGHT("0"&amp;MINUTE(C1415),2)&amp;IF(D1415="","","–"&amp;RIGHT("0"&amp;HOUR(D1415),2)&amp;":"&amp;RIGHT("0"&amp;MINUTE(D1415),2))&amp;" ")&amp;F1415)</f>
        <v/>
      </c>
      <c r="N1415" s="54">
        <f>IF(OR(A1415="",F1415=""),"",A1415&amp;"#"&amp;(COUNTIFS($A$5:$A$3004,A1415,$F$5:$F$3004,"?*",$O$5:$O$3004,"&lt;"&amp;O1415)+COUNTIFS($A$5:A1415,A1415,$F$5:F1415,"?*",$O$5:O1415,O1415)))</f>
        <v/>
      </c>
      <c r="O1415" s="54">
        <f>IF(A1415="","",IF(C1415="",0,C1415))</f>
        <v/>
      </c>
    </row>
    <row r="1416">
      <c r="A1416" s="58" t="n"/>
      <c r="B1416" s="49">
        <f>IF(A1416="","",CHOOSE(WEEKDAY(A1416,2),"Пн","Вт","Ср","Чт","Пт","Сб","Вс"))</f>
        <v/>
      </c>
      <c r="C1416" s="59" t="n"/>
      <c r="D1416" s="59" t="n"/>
      <c r="E1416" s="60">
        <f>IF(OR(C1416="",D1416=""),"",MOD(D1416-C1416,1)*24)</f>
        <v/>
      </c>
      <c r="F1416" s="50" t="n"/>
      <c r="G1416" s="51" t="n"/>
      <c r="H1416" s="51" t="n"/>
      <c r="I1416" s="51" t="n"/>
      <c r="J1416" s="51" t="n"/>
      <c r="K1416" s="51" t="n"/>
      <c r="L1416" s="54">
        <f>IF(OR(A1416="",C1416="",D1416=""),"",IF(COUNTIFS($A$5:$A$3004,A1416,$C$5:$C$3004,"&lt;"&amp;D1416,$D$5:$D$3004,"&gt;"&amp;C1416)&gt;1,"⚠️ пересечение",""))</f>
        <v/>
      </c>
      <c r="M1416" s="54">
        <f>IF(F1416="","",IF(J1416="✅ Сделано","✔ ",IF(J1416="❌ Пропущено","✖ ","⏰ "))&amp;IF(C1416="","",RIGHT("0"&amp;HOUR(C1416),2)&amp;":"&amp;RIGHT("0"&amp;MINUTE(C1416),2)&amp;IF(D1416="","","–"&amp;RIGHT("0"&amp;HOUR(D1416),2)&amp;":"&amp;RIGHT("0"&amp;MINUTE(D1416),2))&amp;" ")&amp;F1416)</f>
        <v/>
      </c>
      <c r="N1416" s="54">
        <f>IF(OR(A1416="",F1416=""),"",A1416&amp;"#"&amp;(COUNTIFS($A$5:$A$3004,A1416,$F$5:$F$3004,"?*",$O$5:$O$3004,"&lt;"&amp;O1416)+COUNTIFS($A$5:A1416,A1416,$F$5:F1416,"?*",$O$5:O1416,O1416)))</f>
        <v/>
      </c>
      <c r="O1416" s="54">
        <f>IF(A1416="","",IF(C1416="",0,C1416))</f>
        <v/>
      </c>
    </row>
    <row r="1417">
      <c r="A1417" s="58" t="n"/>
      <c r="B1417" s="49">
        <f>IF(A1417="","",CHOOSE(WEEKDAY(A1417,2),"Пн","Вт","Ср","Чт","Пт","Сб","Вс"))</f>
        <v/>
      </c>
      <c r="C1417" s="59" t="n"/>
      <c r="D1417" s="59" t="n"/>
      <c r="E1417" s="60">
        <f>IF(OR(C1417="",D1417=""),"",MOD(D1417-C1417,1)*24)</f>
        <v/>
      </c>
      <c r="F1417" s="50" t="n"/>
      <c r="G1417" s="51" t="n"/>
      <c r="H1417" s="51" t="n"/>
      <c r="I1417" s="51" t="n"/>
      <c r="J1417" s="51" t="n"/>
      <c r="K1417" s="51" t="n"/>
      <c r="L1417" s="54">
        <f>IF(OR(A1417="",C1417="",D1417=""),"",IF(COUNTIFS($A$5:$A$3004,A1417,$C$5:$C$3004,"&lt;"&amp;D1417,$D$5:$D$3004,"&gt;"&amp;C1417)&gt;1,"⚠️ пересечение",""))</f>
        <v/>
      </c>
      <c r="M1417" s="54">
        <f>IF(F1417="","",IF(J1417="✅ Сделано","✔ ",IF(J1417="❌ Пропущено","✖ ","⏰ "))&amp;IF(C1417="","",RIGHT("0"&amp;HOUR(C1417),2)&amp;":"&amp;RIGHT("0"&amp;MINUTE(C1417),2)&amp;IF(D1417="","","–"&amp;RIGHT("0"&amp;HOUR(D1417),2)&amp;":"&amp;RIGHT("0"&amp;MINUTE(D1417),2))&amp;" ")&amp;F1417)</f>
        <v/>
      </c>
      <c r="N1417" s="54">
        <f>IF(OR(A1417="",F1417=""),"",A1417&amp;"#"&amp;(COUNTIFS($A$5:$A$3004,A1417,$F$5:$F$3004,"?*",$O$5:$O$3004,"&lt;"&amp;O1417)+COUNTIFS($A$5:A1417,A1417,$F$5:F1417,"?*",$O$5:O1417,O1417)))</f>
        <v/>
      </c>
      <c r="O1417" s="54">
        <f>IF(A1417="","",IF(C1417="",0,C1417))</f>
        <v/>
      </c>
    </row>
    <row r="1418">
      <c r="A1418" s="58" t="n"/>
      <c r="B1418" s="49">
        <f>IF(A1418="","",CHOOSE(WEEKDAY(A1418,2),"Пн","Вт","Ср","Чт","Пт","Сб","Вс"))</f>
        <v/>
      </c>
      <c r="C1418" s="59" t="n"/>
      <c r="D1418" s="59" t="n"/>
      <c r="E1418" s="60">
        <f>IF(OR(C1418="",D1418=""),"",MOD(D1418-C1418,1)*24)</f>
        <v/>
      </c>
      <c r="F1418" s="50" t="n"/>
      <c r="G1418" s="51" t="n"/>
      <c r="H1418" s="51" t="n"/>
      <c r="I1418" s="51" t="n"/>
      <c r="J1418" s="51" t="n"/>
      <c r="K1418" s="51" t="n"/>
      <c r="L1418" s="54">
        <f>IF(OR(A1418="",C1418="",D1418=""),"",IF(COUNTIFS($A$5:$A$3004,A1418,$C$5:$C$3004,"&lt;"&amp;D1418,$D$5:$D$3004,"&gt;"&amp;C1418)&gt;1,"⚠️ пересечение",""))</f>
        <v/>
      </c>
      <c r="M1418" s="54">
        <f>IF(F1418="","",IF(J1418="✅ Сделано","✔ ",IF(J1418="❌ Пропущено","✖ ","⏰ "))&amp;IF(C1418="","",RIGHT("0"&amp;HOUR(C1418),2)&amp;":"&amp;RIGHT("0"&amp;MINUTE(C1418),2)&amp;IF(D1418="","","–"&amp;RIGHT("0"&amp;HOUR(D1418),2)&amp;":"&amp;RIGHT("0"&amp;MINUTE(D1418),2))&amp;" ")&amp;F1418)</f>
        <v/>
      </c>
      <c r="N1418" s="54">
        <f>IF(OR(A1418="",F1418=""),"",A1418&amp;"#"&amp;(COUNTIFS($A$5:$A$3004,A1418,$F$5:$F$3004,"?*",$O$5:$O$3004,"&lt;"&amp;O1418)+COUNTIFS($A$5:A1418,A1418,$F$5:F1418,"?*",$O$5:O1418,O1418)))</f>
        <v/>
      </c>
      <c r="O1418" s="54">
        <f>IF(A1418="","",IF(C1418="",0,C1418))</f>
        <v/>
      </c>
    </row>
    <row r="1419">
      <c r="A1419" s="58" t="n"/>
      <c r="B1419" s="49">
        <f>IF(A1419="","",CHOOSE(WEEKDAY(A1419,2),"Пн","Вт","Ср","Чт","Пт","Сб","Вс"))</f>
        <v/>
      </c>
      <c r="C1419" s="59" t="n"/>
      <c r="D1419" s="59" t="n"/>
      <c r="E1419" s="60">
        <f>IF(OR(C1419="",D1419=""),"",MOD(D1419-C1419,1)*24)</f>
        <v/>
      </c>
      <c r="F1419" s="50" t="n"/>
      <c r="G1419" s="51" t="n"/>
      <c r="H1419" s="51" t="n"/>
      <c r="I1419" s="51" t="n"/>
      <c r="J1419" s="51" t="n"/>
      <c r="K1419" s="51" t="n"/>
      <c r="L1419" s="54">
        <f>IF(OR(A1419="",C1419="",D1419=""),"",IF(COUNTIFS($A$5:$A$3004,A1419,$C$5:$C$3004,"&lt;"&amp;D1419,$D$5:$D$3004,"&gt;"&amp;C1419)&gt;1,"⚠️ пересечение",""))</f>
        <v/>
      </c>
      <c r="M1419" s="54">
        <f>IF(F1419="","",IF(J1419="✅ Сделано","✔ ",IF(J1419="❌ Пропущено","✖ ","⏰ "))&amp;IF(C1419="","",RIGHT("0"&amp;HOUR(C1419),2)&amp;":"&amp;RIGHT("0"&amp;MINUTE(C1419),2)&amp;IF(D1419="","","–"&amp;RIGHT("0"&amp;HOUR(D1419),2)&amp;":"&amp;RIGHT("0"&amp;MINUTE(D1419),2))&amp;" ")&amp;F1419)</f>
        <v/>
      </c>
      <c r="N1419" s="54">
        <f>IF(OR(A1419="",F1419=""),"",A1419&amp;"#"&amp;(COUNTIFS($A$5:$A$3004,A1419,$F$5:$F$3004,"?*",$O$5:$O$3004,"&lt;"&amp;O1419)+COUNTIFS($A$5:A1419,A1419,$F$5:F1419,"?*",$O$5:O1419,O1419)))</f>
        <v/>
      </c>
      <c r="O1419" s="54">
        <f>IF(A1419="","",IF(C1419="",0,C1419))</f>
        <v/>
      </c>
    </row>
    <row r="1420">
      <c r="A1420" s="58" t="n"/>
      <c r="B1420" s="49">
        <f>IF(A1420="","",CHOOSE(WEEKDAY(A1420,2),"Пн","Вт","Ср","Чт","Пт","Сб","Вс"))</f>
        <v/>
      </c>
      <c r="C1420" s="59" t="n"/>
      <c r="D1420" s="59" t="n"/>
      <c r="E1420" s="60">
        <f>IF(OR(C1420="",D1420=""),"",MOD(D1420-C1420,1)*24)</f>
        <v/>
      </c>
      <c r="F1420" s="50" t="n"/>
      <c r="G1420" s="51" t="n"/>
      <c r="H1420" s="51" t="n"/>
      <c r="I1420" s="51" t="n"/>
      <c r="J1420" s="51" t="n"/>
      <c r="K1420" s="51" t="n"/>
      <c r="L1420" s="54">
        <f>IF(OR(A1420="",C1420="",D1420=""),"",IF(COUNTIFS($A$5:$A$3004,A1420,$C$5:$C$3004,"&lt;"&amp;D1420,$D$5:$D$3004,"&gt;"&amp;C1420)&gt;1,"⚠️ пересечение",""))</f>
        <v/>
      </c>
      <c r="M1420" s="54">
        <f>IF(F1420="","",IF(J1420="✅ Сделано","✔ ",IF(J1420="❌ Пропущено","✖ ","⏰ "))&amp;IF(C1420="","",RIGHT("0"&amp;HOUR(C1420),2)&amp;":"&amp;RIGHT("0"&amp;MINUTE(C1420),2)&amp;IF(D1420="","","–"&amp;RIGHT("0"&amp;HOUR(D1420),2)&amp;":"&amp;RIGHT("0"&amp;MINUTE(D1420),2))&amp;" ")&amp;F1420)</f>
        <v/>
      </c>
      <c r="N1420" s="54">
        <f>IF(OR(A1420="",F1420=""),"",A1420&amp;"#"&amp;(COUNTIFS($A$5:$A$3004,A1420,$F$5:$F$3004,"?*",$O$5:$O$3004,"&lt;"&amp;O1420)+COUNTIFS($A$5:A1420,A1420,$F$5:F1420,"?*",$O$5:O1420,O1420)))</f>
        <v/>
      </c>
      <c r="O1420" s="54">
        <f>IF(A1420="","",IF(C1420="",0,C1420))</f>
        <v/>
      </c>
    </row>
    <row r="1421">
      <c r="A1421" s="58" t="n"/>
      <c r="B1421" s="49">
        <f>IF(A1421="","",CHOOSE(WEEKDAY(A1421,2),"Пн","Вт","Ср","Чт","Пт","Сб","Вс"))</f>
        <v/>
      </c>
      <c r="C1421" s="59" t="n"/>
      <c r="D1421" s="59" t="n"/>
      <c r="E1421" s="60">
        <f>IF(OR(C1421="",D1421=""),"",MOD(D1421-C1421,1)*24)</f>
        <v/>
      </c>
      <c r="F1421" s="50" t="n"/>
      <c r="G1421" s="51" t="n"/>
      <c r="H1421" s="51" t="n"/>
      <c r="I1421" s="51" t="n"/>
      <c r="J1421" s="51" t="n"/>
      <c r="K1421" s="51" t="n"/>
      <c r="L1421" s="54">
        <f>IF(OR(A1421="",C1421="",D1421=""),"",IF(COUNTIFS($A$5:$A$3004,A1421,$C$5:$C$3004,"&lt;"&amp;D1421,$D$5:$D$3004,"&gt;"&amp;C1421)&gt;1,"⚠️ пересечение",""))</f>
        <v/>
      </c>
      <c r="M1421" s="54">
        <f>IF(F1421="","",IF(J1421="✅ Сделано","✔ ",IF(J1421="❌ Пропущено","✖ ","⏰ "))&amp;IF(C1421="","",RIGHT("0"&amp;HOUR(C1421),2)&amp;":"&amp;RIGHT("0"&amp;MINUTE(C1421),2)&amp;IF(D1421="","","–"&amp;RIGHT("0"&amp;HOUR(D1421),2)&amp;":"&amp;RIGHT("0"&amp;MINUTE(D1421),2))&amp;" ")&amp;F1421)</f>
        <v/>
      </c>
      <c r="N1421" s="54">
        <f>IF(OR(A1421="",F1421=""),"",A1421&amp;"#"&amp;(COUNTIFS($A$5:$A$3004,A1421,$F$5:$F$3004,"?*",$O$5:$O$3004,"&lt;"&amp;O1421)+COUNTIFS($A$5:A1421,A1421,$F$5:F1421,"?*",$O$5:O1421,O1421)))</f>
        <v/>
      </c>
      <c r="O1421" s="54">
        <f>IF(A1421="","",IF(C1421="",0,C1421))</f>
        <v/>
      </c>
    </row>
    <row r="1422">
      <c r="A1422" s="58" t="n"/>
      <c r="B1422" s="49">
        <f>IF(A1422="","",CHOOSE(WEEKDAY(A1422,2),"Пн","Вт","Ср","Чт","Пт","Сб","Вс"))</f>
        <v/>
      </c>
      <c r="C1422" s="59" t="n"/>
      <c r="D1422" s="59" t="n"/>
      <c r="E1422" s="60">
        <f>IF(OR(C1422="",D1422=""),"",MOD(D1422-C1422,1)*24)</f>
        <v/>
      </c>
      <c r="F1422" s="50" t="n"/>
      <c r="G1422" s="51" t="n"/>
      <c r="H1422" s="51" t="n"/>
      <c r="I1422" s="51" t="n"/>
      <c r="J1422" s="51" t="n"/>
      <c r="K1422" s="51" t="n"/>
      <c r="L1422" s="54">
        <f>IF(OR(A1422="",C1422="",D1422=""),"",IF(COUNTIFS($A$5:$A$3004,A1422,$C$5:$C$3004,"&lt;"&amp;D1422,$D$5:$D$3004,"&gt;"&amp;C1422)&gt;1,"⚠️ пересечение",""))</f>
        <v/>
      </c>
      <c r="M1422" s="54">
        <f>IF(F1422="","",IF(J1422="✅ Сделано","✔ ",IF(J1422="❌ Пропущено","✖ ","⏰ "))&amp;IF(C1422="","",RIGHT("0"&amp;HOUR(C1422),2)&amp;":"&amp;RIGHT("0"&amp;MINUTE(C1422),2)&amp;IF(D1422="","","–"&amp;RIGHT("0"&amp;HOUR(D1422),2)&amp;":"&amp;RIGHT("0"&amp;MINUTE(D1422),2))&amp;" ")&amp;F1422)</f>
        <v/>
      </c>
      <c r="N1422" s="54">
        <f>IF(OR(A1422="",F1422=""),"",A1422&amp;"#"&amp;(COUNTIFS($A$5:$A$3004,A1422,$F$5:$F$3004,"?*",$O$5:$O$3004,"&lt;"&amp;O1422)+COUNTIFS($A$5:A1422,A1422,$F$5:F1422,"?*",$O$5:O1422,O1422)))</f>
        <v/>
      </c>
      <c r="O1422" s="54">
        <f>IF(A1422="","",IF(C1422="",0,C1422))</f>
        <v/>
      </c>
    </row>
    <row r="1423">
      <c r="A1423" s="58" t="n"/>
      <c r="B1423" s="49">
        <f>IF(A1423="","",CHOOSE(WEEKDAY(A1423,2),"Пн","Вт","Ср","Чт","Пт","Сб","Вс"))</f>
        <v/>
      </c>
      <c r="C1423" s="59" t="n"/>
      <c r="D1423" s="59" t="n"/>
      <c r="E1423" s="60">
        <f>IF(OR(C1423="",D1423=""),"",MOD(D1423-C1423,1)*24)</f>
        <v/>
      </c>
      <c r="F1423" s="50" t="n"/>
      <c r="G1423" s="51" t="n"/>
      <c r="H1423" s="51" t="n"/>
      <c r="I1423" s="51" t="n"/>
      <c r="J1423" s="51" t="n"/>
      <c r="K1423" s="51" t="n"/>
      <c r="L1423" s="54">
        <f>IF(OR(A1423="",C1423="",D1423=""),"",IF(COUNTIFS($A$5:$A$3004,A1423,$C$5:$C$3004,"&lt;"&amp;D1423,$D$5:$D$3004,"&gt;"&amp;C1423)&gt;1,"⚠️ пересечение",""))</f>
        <v/>
      </c>
      <c r="M1423" s="54">
        <f>IF(F1423="","",IF(J1423="✅ Сделано","✔ ",IF(J1423="❌ Пропущено","✖ ","⏰ "))&amp;IF(C1423="","",RIGHT("0"&amp;HOUR(C1423),2)&amp;":"&amp;RIGHT("0"&amp;MINUTE(C1423),2)&amp;IF(D1423="","","–"&amp;RIGHT("0"&amp;HOUR(D1423),2)&amp;":"&amp;RIGHT("0"&amp;MINUTE(D1423),2))&amp;" ")&amp;F1423)</f>
        <v/>
      </c>
      <c r="N1423" s="54">
        <f>IF(OR(A1423="",F1423=""),"",A1423&amp;"#"&amp;(COUNTIFS($A$5:$A$3004,A1423,$F$5:$F$3004,"?*",$O$5:$O$3004,"&lt;"&amp;O1423)+COUNTIFS($A$5:A1423,A1423,$F$5:F1423,"?*",$O$5:O1423,O1423)))</f>
        <v/>
      </c>
      <c r="O1423" s="54">
        <f>IF(A1423="","",IF(C1423="",0,C1423))</f>
        <v/>
      </c>
    </row>
    <row r="1424">
      <c r="A1424" s="58" t="n"/>
      <c r="B1424" s="49">
        <f>IF(A1424="","",CHOOSE(WEEKDAY(A1424,2),"Пн","Вт","Ср","Чт","Пт","Сб","Вс"))</f>
        <v/>
      </c>
      <c r="C1424" s="59" t="n"/>
      <c r="D1424" s="59" t="n"/>
      <c r="E1424" s="60">
        <f>IF(OR(C1424="",D1424=""),"",MOD(D1424-C1424,1)*24)</f>
        <v/>
      </c>
      <c r="F1424" s="50" t="n"/>
      <c r="G1424" s="51" t="n"/>
      <c r="H1424" s="51" t="n"/>
      <c r="I1424" s="51" t="n"/>
      <c r="J1424" s="51" t="n"/>
      <c r="K1424" s="51" t="n"/>
      <c r="L1424" s="54">
        <f>IF(OR(A1424="",C1424="",D1424=""),"",IF(COUNTIFS($A$5:$A$3004,A1424,$C$5:$C$3004,"&lt;"&amp;D1424,$D$5:$D$3004,"&gt;"&amp;C1424)&gt;1,"⚠️ пересечение",""))</f>
        <v/>
      </c>
      <c r="M1424" s="54">
        <f>IF(F1424="","",IF(J1424="✅ Сделано","✔ ",IF(J1424="❌ Пропущено","✖ ","⏰ "))&amp;IF(C1424="","",RIGHT("0"&amp;HOUR(C1424),2)&amp;":"&amp;RIGHT("0"&amp;MINUTE(C1424),2)&amp;IF(D1424="","","–"&amp;RIGHT("0"&amp;HOUR(D1424),2)&amp;":"&amp;RIGHT("0"&amp;MINUTE(D1424),2))&amp;" ")&amp;F1424)</f>
        <v/>
      </c>
      <c r="N1424" s="54">
        <f>IF(OR(A1424="",F1424=""),"",A1424&amp;"#"&amp;(COUNTIFS($A$5:$A$3004,A1424,$F$5:$F$3004,"?*",$O$5:$O$3004,"&lt;"&amp;O1424)+COUNTIFS($A$5:A1424,A1424,$F$5:F1424,"?*",$O$5:O1424,O1424)))</f>
        <v/>
      </c>
      <c r="O1424" s="54">
        <f>IF(A1424="","",IF(C1424="",0,C1424))</f>
        <v/>
      </c>
    </row>
    <row r="1425">
      <c r="A1425" s="58" t="n"/>
      <c r="B1425" s="49">
        <f>IF(A1425="","",CHOOSE(WEEKDAY(A1425,2),"Пн","Вт","Ср","Чт","Пт","Сб","Вс"))</f>
        <v/>
      </c>
      <c r="C1425" s="59" t="n"/>
      <c r="D1425" s="59" t="n"/>
      <c r="E1425" s="60">
        <f>IF(OR(C1425="",D1425=""),"",MOD(D1425-C1425,1)*24)</f>
        <v/>
      </c>
      <c r="F1425" s="50" t="n"/>
      <c r="G1425" s="51" t="n"/>
      <c r="H1425" s="51" t="n"/>
      <c r="I1425" s="51" t="n"/>
      <c r="J1425" s="51" t="n"/>
      <c r="K1425" s="51" t="n"/>
      <c r="L1425" s="54">
        <f>IF(OR(A1425="",C1425="",D1425=""),"",IF(COUNTIFS($A$5:$A$3004,A1425,$C$5:$C$3004,"&lt;"&amp;D1425,$D$5:$D$3004,"&gt;"&amp;C1425)&gt;1,"⚠️ пересечение",""))</f>
        <v/>
      </c>
      <c r="M1425" s="54">
        <f>IF(F1425="","",IF(J1425="✅ Сделано","✔ ",IF(J1425="❌ Пропущено","✖ ","⏰ "))&amp;IF(C1425="","",RIGHT("0"&amp;HOUR(C1425),2)&amp;":"&amp;RIGHT("0"&amp;MINUTE(C1425),2)&amp;IF(D1425="","","–"&amp;RIGHT("0"&amp;HOUR(D1425),2)&amp;":"&amp;RIGHT("0"&amp;MINUTE(D1425),2))&amp;" ")&amp;F1425)</f>
        <v/>
      </c>
      <c r="N1425" s="54">
        <f>IF(OR(A1425="",F1425=""),"",A1425&amp;"#"&amp;(COUNTIFS($A$5:$A$3004,A1425,$F$5:$F$3004,"?*",$O$5:$O$3004,"&lt;"&amp;O1425)+COUNTIFS($A$5:A1425,A1425,$F$5:F1425,"?*",$O$5:O1425,O1425)))</f>
        <v/>
      </c>
      <c r="O1425" s="54">
        <f>IF(A1425="","",IF(C1425="",0,C1425))</f>
        <v/>
      </c>
    </row>
    <row r="1426">
      <c r="A1426" s="58" t="n"/>
      <c r="B1426" s="49">
        <f>IF(A1426="","",CHOOSE(WEEKDAY(A1426,2),"Пн","Вт","Ср","Чт","Пт","Сб","Вс"))</f>
        <v/>
      </c>
      <c r="C1426" s="59" t="n"/>
      <c r="D1426" s="59" t="n"/>
      <c r="E1426" s="60">
        <f>IF(OR(C1426="",D1426=""),"",MOD(D1426-C1426,1)*24)</f>
        <v/>
      </c>
      <c r="F1426" s="50" t="n"/>
      <c r="G1426" s="51" t="n"/>
      <c r="H1426" s="51" t="n"/>
      <c r="I1426" s="51" t="n"/>
      <c r="J1426" s="51" t="n"/>
      <c r="K1426" s="51" t="n"/>
      <c r="L1426" s="54">
        <f>IF(OR(A1426="",C1426="",D1426=""),"",IF(COUNTIFS($A$5:$A$3004,A1426,$C$5:$C$3004,"&lt;"&amp;D1426,$D$5:$D$3004,"&gt;"&amp;C1426)&gt;1,"⚠️ пересечение",""))</f>
        <v/>
      </c>
      <c r="M1426" s="54">
        <f>IF(F1426="","",IF(J1426="✅ Сделано","✔ ",IF(J1426="❌ Пропущено","✖ ","⏰ "))&amp;IF(C1426="","",RIGHT("0"&amp;HOUR(C1426),2)&amp;":"&amp;RIGHT("0"&amp;MINUTE(C1426),2)&amp;IF(D1426="","","–"&amp;RIGHT("0"&amp;HOUR(D1426),2)&amp;":"&amp;RIGHT("0"&amp;MINUTE(D1426),2))&amp;" ")&amp;F1426)</f>
        <v/>
      </c>
      <c r="N1426" s="54">
        <f>IF(OR(A1426="",F1426=""),"",A1426&amp;"#"&amp;(COUNTIFS($A$5:$A$3004,A1426,$F$5:$F$3004,"?*",$O$5:$O$3004,"&lt;"&amp;O1426)+COUNTIFS($A$5:A1426,A1426,$F$5:F1426,"?*",$O$5:O1426,O1426)))</f>
        <v/>
      </c>
      <c r="O1426" s="54">
        <f>IF(A1426="","",IF(C1426="",0,C1426))</f>
        <v/>
      </c>
    </row>
    <row r="1427">
      <c r="A1427" s="58" t="n"/>
      <c r="B1427" s="49">
        <f>IF(A1427="","",CHOOSE(WEEKDAY(A1427,2),"Пн","Вт","Ср","Чт","Пт","Сб","Вс"))</f>
        <v/>
      </c>
      <c r="C1427" s="59" t="n"/>
      <c r="D1427" s="59" t="n"/>
      <c r="E1427" s="60">
        <f>IF(OR(C1427="",D1427=""),"",MOD(D1427-C1427,1)*24)</f>
        <v/>
      </c>
      <c r="F1427" s="50" t="n"/>
      <c r="G1427" s="51" t="n"/>
      <c r="H1427" s="51" t="n"/>
      <c r="I1427" s="51" t="n"/>
      <c r="J1427" s="51" t="n"/>
      <c r="K1427" s="51" t="n"/>
      <c r="L1427" s="54">
        <f>IF(OR(A1427="",C1427="",D1427=""),"",IF(COUNTIFS($A$5:$A$3004,A1427,$C$5:$C$3004,"&lt;"&amp;D1427,$D$5:$D$3004,"&gt;"&amp;C1427)&gt;1,"⚠️ пересечение",""))</f>
        <v/>
      </c>
      <c r="M1427" s="54">
        <f>IF(F1427="","",IF(J1427="✅ Сделано","✔ ",IF(J1427="❌ Пропущено","✖ ","⏰ "))&amp;IF(C1427="","",RIGHT("0"&amp;HOUR(C1427),2)&amp;":"&amp;RIGHT("0"&amp;MINUTE(C1427),2)&amp;IF(D1427="","","–"&amp;RIGHT("0"&amp;HOUR(D1427),2)&amp;":"&amp;RIGHT("0"&amp;MINUTE(D1427),2))&amp;" ")&amp;F1427)</f>
        <v/>
      </c>
      <c r="N1427" s="54">
        <f>IF(OR(A1427="",F1427=""),"",A1427&amp;"#"&amp;(COUNTIFS($A$5:$A$3004,A1427,$F$5:$F$3004,"?*",$O$5:$O$3004,"&lt;"&amp;O1427)+COUNTIFS($A$5:A1427,A1427,$F$5:F1427,"?*",$O$5:O1427,O1427)))</f>
        <v/>
      </c>
      <c r="O1427" s="54">
        <f>IF(A1427="","",IF(C1427="",0,C1427))</f>
        <v/>
      </c>
    </row>
    <row r="1428">
      <c r="A1428" s="58" t="n"/>
      <c r="B1428" s="49">
        <f>IF(A1428="","",CHOOSE(WEEKDAY(A1428,2),"Пн","Вт","Ср","Чт","Пт","Сб","Вс"))</f>
        <v/>
      </c>
      <c r="C1428" s="59" t="n"/>
      <c r="D1428" s="59" t="n"/>
      <c r="E1428" s="60">
        <f>IF(OR(C1428="",D1428=""),"",MOD(D1428-C1428,1)*24)</f>
        <v/>
      </c>
      <c r="F1428" s="50" t="n"/>
      <c r="G1428" s="51" t="n"/>
      <c r="H1428" s="51" t="n"/>
      <c r="I1428" s="51" t="n"/>
      <c r="J1428" s="51" t="n"/>
      <c r="K1428" s="51" t="n"/>
      <c r="L1428" s="54">
        <f>IF(OR(A1428="",C1428="",D1428=""),"",IF(COUNTIFS($A$5:$A$3004,A1428,$C$5:$C$3004,"&lt;"&amp;D1428,$D$5:$D$3004,"&gt;"&amp;C1428)&gt;1,"⚠️ пересечение",""))</f>
        <v/>
      </c>
      <c r="M1428" s="54">
        <f>IF(F1428="","",IF(J1428="✅ Сделано","✔ ",IF(J1428="❌ Пропущено","✖ ","⏰ "))&amp;IF(C1428="","",RIGHT("0"&amp;HOUR(C1428),2)&amp;":"&amp;RIGHT("0"&amp;MINUTE(C1428),2)&amp;IF(D1428="","","–"&amp;RIGHT("0"&amp;HOUR(D1428),2)&amp;":"&amp;RIGHT("0"&amp;MINUTE(D1428),2))&amp;" ")&amp;F1428)</f>
        <v/>
      </c>
      <c r="N1428" s="54">
        <f>IF(OR(A1428="",F1428=""),"",A1428&amp;"#"&amp;(COUNTIFS($A$5:$A$3004,A1428,$F$5:$F$3004,"?*",$O$5:$O$3004,"&lt;"&amp;O1428)+COUNTIFS($A$5:A1428,A1428,$F$5:F1428,"?*",$O$5:O1428,O1428)))</f>
        <v/>
      </c>
      <c r="O1428" s="54">
        <f>IF(A1428="","",IF(C1428="",0,C1428))</f>
        <v/>
      </c>
    </row>
    <row r="1429">
      <c r="A1429" s="58" t="n"/>
      <c r="B1429" s="49">
        <f>IF(A1429="","",CHOOSE(WEEKDAY(A1429,2),"Пн","Вт","Ср","Чт","Пт","Сб","Вс"))</f>
        <v/>
      </c>
      <c r="C1429" s="59" t="n"/>
      <c r="D1429" s="59" t="n"/>
      <c r="E1429" s="60">
        <f>IF(OR(C1429="",D1429=""),"",MOD(D1429-C1429,1)*24)</f>
        <v/>
      </c>
      <c r="F1429" s="50" t="n"/>
      <c r="G1429" s="51" t="n"/>
      <c r="H1429" s="51" t="n"/>
      <c r="I1429" s="51" t="n"/>
      <c r="J1429" s="51" t="n"/>
      <c r="K1429" s="51" t="n"/>
      <c r="L1429" s="54">
        <f>IF(OR(A1429="",C1429="",D1429=""),"",IF(COUNTIFS($A$5:$A$3004,A1429,$C$5:$C$3004,"&lt;"&amp;D1429,$D$5:$D$3004,"&gt;"&amp;C1429)&gt;1,"⚠️ пересечение",""))</f>
        <v/>
      </c>
      <c r="M1429" s="54">
        <f>IF(F1429="","",IF(J1429="✅ Сделано","✔ ",IF(J1429="❌ Пропущено","✖ ","⏰ "))&amp;IF(C1429="","",RIGHT("0"&amp;HOUR(C1429),2)&amp;":"&amp;RIGHT("0"&amp;MINUTE(C1429),2)&amp;IF(D1429="","","–"&amp;RIGHT("0"&amp;HOUR(D1429),2)&amp;":"&amp;RIGHT("0"&amp;MINUTE(D1429),2))&amp;" ")&amp;F1429)</f>
        <v/>
      </c>
      <c r="N1429" s="54">
        <f>IF(OR(A1429="",F1429=""),"",A1429&amp;"#"&amp;(COUNTIFS($A$5:$A$3004,A1429,$F$5:$F$3004,"?*",$O$5:$O$3004,"&lt;"&amp;O1429)+COUNTIFS($A$5:A1429,A1429,$F$5:F1429,"?*",$O$5:O1429,O1429)))</f>
        <v/>
      </c>
      <c r="O1429" s="54">
        <f>IF(A1429="","",IF(C1429="",0,C1429))</f>
        <v/>
      </c>
    </row>
    <row r="1430">
      <c r="A1430" s="58" t="n"/>
      <c r="B1430" s="49">
        <f>IF(A1430="","",CHOOSE(WEEKDAY(A1430,2),"Пн","Вт","Ср","Чт","Пт","Сб","Вс"))</f>
        <v/>
      </c>
      <c r="C1430" s="59" t="n"/>
      <c r="D1430" s="59" t="n"/>
      <c r="E1430" s="60">
        <f>IF(OR(C1430="",D1430=""),"",MOD(D1430-C1430,1)*24)</f>
        <v/>
      </c>
      <c r="F1430" s="50" t="n"/>
      <c r="G1430" s="51" t="n"/>
      <c r="H1430" s="51" t="n"/>
      <c r="I1430" s="51" t="n"/>
      <c r="J1430" s="51" t="n"/>
      <c r="K1430" s="51" t="n"/>
      <c r="L1430" s="54">
        <f>IF(OR(A1430="",C1430="",D1430=""),"",IF(COUNTIFS($A$5:$A$3004,A1430,$C$5:$C$3004,"&lt;"&amp;D1430,$D$5:$D$3004,"&gt;"&amp;C1430)&gt;1,"⚠️ пересечение",""))</f>
        <v/>
      </c>
      <c r="M1430" s="54">
        <f>IF(F1430="","",IF(J1430="✅ Сделано","✔ ",IF(J1430="❌ Пропущено","✖ ","⏰ "))&amp;IF(C1430="","",RIGHT("0"&amp;HOUR(C1430),2)&amp;":"&amp;RIGHT("0"&amp;MINUTE(C1430),2)&amp;IF(D1430="","","–"&amp;RIGHT("0"&amp;HOUR(D1430),2)&amp;":"&amp;RIGHT("0"&amp;MINUTE(D1430),2))&amp;" ")&amp;F1430)</f>
        <v/>
      </c>
      <c r="N1430" s="54">
        <f>IF(OR(A1430="",F1430=""),"",A1430&amp;"#"&amp;(COUNTIFS($A$5:$A$3004,A1430,$F$5:$F$3004,"?*",$O$5:$O$3004,"&lt;"&amp;O1430)+COUNTIFS($A$5:A1430,A1430,$F$5:F1430,"?*",$O$5:O1430,O1430)))</f>
        <v/>
      </c>
      <c r="O1430" s="54">
        <f>IF(A1430="","",IF(C1430="",0,C1430))</f>
        <v/>
      </c>
    </row>
    <row r="1431">
      <c r="A1431" s="58" t="n"/>
      <c r="B1431" s="49">
        <f>IF(A1431="","",CHOOSE(WEEKDAY(A1431,2),"Пн","Вт","Ср","Чт","Пт","Сб","Вс"))</f>
        <v/>
      </c>
      <c r="C1431" s="59" t="n"/>
      <c r="D1431" s="59" t="n"/>
      <c r="E1431" s="60">
        <f>IF(OR(C1431="",D1431=""),"",MOD(D1431-C1431,1)*24)</f>
        <v/>
      </c>
      <c r="F1431" s="50" t="n"/>
      <c r="G1431" s="51" t="n"/>
      <c r="H1431" s="51" t="n"/>
      <c r="I1431" s="51" t="n"/>
      <c r="J1431" s="51" t="n"/>
      <c r="K1431" s="51" t="n"/>
      <c r="L1431" s="54">
        <f>IF(OR(A1431="",C1431="",D1431=""),"",IF(COUNTIFS($A$5:$A$3004,A1431,$C$5:$C$3004,"&lt;"&amp;D1431,$D$5:$D$3004,"&gt;"&amp;C1431)&gt;1,"⚠️ пересечение",""))</f>
        <v/>
      </c>
      <c r="M1431" s="54">
        <f>IF(F1431="","",IF(J1431="✅ Сделано","✔ ",IF(J1431="❌ Пропущено","✖ ","⏰ "))&amp;IF(C1431="","",RIGHT("0"&amp;HOUR(C1431),2)&amp;":"&amp;RIGHT("0"&amp;MINUTE(C1431),2)&amp;IF(D1431="","","–"&amp;RIGHT("0"&amp;HOUR(D1431),2)&amp;":"&amp;RIGHT("0"&amp;MINUTE(D1431),2))&amp;" ")&amp;F1431)</f>
        <v/>
      </c>
      <c r="N1431" s="54">
        <f>IF(OR(A1431="",F1431=""),"",A1431&amp;"#"&amp;(COUNTIFS($A$5:$A$3004,A1431,$F$5:$F$3004,"?*",$O$5:$O$3004,"&lt;"&amp;O1431)+COUNTIFS($A$5:A1431,A1431,$F$5:F1431,"?*",$O$5:O1431,O1431)))</f>
        <v/>
      </c>
      <c r="O1431" s="54">
        <f>IF(A1431="","",IF(C1431="",0,C1431))</f>
        <v/>
      </c>
    </row>
    <row r="1432">
      <c r="A1432" s="58" t="n"/>
      <c r="B1432" s="49">
        <f>IF(A1432="","",CHOOSE(WEEKDAY(A1432,2),"Пн","Вт","Ср","Чт","Пт","Сб","Вс"))</f>
        <v/>
      </c>
      <c r="C1432" s="59" t="n"/>
      <c r="D1432" s="59" t="n"/>
      <c r="E1432" s="60">
        <f>IF(OR(C1432="",D1432=""),"",MOD(D1432-C1432,1)*24)</f>
        <v/>
      </c>
      <c r="F1432" s="50" t="n"/>
      <c r="G1432" s="51" t="n"/>
      <c r="H1432" s="51" t="n"/>
      <c r="I1432" s="51" t="n"/>
      <c r="J1432" s="51" t="n"/>
      <c r="K1432" s="51" t="n"/>
      <c r="L1432" s="54">
        <f>IF(OR(A1432="",C1432="",D1432=""),"",IF(COUNTIFS($A$5:$A$3004,A1432,$C$5:$C$3004,"&lt;"&amp;D1432,$D$5:$D$3004,"&gt;"&amp;C1432)&gt;1,"⚠️ пересечение",""))</f>
        <v/>
      </c>
      <c r="M1432" s="54">
        <f>IF(F1432="","",IF(J1432="✅ Сделано","✔ ",IF(J1432="❌ Пропущено","✖ ","⏰ "))&amp;IF(C1432="","",RIGHT("0"&amp;HOUR(C1432),2)&amp;":"&amp;RIGHT("0"&amp;MINUTE(C1432),2)&amp;IF(D1432="","","–"&amp;RIGHT("0"&amp;HOUR(D1432),2)&amp;":"&amp;RIGHT("0"&amp;MINUTE(D1432),2))&amp;" ")&amp;F1432)</f>
        <v/>
      </c>
      <c r="N1432" s="54">
        <f>IF(OR(A1432="",F1432=""),"",A1432&amp;"#"&amp;(COUNTIFS($A$5:$A$3004,A1432,$F$5:$F$3004,"?*",$O$5:$O$3004,"&lt;"&amp;O1432)+COUNTIFS($A$5:A1432,A1432,$F$5:F1432,"?*",$O$5:O1432,O1432)))</f>
        <v/>
      </c>
      <c r="O1432" s="54">
        <f>IF(A1432="","",IF(C1432="",0,C1432))</f>
        <v/>
      </c>
    </row>
    <row r="1433">
      <c r="A1433" s="58" t="n"/>
      <c r="B1433" s="49">
        <f>IF(A1433="","",CHOOSE(WEEKDAY(A1433,2),"Пн","Вт","Ср","Чт","Пт","Сб","Вс"))</f>
        <v/>
      </c>
      <c r="C1433" s="59" t="n"/>
      <c r="D1433" s="59" t="n"/>
      <c r="E1433" s="60">
        <f>IF(OR(C1433="",D1433=""),"",MOD(D1433-C1433,1)*24)</f>
        <v/>
      </c>
      <c r="F1433" s="50" t="n"/>
      <c r="G1433" s="51" t="n"/>
      <c r="H1433" s="51" t="n"/>
      <c r="I1433" s="51" t="n"/>
      <c r="J1433" s="51" t="n"/>
      <c r="K1433" s="51" t="n"/>
      <c r="L1433" s="54">
        <f>IF(OR(A1433="",C1433="",D1433=""),"",IF(COUNTIFS($A$5:$A$3004,A1433,$C$5:$C$3004,"&lt;"&amp;D1433,$D$5:$D$3004,"&gt;"&amp;C1433)&gt;1,"⚠️ пересечение",""))</f>
        <v/>
      </c>
      <c r="M1433" s="54">
        <f>IF(F1433="","",IF(J1433="✅ Сделано","✔ ",IF(J1433="❌ Пропущено","✖ ","⏰ "))&amp;IF(C1433="","",RIGHT("0"&amp;HOUR(C1433),2)&amp;":"&amp;RIGHT("0"&amp;MINUTE(C1433),2)&amp;IF(D1433="","","–"&amp;RIGHT("0"&amp;HOUR(D1433),2)&amp;":"&amp;RIGHT("0"&amp;MINUTE(D1433),2))&amp;" ")&amp;F1433)</f>
        <v/>
      </c>
      <c r="N1433" s="54">
        <f>IF(OR(A1433="",F1433=""),"",A1433&amp;"#"&amp;(COUNTIFS($A$5:$A$3004,A1433,$F$5:$F$3004,"?*",$O$5:$O$3004,"&lt;"&amp;O1433)+COUNTIFS($A$5:A1433,A1433,$F$5:F1433,"?*",$O$5:O1433,O1433)))</f>
        <v/>
      </c>
      <c r="O1433" s="54">
        <f>IF(A1433="","",IF(C1433="",0,C1433))</f>
        <v/>
      </c>
    </row>
    <row r="1434">
      <c r="A1434" s="58" t="n"/>
      <c r="B1434" s="49">
        <f>IF(A1434="","",CHOOSE(WEEKDAY(A1434,2),"Пн","Вт","Ср","Чт","Пт","Сб","Вс"))</f>
        <v/>
      </c>
      <c r="C1434" s="59" t="n"/>
      <c r="D1434" s="59" t="n"/>
      <c r="E1434" s="60">
        <f>IF(OR(C1434="",D1434=""),"",MOD(D1434-C1434,1)*24)</f>
        <v/>
      </c>
      <c r="F1434" s="50" t="n"/>
      <c r="G1434" s="51" t="n"/>
      <c r="H1434" s="51" t="n"/>
      <c r="I1434" s="51" t="n"/>
      <c r="J1434" s="51" t="n"/>
      <c r="K1434" s="51" t="n"/>
      <c r="L1434" s="54">
        <f>IF(OR(A1434="",C1434="",D1434=""),"",IF(COUNTIFS($A$5:$A$3004,A1434,$C$5:$C$3004,"&lt;"&amp;D1434,$D$5:$D$3004,"&gt;"&amp;C1434)&gt;1,"⚠️ пересечение",""))</f>
        <v/>
      </c>
      <c r="M1434" s="54">
        <f>IF(F1434="","",IF(J1434="✅ Сделано","✔ ",IF(J1434="❌ Пропущено","✖ ","⏰ "))&amp;IF(C1434="","",RIGHT("0"&amp;HOUR(C1434),2)&amp;":"&amp;RIGHT("0"&amp;MINUTE(C1434),2)&amp;IF(D1434="","","–"&amp;RIGHT("0"&amp;HOUR(D1434),2)&amp;":"&amp;RIGHT("0"&amp;MINUTE(D1434),2))&amp;" ")&amp;F1434)</f>
        <v/>
      </c>
      <c r="N1434" s="54">
        <f>IF(OR(A1434="",F1434=""),"",A1434&amp;"#"&amp;(COUNTIFS($A$5:$A$3004,A1434,$F$5:$F$3004,"?*",$O$5:$O$3004,"&lt;"&amp;O1434)+COUNTIFS($A$5:A1434,A1434,$F$5:F1434,"?*",$O$5:O1434,O1434)))</f>
        <v/>
      </c>
      <c r="O1434" s="54">
        <f>IF(A1434="","",IF(C1434="",0,C1434))</f>
        <v/>
      </c>
    </row>
    <row r="1435">
      <c r="A1435" s="58" t="n"/>
      <c r="B1435" s="49">
        <f>IF(A1435="","",CHOOSE(WEEKDAY(A1435,2),"Пн","Вт","Ср","Чт","Пт","Сб","Вс"))</f>
        <v/>
      </c>
      <c r="C1435" s="59" t="n"/>
      <c r="D1435" s="59" t="n"/>
      <c r="E1435" s="60">
        <f>IF(OR(C1435="",D1435=""),"",MOD(D1435-C1435,1)*24)</f>
        <v/>
      </c>
      <c r="F1435" s="50" t="n"/>
      <c r="G1435" s="51" t="n"/>
      <c r="H1435" s="51" t="n"/>
      <c r="I1435" s="51" t="n"/>
      <c r="J1435" s="51" t="n"/>
      <c r="K1435" s="51" t="n"/>
      <c r="L1435" s="54">
        <f>IF(OR(A1435="",C1435="",D1435=""),"",IF(COUNTIFS($A$5:$A$3004,A1435,$C$5:$C$3004,"&lt;"&amp;D1435,$D$5:$D$3004,"&gt;"&amp;C1435)&gt;1,"⚠️ пересечение",""))</f>
        <v/>
      </c>
      <c r="M1435" s="54">
        <f>IF(F1435="","",IF(J1435="✅ Сделано","✔ ",IF(J1435="❌ Пропущено","✖ ","⏰ "))&amp;IF(C1435="","",RIGHT("0"&amp;HOUR(C1435),2)&amp;":"&amp;RIGHT("0"&amp;MINUTE(C1435),2)&amp;IF(D1435="","","–"&amp;RIGHT("0"&amp;HOUR(D1435),2)&amp;":"&amp;RIGHT("0"&amp;MINUTE(D1435),2))&amp;" ")&amp;F1435)</f>
        <v/>
      </c>
      <c r="N1435" s="54">
        <f>IF(OR(A1435="",F1435=""),"",A1435&amp;"#"&amp;(COUNTIFS($A$5:$A$3004,A1435,$F$5:$F$3004,"?*",$O$5:$O$3004,"&lt;"&amp;O1435)+COUNTIFS($A$5:A1435,A1435,$F$5:F1435,"?*",$O$5:O1435,O1435)))</f>
        <v/>
      </c>
      <c r="O1435" s="54">
        <f>IF(A1435="","",IF(C1435="",0,C1435))</f>
        <v/>
      </c>
    </row>
    <row r="1436">
      <c r="A1436" s="58" t="n"/>
      <c r="B1436" s="49">
        <f>IF(A1436="","",CHOOSE(WEEKDAY(A1436,2),"Пн","Вт","Ср","Чт","Пт","Сб","Вс"))</f>
        <v/>
      </c>
      <c r="C1436" s="59" t="n"/>
      <c r="D1436" s="59" t="n"/>
      <c r="E1436" s="60">
        <f>IF(OR(C1436="",D1436=""),"",MOD(D1436-C1436,1)*24)</f>
        <v/>
      </c>
      <c r="F1436" s="50" t="n"/>
      <c r="G1436" s="51" t="n"/>
      <c r="H1436" s="51" t="n"/>
      <c r="I1436" s="51" t="n"/>
      <c r="J1436" s="51" t="n"/>
      <c r="K1436" s="51" t="n"/>
      <c r="L1436" s="54">
        <f>IF(OR(A1436="",C1436="",D1436=""),"",IF(COUNTIFS($A$5:$A$3004,A1436,$C$5:$C$3004,"&lt;"&amp;D1436,$D$5:$D$3004,"&gt;"&amp;C1436)&gt;1,"⚠️ пересечение",""))</f>
        <v/>
      </c>
      <c r="M1436" s="54">
        <f>IF(F1436="","",IF(J1436="✅ Сделано","✔ ",IF(J1436="❌ Пропущено","✖ ","⏰ "))&amp;IF(C1436="","",RIGHT("0"&amp;HOUR(C1436),2)&amp;":"&amp;RIGHT("0"&amp;MINUTE(C1436),2)&amp;IF(D1436="","","–"&amp;RIGHT("0"&amp;HOUR(D1436),2)&amp;":"&amp;RIGHT("0"&amp;MINUTE(D1436),2))&amp;" ")&amp;F1436)</f>
        <v/>
      </c>
      <c r="N1436" s="54">
        <f>IF(OR(A1436="",F1436=""),"",A1436&amp;"#"&amp;(COUNTIFS($A$5:$A$3004,A1436,$F$5:$F$3004,"?*",$O$5:$O$3004,"&lt;"&amp;O1436)+COUNTIFS($A$5:A1436,A1436,$F$5:F1436,"?*",$O$5:O1436,O1436)))</f>
        <v/>
      </c>
      <c r="O1436" s="54">
        <f>IF(A1436="","",IF(C1436="",0,C1436))</f>
        <v/>
      </c>
    </row>
    <row r="1437">
      <c r="A1437" s="58" t="n"/>
      <c r="B1437" s="49">
        <f>IF(A1437="","",CHOOSE(WEEKDAY(A1437,2),"Пн","Вт","Ср","Чт","Пт","Сб","Вс"))</f>
        <v/>
      </c>
      <c r="C1437" s="59" t="n"/>
      <c r="D1437" s="59" t="n"/>
      <c r="E1437" s="60">
        <f>IF(OR(C1437="",D1437=""),"",MOD(D1437-C1437,1)*24)</f>
        <v/>
      </c>
      <c r="F1437" s="50" t="n"/>
      <c r="G1437" s="51" t="n"/>
      <c r="H1437" s="51" t="n"/>
      <c r="I1437" s="51" t="n"/>
      <c r="J1437" s="51" t="n"/>
      <c r="K1437" s="51" t="n"/>
      <c r="L1437" s="54">
        <f>IF(OR(A1437="",C1437="",D1437=""),"",IF(COUNTIFS($A$5:$A$3004,A1437,$C$5:$C$3004,"&lt;"&amp;D1437,$D$5:$D$3004,"&gt;"&amp;C1437)&gt;1,"⚠️ пересечение",""))</f>
        <v/>
      </c>
      <c r="M1437" s="54">
        <f>IF(F1437="","",IF(J1437="✅ Сделано","✔ ",IF(J1437="❌ Пропущено","✖ ","⏰ "))&amp;IF(C1437="","",RIGHT("0"&amp;HOUR(C1437),2)&amp;":"&amp;RIGHT("0"&amp;MINUTE(C1437),2)&amp;IF(D1437="","","–"&amp;RIGHT("0"&amp;HOUR(D1437),2)&amp;":"&amp;RIGHT("0"&amp;MINUTE(D1437),2))&amp;" ")&amp;F1437)</f>
        <v/>
      </c>
      <c r="N1437" s="54">
        <f>IF(OR(A1437="",F1437=""),"",A1437&amp;"#"&amp;(COUNTIFS($A$5:$A$3004,A1437,$F$5:$F$3004,"?*",$O$5:$O$3004,"&lt;"&amp;O1437)+COUNTIFS($A$5:A1437,A1437,$F$5:F1437,"?*",$O$5:O1437,O1437)))</f>
        <v/>
      </c>
      <c r="O1437" s="54">
        <f>IF(A1437="","",IF(C1437="",0,C1437))</f>
        <v/>
      </c>
    </row>
    <row r="1438">
      <c r="A1438" s="58" t="n"/>
      <c r="B1438" s="49">
        <f>IF(A1438="","",CHOOSE(WEEKDAY(A1438,2),"Пн","Вт","Ср","Чт","Пт","Сб","Вс"))</f>
        <v/>
      </c>
      <c r="C1438" s="59" t="n"/>
      <c r="D1438" s="59" t="n"/>
      <c r="E1438" s="60">
        <f>IF(OR(C1438="",D1438=""),"",MOD(D1438-C1438,1)*24)</f>
        <v/>
      </c>
      <c r="F1438" s="50" t="n"/>
      <c r="G1438" s="51" t="n"/>
      <c r="H1438" s="51" t="n"/>
      <c r="I1438" s="51" t="n"/>
      <c r="J1438" s="51" t="n"/>
      <c r="K1438" s="51" t="n"/>
      <c r="L1438" s="54">
        <f>IF(OR(A1438="",C1438="",D1438=""),"",IF(COUNTIFS($A$5:$A$3004,A1438,$C$5:$C$3004,"&lt;"&amp;D1438,$D$5:$D$3004,"&gt;"&amp;C1438)&gt;1,"⚠️ пересечение",""))</f>
        <v/>
      </c>
      <c r="M1438" s="54">
        <f>IF(F1438="","",IF(J1438="✅ Сделано","✔ ",IF(J1438="❌ Пропущено","✖ ","⏰ "))&amp;IF(C1438="","",RIGHT("0"&amp;HOUR(C1438),2)&amp;":"&amp;RIGHT("0"&amp;MINUTE(C1438),2)&amp;IF(D1438="","","–"&amp;RIGHT("0"&amp;HOUR(D1438),2)&amp;":"&amp;RIGHT("0"&amp;MINUTE(D1438),2))&amp;" ")&amp;F1438)</f>
        <v/>
      </c>
      <c r="N1438" s="54">
        <f>IF(OR(A1438="",F1438=""),"",A1438&amp;"#"&amp;(COUNTIFS($A$5:$A$3004,A1438,$F$5:$F$3004,"?*",$O$5:$O$3004,"&lt;"&amp;O1438)+COUNTIFS($A$5:A1438,A1438,$F$5:F1438,"?*",$O$5:O1438,O1438)))</f>
        <v/>
      </c>
      <c r="O1438" s="54">
        <f>IF(A1438="","",IF(C1438="",0,C1438))</f>
        <v/>
      </c>
    </row>
    <row r="1439">
      <c r="A1439" s="58" t="n"/>
      <c r="B1439" s="49">
        <f>IF(A1439="","",CHOOSE(WEEKDAY(A1439,2),"Пн","Вт","Ср","Чт","Пт","Сб","Вс"))</f>
        <v/>
      </c>
      <c r="C1439" s="59" t="n"/>
      <c r="D1439" s="59" t="n"/>
      <c r="E1439" s="60">
        <f>IF(OR(C1439="",D1439=""),"",MOD(D1439-C1439,1)*24)</f>
        <v/>
      </c>
      <c r="F1439" s="50" t="n"/>
      <c r="G1439" s="51" t="n"/>
      <c r="H1439" s="51" t="n"/>
      <c r="I1439" s="51" t="n"/>
      <c r="J1439" s="51" t="n"/>
      <c r="K1439" s="51" t="n"/>
      <c r="L1439" s="54">
        <f>IF(OR(A1439="",C1439="",D1439=""),"",IF(COUNTIFS($A$5:$A$3004,A1439,$C$5:$C$3004,"&lt;"&amp;D1439,$D$5:$D$3004,"&gt;"&amp;C1439)&gt;1,"⚠️ пересечение",""))</f>
        <v/>
      </c>
      <c r="M1439" s="54">
        <f>IF(F1439="","",IF(J1439="✅ Сделано","✔ ",IF(J1439="❌ Пропущено","✖ ","⏰ "))&amp;IF(C1439="","",RIGHT("0"&amp;HOUR(C1439),2)&amp;":"&amp;RIGHT("0"&amp;MINUTE(C1439),2)&amp;IF(D1439="","","–"&amp;RIGHT("0"&amp;HOUR(D1439),2)&amp;":"&amp;RIGHT("0"&amp;MINUTE(D1439),2))&amp;" ")&amp;F1439)</f>
        <v/>
      </c>
      <c r="N1439" s="54">
        <f>IF(OR(A1439="",F1439=""),"",A1439&amp;"#"&amp;(COUNTIFS($A$5:$A$3004,A1439,$F$5:$F$3004,"?*",$O$5:$O$3004,"&lt;"&amp;O1439)+COUNTIFS($A$5:A1439,A1439,$F$5:F1439,"?*",$O$5:O1439,O1439)))</f>
        <v/>
      </c>
      <c r="O1439" s="54">
        <f>IF(A1439="","",IF(C1439="",0,C1439))</f>
        <v/>
      </c>
    </row>
    <row r="1440">
      <c r="A1440" s="58" t="n"/>
      <c r="B1440" s="49">
        <f>IF(A1440="","",CHOOSE(WEEKDAY(A1440,2),"Пн","Вт","Ср","Чт","Пт","Сб","Вс"))</f>
        <v/>
      </c>
      <c r="C1440" s="59" t="n"/>
      <c r="D1440" s="59" t="n"/>
      <c r="E1440" s="60">
        <f>IF(OR(C1440="",D1440=""),"",MOD(D1440-C1440,1)*24)</f>
        <v/>
      </c>
      <c r="F1440" s="50" t="n"/>
      <c r="G1440" s="51" t="n"/>
      <c r="H1440" s="51" t="n"/>
      <c r="I1440" s="51" t="n"/>
      <c r="J1440" s="51" t="n"/>
      <c r="K1440" s="51" t="n"/>
      <c r="L1440" s="54">
        <f>IF(OR(A1440="",C1440="",D1440=""),"",IF(COUNTIFS($A$5:$A$3004,A1440,$C$5:$C$3004,"&lt;"&amp;D1440,$D$5:$D$3004,"&gt;"&amp;C1440)&gt;1,"⚠️ пересечение",""))</f>
        <v/>
      </c>
      <c r="M1440" s="54">
        <f>IF(F1440="","",IF(J1440="✅ Сделано","✔ ",IF(J1440="❌ Пропущено","✖ ","⏰ "))&amp;IF(C1440="","",RIGHT("0"&amp;HOUR(C1440),2)&amp;":"&amp;RIGHT("0"&amp;MINUTE(C1440),2)&amp;IF(D1440="","","–"&amp;RIGHT("0"&amp;HOUR(D1440),2)&amp;":"&amp;RIGHT("0"&amp;MINUTE(D1440),2))&amp;" ")&amp;F1440)</f>
        <v/>
      </c>
      <c r="N1440" s="54">
        <f>IF(OR(A1440="",F1440=""),"",A1440&amp;"#"&amp;(COUNTIFS($A$5:$A$3004,A1440,$F$5:$F$3004,"?*",$O$5:$O$3004,"&lt;"&amp;O1440)+COUNTIFS($A$5:A1440,A1440,$F$5:F1440,"?*",$O$5:O1440,O1440)))</f>
        <v/>
      </c>
      <c r="O1440" s="54">
        <f>IF(A1440="","",IF(C1440="",0,C1440))</f>
        <v/>
      </c>
    </row>
    <row r="1441">
      <c r="A1441" s="58" t="n"/>
      <c r="B1441" s="49">
        <f>IF(A1441="","",CHOOSE(WEEKDAY(A1441,2),"Пн","Вт","Ср","Чт","Пт","Сб","Вс"))</f>
        <v/>
      </c>
      <c r="C1441" s="59" t="n"/>
      <c r="D1441" s="59" t="n"/>
      <c r="E1441" s="60">
        <f>IF(OR(C1441="",D1441=""),"",MOD(D1441-C1441,1)*24)</f>
        <v/>
      </c>
      <c r="F1441" s="50" t="n"/>
      <c r="G1441" s="51" t="n"/>
      <c r="H1441" s="51" t="n"/>
      <c r="I1441" s="51" t="n"/>
      <c r="J1441" s="51" t="n"/>
      <c r="K1441" s="51" t="n"/>
      <c r="L1441" s="54">
        <f>IF(OR(A1441="",C1441="",D1441=""),"",IF(COUNTIFS($A$5:$A$3004,A1441,$C$5:$C$3004,"&lt;"&amp;D1441,$D$5:$D$3004,"&gt;"&amp;C1441)&gt;1,"⚠️ пересечение",""))</f>
        <v/>
      </c>
      <c r="M1441" s="54">
        <f>IF(F1441="","",IF(J1441="✅ Сделано","✔ ",IF(J1441="❌ Пропущено","✖ ","⏰ "))&amp;IF(C1441="","",RIGHT("0"&amp;HOUR(C1441),2)&amp;":"&amp;RIGHT("0"&amp;MINUTE(C1441),2)&amp;IF(D1441="","","–"&amp;RIGHT("0"&amp;HOUR(D1441),2)&amp;":"&amp;RIGHT("0"&amp;MINUTE(D1441),2))&amp;" ")&amp;F1441)</f>
        <v/>
      </c>
      <c r="N1441" s="54">
        <f>IF(OR(A1441="",F1441=""),"",A1441&amp;"#"&amp;(COUNTIFS($A$5:$A$3004,A1441,$F$5:$F$3004,"?*",$O$5:$O$3004,"&lt;"&amp;O1441)+COUNTIFS($A$5:A1441,A1441,$F$5:F1441,"?*",$O$5:O1441,O1441)))</f>
        <v/>
      </c>
      <c r="O1441" s="54">
        <f>IF(A1441="","",IF(C1441="",0,C1441))</f>
        <v/>
      </c>
    </row>
    <row r="1442">
      <c r="A1442" s="58" t="n"/>
      <c r="B1442" s="49">
        <f>IF(A1442="","",CHOOSE(WEEKDAY(A1442,2),"Пн","Вт","Ср","Чт","Пт","Сб","Вс"))</f>
        <v/>
      </c>
      <c r="C1442" s="59" t="n"/>
      <c r="D1442" s="59" t="n"/>
      <c r="E1442" s="60">
        <f>IF(OR(C1442="",D1442=""),"",MOD(D1442-C1442,1)*24)</f>
        <v/>
      </c>
      <c r="F1442" s="50" t="n"/>
      <c r="G1442" s="51" t="n"/>
      <c r="H1442" s="51" t="n"/>
      <c r="I1442" s="51" t="n"/>
      <c r="J1442" s="51" t="n"/>
      <c r="K1442" s="51" t="n"/>
      <c r="L1442" s="54">
        <f>IF(OR(A1442="",C1442="",D1442=""),"",IF(COUNTIFS($A$5:$A$3004,A1442,$C$5:$C$3004,"&lt;"&amp;D1442,$D$5:$D$3004,"&gt;"&amp;C1442)&gt;1,"⚠️ пересечение",""))</f>
        <v/>
      </c>
      <c r="M1442" s="54">
        <f>IF(F1442="","",IF(J1442="✅ Сделано","✔ ",IF(J1442="❌ Пропущено","✖ ","⏰ "))&amp;IF(C1442="","",RIGHT("0"&amp;HOUR(C1442),2)&amp;":"&amp;RIGHT("0"&amp;MINUTE(C1442),2)&amp;IF(D1442="","","–"&amp;RIGHT("0"&amp;HOUR(D1442),2)&amp;":"&amp;RIGHT("0"&amp;MINUTE(D1442),2))&amp;" ")&amp;F1442)</f>
        <v/>
      </c>
      <c r="N1442" s="54">
        <f>IF(OR(A1442="",F1442=""),"",A1442&amp;"#"&amp;(COUNTIFS($A$5:$A$3004,A1442,$F$5:$F$3004,"?*",$O$5:$O$3004,"&lt;"&amp;O1442)+COUNTIFS($A$5:A1442,A1442,$F$5:F1442,"?*",$O$5:O1442,O1442)))</f>
        <v/>
      </c>
      <c r="O1442" s="54">
        <f>IF(A1442="","",IF(C1442="",0,C1442))</f>
        <v/>
      </c>
    </row>
    <row r="1443">
      <c r="A1443" s="58" t="n"/>
      <c r="B1443" s="49">
        <f>IF(A1443="","",CHOOSE(WEEKDAY(A1443,2),"Пн","Вт","Ср","Чт","Пт","Сб","Вс"))</f>
        <v/>
      </c>
      <c r="C1443" s="59" t="n"/>
      <c r="D1443" s="59" t="n"/>
      <c r="E1443" s="60">
        <f>IF(OR(C1443="",D1443=""),"",MOD(D1443-C1443,1)*24)</f>
        <v/>
      </c>
      <c r="F1443" s="50" t="n"/>
      <c r="G1443" s="51" t="n"/>
      <c r="H1443" s="51" t="n"/>
      <c r="I1443" s="51" t="n"/>
      <c r="J1443" s="51" t="n"/>
      <c r="K1443" s="51" t="n"/>
      <c r="L1443" s="54">
        <f>IF(OR(A1443="",C1443="",D1443=""),"",IF(COUNTIFS($A$5:$A$3004,A1443,$C$5:$C$3004,"&lt;"&amp;D1443,$D$5:$D$3004,"&gt;"&amp;C1443)&gt;1,"⚠️ пересечение",""))</f>
        <v/>
      </c>
      <c r="M1443" s="54">
        <f>IF(F1443="","",IF(J1443="✅ Сделано","✔ ",IF(J1443="❌ Пропущено","✖ ","⏰ "))&amp;IF(C1443="","",RIGHT("0"&amp;HOUR(C1443),2)&amp;":"&amp;RIGHT("0"&amp;MINUTE(C1443),2)&amp;IF(D1443="","","–"&amp;RIGHT("0"&amp;HOUR(D1443),2)&amp;":"&amp;RIGHT("0"&amp;MINUTE(D1443),2))&amp;" ")&amp;F1443)</f>
        <v/>
      </c>
      <c r="N1443" s="54">
        <f>IF(OR(A1443="",F1443=""),"",A1443&amp;"#"&amp;(COUNTIFS($A$5:$A$3004,A1443,$F$5:$F$3004,"?*",$O$5:$O$3004,"&lt;"&amp;O1443)+COUNTIFS($A$5:A1443,A1443,$F$5:F1443,"?*",$O$5:O1443,O1443)))</f>
        <v/>
      </c>
      <c r="O1443" s="54">
        <f>IF(A1443="","",IF(C1443="",0,C1443))</f>
        <v/>
      </c>
    </row>
    <row r="1444">
      <c r="A1444" s="58" t="n"/>
      <c r="B1444" s="49">
        <f>IF(A1444="","",CHOOSE(WEEKDAY(A1444,2),"Пн","Вт","Ср","Чт","Пт","Сб","Вс"))</f>
        <v/>
      </c>
      <c r="C1444" s="59" t="n"/>
      <c r="D1444" s="59" t="n"/>
      <c r="E1444" s="60">
        <f>IF(OR(C1444="",D1444=""),"",MOD(D1444-C1444,1)*24)</f>
        <v/>
      </c>
      <c r="F1444" s="50" t="n"/>
      <c r="G1444" s="51" t="n"/>
      <c r="H1444" s="51" t="n"/>
      <c r="I1444" s="51" t="n"/>
      <c r="J1444" s="51" t="n"/>
      <c r="K1444" s="51" t="n"/>
      <c r="L1444" s="54">
        <f>IF(OR(A1444="",C1444="",D1444=""),"",IF(COUNTIFS($A$5:$A$3004,A1444,$C$5:$C$3004,"&lt;"&amp;D1444,$D$5:$D$3004,"&gt;"&amp;C1444)&gt;1,"⚠️ пересечение",""))</f>
        <v/>
      </c>
      <c r="M1444" s="54">
        <f>IF(F1444="","",IF(J1444="✅ Сделано","✔ ",IF(J1444="❌ Пропущено","✖ ","⏰ "))&amp;IF(C1444="","",RIGHT("0"&amp;HOUR(C1444),2)&amp;":"&amp;RIGHT("0"&amp;MINUTE(C1444),2)&amp;IF(D1444="","","–"&amp;RIGHT("0"&amp;HOUR(D1444),2)&amp;":"&amp;RIGHT("0"&amp;MINUTE(D1444),2))&amp;" ")&amp;F1444)</f>
        <v/>
      </c>
      <c r="N1444" s="54">
        <f>IF(OR(A1444="",F1444=""),"",A1444&amp;"#"&amp;(COUNTIFS($A$5:$A$3004,A1444,$F$5:$F$3004,"?*",$O$5:$O$3004,"&lt;"&amp;O1444)+COUNTIFS($A$5:A1444,A1444,$F$5:F1444,"?*",$O$5:O1444,O1444)))</f>
        <v/>
      </c>
      <c r="O1444" s="54">
        <f>IF(A1444="","",IF(C1444="",0,C1444))</f>
        <v/>
      </c>
    </row>
    <row r="1445">
      <c r="A1445" s="58" t="n"/>
      <c r="B1445" s="49">
        <f>IF(A1445="","",CHOOSE(WEEKDAY(A1445,2),"Пн","Вт","Ср","Чт","Пт","Сб","Вс"))</f>
        <v/>
      </c>
      <c r="C1445" s="59" t="n"/>
      <c r="D1445" s="59" t="n"/>
      <c r="E1445" s="60">
        <f>IF(OR(C1445="",D1445=""),"",MOD(D1445-C1445,1)*24)</f>
        <v/>
      </c>
      <c r="F1445" s="50" t="n"/>
      <c r="G1445" s="51" t="n"/>
      <c r="H1445" s="51" t="n"/>
      <c r="I1445" s="51" t="n"/>
      <c r="J1445" s="51" t="n"/>
      <c r="K1445" s="51" t="n"/>
      <c r="L1445" s="54">
        <f>IF(OR(A1445="",C1445="",D1445=""),"",IF(COUNTIFS($A$5:$A$3004,A1445,$C$5:$C$3004,"&lt;"&amp;D1445,$D$5:$D$3004,"&gt;"&amp;C1445)&gt;1,"⚠️ пересечение",""))</f>
        <v/>
      </c>
      <c r="M1445" s="54">
        <f>IF(F1445="","",IF(J1445="✅ Сделано","✔ ",IF(J1445="❌ Пропущено","✖ ","⏰ "))&amp;IF(C1445="","",RIGHT("0"&amp;HOUR(C1445),2)&amp;":"&amp;RIGHT("0"&amp;MINUTE(C1445),2)&amp;IF(D1445="","","–"&amp;RIGHT("0"&amp;HOUR(D1445),2)&amp;":"&amp;RIGHT("0"&amp;MINUTE(D1445),2))&amp;" ")&amp;F1445)</f>
        <v/>
      </c>
      <c r="N1445" s="54">
        <f>IF(OR(A1445="",F1445=""),"",A1445&amp;"#"&amp;(COUNTIFS($A$5:$A$3004,A1445,$F$5:$F$3004,"?*",$O$5:$O$3004,"&lt;"&amp;O1445)+COUNTIFS($A$5:A1445,A1445,$F$5:F1445,"?*",$O$5:O1445,O1445)))</f>
        <v/>
      </c>
      <c r="O1445" s="54">
        <f>IF(A1445="","",IF(C1445="",0,C1445))</f>
        <v/>
      </c>
    </row>
    <row r="1446">
      <c r="A1446" s="58" t="n"/>
      <c r="B1446" s="49">
        <f>IF(A1446="","",CHOOSE(WEEKDAY(A1446,2),"Пн","Вт","Ср","Чт","Пт","Сб","Вс"))</f>
        <v/>
      </c>
      <c r="C1446" s="59" t="n"/>
      <c r="D1446" s="59" t="n"/>
      <c r="E1446" s="60">
        <f>IF(OR(C1446="",D1446=""),"",MOD(D1446-C1446,1)*24)</f>
        <v/>
      </c>
      <c r="F1446" s="50" t="n"/>
      <c r="G1446" s="51" t="n"/>
      <c r="H1446" s="51" t="n"/>
      <c r="I1446" s="51" t="n"/>
      <c r="J1446" s="51" t="n"/>
      <c r="K1446" s="51" t="n"/>
      <c r="L1446" s="54">
        <f>IF(OR(A1446="",C1446="",D1446=""),"",IF(COUNTIFS($A$5:$A$3004,A1446,$C$5:$C$3004,"&lt;"&amp;D1446,$D$5:$D$3004,"&gt;"&amp;C1446)&gt;1,"⚠️ пересечение",""))</f>
        <v/>
      </c>
      <c r="M1446" s="54">
        <f>IF(F1446="","",IF(J1446="✅ Сделано","✔ ",IF(J1446="❌ Пропущено","✖ ","⏰ "))&amp;IF(C1446="","",RIGHT("0"&amp;HOUR(C1446),2)&amp;":"&amp;RIGHT("0"&amp;MINUTE(C1446),2)&amp;IF(D1446="","","–"&amp;RIGHT("0"&amp;HOUR(D1446),2)&amp;":"&amp;RIGHT("0"&amp;MINUTE(D1446),2))&amp;" ")&amp;F1446)</f>
        <v/>
      </c>
      <c r="N1446" s="54">
        <f>IF(OR(A1446="",F1446=""),"",A1446&amp;"#"&amp;(COUNTIFS($A$5:$A$3004,A1446,$F$5:$F$3004,"?*",$O$5:$O$3004,"&lt;"&amp;O1446)+COUNTIFS($A$5:A1446,A1446,$F$5:F1446,"?*",$O$5:O1446,O1446)))</f>
        <v/>
      </c>
      <c r="O1446" s="54">
        <f>IF(A1446="","",IF(C1446="",0,C1446))</f>
        <v/>
      </c>
    </row>
    <row r="1447">
      <c r="A1447" s="58" t="n"/>
      <c r="B1447" s="49">
        <f>IF(A1447="","",CHOOSE(WEEKDAY(A1447,2),"Пн","Вт","Ср","Чт","Пт","Сб","Вс"))</f>
        <v/>
      </c>
      <c r="C1447" s="59" t="n"/>
      <c r="D1447" s="59" t="n"/>
      <c r="E1447" s="60">
        <f>IF(OR(C1447="",D1447=""),"",MOD(D1447-C1447,1)*24)</f>
        <v/>
      </c>
      <c r="F1447" s="50" t="n"/>
      <c r="G1447" s="51" t="n"/>
      <c r="H1447" s="51" t="n"/>
      <c r="I1447" s="51" t="n"/>
      <c r="J1447" s="51" t="n"/>
      <c r="K1447" s="51" t="n"/>
      <c r="L1447" s="54">
        <f>IF(OR(A1447="",C1447="",D1447=""),"",IF(COUNTIFS($A$5:$A$3004,A1447,$C$5:$C$3004,"&lt;"&amp;D1447,$D$5:$D$3004,"&gt;"&amp;C1447)&gt;1,"⚠️ пересечение",""))</f>
        <v/>
      </c>
      <c r="M1447" s="54">
        <f>IF(F1447="","",IF(J1447="✅ Сделано","✔ ",IF(J1447="❌ Пропущено","✖ ","⏰ "))&amp;IF(C1447="","",RIGHT("0"&amp;HOUR(C1447),2)&amp;":"&amp;RIGHT("0"&amp;MINUTE(C1447),2)&amp;IF(D1447="","","–"&amp;RIGHT("0"&amp;HOUR(D1447),2)&amp;":"&amp;RIGHT("0"&amp;MINUTE(D1447),2))&amp;" ")&amp;F1447)</f>
        <v/>
      </c>
      <c r="N1447" s="54">
        <f>IF(OR(A1447="",F1447=""),"",A1447&amp;"#"&amp;(COUNTIFS($A$5:$A$3004,A1447,$F$5:$F$3004,"?*",$O$5:$O$3004,"&lt;"&amp;O1447)+COUNTIFS($A$5:A1447,A1447,$F$5:F1447,"?*",$O$5:O1447,O1447)))</f>
        <v/>
      </c>
      <c r="O1447" s="54">
        <f>IF(A1447="","",IF(C1447="",0,C1447))</f>
        <v/>
      </c>
    </row>
    <row r="1448">
      <c r="A1448" s="58" t="n"/>
      <c r="B1448" s="49">
        <f>IF(A1448="","",CHOOSE(WEEKDAY(A1448,2),"Пн","Вт","Ср","Чт","Пт","Сб","Вс"))</f>
        <v/>
      </c>
      <c r="C1448" s="59" t="n"/>
      <c r="D1448" s="59" t="n"/>
      <c r="E1448" s="60">
        <f>IF(OR(C1448="",D1448=""),"",MOD(D1448-C1448,1)*24)</f>
        <v/>
      </c>
      <c r="F1448" s="50" t="n"/>
      <c r="G1448" s="51" t="n"/>
      <c r="H1448" s="51" t="n"/>
      <c r="I1448" s="51" t="n"/>
      <c r="J1448" s="51" t="n"/>
      <c r="K1448" s="51" t="n"/>
      <c r="L1448" s="54">
        <f>IF(OR(A1448="",C1448="",D1448=""),"",IF(COUNTIFS($A$5:$A$3004,A1448,$C$5:$C$3004,"&lt;"&amp;D1448,$D$5:$D$3004,"&gt;"&amp;C1448)&gt;1,"⚠️ пересечение",""))</f>
        <v/>
      </c>
      <c r="M1448" s="54">
        <f>IF(F1448="","",IF(J1448="✅ Сделано","✔ ",IF(J1448="❌ Пропущено","✖ ","⏰ "))&amp;IF(C1448="","",RIGHT("0"&amp;HOUR(C1448),2)&amp;":"&amp;RIGHT("0"&amp;MINUTE(C1448),2)&amp;IF(D1448="","","–"&amp;RIGHT("0"&amp;HOUR(D1448),2)&amp;":"&amp;RIGHT("0"&amp;MINUTE(D1448),2))&amp;" ")&amp;F1448)</f>
        <v/>
      </c>
      <c r="N1448" s="54">
        <f>IF(OR(A1448="",F1448=""),"",A1448&amp;"#"&amp;(COUNTIFS($A$5:$A$3004,A1448,$F$5:$F$3004,"?*",$O$5:$O$3004,"&lt;"&amp;O1448)+COUNTIFS($A$5:A1448,A1448,$F$5:F1448,"?*",$O$5:O1448,O1448)))</f>
        <v/>
      </c>
      <c r="O1448" s="54">
        <f>IF(A1448="","",IF(C1448="",0,C1448))</f>
        <v/>
      </c>
    </row>
    <row r="1449">
      <c r="A1449" s="58" t="n"/>
      <c r="B1449" s="49">
        <f>IF(A1449="","",CHOOSE(WEEKDAY(A1449,2),"Пн","Вт","Ср","Чт","Пт","Сб","Вс"))</f>
        <v/>
      </c>
      <c r="C1449" s="59" t="n"/>
      <c r="D1449" s="59" t="n"/>
      <c r="E1449" s="60">
        <f>IF(OR(C1449="",D1449=""),"",MOD(D1449-C1449,1)*24)</f>
        <v/>
      </c>
      <c r="F1449" s="50" t="n"/>
      <c r="G1449" s="51" t="n"/>
      <c r="H1449" s="51" t="n"/>
      <c r="I1449" s="51" t="n"/>
      <c r="J1449" s="51" t="n"/>
      <c r="K1449" s="51" t="n"/>
      <c r="L1449" s="54">
        <f>IF(OR(A1449="",C1449="",D1449=""),"",IF(COUNTIFS($A$5:$A$3004,A1449,$C$5:$C$3004,"&lt;"&amp;D1449,$D$5:$D$3004,"&gt;"&amp;C1449)&gt;1,"⚠️ пересечение",""))</f>
        <v/>
      </c>
      <c r="M1449" s="54">
        <f>IF(F1449="","",IF(J1449="✅ Сделано","✔ ",IF(J1449="❌ Пропущено","✖ ","⏰ "))&amp;IF(C1449="","",RIGHT("0"&amp;HOUR(C1449),2)&amp;":"&amp;RIGHT("0"&amp;MINUTE(C1449),2)&amp;IF(D1449="","","–"&amp;RIGHT("0"&amp;HOUR(D1449),2)&amp;":"&amp;RIGHT("0"&amp;MINUTE(D1449),2))&amp;" ")&amp;F1449)</f>
        <v/>
      </c>
      <c r="N1449" s="54">
        <f>IF(OR(A1449="",F1449=""),"",A1449&amp;"#"&amp;(COUNTIFS($A$5:$A$3004,A1449,$F$5:$F$3004,"?*",$O$5:$O$3004,"&lt;"&amp;O1449)+COUNTIFS($A$5:A1449,A1449,$F$5:F1449,"?*",$O$5:O1449,O1449)))</f>
        <v/>
      </c>
      <c r="O1449" s="54">
        <f>IF(A1449="","",IF(C1449="",0,C1449))</f>
        <v/>
      </c>
    </row>
    <row r="1450">
      <c r="A1450" s="58" t="n"/>
      <c r="B1450" s="49">
        <f>IF(A1450="","",CHOOSE(WEEKDAY(A1450,2),"Пн","Вт","Ср","Чт","Пт","Сб","Вс"))</f>
        <v/>
      </c>
      <c r="C1450" s="59" t="n"/>
      <c r="D1450" s="59" t="n"/>
      <c r="E1450" s="60">
        <f>IF(OR(C1450="",D1450=""),"",MOD(D1450-C1450,1)*24)</f>
        <v/>
      </c>
      <c r="F1450" s="50" t="n"/>
      <c r="G1450" s="51" t="n"/>
      <c r="H1450" s="51" t="n"/>
      <c r="I1450" s="51" t="n"/>
      <c r="J1450" s="51" t="n"/>
      <c r="K1450" s="51" t="n"/>
      <c r="L1450" s="54">
        <f>IF(OR(A1450="",C1450="",D1450=""),"",IF(COUNTIFS($A$5:$A$3004,A1450,$C$5:$C$3004,"&lt;"&amp;D1450,$D$5:$D$3004,"&gt;"&amp;C1450)&gt;1,"⚠️ пересечение",""))</f>
        <v/>
      </c>
      <c r="M1450" s="54">
        <f>IF(F1450="","",IF(J1450="✅ Сделано","✔ ",IF(J1450="❌ Пропущено","✖ ","⏰ "))&amp;IF(C1450="","",RIGHT("0"&amp;HOUR(C1450),2)&amp;":"&amp;RIGHT("0"&amp;MINUTE(C1450),2)&amp;IF(D1450="","","–"&amp;RIGHT("0"&amp;HOUR(D1450),2)&amp;":"&amp;RIGHT("0"&amp;MINUTE(D1450),2))&amp;" ")&amp;F1450)</f>
        <v/>
      </c>
      <c r="N1450" s="54">
        <f>IF(OR(A1450="",F1450=""),"",A1450&amp;"#"&amp;(COUNTIFS($A$5:$A$3004,A1450,$F$5:$F$3004,"?*",$O$5:$O$3004,"&lt;"&amp;O1450)+COUNTIFS($A$5:A1450,A1450,$F$5:F1450,"?*",$O$5:O1450,O1450)))</f>
        <v/>
      </c>
      <c r="O1450" s="54">
        <f>IF(A1450="","",IF(C1450="",0,C1450))</f>
        <v/>
      </c>
    </row>
    <row r="1451">
      <c r="A1451" s="58" t="n"/>
      <c r="B1451" s="49">
        <f>IF(A1451="","",CHOOSE(WEEKDAY(A1451,2),"Пн","Вт","Ср","Чт","Пт","Сб","Вс"))</f>
        <v/>
      </c>
      <c r="C1451" s="59" t="n"/>
      <c r="D1451" s="59" t="n"/>
      <c r="E1451" s="60">
        <f>IF(OR(C1451="",D1451=""),"",MOD(D1451-C1451,1)*24)</f>
        <v/>
      </c>
      <c r="F1451" s="50" t="n"/>
      <c r="G1451" s="51" t="n"/>
      <c r="H1451" s="51" t="n"/>
      <c r="I1451" s="51" t="n"/>
      <c r="J1451" s="51" t="n"/>
      <c r="K1451" s="51" t="n"/>
      <c r="L1451" s="54">
        <f>IF(OR(A1451="",C1451="",D1451=""),"",IF(COUNTIFS($A$5:$A$3004,A1451,$C$5:$C$3004,"&lt;"&amp;D1451,$D$5:$D$3004,"&gt;"&amp;C1451)&gt;1,"⚠️ пересечение",""))</f>
        <v/>
      </c>
      <c r="M1451" s="54">
        <f>IF(F1451="","",IF(J1451="✅ Сделано","✔ ",IF(J1451="❌ Пропущено","✖ ","⏰ "))&amp;IF(C1451="","",RIGHT("0"&amp;HOUR(C1451),2)&amp;":"&amp;RIGHT("0"&amp;MINUTE(C1451),2)&amp;IF(D1451="","","–"&amp;RIGHT("0"&amp;HOUR(D1451),2)&amp;":"&amp;RIGHT("0"&amp;MINUTE(D1451),2))&amp;" ")&amp;F1451)</f>
        <v/>
      </c>
      <c r="N1451" s="54">
        <f>IF(OR(A1451="",F1451=""),"",A1451&amp;"#"&amp;(COUNTIFS($A$5:$A$3004,A1451,$F$5:$F$3004,"?*",$O$5:$O$3004,"&lt;"&amp;O1451)+COUNTIFS($A$5:A1451,A1451,$F$5:F1451,"?*",$O$5:O1451,O1451)))</f>
        <v/>
      </c>
      <c r="O1451" s="54">
        <f>IF(A1451="","",IF(C1451="",0,C1451))</f>
        <v/>
      </c>
    </row>
    <row r="1452">
      <c r="A1452" s="58" t="n"/>
      <c r="B1452" s="49">
        <f>IF(A1452="","",CHOOSE(WEEKDAY(A1452,2),"Пн","Вт","Ср","Чт","Пт","Сб","Вс"))</f>
        <v/>
      </c>
      <c r="C1452" s="59" t="n"/>
      <c r="D1452" s="59" t="n"/>
      <c r="E1452" s="60">
        <f>IF(OR(C1452="",D1452=""),"",MOD(D1452-C1452,1)*24)</f>
        <v/>
      </c>
      <c r="F1452" s="50" t="n"/>
      <c r="G1452" s="51" t="n"/>
      <c r="H1452" s="51" t="n"/>
      <c r="I1452" s="51" t="n"/>
      <c r="J1452" s="51" t="n"/>
      <c r="K1452" s="51" t="n"/>
      <c r="L1452" s="54">
        <f>IF(OR(A1452="",C1452="",D1452=""),"",IF(COUNTIFS($A$5:$A$3004,A1452,$C$5:$C$3004,"&lt;"&amp;D1452,$D$5:$D$3004,"&gt;"&amp;C1452)&gt;1,"⚠️ пересечение",""))</f>
        <v/>
      </c>
      <c r="M1452" s="54">
        <f>IF(F1452="","",IF(J1452="✅ Сделано","✔ ",IF(J1452="❌ Пропущено","✖ ","⏰ "))&amp;IF(C1452="","",RIGHT("0"&amp;HOUR(C1452),2)&amp;":"&amp;RIGHT("0"&amp;MINUTE(C1452),2)&amp;IF(D1452="","","–"&amp;RIGHT("0"&amp;HOUR(D1452),2)&amp;":"&amp;RIGHT("0"&amp;MINUTE(D1452),2))&amp;" ")&amp;F1452)</f>
        <v/>
      </c>
      <c r="N1452" s="54">
        <f>IF(OR(A1452="",F1452=""),"",A1452&amp;"#"&amp;(COUNTIFS($A$5:$A$3004,A1452,$F$5:$F$3004,"?*",$O$5:$O$3004,"&lt;"&amp;O1452)+COUNTIFS($A$5:A1452,A1452,$F$5:F1452,"?*",$O$5:O1452,O1452)))</f>
        <v/>
      </c>
      <c r="O1452" s="54">
        <f>IF(A1452="","",IF(C1452="",0,C1452))</f>
        <v/>
      </c>
    </row>
    <row r="1453">
      <c r="A1453" s="58" t="n"/>
      <c r="B1453" s="49">
        <f>IF(A1453="","",CHOOSE(WEEKDAY(A1453,2),"Пн","Вт","Ср","Чт","Пт","Сб","Вс"))</f>
        <v/>
      </c>
      <c r="C1453" s="59" t="n"/>
      <c r="D1453" s="59" t="n"/>
      <c r="E1453" s="60">
        <f>IF(OR(C1453="",D1453=""),"",MOD(D1453-C1453,1)*24)</f>
        <v/>
      </c>
      <c r="F1453" s="50" t="n"/>
      <c r="G1453" s="51" t="n"/>
      <c r="H1453" s="51" t="n"/>
      <c r="I1453" s="51" t="n"/>
      <c r="J1453" s="51" t="n"/>
      <c r="K1453" s="51" t="n"/>
      <c r="L1453" s="54">
        <f>IF(OR(A1453="",C1453="",D1453=""),"",IF(COUNTIFS($A$5:$A$3004,A1453,$C$5:$C$3004,"&lt;"&amp;D1453,$D$5:$D$3004,"&gt;"&amp;C1453)&gt;1,"⚠️ пересечение",""))</f>
        <v/>
      </c>
      <c r="M1453" s="54">
        <f>IF(F1453="","",IF(J1453="✅ Сделано","✔ ",IF(J1453="❌ Пропущено","✖ ","⏰ "))&amp;IF(C1453="","",RIGHT("0"&amp;HOUR(C1453),2)&amp;":"&amp;RIGHT("0"&amp;MINUTE(C1453),2)&amp;IF(D1453="","","–"&amp;RIGHT("0"&amp;HOUR(D1453),2)&amp;":"&amp;RIGHT("0"&amp;MINUTE(D1453),2))&amp;" ")&amp;F1453)</f>
        <v/>
      </c>
      <c r="N1453" s="54">
        <f>IF(OR(A1453="",F1453=""),"",A1453&amp;"#"&amp;(COUNTIFS($A$5:$A$3004,A1453,$F$5:$F$3004,"?*",$O$5:$O$3004,"&lt;"&amp;O1453)+COUNTIFS($A$5:A1453,A1453,$F$5:F1453,"?*",$O$5:O1453,O1453)))</f>
        <v/>
      </c>
      <c r="O1453" s="54">
        <f>IF(A1453="","",IF(C1453="",0,C1453))</f>
        <v/>
      </c>
    </row>
    <row r="1454">
      <c r="A1454" s="58" t="n"/>
      <c r="B1454" s="49">
        <f>IF(A1454="","",CHOOSE(WEEKDAY(A1454,2),"Пн","Вт","Ср","Чт","Пт","Сб","Вс"))</f>
        <v/>
      </c>
      <c r="C1454" s="59" t="n"/>
      <c r="D1454" s="59" t="n"/>
      <c r="E1454" s="60">
        <f>IF(OR(C1454="",D1454=""),"",MOD(D1454-C1454,1)*24)</f>
        <v/>
      </c>
      <c r="F1454" s="50" t="n"/>
      <c r="G1454" s="51" t="n"/>
      <c r="H1454" s="51" t="n"/>
      <c r="I1454" s="51" t="n"/>
      <c r="J1454" s="51" t="n"/>
      <c r="K1454" s="51" t="n"/>
      <c r="L1454" s="54">
        <f>IF(OR(A1454="",C1454="",D1454=""),"",IF(COUNTIFS($A$5:$A$3004,A1454,$C$5:$C$3004,"&lt;"&amp;D1454,$D$5:$D$3004,"&gt;"&amp;C1454)&gt;1,"⚠️ пересечение",""))</f>
        <v/>
      </c>
      <c r="M1454" s="54">
        <f>IF(F1454="","",IF(J1454="✅ Сделано","✔ ",IF(J1454="❌ Пропущено","✖ ","⏰ "))&amp;IF(C1454="","",RIGHT("0"&amp;HOUR(C1454),2)&amp;":"&amp;RIGHT("0"&amp;MINUTE(C1454),2)&amp;IF(D1454="","","–"&amp;RIGHT("0"&amp;HOUR(D1454),2)&amp;":"&amp;RIGHT("0"&amp;MINUTE(D1454),2))&amp;" ")&amp;F1454)</f>
        <v/>
      </c>
      <c r="N1454" s="54">
        <f>IF(OR(A1454="",F1454=""),"",A1454&amp;"#"&amp;(COUNTIFS($A$5:$A$3004,A1454,$F$5:$F$3004,"?*",$O$5:$O$3004,"&lt;"&amp;O1454)+COUNTIFS($A$5:A1454,A1454,$F$5:F1454,"?*",$O$5:O1454,O1454)))</f>
        <v/>
      </c>
      <c r="O1454" s="54">
        <f>IF(A1454="","",IF(C1454="",0,C1454))</f>
        <v/>
      </c>
    </row>
    <row r="1455">
      <c r="A1455" s="58" t="n"/>
      <c r="B1455" s="49">
        <f>IF(A1455="","",CHOOSE(WEEKDAY(A1455,2),"Пн","Вт","Ср","Чт","Пт","Сб","Вс"))</f>
        <v/>
      </c>
      <c r="C1455" s="59" t="n"/>
      <c r="D1455" s="59" t="n"/>
      <c r="E1455" s="60">
        <f>IF(OR(C1455="",D1455=""),"",MOD(D1455-C1455,1)*24)</f>
        <v/>
      </c>
      <c r="F1455" s="50" t="n"/>
      <c r="G1455" s="51" t="n"/>
      <c r="H1455" s="51" t="n"/>
      <c r="I1455" s="51" t="n"/>
      <c r="J1455" s="51" t="n"/>
      <c r="K1455" s="51" t="n"/>
      <c r="L1455" s="54">
        <f>IF(OR(A1455="",C1455="",D1455=""),"",IF(COUNTIFS($A$5:$A$3004,A1455,$C$5:$C$3004,"&lt;"&amp;D1455,$D$5:$D$3004,"&gt;"&amp;C1455)&gt;1,"⚠️ пересечение",""))</f>
        <v/>
      </c>
      <c r="M1455" s="54">
        <f>IF(F1455="","",IF(J1455="✅ Сделано","✔ ",IF(J1455="❌ Пропущено","✖ ","⏰ "))&amp;IF(C1455="","",RIGHT("0"&amp;HOUR(C1455),2)&amp;":"&amp;RIGHT("0"&amp;MINUTE(C1455),2)&amp;IF(D1455="","","–"&amp;RIGHT("0"&amp;HOUR(D1455),2)&amp;":"&amp;RIGHT("0"&amp;MINUTE(D1455),2))&amp;" ")&amp;F1455)</f>
        <v/>
      </c>
      <c r="N1455" s="54">
        <f>IF(OR(A1455="",F1455=""),"",A1455&amp;"#"&amp;(COUNTIFS($A$5:$A$3004,A1455,$F$5:$F$3004,"?*",$O$5:$O$3004,"&lt;"&amp;O1455)+COUNTIFS($A$5:A1455,A1455,$F$5:F1455,"?*",$O$5:O1455,O1455)))</f>
        <v/>
      </c>
      <c r="O1455" s="54">
        <f>IF(A1455="","",IF(C1455="",0,C1455))</f>
        <v/>
      </c>
    </row>
    <row r="1456">
      <c r="A1456" s="58" t="n"/>
      <c r="B1456" s="49">
        <f>IF(A1456="","",CHOOSE(WEEKDAY(A1456,2),"Пн","Вт","Ср","Чт","Пт","Сб","Вс"))</f>
        <v/>
      </c>
      <c r="C1456" s="59" t="n"/>
      <c r="D1456" s="59" t="n"/>
      <c r="E1456" s="60">
        <f>IF(OR(C1456="",D1456=""),"",MOD(D1456-C1456,1)*24)</f>
        <v/>
      </c>
      <c r="F1456" s="50" t="n"/>
      <c r="G1456" s="51" t="n"/>
      <c r="H1456" s="51" t="n"/>
      <c r="I1456" s="51" t="n"/>
      <c r="J1456" s="51" t="n"/>
      <c r="K1456" s="51" t="n"/>
      <c r="L1456" s="54">
        <f>IF(OR(A1456="",C1456="",D1456=""),"",IF(COUNTIFS($A$5:$A$3004,A1456,$C$5:$C$3004,"&lt;"&amp;D1456,$D$5:$D$3004,"&gt;"&amp;C1456)&gt;1,"⚠️ пересечение",""))</f>
        <v/>
      </c>
      <c r="M1456" s="54">
        <f>IF(F1456="","",IF(J1456="✅ Сделано","✔ ",IF(J1456="❌ Пропущено","✖ ","⏰ "))&amp;IF(C1456="","",RIGHT("0"&amp;HOUR(C1456),2)&amp;":"&amp;RIGHT("0"&amp;MINUTE(C1456),2)&amp;IF(D1456="","","–"&amp;RIGHT("0"&amp;HOUR(D1456),2)&amp;":"&amp;RIGHT("0"&amp;MINUTE(D1456),2))&amp;" ")&amp;F1456)</f>
        <v/>
      </c>
      <c r="N1456" s="54">
        <f>IF(OR(A1456="",F1456=""),"",A1456&amp;"#"&amp;(COUNTIFS($A$5:$A$3004,A1456,$F$5:$F$3004,"?*",$O$5:$O$3004,"&lt;"&amp;O1456)+COUNTIFS($A$5:A1456,A1456,$F$5:F1456,"?*",$O$5:O1456,O1456)))</f>
        <v/>
      </c>
      <c r="O1456" s="54">
        <f>IF(A1456="","",IF(C1456="",0,C1456))</f>
        <v/>
      </c>
    </row>
    <row r="1457">
      <c r="A1457" s="58" t="n"/>
      <c r="B1457" s="49">
        <f>IF(A1457="","",CHOOSE(WEEKDAY(A1457,2),"Пн","Вт","Ср","Чт","Пт","Сб","Вс"))</f>
        <v/>
      </c>
      <c r="C1457" s="59" t="n"/>
      <c r="D1457" s="59" t="n"/>
      <c r="E1457" s="60">
        <f>IF(OR(C1457="",D1457=""),"",MOD(D1457-C1457,1)*24)</f>
        <v/>
      </c>
      <c r="F1457" s="50" t="n"/>
      <c r="G1457" s="51" t="n"/>
      <c r="H1457" s="51" t="n"/>
      <c r="I1457" s="51" t="n"/>
      <c r="J1457" s="51" t="n"/>
      <c r="K1457" s="51" t="n"/>
      <c r="L1457" s="54">
        <f>IF(OR(A1457="",C1457="",D1457=""),"",IF(COUNTIFS($A$5:$A$3004,A1457,$C$5:$C$3004,"&lt;"&amp;D1457,$D$5:$D$3004,"&gt;"&amp;C1457)&gt;1,"⚠️ пересечение",""))</f>
        <v/>
      </c>
      <c r="M1457" s="54">
        <f>IF(F1457="","",IF(J1457="✅ Сделано","✔ ",IF(J1457="❌ Пропущено","✖ ","⏰ "))&amp;IF(C1457="","",RIGHT("0"&amp;HOUR(C1457),2)&amp;":"&amp;RIGHT("0"&amp;MINUTE(C1457),2)&amp;IF(D1457="","","–"&amp;RIGHT("0"&amp;HOUR(D1457),2)&amp;":"&amp;RIGHT("0"&amp;MINUTE(D1457),2))&amp;" ")&amp;F1457)</f>
        <v/>
      </c>
      <c r="N1457" s="54">
        <f>IF(OR(A1457="",F1457=""),"",A1457&amp;"#"&amp;(COUNTIFS($A$5:$A$3004,A1457,$F$5:$F$3004,"?*",$O$5:$O$3004,"&lt;"&amp;O1457)+COUNTIFS($A$5:A1457,A1457,$F$5:F1457,"?*",$O$5:O1457,O1457)))</f>
        <v/>
      </c>
      <c r="O1457" s="54">
        <f>IF(A1457="","",IF(C1457="",0,C1457))</f>
        <v/>
      </c>
    </row>
    <row r="1458">
      <c r="A1458" s="58" t="n"/>
      <c r="B1458" s="49">
        <f>IF(A1458="","",CHOOSE(WEEKDAY(A1458,2),"Пн","Вт","Ср","Чт","Пт","Сб","Вс"))</f>
        <v/>
      </c>
      <c r="C1458" s="59" t="n"/>
      <c r="D1458" s="59" t="n"/>
      <c r="E1458" s="60">
        <f>IF(OR(C1458="",D1458=""),"",MOD(D1458-C1458,1)*24)</f>
        <v/>
      </c>
      <c r="F1458" s="50" t="n"/>
      <c r="G1458" s="51" t="n"/>
      <c r="H1458" s="51" t="n"/>
      <c r="I1458" s="51" t="n"/>
      <c r="J1458" s="51" t="n"/>
      <c r="K1458" s="51" t="n"/>
      <c r="L1458" s="54">
        <f>IF(OR(A1458="",C1458="",D1458=""),"",IF(COUNTIFS($A$5:$A$3004,A1458,$C$5:$C$3004,"&lt;"&amp;D1458,$D$5:$D$3004,"&gt;"&amp;C1458)&gt;1,"⚠️ пересечение",""))</f>
        <v/>
      </c>
      <c r="M1458" s="54">
        <f>IF(F1458="","",IF(J1458="✅ Сделано","✔ ",IF(J1458="❌ Пропущено","✖ ","⏰ "))&amp;IF(C1458="","",RIGHT("0"&amp;HOUR(C1458),2)&amp;":"&amp;RIGHT("0"&amp;MINUTE(C1458),2)&amp;IF(D1458="","","–"&amp;RIGHT("0"&amp;HOUR(D1458),2)&amp;":"&amp;RIGHT("0"&amp;MINUTE(D1458),2))&amp;" ")&amp;F1458)</f>
        <v/>
      </c>
      <c r="N1458" s="54">
        <f>IF(OR(A1458="",F1458=""),"",A1458&amp;"#"&amp;(COUNTIFS($A$5:$A$3004,A1458,$F$5:$F$3004,"?*",$O$5:$O$3004,"&lt;"&amp;O1458)+COUNTIFS($A$5:A1458,A1458,$F$5:F1458,"?*",$O$5:O1458,O1458)))</f>
        <v/>
      </c>
      <c r="O1458" s="54">
        <f>IF(A1458="","",IF(C1458="",0,C1458))</f>
        <v/>
      </c>
    </row>
    <row r="1459">
      <c r="A1459" s="58" t="n"/>
      <c r="B1459" s="49">
        <f>IF(A1459="","",CHOOSE(WEEKDAY(A1459,2),"Пн","Вт","Ср","Чт","Пт","Сб","Вс"))</f>
        <v/>
      </c>
      <c r="C1459" s="59" t="n"/>
      <c r="D1459" s="59" t="n"/>
      <c r="E1459" s="60">
        <f>IF(OR(C1459="",D1459=""),"",MOD(D1459-C1459,1)*24)</f>
        <v/>
      </c>
      <c r="F1459" s="50" t="n"/>
      <c r="G1459" s="51" t="n"/>
      <c r="H1459" s="51" t="n"/>
      <c r="I1459" s="51" t="n"/>
      <c r="J1459" s="51" t="n"/>
      <c r="K1459" s="51" t="n"/>
      <c r="L1459" s="54">
        <f>IF(OR(A1459="",C1459="",D1459=""),"",IF(COUNTIFS($A$5:$A$3004,A1459,$C$5:$C$3004,"&lt;"&amp;D1459,$D$5:$D$3004,"&gt;"&amp;C1459)&gt;1,"⚠️ пересечение",""))</f>
        <v/>
      </c>
      <c r="M1459" s="54">
        <f>IF(F1459="","",IF(J1459="✅ Сделано","✔ ",IF(J1459="❌ Пропущено","✖ ","⏰ "))&amp;IF(C1459="","",RIGHT("0"&amp;HOUR(C1459),2)&amp;":"&amp;RIGHT("0"&amp;MINUTE(C1459),2)&amp;IF(D1459="","","–"&amp;RIGHT("0"&amp;HOUR(D1459),2)&amp;":"&amp;RIGHT("0"&amp;MINUTE(D1459),2))&amp;" ")&amp;F1459)</f>
        <v/>
      </c>
      <c r="N1459" s="54">
        <f>IF(OR(A1459="",F1459=""),"",A1459&amp;"#"&amp;(COUNTIFS($A$5:$A$3004,A1459,$F$5:$F$3004,"?*",$O$5:$O$3004,"&lt;"&amp;O1459)+COUNTIFS($A$5:A1459,A1459,$F$5:F1459,"?*",$O$5:O1459,O1459)))</f>
        <v/>
      </c>
      <c r="O1459" s="54">
        <f>IF(A1459="","",IF(C1459="",0,C1459))</f>
        <v/>
      </c>
    </row>
    <row r="1460">
      <c r="A1460" s="58" t="n"/>
      <c r="B1460" s="49">
        <f>IF(A1460="","",CHOOSE(WEEKDAY(A1460,2),"Пн","Вт","Ср","Чт","Пт","Сб","Вс"))</f>
        <v/>
      </c>
      <c r="C1460" s="59" t="n"/>
      <c r="D1460" s="59" t="n"/>
      <c r="E1460" s="60">
        <f>IF(OR(C1460="",D1460=""),"",MOD(D1460-C1460,1)*24)</f>
        <v/>
      </c>
      <c r="F1460" s="50" t="n"/>
      <c r="G1460" s="51" t="n"/>
      <c r="H1460" s="51" t="n"/>
      <c r="I1460" s="51" t="n"/>
      <c r="J1460" s="51" t="n"/>
      <c r="K1460" s="51" t="n"/>
      <c r="L1460" s="54">
        <f>IF(OR(A1460="",C1460="",D1460=""),"",IF(COUNTIFS($A$5:$A$3004,A1460,$C$5:$C$3004,"&lt;"&amp;D1460,$D$5:$D$3004,"&gt;"&amp;C1460)&gt;1,"⚠️ пересечение",""))</f>
        <v/>
      </c>
      <c r="M1460" s="54">
        <f>IF(F1460="","",IF(J1460="✅ Сделано","✔ ",IF(J1460="❌ Пропущено","✖ ","⏰ "))&amp;IF(C1460="","",RIGHT("0"&amp;HOUR(C1460),2)&amp;":"&amp;RIGHT("0"&amp;MINUTE(C1460),2)&amp;IF(D1460="","","–"&amp;RIGHT("0"&amp;HOUR(D1460),2)&amp;":"&amp;RIGHT("0"&amp;MINUTE(D1460),2))&amp;" ")&amp;F1460)</f>
        <v/>
      </c>
      <c r="N1460" s="54">
        <f>IF(OR(A1460="",F1460=""),"",A1460&amp;"#"&amp;(COUNTIFS($A$5:$A$3004,A1460,$F$5:$F$3004,"?*",$O$5:$O$3004,"&lt;"&amp;O1460)+COUNTIFS($A$5:A1460,A1460,$F$5:F1460,"?*",$O$5:O1460,O1460)))</f>
        <v/>
      </c>
      <c r="O1460" s="54">
        <f>IF(A1460="","",IF(C1460="",0,C1460))</f>
        <v/>
      </c>
    </row>
    <row r="1461">
      <c r="A1461" s="58" t="n"/>
      <c r="B1461" s="49">
        <f>IF(A1461="","",CHOOSE(WEEKDAY(A1461,2),"Пн","Вт","Ср","Чт","Пт","Сб","Вс"))</f>
        <v/>
      </c>
      <c r="C1461" s="59" t="n"/>
      <c r="D1461" s="59" t="n"/>
      <c r="E1461" s="60">
        <f>IF(OR(C1461="",D1461=""),"",MOD(D1461-C1461,1)*24)</f>
        <v/>
      </c>
      <c r="F1461" s="50" t="n"/>
      <c r="G1461" s="51" t="n"/>
      <c r="H1461" s="51" t="n"/>
      <c r="I1461" s="51" t="n"/>
      <c r="J1461" s="51" t="n"/>
      <c r="K1461" s="51" t="n"/>
      <c r="L1461" s="54">
        <f>IF(OR(A1461="",C1461="",D1461=""),"",IF(COUNTIFS($A$5:$A$3004,A1461,$C$5:$C$3004,"&lt;"&amp;D1461,$D$5:$D$3004,"&gt;"&amp;C1461)&gt;1,"⚠️ пересечение",""))</f>
        <v/>
      </c>
      <c r="M1461" s="54">
        <f>IF(F1461="","",IF(J1461="✅ Сделано","✔ ",IF(J1461="❌ Пропущено","✖ ","⏰ "))&amp;IF(C1461="","",RIGHT("0"&amp;HOUR(C1461),2)&amp;":"&amp;RIGHT("0"&amp;MINUTE(C1461),2)&amp;IF(D1461="","","–"&amp;RIGHT("0"&amp;HOUR(D1461),2)&amp;":"&amp;RIGHT("0"&amp;MINUTE(D1461),2))&amp;" ")&amp;F1461)</f>
        <v/>
      </c>
      <c r="N1461" s="54">
        <f>IF(OR(A1461="",F1461=""),"",A1461&amp;"#"&amp;(COUNTIFS($A$5:$A$3004,A1461,$F$5:$F$3004,"?*",$O$5:$O$3004,"&lt;"&amp;O1461)+COUNTIFS($A$5:A1461,A1461,$F$5:F1461,"?*",$O$5:O1461,O1461)))</f>
        <v/>
      </c>
      <c r="O1461" s="54">
        <f>IF(A1461="","",IF(C1461="",0,C1461))</f>
        <v/>
      </c>
    </row>
    <row r="1462">
      <c r="A1462" s="58" t="n"/>
      <c r="B1462" s="49">
        <f>IF(A1462="","",CHOOSE(WEEKDAY(A1462,2),"Пн","Вт","Ср","Чт","Пт","Сб","Вс"))</f>
        <v/>
      </c>
      <c r="C1462" s="59" t="n"/>
      <c r="D1462" s="59" t="n"/>
      <c r="E1462" s="60">
        <f>IF(OR(C1462="",D1462=""),"",MOD(D1462-C1462,1)*24)</f>
        <v/>
      </c>
      <c r="F1462" s="50" t="n"/>
      <c r="G1462" s="51" t="n"/>
      <c r="H1462" s="51" t="n"/>
      <c r="I1462" s="51" t="n"/>
      <c r="J1462" s="51" t="n"/>
      <c r="K1462" s="51" t="n"/>
      <c r="L1462" s="54">
        <f>IF(OR(A1462="",C1462="",D1462=""),"",IF(COUNTIFS($A$5:$A$3004,A1462,$C$5:$C$3004,"&lt;"&amp;D1462,$D$5:$D$3004,"&gt;"&amp;C1462)&gt;1,"⚠️ пересечение",""))</f>
        <v/>
      </c>
      <c r="M1462" s="54">
        <f>IF(F1462="","",IF(J1462="✅ Сделано","✔ ",IF(J1462="❌ Пропущено","✖ ","⏰ "))&amp;IF(C1462="","",RIGHT("0"&amp;HOUR(C1462),2)&amp;":"&amp;RIGHT("0"&amp;MINUTE(C1462),2)&amp;IF(D1462="","","–"&amp;RIGHT("0"&amp;HOUR(D1462),2)&amp;":"&amp;RIGHT("0"&amp;MINUTE(D1462),2))&amp;" ")&amp;F1462)</f>
        <v/>
      </c>
      <c r="N1462" s="54">
        <f>IF(OR(A1462="",F1462=""),"",A1462&amp;"#"&amp;(COUNTIFS($A$5:$A$3004,A1462,$F$5:$F$3004,"?*",$O$5:$O$3004,"&lt;"&amp;O1462)+COUNTIFS($A$5:A1462,A1462,$F$5:F1462,"?*",$O$5:O1462,O1462)))</f>
        <v/>
      </c>
      <c r="O1462" s="54">
        <f>IF(A1462="","",IF(C1462="",0,C1462))</f>
        <v/>
      </c>
    </row>
    <row r="1463">
      <c r="A1463" s="58" t="n"/>
      <c r="B1463" s="49">
        <f>IF(A1463="","",CHOOSE(WEEKDAY(A1463,2),"Пн","Вт","Ср","Чт","Пт","Сб","Вс"))</f>
        <v/>
      </c>
      <c r="C1463" s="59" t="n"/>
      <c r="D1463" s="59" t="n"/>
      <c r="E1463" s="60">
        <f>IF(OR(C1463="",D1463=""),"",MOD(D1463-C1463,1)*24)</f>
        <v/>
      </c>
      <c r="F1463" s="50" t="n"/>
      <c r="G1463" s="51" t="n"/>
      <c r="H1463" s="51" t="n"/>
      <c r="I1463" s="51" t="n"/>
      <c r="J1463" s="51" t="n"/>
      <c r="K1463" s="51" t="n"/>
      <c r="L1463" s="54">
        <f>IF(OR(A1463="",C1463="",D1463=""),"",IF(COUNTIFS($A$5:$A$3004,A1463,$C$5:$C$3004,"&lt;"&amp;D1463,$D$5:$D$3004,"&gt;"&amp;C1463)&gt;1,"⚠️ пересечение",""))</f>
        <v/>
      </c>
      <c r="M1463" s="54">
        <f>IF(F1463="","",IF(J1463="✅ Сделано","✔ ",IF(J1463="❌ Пропущено","✖ ","⏰ "))&amp;IF(C1463="","",RIGHT("0"&amp;HOUR(C1463),2)&amp;":"&amp;RIGHT("0"&amp;MINUTE(C1463),2)&amp;IF(D1463="","","–"&amp;RIGHT("0"&amp;HOUR(D1463),2)&amp;":"&amp;RIGHT("0"&amp;MINUTE(D1463),2))&amp;" ")&amp;F1463)</f>
        <v/>
      </c>
      <c r="N1463" s="54">
        <f>IF(OR(A1463="",F1463=""),"",A1463&amp;"#"&amp;(COUNTIFS($A$5:$A$3004,A1463,$F$5:$F$3004,"?*",$O$5:$O$3004,"&lt;"&amp;O1463)+COUNTIFS($A$5:A1463,A1463,$F$5:F1463,"?*",$O$5:O1463,O1463)))</f>
        <v/>
      </c>
      <c r="O1463" s="54">
        <f>IF(A1463="","",IF(C1463="",0,C1463))</f>
        <v/>
      </c>
    </row>
    <row r="1464">
      <c r="A1464" s="58" t="n"/>
      <c r="B1464" s="49">
        <f>IF(A1464="","",CHOOSE(WEEKDAY(A1464,2),"Пн","Вт","Ср","Чт","Пт","Сб","Вс"))</f>
        <v/>
      </c>
      <c r="C1464" s="59" t="n"/>
      <c r="D1464" s="59" t="n"/>
      <c r="E1464" s="60">
        <f>IF(OR(C1464="",D1464=""),"",MOD(D1464-C1464,1)*24)</f>
        <v/>
      </c>
      <c r="F1464" s="50" t="n"/>
      <c r="G1464" s="51" t="n"/>
      <c r="H1464" s="51" t="n"/>
      <c r="I1464" s="51" t="n"/>
      <c r="J1464" s="51" t="n"/>
      <c r="K1464" s="51" t="n"/>
      <c r="L1464" s="54">
        <f>IF(OR(A1464="",C1464="",D1464=""),"",IF(COUNTIFS($A$5:$A$3004,A1464,$C$5:$C$3004,"&lt;"&amp;D1464,$D$5:$D$3004,"&gt;"&amp;C1464)&gt;1,"⚠️ пересечение",""))</f>
        <v/>
      </c>
      <c r="M1464" s="54">
        <f>IF(F1464="","",IF(J1464="✅ Сделано","✔ ",IF(J1464="❌ Пропущено","✖ ","⏰ "))&amp;IF(C1464="","",RIGHT("0"&amp;HOUR(C1464),2)&amp;":"&amp;RIGHT("0"&amp;MINUTE(C1464),2)&amp;IF(D1464="","","–"&amp;RIGHT("0"&amp;HOUR(D1464),2)&amp;":"&amp;RIGHT("0"&amp;MINUTE(D1464),2))&amp;" ")&amp;F1464)</f>
        <v/>
      </c>
      <c r="N1464" s="54">
        <f>IF(OR(A1464="",F1464=""),"",A1464&amp;"#"&amp;(COUNTIFS($A$5:$A$3004,A1464,$F$5:$F$3004,"?*",$O$5:$O$3004,"&lt;"&amp;O1464)+COUNTIFS($A$5:A1464,A1464,$F$5:F1464,"?*",$O$5:O1464,O1464)))</f>
        <v/>
      </c>
      <c r="O1464" s="54">
        <f>IF(A1464="","",IF(C1464="",0,C1464))</f>
        <v/>
      </c>
    </row>
    <row r="1465">
      <c r="A1465" s="58" t="n"/>
      <c r="B1465" s="49">
        <f>IF(A1465="","",CHOOSE(WEEKDAY(A1465,2),"Пн","Вт","Ср","Чт","Пт","Сб","Вс"))</f>
        <v/>
      </c>
      <c r="C1465" s="59" t="n"/>
      <c r="D1465" s="59" t="n"/>
      <c r="E1465" s="60">
        <f>IF(OR(C1465="",D1465=""),"",MOD(D1465-C1465,1)*24)</f>
        <v/>
      </c>
      <c r="F1465" s="50" t="n"/>
      <c r="G1465" s="51" t="n"/>
      <c r="H1465" s="51" t="n"/>
      <c r="I1465" s="51" t="n"/>
      <c r="J1465" s="51" t="n"/>
      <c r="K1465" s="51" t="n"/>
      <c r="L1465" s="54">
        <f>IF(OR(A1465="",C1465="",D1465=""),"",IF(COUNTIFS($A$5:$A$3004,A1465,$C$5:$C$3004,"&lt;"&amp;D1465,$D$5:$D$3004,"&gt;"&amp;C1465)&gt;1,"⚠️ пересечение",""))</f>
        <v/>
      </c>
      <c r="M1465" s="54">
        <f>IF(F1465="","",IF(J1465="✅ Сделано","✔ ",IF(J1465="❌ Пропущено","✖ ","⏰ "))&amp;IF(C1465="","",RIGHT("0"&amp;HOUR(C1465),2)&amp;":"&amp;RIGHT("0"&amp;MINUTE(C1465),2)&amp;IF(D1465="","","–"&amp;RIGHT("0"&amp;HOUR(D1465),2)&amp;":"&amp;RIGHT("0"&amp;MINUTE(D1465),2))&amp;" ")&amp;F1465)</f>
        <v/>
      </c>
      <c r="N1465" s="54">
        <f>IF(OR(A1465="",F1465=""),"",A1465&amp;"#"&amp;(COUNTIFS($A$5:$A$3004,A1465,$F$5:$F$3004,"?*",$O$5:$O$3004,"&lt;"&amp;O1465)+COUNTIFS($A$5:A1465,A1465,$F$5:F1465,"?*",$O$5:O1465,O1465)))</f>
        <v/>
      </c>
      <c r="O1465" s="54">
        <f>IF(A1465="","",IF(C1465="",0,C1465))</f>
        <v/>
      </c>
    </row>
    <row r="1466">
      <c r="A1466" s="58" t="n"/>
      <c r="B1466" s="49">
        <f>IF(A1466="","",CHOOSE(WEEKDAY(A1466,2),"Пн","Вт","Ср","Чт","Пт","Сб","Вс"))</f>
        <v/>
      </c>
      <c r="C1466" s="59" t="n"/>
      <c r="D1466" s="59" t="n"/>
      <c r="E1466" s="60">
        <f>IF(OR(C1466="",D1466=""),"",MOD(D1466-C1466,1)*24)</f>
        <v/>
      </c>
      <c r="F1466" s="50" t="n"/>
      <c r="G1466" s="51" t="n"/>
      <c r="H1466" s="51" t="n"/>
      <c r="I1466" s="51" t="n"/>
      <c r="J1466" s="51" t="n"/>
      <c r="K1466" s="51" t="n"/>
      <c r="L1466" s="54">
        <f>IF(OR(A1466="",C1466="",D1466=""),"",IF(COUNTIFS($A$5:$A$3004,A1466,$C$5:$C$3004,"&lt;"&amp;D1466,$D$5:$D$3004,"&gt;"&amp;C1466)&gt;1,"⚠️ пересечение",""))</f>
        <v/>
      </c>
      <c r="M1466" s="54">
        <f>IF(F1466="","",IF(J1466="✅ Сделано","✔ ",IF(J1466="❌ Пропущено","✖ ","⏰ "))&amp;IF(C1466="","",RIGHT("0"&amp;HOUR(C1466),2)&amp;":"&amp;RIGHT("0"&amp;MINUTE(C1466),2)&amp;IF(D1466="","","–"&amp;RIGHT("0"&amp;HOUR(D1466),2)&amp;":"&amp;RIGHT("0"&amp;MINUTE(D1466),2))&amp;" ")&amp;F1466)</f>
        <v/>
      </c>
      <c r="N1466" s="54">
        <f>IF(OR(A1466="",F1466=""),"",A1466&amp;"#"&amp;(COUNTIFS($A$5:$A$3004,A1466,$F$5:$F$3004,"?*",$O$5:$O$3004,"&lt;"&amp;O1466)+COUNTIFS($A$5:A1466,A1466,$F$5:F1466,"?*",$O$5:O1466,O1466)))</f>
        <v/>
      </c>
      <c r="O1466" s="54">
        <f>IF(A1466="","",IF(C1466="",0,C1466))</f>
        <v/>
      </c>
    </row>
    <row r="1467">
      <c r="A1467" s="58" t="n"/>
      <c r="B1467" s="49">
        <f>IF(A1467="","",CHOOSE(WEEKDAY(A1467,2),"Пн","Вт","Ср","Чт","Пт","Сб","Вс"))</f>
        <v/>
      </c>
      <c r="C1467" s="59" t="n"/>
      <c r="D1467" s="59" t="n"/>
      <c r="E1467" s="60">
        <f>IF(OR(C1467="",D1467=""),"",MOD(D1467-C1467,1)*24)</f>
        <v/>
      </c>
      <c r="F1467" s="50" t="n"/>
      <c r="G1467" s="51" t="n"/>
      <c r="H1467" s="51" t="n"/>
      <c r="I1467" s="51" t="n"/>
      <c r="J1467" s="51" t="n"/>
      <c r="K1467" s="51" t="n"/>
      <c r="L1467" s="54">
        <f>IF(OR(A1467="",C1467="",D1467=""),"",IF(COUNTIFS($A$5:$A$3004,A1467,$C$5:$C$3004,"&lt;"&amp;D1467,$D$5:$D$3004,"&gt;"&amp;C1467)&gt;1,"⚠️ пересечение",""))</f>
        <v/>
      </c>
      <c r="M1467" s="54">
        <f>IF(F1467="","",IF(J1467="✅ Сделано","✔ ",IF(J1467="❌ Пропущено","✖ ","⏰ "))&amp;IF(C1467="","",RIGHT("0"&amp;HOUR(C1467),2)&amp;":"&amp;RIGHT("0"&amp;MINUTE(C1467),2)&amp;IF(D1467="","","–"&amp;RIGHT("0"&amp;HOUR(D1467),2)&amp;":"&amp;RIGHT("0"&amp;MINUTE(D1467),2))&amp;" ")&amp;F1467)</f>
        <v/>
      </c>
      <c r="N1467" s="54">
        <f>IF(OR(A1467="",F1467=""),"",A1467&amp;"#"&amp;(COUNTIFS($A$5:$A$3004,A1467,$F$5:$F$3004,"?*",$O$5:$O$3004,"&lt;"&amp;O1467)+COUNTIFS($A$5:A1467,A1467,$F$5:F1467,"?*",$O$5:O1467,O1467)))</f>
        <v/>
      </c>
      <c r="O1467" s="54">
        <f>IF(A1467="","",IF(C1467="",0,C1467))</f>
        <v/>
      </c>
    </row>
    <row r="1468">
      <c r="A1468" s="58" t="n"/>
      <c r="B1468" s="49">
        <f>IF(A1468="","",CHOOSE(WEEKDAY(A1468,2),"Пн","Вт","Ср","Чт","Пт","Сб","Вс"))</f>
        <v/>
      </c>
      <c r="C1468" s="59" t="n"/>
      <c r="D1468" s="59" t="n"/>
      <c r="E1468" s="60">
        <f>IF(OR(C1468="",D1468=""),"",MOD(D1468-C1468,1)*24)</f>
        <v/>
      </c>
      <c r="F1468" s="50" t="n"/>
      <c r="G1468" s="51" t="n"/>
      <c r="H1468" s="51" t="n"/>
      <c r="I1468" s="51" t="n"/>
      <c r="J1468" s="51" t="n"/>
      <c r="K1468" s="51" t="n"/>
      <c r="L1468" s="54">
        <f>IF(OR(A1468="",C1468="",D1468=""),"",IF(COUNTIFS($A$5:$A$3004,A1468,$C$5:$C$3004,"&lt;"&amp;D1468,$D$5:$D$3004,"&gt;"&amp;C1468)&gt;1,"⚠️ пересечение",""))</f>
        <v/>
      </c>
      <c r="M1468" s="54">
        <f>IF(F1468="","",IF(J1468="✅ Сделано","✔ ",IF(J1468="❌ Пропущено","✖ ","⏰ "))&amp;IF(C1468="","",RIGHT("0"&amp;HOUR(C1468),2)&amp;":"&amp;RIGHT("0"&amp;MINUTE(C1468),2)&amp;IF(D1468="","","–"&amp;RIGHT("0"&amp;HOUR(D1468),2)&amp;":"&amp;RIGHT("0"&amp;MINUTE(D1468),2))&amp;" ")&amp;F1468)</f>
        <v/>
      </c>
      <c r="N1468" s="54">
        <f>IF(OR(A1468="",F1468=""),"",A1468&amp;"#"&amp;(COUNTIFS($A$5:$A$3004,A1468,$F$5:$F$3004,"?*",$O$5:$O$3004,"&lt;"&amp;O1468)+COUNTIFS($A$5:A1468,A1468,$F$5:F1468,"?*",$O$5:O1468,O1468)))</f>
        <v/>
      </c>
      <c r="O1468" s="54">
        <f>IF(A1468="","",IF(C1468="",0,C1468))</f>
        <v/>
      </c>
    </row>
    <row r="1469">
      <c r="A1469" s="58" t="n"/>
      <c r="B1469" s="49">
        <f>IF(A1469="","",CHOOSE(WEEKDAY(A1469,2),"Пн","Вт","Ср","Чт","Пт","Сб","Вс"))</f>
        <v/>
      </c>
      <c r="C1469" s="59" t="n"/>
      <c r="D1469" s="59" t="n"/>
      <c r="E1469" s="60">
        <f>IF(OR(C1469="",D1469=""),"",MOD(D1469-C1469,1)*24)</f>
        <v/>
      </c>
      <c r="F1469" s="50" t="n"/>
      <c r="G1469" s="51" t="n"/>
      <c r="H1469" s="51" t="n"/>
      <c r="I1469" s="51" t="n"/>
      <c r="J1469" s="51" t="n"/>
      <c r="K1469" s="51" t="n"/>
      <c r="L1469" s="54">
        <f>IF(OR(A1469="",C1469="",D1469=""),"",IF(COUNTIFS($A$5:$A$3004,A1469,$C$5:$C$3004,"&lt;"&amp;D1469,$D$5:$D$3004,"&gt;"&amp;C1469)&gt;1,"⚠️ пересечение",""))</f>
        <v/>
      </c>
      <c r="M1469" s="54">
        <f>IF(F1469="","",IF(J1469="✅ Сделано","✔ ",IF(J1469="❌ Пропущено","✖ ","⏰ "))&amp;IF(C1469="","",RIGHT("0"&amp;HOUR(C1469),2)&amp;":"&amp;RIGHT("0"&amp;MINUTE(C1469),2)&amp;IF(D1469="","","–"&amp;RIGHT("0"&amp;HOUR(D1469),2)&amp;":"&amp;RIGHT("0"&amp;MINUTE(D1469),2))&amp;" ")&amp;F1469)</f>
        <v/>
      </c>
      <c r="N1469" s="54">
        <f>IF(OR(A1469="",F1469=""),"",A1469&amp;"#"&amp;(COUNTIFS($A$5:$A$3004,A1469,$F$5:$F$3004,"?*",$O$5:$O$3004,"&lt;"&amp;O1469)+COUNTIFS($A$5:A1469,A1469,$F$5:F1469,"?*",$O$5:O1469,O1469)))</f>
        <v/>
      </c>
      <c r="O1469" s="54">
        <f>IF(A1469="","",IF(C1469="",0,C1469))</f>
        <v/>
      </c>
    </row>
    <row r="1470">
      <c r="A1470" s="58" t="n"/>
      <c r="B1470" s="49">
        <f>IF(A1470="","",CHOOSE(WEEKDAY(A1470,2),"Пн","Вт","Ср","Чт","Пт","Сб","Вс"))</f>
        <v/>
      </c>
      <c r="C1470" s="59" t="n"/>
      <c r="D1470" s="59" t="n"/>
      <c r="E1470" s="60">
        <f>IF(OR(C1470="",D1470=""),"",MOD(D1470-C1470,1)*24)</f>
        <v/>
      </c>
      <c r="F1470" s="50" t="n"/>
      <c r="G1470" s="51" t="n"/>
      <c r="H1470" s="51" t="n"/>
      <c r="I1470" s="51" t="n"/>
      <c r="J1470" s="51" t="n"/>
      <c r="K1470" s="51" t="n"/>
      <c r="L1470" s="54">
        <f>IF(OR(A1470="",C1470="",D1470=""),"",IF(COUNTIFS($A$5:$A$3004,A1470,$C$5:$C$3004,"&lt;"&amp;D1470,$D$5:$D$3004,"&gt;"&amp;C1470)&gt;1,"⚠️ пересечение",""))</f>
        <v/>
      </c>
      <c r="M1470" s="54">
        <f>IF(F1470="","",IF(J1470="✅ Сделано","✔ ",IF(J1470="❌ Пропущено","✖ ","⏰ "))&amp;IF(C1470="","",RIGHT("0"&amp;HOUR(C1470),2)&amp;":"&amp;RIGHT("0"&amp;MINUTE(C1470),2)&amp;IF(D1470="","","–"&amp;RIGHT("0"&amp;HOUR(D1470),2)&amp;":"&amp;RIGHT("0"&amp;MINUTE(D1470),2))&amp;" ")&amp;F1470)</f>
        <v/>
      </c>
      <c r="N1470" s="54">
        <f>IF(OR(A1470="",F1470=""),"",A1470&amp;"#"&amp;(COUNTIFS($A$5:$A$3004,A1470,$F$5:$F$3004,"?*",$O$5:$O$3004,"&lt;"&amp;O1470)+COUNTIFS($A$5:A1470,A1470,$F$5:F1470,"?*",$O$5:O1470,O1470)))</f>
        <v/>
      </c>
      <c r="O1470" s="54">
        <f>IF(A1470="","",IF(C1470="",0,C1470))</f>
        <v/>
      </c>
    </row>
    <row r="1471">
      <c r="A1471" s="58" t="n"/>
      <c r="B1471" s="49">
        <f>IF(A1471="","",CHOOSE(WEEKDAY(A1471,2),"Пн","Вт","Ср","Чт","Пт","Сб","Вс"))</f>
        <v/>
      </c>
      <c r="C1471" s="59" t="n"/>
      <c r="D1471" s="59" t="n"/>
      <c r="E1471" s="60">
        <f>IF(OR(C1471="",D1471=""),"",MOD(D1471-C1471,1)*24)</f>
        <v/>
      </c>
      <c r="F1471" s="50" t="n"/>
      <c r="G1471" s="51" t="n"/>
      <c r="H1471" s="51" t="n"/>
      <c r="I1471" s="51" t="n"/>
      <c r="J1471" s="51" t="n"/>
      <c r="K1471" s="51" t="n"/>
      <c r="L1471" s="54">
        <f>IF(OR(A1471="",C1471="",D1471=""),"",IF(COUNTIFS($A$5:$A$3004,A1471,$C$5:$C$3004,"&lt;"&amp;D1471,$D$5:$D$3004,"&gt;"&amp;C1471)&gt;1,"⚠️ пересечение",""))</f>
        <v/>
      </c>
      <c r="M1471" s="54">
        <f>IF(F1471="","",IF(J1471="✅ Сделано","✔ ",IF(J1471="❌ Пропущено","✖ ","⏰ "))&amp;IF(C1471="","",RIGHT("0"&amp;HOUR(C1471),2)&amp;":"&amp;RIGHT("0"&amp;MINUTE(C1471),2)&amp;IF(D1471="","","–"&amp;RIGHT("0"&amp;HOUR(D1471),2)&amp;":"&amp;RIGHT("0"&amp;MINUTE(D1471),2))&amp;" ")&amp;F1471)</f>
        <v/>
      </c>
      <c r="N1471" s="54">
        <f>IF(OR(A1471="",F1471=""),"",A1471&amp;"#"&amp;(COUNTIFS($A$5:$A$3004,A1471,$F$5:$F$3004,"?*",$O$5:$O$3004,"&lt;"&amp;O1471)+COUNTIFS($A$5:A1471,A1471,$F$5:F1471,"?*",$O$5:O1471,O1471)))</f>
        <v/>
      </c>
      <c r="O1471" s="54">
        <f>IF(A1471="","",IF(C1471="",0,C1471))</f>
        <v/>
      </c>
    </row>
    <row r="1472">
      <c r="A1472" s="58" t="n"/>
      <c r="B1472" s="49">
        <f>IF(A1472="","",CHOOSE(WEEKDAY(A1472,2),"Пн","Вт","Ср","Чт","Пт","Сб","Вс"))</f>
        <v/>
      </c>
      <c r="C1472" s="59" t="n"/>
      <c r="D1472" s="59" t="n"/>
      <c r="E1472" s="60">
        <f>IF(OR(C1472="",D1472=""),"",MOD(D1472-C1472,1)*24)</f>
        <v/>
      </c>
      <c r="F1472" s="50" t="n"/>
      <c r="G1472" s="51" t="n"/>
      <c r="H1472" s="51" t="n"/>
      <c r="I1472" s="51" t="n"/>
      <c r="J1472" s="51" t="n"/>
      <c r="K1472" s="51" t="n"/>
      <c r="L1472" s="54">
        <f>IF(OR(A1472="",C1472="",D1472=""),"",IF(COUNTIFS($A$5:$A$3004,A1472,$C$5:$C$3004,"&lt;"&amp;D1472,$D$5:$D$3004,"&gt;"&amp;C1472)&gt;1,"⚠️ пересечение",""))</f>
        <v/>
      </c>
      <c r="M1472" s="54">
        <f>IF(F1472="","",IF(J1472="✅ Сделано","✔ ",IF(J1472="❌ Пропущено","✖ ","⏰ "))&amp;IF(C1472="","",RIGHT("0"&amp;HOUR(C1472),2)&amp;":"&amp;RIGHT("0"&amp;MINUTE(C1472),2)&amp;IF(D1472="","","–"&amp;RIGHT("0"&amp;HOUR(D1472),2)&amp;":"&amp;RIGHT("0"&amp;MINUTE(D1472),2))&amp;" ")&amp;F1472)</f>
        <v/>
      </c>
      <c r="N1472" s="54">
        <f>IF(OR(A1472="",F1472=""),"",A1472&amp;"#"&amp;(COUNTIFS($A$5:$A$3004,A1472,$F$5:$F$3004,"?*",$O$5:$O$3004,"&lt;"&amp;O1472)+COUNTIFS($A$5:A1472,A1472,$F$5:F1472,"?*",$O$5:O1472,O1472)))</f>
        <v/>
      </c>
      <c r="O1472" s="54">
        <f>IF(A1472="","",IF(C1472="",0,C1472))</f>
        <v/>
      </c>
    </row>
    <row r="1473">
      <c r="A1473" s="58" t="n"/>
      <c r="B1473" s="49">
        <f>IF(A1473="","",CHOOSE(WEEKDAY(A1473,2),"Пн","Вт","Ср","Чт","Пт","Сб","Вс"))</f>
        <v/>
      </c>
      <c r="C1473" s="59" t="n"/>
      <c r="D1473" s="59" t="n"/>
      <c r="E1473" s="60">
        <f>IF(OR(C1473="",D1473=""),"",MOD(D1473-C1473,1)*24)</f>
        <v/>
      </c>
      <c r="F1473" s="50" t="n"/>
      <c r="G1473" s="51" t="n"/>
      <c r="H1473" s="51" t="n"/>
      <c r="I1473" s="51" t="n"/>
      <c r="J1473" s="51" t="n"/>
      <c r="K1473" s="51" t="n"/>
      <c r="L1473" s="54">
        <f>IF(OR(A1473="",C1473="",D1473=""),"",IF(COUNTIFS($A$5:$A$3004,A1473,$C$5:$C$3004,"&lt;"&amp;D1473,$D$5:$D$3004,"&gt;"&amp;C1473)&gt;1,"⚠️ пересечение",""))</f>
        <v/>
      </c>
      <c r="M1473" s="54">
        <f>IF(F1473="","",IF(J1473="✅ Сделано","✔ ",IF(J1473="❌ Пропущено","✖ ","⏰ "))&amp;IF(C1473="","",RIGHT("0"&amp;HOUR(C1473),2)&amp;":"&amp;RIGHT("0"&amp;MINUTE(C1473),2)&amp;IF(D1473="","","–"&amp;RIGHT("0"&amp;HOUR(D1473),2)&amp;":"&amp;RIGHT("0"&amp;MINUTE(D1473),2))&amp;" ")&amp;F1473)</f>
        <v/>
      </c>
      <c r="N1473" s="54">
        <f>IF(OR(A1473="",F1473=""),"",A1473&amp;"#"&amp;(COUNTIFS($A$5:$A$3004,A1473,$F$5:$F$3004,"?*",$O$5:$O$3004,"&lt;"&amp;O1473)+COUNTIFS($A$5:A1473,A1473,$F$5:F1473,"?*",$O$5:O1473,O1473)))</f>
        <v/>
      </c>
      <c r="O1473" s="54">
        <f>IF(A1473="","",IF(C1473="",0,C1473))</f>
        <v/>
      </c>
    </row>
    <row r="1474">
      <c r="A1474" s="58" t="n"/>
      <c r="B1474" s="49">
        <f>IF(A1474="","",CHOOSE(WEEKDAY(A1474,2),"Пн","Вт","Ср","Чт","Пт","Сб","Вс"))</f>
        <v/>
      </c>
      <c r="C1474" s="59" t="n"/>
      <c r="D1474" s="59" t="n"/>
      <c r="E1474" s="60">
        <f>IF(OR(C1474="",D1474=""),"",MOD(D1474-C1474,1)*24)</f>
        <v/>
      </c>
      <c r="F1474" s="50" t="n"/>
      <c r="G1474" s="51" t="n"/>
      <c r="H1474" s="51" t="n"/>
      <c r="I1474" s="51" t="n"/>
      <c r="J1474" s="51" t="n"/>
      <c r="K1474" s="51" t="n"/>
      <c r="L1474" s="54">
        <f>IF(OR(A1474="",C1474="",D1474=""),"",IF(COUNTIFS($A$5:$A$3004,A1474,$C$5:$C$3004,"&lt;"&amp;D1474,$D$5:$D$3004,"&gt;"&amp;C1474)&gt;1,"⚠️ пересечение",""))</f>
        <v/>
      </c>
      <c r="M1474" s="54">
        <f>IF(F1474="","",IF(J1474="✅ Сделано","✔ ",IF(J1474="❌ Пропущено","✖ ","⏰ "))&amp;IF(C1474="","",RIGHT("0"&amp;HOUR(C1474),2)&amp;":"&amp;RIGHT("0"&amp;MINUTE(C1474),2)&amp;IF(D1474="","","–"&amp;RIGHT("0"&amp;HOUR(D1474),2)&amp;":"&amp;RIGHT("0"&amp;MINUTE(D1474),2))&amp;" ")&amp;F1474)</f>
        <v/>
      </c>
      <c r="N1474" s="54">
        <f>IF(OR(A1474="",F1474=""),"",A1474&amp;"#"&amp;(COUNTIFS($A$5:$A$3004,A1474,$F$5:$F$3004,"?*",$O$5:$O$3004,"&lt;"&amp;O1474)+COUNTIFS($A$5:A1474,A1474,$F$5:F1474,"?*",$O$5:O1474,O1474)))</f>
        <v/>
      </c>
      <c r="O1474" s="54">
        <f>IF(A1474="","",IF(C1474="",0,C1474))</f>
        <v/>
      </c>
    </row>
    <row r="1475">
      <c r="A1475" s="58" t="n"/>
      <c r="B1475" s="49">
        <f>IF(A1475="","",CHOOSE(WEEKDAY(A1475,2),"Пн","Вт","Ср","Чт","Пт","Сб","Вс"))</f>
        <v/>
      </c>
      <c r="C1475" s="59" t="n"/>
      <c r="D1475" s="59" t="n"/>
      <c r="E1475" s="60">
        <f>IF(OR(C1475="",D1475=""),"",MOD(D1475-C1475,1)*24)</f>
        <v/>
      </c>
      <c r="F1475" s="50" t="n"/>
      <c r="G1475" s="51" t="n"/>
      <c r="H1475" s="51" t="n"/>
      <c r="I1475" s="51" t="n"/>
      <c r="J1475" s="51" t="n"/>
      <c r="K1475" s="51" t="n"/>
      <c r="L1475" s="54">
        <f>IF(OR(A1475="",C1475="",D1475=""),"",IF(COUNTIFS($A$5:$A$3004,A1475,$C$5:$C$3004,"&lt;"&amp;D1475,$D$5:$D$3004,"&gt;"&amp;C1475)&gt;1,"⚠️ пересечение",""))</f>
        <v/>
      </c>
      <c r="M1475" s="54">
        <f>IF(F1475="","",IF(J1475="✅ Сделано","✔ ",IF(J1475="❌ Пропущено","✖ ","⏰ "))&amp;IF(C1475="","",RIGHT("0"&amp;HOUR(C1475),2)&amp;":"&amp;RIGHT("0"&amp;MINUTE(C1475),2)&amp;IF(D1475="","","–"&amp;RIGHT("0"&amp;HOUR(D1475),2)&amp;":"&amp;RIGHT("0"&amp;MINUTE(D1475),2))&amp;" ")&amp;F1475)</f>
        <v/>
      </c>
      <c r="N1475" s="54">
        <f>IF(OR(A1475="",F1475=""),"",A1475&amp;"#"&amp;(COUNTIFS($A$5:$A$3004,A1475,$F$5:$F$3004,"?*",$O$5:$O$3004,"&lt;"&amp;O1475)+COUNTIFS($A$5:A1475,A1475,$F$5:F1475,"?*",$O$5:O1475,O1475)))</f>
        <v/>
      </c>
      <c r="O1475" s="54">
        <f>IF(A1475="","",IF(C1475="",0,C1475))</f>
        <v/>
      </c>
    </row>
    <row r="1476">
      <c r="A1476" s="58" t="n"/>
      <c r="B1476" s="49">
        <f>IF(A1476="","",CHOOSE(WEEKDAY(A1476,2),"Пн","Вт","Ср","Чт","Пт","Сб","Вс"))</f>
        <v/>
      </c>
      <c r="C1476" s="59" t="n"/>
      <c r="D1476" s="59" t="n"/>
      <c r="E1476" s="60">
        <f>IF(OR(C1476="",D1476=""),"",MOD(D1476-C1476,1)*24)</f>
        <v/>
      </c>
      <c r="F1476" s="50" t="n"/>
      <c r="G1476" s="51" t="n"/>
      <c r="H1476" s="51" t="n"/>
      <c r="I1476" s="51" t="n"/>
      <c r="J1476" s="51" t="n"/>
      <c r="K1476" s="51" t="n"/>
      <c r="L1476" s="54">
        <f>IF(OR(A1476="",C1476="",D1476=""),"",IF(COUNTIFS($A$5:$A$3004,A1476,$C$5:$C$3004,"&lt;"&amp;D1476,$D$5:$D$3004,"&gt;"&amp;C1476)&gt;1,"⚠️ пересечение",""))</f>
        <v/>
      </c>
      <c r="M1476" s="54">
        <f>IF(F1476="","",IF(J1476="✅ Сделано","✔ ",IF(J1476="❌ Пропущено","✖ ","⏰ "))&amp;IF(C1476="","",RIGHT("0"&amp;HOUR(C1476),2)&amp;":"&amp;RIGHT("0"&amp;MINUTE(C1476),2)&amp;IF(D1476="","","–"&amp;RIGHT("0"&amp;HOUR(D1476),2)&amp;":"&amp;RIGHT("0"&amp;MINUTE(D1476),2))&amp;" ")&amp;F1476)</f>
        <v/>
      </c>
      <c r="N1476" s="54">
        <f>IF(OR(A1476="",F1476=""),"",A1476&amp;"#"&amp;(COUNTIFS($A$5:$A$3004,A1476,$F$5:$F$3004,"?*",$O$5:$O$3004,"&lt;"&amp;O1476)+COUNTIFS($A$5:A1476,A1476,$F$5:F1476,"?*",$O$5:O1476,O1476)))</f>
        <v/>
      </c>
      <c r="O1476" s="54">
        <f>IF(A1476="","",IF(C1476="",0,C1476))</f>
        <v/>
      </c>
    </row>
    <row r="1477">
      <c r="A1477" s="58" t="n"/>
      <c r="B1477" s="49">
        <f>IF(A1477="","",CHOOSE(WEEKDAY(A1477,2),"Пн","Вт","Ср","Чт","Пт","Сб","Вс"))</f>
        <v/>
      </c>
      <c r="C1477" s="59" t="n"/>
      <c r="D1477" s="59" t="n"/>
      <c r="E1477" s="60">
        <f>IF(OR(C1477="",D1477=""),"",MOD(D1477-C1477,1)*24)</f>
        <v/>
      </c>
      <c r="F1477" s="50" t="n"/>
      <c r="G1477" s="51" t="n"/>
      <c r="H1477" s="51" t="n"/>
      <c r="I1477" s="51" t="n"/>
      <c r="J1477" s="51" t="n"/>
      <c r="K1477" s="51" t="n"/>
      <c r="L1477" s="54">
        <f>IF(OR(A1477="",C1477="",D1477=""),"",IF(COUNTIFS($A$5:$A$3004,A1477,$C$5:$C$3004,"&lt;"&amp;D1477,$D$5:$D$3004,"&gt;"&amp;C1477)&gt;1,"⚠️ пересечение",""))</f>
        <v/>
      </c>
      <c r="M1477" s="54">
        <f>IF(F1477="","",IF(J1477="✅ Сделано","✔ ",IF(J1477="❌ Пропущено","✖ ","⏰ "))&amp;IF(C1477="","",RIGHT("0"&amp;HOUR(C1477),2)&amp;":"&amp;RIGHT("0"&amp;MINUTE(C1477),2)&amp;IF(D1477="","","–"&amp;RIGHT("0"&amp;HOUR(D1477),2)&amp;":"&amp;RIGHT("0"&amp;MINUTE(D1477),2))&amp;" ")&amp;F1477)</f>
        <v/>
      </c>
      <c r="N1477" s="54">
        <f>IF(OR(A1477="",F1477=""),"",A1477&amp;"#"&amp;(COUNTIFS($A$5:$A$3004,A1477,$F$5:$F$3004,"?*",$O$5:$O$3004,"&lt;"&amp;O1477)+COUNTIFS($A$5:A1477,A1477,$F$5:F1477,"?*",$O$5:O1477,O1477)))</f>
        <v/>
      </c>
      <c r="O1477" s="54">
        <f>IF(A1477="","",IF(C1477="",0,C1477))</f>
        <v/>
      </c>
    </row>
    <row r="1478">
      <c r="A1478" s="58" t="n"/>
      <c r="B1478" s="49">
        <f>IF(A1478="","",CHOOSE(WEEKDAY(A1478,2),"Пн","Вт","Ср","Чт","Пт","Сб","Вс"))</f>
        <v/>
      </c>
      <c r="C1478" s="59" t="n"/>
      <c r="D1478" s="59" t="n"/>
      <c r="E1478" s="60">
        <f>IF(OR(C1478="",D1478=""),"",MOD(D1478-C1478,1)*24)</f>
        <v/>
      </c>
      <c r="F1478" s="50" t="n"/>
      <c r="G1478" s="51" t="n"/>
      <c r="H1478" s="51" t="n"/>
      <c r="I1478" s="51" t="n"/>
      <c r="J1478" s="51" t="n"/>
      <c r="K1478" s="51" t="n"/>
      <c r="L1478" s="54">
        <f>IF(OR(A1478="",C1478="",D1478=""),"",IF(COUNTIFS($A$5:$A$3004,A1478,$C$5:$C$3004,"&lt;"&amp;D1478,$D$5:$D$3004,"&gt;"&amp;C1478)&gt;1,"⚠️ пересечение",""))</f>
        <v/>
      </c>
      <c r="M1478" s="54">
        <f>IF(F1478="","",IF(J1478="✅ Сделано","✔ ",IF(J1478="❌ Пропущено","✖ ","⏰ "))&amp;IF(C1478="","",RIGHT("0"&amp;HOUR(C1478),2)&amp;":"&amp;RIGHT("0"&amp;MINUTE(C1478),2)&amp;IF(D1478="","","–"&amp;RIGHT("0"&amp;HOUR(D1478),2)&amp;":"&amp;RIGHT("0"&amp;MINUTE(D1478),2))&amp;" ")&amp;F1478)</f>
        <v/>
      </c>
      <c r="N1478" s="54">
        <f>IF(OR(A1478="",F1478=""),"",A1478&amp;"#"&amp;(COUNTIFS($A$5:$A$3004,A1478,$F$5:$F$3004,"?*",$O$5:$O$3004,"&lt;"&amp;O1478)+COUNTIFS($A$5:A1478,A1478,$F$5:F1478,"?*",$O$5:O1478,O1478)))</f>
        <v/>
      </c>
      <c r="O1478" s="54">
        <f>IF(A1478="","",IF(C1478="",0,C1478))</f>
        <v/>
      </c>
    </row>
    <row r="1479">
      <c r="A1479" s="58" t="n"/>
      <c r="B1479" s="49">
        <f>IF(A1479="","",CHOOSE(WEEKDAY(A1479,2),"Пн","Вт","Ср","Чт","Пт","Сб","Вс"))</f>
        <v/>
      </c>
      <c r="C1479" s="59" t="n"/>
      <c r="D1479" s="59" t="n"/>
      <c r="E1479" s="60">
        <f>IF(OR(C1479="",D1479=""),"",MOD(D1479-C1479,1)*24)</f>
        <v/>
      </c>
      <c r="F1479" s="50" t="n"/>
      <c r="G1479" s="51" t="n"/>
      <c r="H1479" s="51" t="n"/>
      <c r="I1479" s="51" t="n"/>
      <c r="J1479" s="51" t="n"/>
      <c r="K1479" s="51" t="n"/>
      <c r="L1479" s="54">
        <f>IF(OR(A1479="",C1479="",D1479=""),"",IF(COUNTIFS($A$5:$A$3004,A1479,$C$5:$C$3004,"&lt;"&amp;D1479,$D$5:$D$3004,"&gt;"&amp;C1479)&gt;1,"⚠️ пересечение",""))</f>
        <v/>
      </c>
      <c r="M1479" s="54">
        <f>IF(F1479="","",IF(J1479="✅ Сделано","✔ ",IF(J1479="❌ Пропущено","✖ ","⏰ "))&amp;IF(C1479="","",RIGHT("0"&amp;HOUR(C1479),2)&amp;":"&amp;RIGHT("0"&amp;MINUTE(C1479),2)&amp;IF(D1479="","","–"&amp;RIGHT("0"&amp;HOUR(D1479),2)&amp;":"&amp;RIGHT("0"&amp;MINUTE(D1479),2))&amp;" ")&amp;F1479)</f>
        <v/>
      </c>
      <c r="N1479" s="54">
        <f>IF(OR(A1479="",F1479=""),"",A1479&amp;"#"&amp;(COUNTIFS($A$5:$A$3004,A1479,$F$5:$F$3004,"?*",$O$5:$O$3004,"&lt;"&amp;O1479)+COUNTIFS($A$5:A1479,A1479,$F$5:F1479,"?*",$O$5:O1479,O1479)))</f>
        <v/>
      </c>
      <c r="O1479" s="54">
        <f>IF(A1479="","",IF(C1479="",0,C1479))</f>
        <v/>
      </c>
    </row>
    <row r="1480">
      <c r="A1480" s="58" t="n"/>
      <c r="B1480" s="49">
        <f>IF(A1480="","",CHOOSE(WEEKDAY(A1480,2),"Пн","Вт","Ср","Чт","Пт","Сб","Вс"))</f>
        <v/>
      </c>
      <c r="C1480" s="59" t="n"/>
      <c r="D1480" s="59" t="n"/>
      <c r="E1480" s="60">
        <f>IF(OR(C1480="",D1480=""),"",MOD(D1480-C1480,1)*24)</f>
        <v/>
      </c>
      <c r="F1480" s="50" t="n"/>
      <c r="G1480" s="51" t="n"/>
      <c r="H1480" s="51" t="n"/>
      <c r="I1480" s="51" t="n"/>
      <c r="J1480" s="51" t="n"/>
      <c r="K1480" s="51" t="n"/>
      <c r="L1480" s="54">
        <f>IF(OR(A1480="",C1480="",D1480=""),"",IF(COUNTIFS($A$5:$A$3004,A1480,$C$5:$C$3004,"&lt;"&amp;D1480,$D$5:$D$3004,"&gt;"&amp;C1480)&gt;1,"⚠️ пересечение",""))</f>
        <v/>
      </c>
      <c r="M1480" s="54">
        <f>IF(F1480="","",IF(J1480="✅ Сделано","✔ ",IF(J1480="❌ Пропущено","✖ ","⏰ "))&amp;IF(C1480="","",RIGHT("0"&amp;HOUR(C1480),2)&amp;":"&amp;RIGHT("0"&amp;MINUTE(C1480),2)&amp;IF(D1480="","","–"&amp;RIGHT("0"&amp;HOUR(D1480),2)&amp;":"&amp;RIGHT("0"&amp;MINUTE(D1480),2))&amp;" ")&amp;F1480)</f>
        <v/>
      </c>
      <c r="N1480" s="54">
        <f>IF(OR(A1480="",F1480=""),"",A1480&amp;"#"&amp;(COUNTIFS($A$5:$A$3004,A1480,$F$5:$F$3004,"?*",$O$5:$O$3004,"&lt;"&amp;O1480)+COUNTIFS($A$5:A1480,A1480,$F$5:F1480,"?*",$O$5:O1480,O1480)))</f>
        <v/>
      </c>
      <c r="O1480" s="54">
        <f>IF(A1480="","",IF(C1480="",0,C1480))</f>
        <v/>
      </c>
    </row>
    <row r="1481">
      <c r="A1481" s="58" t="n"/>
      <c r="B1481" s="49">
        <f>IF(A1481="","",CHOOSE(WEEKDAY(A1481,2),"Пн","Вт","Ср","Чт","Пт","Сб","Вс"))</f>
        <v/>
      </c>
      <c r="C1481" s="59" t="n"/>
      <c r="D1481" s="59" t="n"/>
      <c r="E1481" s="60">
        <f>IF(OR(C1481="",D1481=""),"",MOD(D1481-C1481,1)*24)</f>
        <v/>
      </c>
      <c r="F1481" s="50" t="n"/>
      <c r="G1481" s="51" t="n"/>
      <c r="H1481" s="51" t="n"/>
      <c r="I1481" s="51" t="n"/>
      <c r="J1481" s="51" t="n"/>
      <c r="K1481" s="51" t="n"/>
      <c r="L1481" s="54">
        <f>IF(OR(A1481="",C1481="",D1481=""),"",IF(COUNTIFS($A$5:$A$3004,A1481,$C$5:$C$3004,"&lt;"&amp;D1481,$D$5:$D$3004,"&gt;"&amp;C1481)&gt;1,"⚠️ пересечение",""))</f>
        <v/>
      </c>
      <c r="M1481" s="54">
        <f>IF(F1481="","",IF(J1481="✅ Сделано","✔ ",IF(J1481="❌ Пропущено","✖ ","⏰ "))&amp;IF(C1481="","",RIGHT("0"&amp;HOUR(C1481),2)&amp;":"&amp;RIGHT("0"&amp;MINUTE(C1481),2)&amp;IF(D1481="","","–"&amp;RIGHT("0"&amp;HOUR(D1481),2)&amp;":"&amp;RIGHT("0"&amp;MINUTE(D1481),2))&amp;" ")&amp;F1481)</f>
        <v/>
      </c>
      <c r="N1481" s="54">
        <f>IF(OR(A1481="",F1481=""),"",A1481&amp;"#"&amp;(COUNTIFS($A$5:$A$3004,A1481,$F$5:$F$3004,"?*",$O$5:$O$3004,"&lt;"&amp;O1481)+COUNTIFS($A$5:A1481,A1481,$F$5:F1481,"?*",$O$5:O1481,O1481)))</f>
        <v/>
      </c>
      <c r="O1481" s="54">
        <f>IF(A1481="","",IF(C1481="",0,C1481))</f>
        <v/>
      </c>
    </row>
    <row r="1482">
      <c r="A1482" s="58" t="n"/>
      <c r="B1482" s="49">
        <f>IF(A1482="","",CHOOSE(WEEKDAY(A1482,2),"Пн","Вт","Ср","Чт","Пт","Сб","Вс"))</f>
        <v/>
      </c>
      <c r="C1482" s="59" t="n"/>
      <c r="D1482" s="59" t="n"/>
      <c r="E1482" s="60">
        <f>IF(OR(C1482="",D1482=""),"",MOD(D1482-C1482,1)*24)</f>
        <v/>
      </c>
      <c r="F1482" s="50" t="n"/>
      <c r="G1482" s="51" t="n"/>
      <c r="H1482" s="51" t="n"/>
      <c r="I1482" s="51" t="n"/>
      <c r="J1482" s="51" t="n"/>
      <c r="K1482" s="51" t="n"/>
      <c r="L1482" s="54">
        <f>IF(OR(A1482="",C1482="",D1482=""),"",IF(COUNTIFS($A$5:$A$3004,A1482,$C$5:$C$3004,"&lt;"&amp;D1482,$D$5:$D$3004,"&gt;"&amp;C1482)&gt;1,"⚠️ пересечение",""))</f>
        <v/>
      </c>
      <c r="M1482" s="54">
        <f>IF(F1482="","",IF(J1482="✅ Сделано","✔ ",IF(J1482="❌ Пропущено","✖ ","⏰ "))&amp;IF(C1482="","",RIGHT("0"&amp;HOUR(C1482),2)&amp;":"&amp;RIGHT("0"&amp;MINUTE(C1482),2)&amp;IF(D1482="","","–"&amp;RIGHT("0"&amp;HOUR(D1482),2)&amp;":"&amp;RIGHT("0"&amp;MINUTE(D1482),2))&amp;" ")&amp;F1482)</f>
        <v/>
      </c>
      <c r="N1482" s="54">
        <f>IF(OR(A1482="",F1482=""),"",A1482&amp;"#"&amp;(COUNTIFS($A$5:$A$3004,A1482,$F$5:$F$3004,"?*",$O$5:$O$3004,"&lt;"&amp;O1482)+COUNTIFS($A$5:A1482,A1482,$F$5:F1482,"?*",$O$5:O1482,O1482)))</f>
        <v/>
      </c>
      <c r="O1482" s="54">
        <f>IF(A1482="","",IF(C1482="",0,C1482))</f>
        <v/>
      </c>
    </row>
    <row r="1483">
      <c r="A1483" s="58" t="n"/>
      <c r="B1483" s="49">
        <f>IF(A1483="","",CHOOSE(WEEKDAY(A1483,2),"Пн","Вт","Ср","Чт","Пт","Сб","Вс"))</f>
        <v/>
      </c>
      <c r="C1483" s="59" t="n"/>
      <c r="D1483" s="59" t="n"/>
      <c r="E1483" s="60">
        <f>IF(OR(C1483="",D1483=""),"",MOD(D1483-C1483,1)*24)</f>
        <v/>
      </c>
      <c r="F1483" s="50" t="n"/>
      <c r="G1483" s="51" t="n"/>
      <c r="H1483" s="51" t="n"/>
      <c r="I1483" s="51" t="n"/>
      <c r="J1483" s="51" t="n"/>
      <c r="K1483" s="51" t="n"/>
      <c r="L1483" s="54">
        <f>IF(OR(A1483="",C1483="",D1483=""),"",IF(COUNTIFS($A$5:$A$3004,A1483,$C$5:$C$3004,"&lt;"&amp;D1483,$D$5:$D$3004,"&gt;"&amp;C1483)&gt;1,"⚠️ пересечение",""))</f>
        <v/>
      </c>
      <c r="M1483" s="54">
        <f>IF(F1483="","",IF(J1483="✅ Сделано","✔ ",IF(J1483="❌ Пропущено","✖ ","⏰ "))&amp;IF(C1483="","",RIGHT("0"&amp;HOUR(C1483),2)&amp;":"&amp;RIGHT("0"&amp;MINUTE(C1483),2)&amp;IF(D1483="","","–"&amp;RIGHT("0"&amp;HOUR(D1483),2)&amp;":"&amp;RIGHT("0"&amp;MINUTE(D1483),2))&amp;" ")&amp;F1483)</f>
        <v/>
      </c>
      <c r="N1483" s="54">
        <f>IF(OR(A1483="",F1483=""),"",A1483&amp;"#"&amp;(COUNTIFS($A$5:$A$3004,A1483,$F$5:$F$3004,"?*",$O$5:$O$3004,"&lt;"&amp;O1483)+COUNTIFS($A$5:A1483,A1483,$F$5:F1483,"?*",$O$5:O1483,O1483)))</f>
        <v/>
      </c>
      <c r="O1483" s="54">
        <f>IF(A1483="","",IF(C1483="",0,C1483))</f>
        <v/>
      </c>
    </row>
    <row r="1484">
      <c r="A1484" s="58" t="n"/>
      <c r="B1484" s="49">
        <f>IF(A1484="","",CHOOSE(WEEKDAY(A1484,2),"Пн","Вт","Ср","Чт","Пт","Сб","Вс"))</f>
        <v/>
      </c>
      <c r="C1484" s="59" t="n"/>
      <c r="D1484" s="59" t="n"/>
      <c r="E1484" s="60">
        <f>IF(OR(C1484="",D1484=""),"",MOD(D1484-C1484,1)*24)</f>
        <v/>
      </c>
      <c r="F1484" s="50" t="n"/>
      <c r="G1484" s="51" t="n"/>
      <c r="H1484" s="51" t="n"/>
      <c r="I1484" s="51" t="n"/>
      <c r="J1484" s="51" t="n"/>
      <c r="K1484" s="51" t="n"/>
      <c r="L1484" s="54">
        <f>IF(OR(A1484="",C1484="",D1484=""),"",IF(COUNTIFS($A$5:$A$3004,A1484,$C$5:$C$3004,"&lt;"&amp;D1484,$D$5:$D$3004,"&gt;"&amp;C1484)&gt;1,"⚠️ пересечение",""))</f>
        <v/>
      </c>
      <c r="M1484" s="54">
        <f>IF(F1484="","",IF(J1484="✅ Сделано","✔ ",IF(J1484="❌ Пропущено","✖ ","⏰ "))&amp;IF(C1484="","",RIGHT("0"&amp;HOUR(C1484),2)&amp;":"&amp;RIGHT("0"&amp;MINUTE(C1484),2)&amp;IF(D1484="","","–"&amp;RIGHT("0"&amp;HOUR(D1484),2)&amp;":"&amp;RIGHT("0"&amp;MINUTE(D1484),2))&amp;" ")&amp;F1484)</f>
        <v/>
      </c>
      <c r="N1484" s="54">
        <f>IF(OR(A1484="",F1484=""),"",A1484&amp;"#"&amp;(COUNTIFS($A$5:$A$3004,A1484,$F$5:$F$3004,"?*",$O$5:$O$3004,"&lt;"&amp;O1484)+COUNTIFS($A$5:A1484,A1484,$F$5:F1484,"?*",$O$5:O1484,O1484)))</f>
        <v/>
      </c>
      <c r="O1484" s="54">
        <f>IF(A1484="","",IF(C1484="",0,C1484))</f>
        <v/>
      </c>
    </row>
    <row r="1485">
      <c r="A1485" s="58" t="n"/>
      <c r="B1485" s="49">
        <f>IF(A1485="","",CHOOSE(WEEKDAY(A1485,2),"Пн","Вт","Ср","Чт","Пт","Сб","Вс"))</f>
        <v/>
      </c>
      <c r="C1485" s="59" t="n"/>
      <c r="D1485" s="59" t="n"/>
      <c r="E1485" s="60">
        <f>IF(OR(C1485="",D1485=""),"",MOD(D1485-C1485,1)*24)</f>
        <v/>
      </c>
      <c r="F1485" s="50" t="n"/>
      <c r="G1485" s="51" t="n"/>
      <c r="H1485" s="51" t="n"/>
      <c r="I1485" s="51" t="n"/>
      <c r="J1485" s="51" t="n"/>
      <c r="K1485" s="51" t="n"/>
      <c r="L1485" s="54">
        <f>IF(OR(A1485="",C1485="",D1485=""),"",IF(COUNTIFS($A$5:$A$3004,A1485,$C$5:$C$3004,"&lt;"&amp;D1485,$D$5:$D$3004,"&gt;"&amp;C1485)&gt;1,"⚠️ пересечение",""))</f>
        <v/>
      </c>
      <c r="M1485" s="54">
        <f>IF(F1485="","",IF(J1485="✅ Сделано","✔ ",IF(J1485="❌ Пропущено","✖ ","⏰ "))&amp;IF(C1485="","",RIGHT("0"&amp;HOUR(C1485),2)&amp;":"&amp;RIGHT("0"&amp;MINUTE(C1485),2)&amp;IF(D1485="","","–"&amp;RIGHT("0"&amp;HOUR(D1485),2)&amp;":"&amp;RIGHT("0"&amp;MINUTE(D1485),2))&amp;" ")&amp;F1485)</f>
        <v/>
      </c>
      <c r="N1485" s="54">
        <f>IF(OR(A1485="",F1485=""),"",A1485&amp;"#"&amp;(COUNTIFS($A$5:$A$3004,A1485,$F$5:$F$3004,"?*",$O$5:$O$3004,"&lt;"&amp;O1485)+COUNTIFS($A$5:A1485,A1485,$F$5:F1485,"?*",$O$5:O1485,O1485)))</f>
        <v/>
      </c>
      <c r="O1485" s="54">
        <f>IF(A1485="","",IF(C1485="",0,C1485))</f>
        <v/>
      </c>
    </row>
    <row r="1486">
      <c r="A1486" s="58" t="n"/>
      <c r="B1486" s="49">
        <f>IF(A1486="","",CHOOSE(WEEKDAY(A1486,2),"Пн","Вт","Ср","Чт","Пт","Сб","Вс"))</f>
        <v/>
      </c>
      <c r="C1486" s="59" t="n"/>
      <c r="D1486" s="59" t="n"/>
      <c r="E1486" s="60">
        <f>IF(OR(C1486="",D1486=""),"",MOD(D1486-C1486,1)*24)</f>
        <v/>
      </c>
      <c r="F1486" s="50" t="n"/>
      <c r="G1486" s="51" t="n"/>
      <c r="H1486" s="51" t="n"/>
      <c r="I1486" s="51" t="n"/>
      <c r="J1486" s="51" t="n"/>
      <c r="K1486" s="51" t="n"/>
      <c r="L1486" s="54">
        <f>IF(OR(A1486="",C1486="",D1486=""),"",IF(COUNTIFS($A$5:$A$3004,A1486,$C$5:$C$3004,"&lt;"&amp;D1486,$D$5:$D$3004,"&gt;"&amp;C1486)&gt;1,"⚠️ пересечение",""))</f>
        <v/>
      </c>
      <c r="M1486" s="54">
        <f>IF(F1486="","",IF(J1486="✅ Сделано","✔ ",IF(J1486="❌ Пропущено","✖ ","⏰ "))&amp;IF(C1486="","",RIGHT("0"&amp;HOUR(C1486),2)&amp;":"&amp;RIGHT("0"&amp;MINUTE(C1486),2)&amp;IF(D1486="","","–"&amp;RIGHT("0"&amp;HOUR(D1486),2)&amp;":"&amp;RIGHT("0"&amp;MINUTE(D1486),2))&amp;" ")&amp;F1486)</f>
        <v/>
      </c>
      <c r="N1486" s="54">
        <f>IF(OR(A1486="",F1486=""),"",A1486&amp;"#"&amp;(COUNTIFS($A$5:$A$3004,A1486,$F$5:$F$3004,"?*",$O$5:$O$3004,"&lt;"&amp;O1486)+COUNTIFS($A$5:A1486,A1486,$F$5:F1486,"?*",$O$5:O1486,O1486)))</f>
        <v/>
      </c>
      <c r="O1486" s="54">
        <f>IF(A1486="","",IF(C1486="",0,C1486))</f>
        <v/>
      </c>
    </row>
    <row r="1487">
      <c r="A1487" s="58" t="n"/>
      <c r="B1487" s="49">
        <f>IF(A1487="","",CHOOSE(WEEKDAY(A1487,2),"Пн","Вт","Ср","Чт","Пт","Сб","Вс"))</f>
        <v/>
      </c>
      <c r="C1487" s="59" t="n"/>
      <c r="D1487" s="59" t="n"/>
      <c r="E1487" s="60">
        <f>IF(OR(C1487="",D1487=""),"",MOD(D1487-C1487,1)*24)</f>
        <v/>
      </c>
      <c r="F1487" s="50" t="n"/>
      <c r="G1487" s="51" t="n"/>
      <c r="H1487" s="51" t="n"/>
      <c r="I1487" s="51" t="n"/>
      <c r="J1487" s="51" t="n"/>
      <c r="K1487" s="51" t="n"/>
      <c r="L1487" s="54">
        <f>IF(OR(A1487="",C1487="",D1487=""),"",IF(COUNTIFS($A$5:$A$3004,A1487,$C$5:$C$3004,"&lt;"&amp;D1487,$D$5:$D$3004,"&gt;"&amp;C1487)&gt;1,"⚠️ пересечение",""))</f>
        <v/>
      </c>
      <c r="M1487" s="54">
        <f>IF(F1487="","",IF(J1487="✅ Сделано","✔ ",IF(J1487="❌ Пропущено","✖ ","⏰ "))&amp;IF(C1487="","",RIGHT("0"&amp;HOUR(C1487),2)&amp;":"&amp;RIGHT("0"&amp;MINUTE(C1487),2)&amp;IF(D1487="","","–"&amp;RIGHT("0"&amp;HOUR(D1487),2)&amp;":"&amp;RIGHT("0"&amp;MINUTE(D1487),2))&amp;" ")&amp;F1487)</f>
        <v/>
      </c>
      <c r="N1487" s="54">
        <f>IF(OR(A1487="",F1487=""),"",A1487&amp;"#"&amp;(COUNTIFS($A$5:$A$3004,A1487,$F$5:$F$3004,"?*",$O$5:$O$3004,"&lt;"&amp;O1487)+COUNTIFS($A$5:A1487,A1487,$F$5:F1487,"?*",$O$5:O1487,O1487)))</f>
        <v/>
      </c>
      <c r="O1487" s="54">
        <f>IF(A1487="","",IF(C1487="",0,C1487))</f>
        <v/>
      </c>
    </row>
    <row r="1488">
      <c r="A1488" s="58" t="n"/>
      <c r="B1488" s="49">
        <f>IF(A1488="","",CHOOSE(WEEKDAY(A1488,2),"Пн","Вт","Ср","Чт","Пт","Сб","Вс"))</f>
        <v/>
      </c>
      <c r="C1488" s="59" t="n"/>
      <c r="D1488" s="59" t="n"/>
      <c r="E1488" s="60">
        <f>IF(OR(C1488="",D1488=""),"",MOD(D1488-C1488,1)*24)</f>
        <v/>
      </c>
      <c r="F1488" s="50" t="n"/>
      <c r="G1488" s="51" t="n"/>
      <c r="H1488" s="51" t="n"/>
      <c r="I1488" s="51" t="n"/>
      <c r="J1488" s="51" t="n"/>
      <c r="K1488" s="51" t="n"/>
      <c r="L1488" s="54">
        <f>IF(OR(A1488="",C1488="",D1488=""),"",IF(COUNTIFS($A$5:$A$3004,A1488,$C$5:$C$3004,"&lt;"&amp;D1488,$D$5:$D$3004,"&gt;"&amp;C1488)&gt;1,"⚠️ пересечение",""))</f>
        <v/>
      </c>
      <c r="M1488" s="54">
        <f>IF(F1488="","",IF(J1488="✅ Сделано","✔ ",IF(J1488="❌ Пропущено","✖ ","⏰ "))&amp;IF(C1488="","",RIGHT("0"&amp;HOUR(C1488),2)&amp;":"&amp;RIGHT("0"&amp;MINUTE(C1488),2)&amp;IF(D1488="","","–"&amp;RIGHT("0"&amp;HOUR(D1488),2)&amp;":"&amp;RIGHT("0"&amp;MINUTE(D1488),2))&amp;" ")&amp;F1488)</f>
        <v/>
      </c>
      <c r="N1488" s="54">
        <f>IF(OR(A1488="",F1488=""),"",A1488&amp;"#"&amp;(COUNTIFS($A$5:$A$3004,A1488,$F$5:$F$3004,"?*",$O$5:$O$3004,"&lt;"&amp;O1488)+COUNTIFS($A$5:A1488,A1488,$F$5:F1488,"?*",$O$5:O1488,O1488)))</f>
        <v/>
      </c>
      <c r="O1488" s="54">
        <f>IF(A1488="","",IF(C1488="",0,C1488))</f>
        <v/>
      </c>
    </row>
    <row r="1489">
      <c r="A1489" s="58" t="n"/>
      <c r="B1489" s="49">
        <f>IF(A1489="","",CHOOSE(WEEKDAY(A1489,2),"Пн","Вт","Ср","Чт","Пт","Сб","Вс"))</f>
        <v/>
      </c>
      <c r="C1489" s="59" t="n"/>
      <c r="D1489" s="59" t="n"/>
      <c r="E1489" s="60">
        <f>IF(OR(C1489="",D1489=""),"",MOD(D1489-C1489,1)*24)</f>
        <v/>
      </c>
      <c r="F1489" s="50" t="n"/>
      <c r="G1489" s="51" t="n"/>
      <c r="H1489" s="51" t="n"/>
      <c r="I1489" s="51" t="n"/>
      <c r="J1489" s="51" t="n"/>
      <c r="K1489" s="51" t="n"/>
      <c r="L1489" s="54">
        <f>IF(OR(A1489="",C1489="",D1489=""),"",IF(COUNTIFS($A$5:$A$3004,A1489,$C$5:$C$3004,"&lt;"&amp;D1489,$D$5:$D$3004,"&gt;"&amp;C1489)&gt;1,"⚠️ пересечение",""))</f>
        <v/>
      </c>
      <c r="M1489" s="54">
        <f>IF(F1489="","",IF(J1489="✅ Сделано","✔ ",IF(J1489="❌ Пропущено","✖ ","⏰ "))&amp;IF(C1489="","",RIGHT("0"&amp;HOUR(C1489),2)&amp;":"&amp;RIGHT("0"&amp;MINUTE(C1489),2)&amp;IF(D1489="","","–"&amp;RIGHT("0"&amp;HOUR(D1489),2)&amp;":"&amp;RIGHT("0"&amp;MINUTE(D1489),2))&amp;" ")&amp;F1489)</f>
        <v/>
      </c>
      <c r="N1489" s="54">
        <f>IF(OR(A1489="",F1489=""),"",A1489&amp;"#"&amp;(COUNTIFS($A$5:$A$3004,A1489,$F$5:$F$3004,"?*",$O$5:$O$3004,"&lt;"&amp;O1489)+COUNTIFS($A$5:A1489,A1489,$F$5:F1489,"?*",$O$5:O1489,O1489)))</f>
        <v/>
      </c>
      <c r="O1489" s="54">
        <f>IF(A1489="","",IF(C1489="",0,C1489))</f>
        <v/>
      </c>
    </row>
    <row r="1490">
      <c r="A1490" s="58" t="n"/>
      <c r="B1490" s="49">
        <f>IF(A1490="","",CHOOSE(WEEKDAY(A1490,2),"Пн","Вт","Ср","Чт","Пт","Сб","Вс"))</f>
        <v/>
      </c>
      <c r="C1490" s="59" t="n"/>
      <c r="D1490" s="59" t="n"/>
      <c r="E1490" s="60">
        <f>IF(OR(C1490="",D1490=""),"",MOD(D1490-C1490,1)*24)</f>
        <v/>
      </c>
      <c r="F1490" s="50" t="n"/>
      <c r="G1490" s="51" t="n"/>
      <c r="H1490" s="51" t="n"/>
      <c r="I1490" s="51" t="n"/>
      <c r="J1490" s="51" t="n"/>
      <c r="K1490" s="51" t="n"/>
      <c r="L1490" s="54">
        <f>IF(OR(A1490="",C1490="",D1490=""),"",IF(COUNTIFS($A$5:$A$3004,A1490,$C$5:$C$3004,"&lt;"&amp;D1490,$D$5:$D$3004,"&gt;"&amp;C1490)&gt;1,"⚠️ пересечение",""))</f>
        <v/>
      </c>
      <c r="M1490" s="54">
        <f>IF(F1490="","",IF(J1490="✅ Сделано","✔ ",IF(J1490="❌ Пропущено","✖ ","⏰ "))&amp;IF(C1490="","",RIGHT("0"&amp;HOUR(C1490),2)&amp;":"&amp;RIGHT("0"&amp;MINUTE(C1490),2)&amp;IF(D1490="","","–"&amp;RIGHT("0"&amp;HOUR(D1490),2)&amp;":"&amp;RIGHT("0"&amp;MINUTE(D1490),2))&amp;" ")&amp;F1490)</f>
        <v/>
      </c>
      <c r="N1490" s="54">
        <f>IF(OR(A1490="",F1490=""),"",A1490&amp;"#"&amp;(COUNTIFS($A$5:$A$3004,A1490,$F$5:$F$3004,"?*",$O$5:$O$3004,"&lt;"&amp;O1490)+COUNTIFS($A$5:A1490,A1490,$F$5:F1490,"?*",$O$5:O1490,O1490)))</f>
        <v/>
      </c>
      <c r="O1490" s="54">
        <f>IF(A1490="","",IF(C1490="",0,C1490))</f>
        <v/>
      </c>
    </row>
    <row r="1491">
      <c r="A1491" s="58" t="n"/>
      <c r="B1491" s="49">
        <f>IF(A1491="","",CHOOSE(WEEKDAY(A1491,2),"Пн","Вт","Ср","Чт","Пт","Сб","Вс"))</f>
        <v/>
      </c>
      <c r="C1491" s="59" t="n"/>
      <c r="D1491" s="59" t="n"/>
      <c r="E1491" s="60">
        <f>IF(OR(C1491="",D1491=""),"",MOD(D1491-C1491,1)*24)</f>
        <v/>
      </c>
      <c r="F1491" s="50" t="n"/>
      <c r="G1491" s="51" t="n"/>
      <c r="H1491" s="51" t="n"/>
      <c r="I1491" s="51" t="n"/>
      <c r="J1491" s="51" t="n"/>
      <c r="K1491" s="51" t="n"/>
      <c r="L1491" s="54">
        <f>IF(OR(A1491="",C1491="",D1491=""),"",IF(COUNTIFS($A$5:$A$3004,A1491,$C$5:$C$3004,"&lt;"&amp;D1491,$D$5:$D$3004,"&gt;"&amp;C1491)&gt;1,"⚠️ пересечение",""))</f>
        <v/>
      </c>
      <c r="M1491" s="54">
        <f>IF(F1491="","",IF(J1491="✅ Сделано","✔ ",IF(J1491="❌ Пропущено","✖ ","⏰ "))&amp;IF(C1491="","",RIGHT("0"&amp;HOUR(C1491),2)&amp;":"&amp;RIGHT("0"&amp;MINUTE(C1491),2)&amp;IF(D1491="","","–"&amp;RIGHT("0"&amp;HOUR(D1491),2)&amp;":"&amp;RIGHT("0"&amp;MINUTE(D1491),2))&amp;" ")&amp;F1491)</f>
        <v/>
      </c>
      <c r="N1491" s="54">
        <f>IF(OR(A1491="",F1491=""),"",A1491&amp;"#"&amp;(COUNTIFS($A$5:$A$3004,A1491,$F$5:$F$3004,"?*",$O$5:$O$3004,"&lt;"&amp;O1491)+COUNTIFS($A$5:A1491,A1491,$F$5:F1491,"?*",$O$5:O1491,O1491)))</f>
        <v/>
      </c>
      <c r="O1491" s="54">
        <f>IF(A1491="","",IF(C1491="",0,C1491))</f>
        <v/>
      </c>
    </row>
    <row r="1492">
      <c r="A1492" s="58" t="n"/>
      <c r="B1492" s="49">
        <f>IF(A1492="","",CHOOSE(WEEKDAY(A1492,2),"Пн","Вт","Ср","Чт","Пт","Сб","Вс"))</f>
        <v/>
      </c>
      <c r="C1492" s="59" t="n"/>
      <c r="D1492" s="59" t="n"/>
      <c r="E1492" s="60">
        <f>IF(OR(C1492="",D1492=""),"",MOD(D1492-C1492,1)*24)</f>
        <v/>
      </c>
      <c r="F1492" s="50" t="n"/>
      <c r="G1492" s="51" t="n"/>
      <c r="H1492" s="51" t="n"/>
      <c r="I1492" s="51" t="n"/>
      <c r="J1492" s="51" t="n"/>
      <c r="K1492" s="51" t="n"/>
      <c r="L1492" s="54">
        <f>IF(OR(A1492="",C1492="",D1492=""),"",IF(COUNTIFS($A$5:$A$3004,A1492,$C$5:$C$3004,"&lt;"&amp;D1492,$D$5:$D$3004,"&gt;"&amp;C1492)&gt;1,"⚠️ пересечение",""))</f>
        <v/>
      </c>
      <c r="M1492" s="54">
        <f>IF(F1492="","",IF(J1492="✅ Сделано","✔ ",IF(J1492="❌ Пропущено","✖ ","⏰ "))&amp;IF(C1492="","",RIGHT("0"&amp;HOUR(C1492),2)&amp;":"&amp;RIGHT("0"&amp;MINUTE(C1492),2)&amp;IF(D1492="","","–"&amp;RIGHT("0"&amp;HOUR(D1492),2)&amp;":"&amp;RIGHT("0"&amp;MINUTE(D1492),2))&amp;" ")&amp;F1492)</f>
        <v/>
      </c>
      <c r="N1492" s="54">
        <f>IF(OR(A1492="",F1492=""),"",A1492&amp;"#"&amp;(COUNTIFS($A$5:$A$3004,A1492,$F$5:$F$3004,"?*",$O$5:$O$3004,"&lt;"&amp;O1492)+COUNTIFS($A$5:A1492,A1492,$F$5:F1492,"?*",$O$5:O1492,O1492)))</f>
        <v/>
      </c>
      <c r="O1492" s="54">
        <f>IF(A1492="","",IF(C1492="",0,C1492))</f>
        <v/>
      </c>
    </row>
    <row r="1493">
      <c r="A1493" s="58" t="n"/>
      <c r="B1493" s="49">
        <f>IF(A1493="","",CHOOSE(WEEKDAY(A1493,2),"Пн","Вт","Ср","Чт","Пт","Сб","Вс"))</f>
        <v/>
      </c>
      <c r="C1493" s="59" t="n"/>
      <c r="D1493" s="59" t="n"/>
      <c r="E1493" s="60">
        <f>IF(OR(C1493="",D1493=""),"",MOD(D1493-C1493,1)*24)</f>
        <v/>
      </c>
      <c r="F1493" s="50" t="n"/>
      <c r="G1493" s="51" t="n"/>
      <c r="H1493" s="51" t="n"/>
      <c r="I1493" s="51" t="n"/>
      <c r="J1493" s="51" t="n"/>
      <c r="K1493" s="51" t="n"/>
      <c r="L1493" s="54">
        <f>IF(OR(A1493="",C1493="",D1493=""),"",IF(COUNTIFS($A$5:$A$3004,A1493,$C$5:$C$3004,"&lt;"&amp;D1493,$D$5:$D$3004,"&gt;"&amp;C1493)&gt;1,"⚠️ пересечение",""))</f>
        <v/>
      </c>
      <c r="M1493" s="54">
        <f>IF(F1493="","",IF(J1493="✅ Сделано","✔ ",IF(J1493="❌ Пропущено","✖ ","⏰ "))&amp;IF(C1493="","",RIGHT("0"&amp;HOUR(C1493),2)&amp;":"&amp;RIGHT("0"&amp;MINUTE(C1493),2)&amp;IF(D1493="","","–"&amp;RIGHT("0"&amp;HOUR(D1493),2)&amp;":"&amp;RIGHT("0"&amp;MINUTE(D1493),2))&amp;" ")&amp;F1493)</f>
        <v/>
      </c>
      <c r="N1493" s="54">
        <f>IF(OR(A1493="",F1493=""),"",A1493&amp;"#"&amp;(COUNTIFS($A$5:$A$3004,A1493,$F$5:$F$3004,"?*",$O$5:$O$3004,"&lt;"&amp;O1493)+COUNTIFS($A$5:A1493,A1493,$F$5:F1493,"?*",$O$5:O1493,O1493)))</f>
        <v/>
      </c>
      <c r="O1493" s="54">
        <f>IF(A1493="","",IF(C1493="",0,C1493))</f>
        <v/>
      </c>
    </row>
    <row r="1494">
      <c r="A1494" s="58" t="n"/>
      <c r="B1494" s="49">
        <f>IF(A1494="","",CHOOSE(WEEKDAY(A1494,2),"Пн","Вт","Ср","Чт","Пт","Сб","Вс"))</f>
        <v/>
      </c>
      <c r="C1494" s="59" t="n"/>
      <c r="D1494" s="59" t="n"/>
      <c r="E1494" s="60">
        <f>IF(OR(C1494="",D1494=""),"",MOD(D1494-C1494,1)*24)</f>
        <v/>
      </c>
      <c r="F1494" s="50" t="n"/>
      <c r="G1494" s="51" t="n"/>
      <c r="H1494" s="51" t="n"/>
      <c r="I1494" s="51" t="n"/>
      <c r="J1494" s="51" t="n"/>
      <c r="K1494" s="51" t="n"/>
      <c r="L1494" s="54">
        <f>IF(OR(A1494="",C1494="",D1494=""),"",IF(COUNTIFS($A$5:$A$3004,A1494,$C$5:$C$3004,"&lt;"&amp;D1494,$D$5:$D$3004,"&gt;"&amp;C1494)&gt;1,"⚠️ пересечение",""))</f>
        <v/>
      </c>
      <c r="M1494" s="54">
        <f>IF(F1494="","",IF(J1494="✅ Сделано","✔ ",IF(J1494="❌ Пропущено","✖ ","⏰ "))&amp;IF(C1494="","",RIGHT("0"&amp;HOUR(C1494),2)&amp;":"&amp;RIGHT("0"&amp;MINUTE(C1494),2)&amp;IF(D1494="","","–"&amp;RIGHT("0"&amp;HOUR(D1494),2)&amp;":"&amp;RIGHT("0"&amp;MINUTE(D1494),2))&amp;" ")&amp;F1494)</f>
        <v/>
      </c>
      <c r="N1494" s="54">
        <f>IF(OR(A1494="",F1494=""),"",A1494&amp;"#"&amp;(COUNTIFS($A$5:$A$3004,A1494,$F$5:$F$3004,"?*",$O$5:$O$3004,"&lt;"&amp;O1494)+COUNTIFS($A$5:A1494,A1494,$F$5:F1494,"?*",$O$5:O1494,O1494)))</f>
        <v/>
      </c>
      <c r="O1494" s="54">
        <f>IF(A1494="","",IF(C1494="",0,C1494))</f>
        <v/>
      </c>
    </row>
    <row r="1495">
      <c r="A1495" s="58" t="n"/>
      <c r="B1495" s="49">
        <f>IF(A1495="","",CHOOSE(WEEKDAY(A1495,2),"Пн","Вт","Ср","Чт","Пт","Сб","Вс"))</f>
        <v/>
      </c>
      <c r="C1495" s="59" t="n"/>
      <c r="D1495" s="59" t="n"/>
      <c r="E1495" s="60">
        <f>IF(OR(C1495="",D1495=""),"",MOD(D1495-C1495,1)*24)</f>
        <v/>
      </c>
      <c r="F1495" s="50" t="n"/>
      <c r="G1495" s="51" t="n"/>
      <c r="H1495" s="51" t="n"/>
      <c r="I1495" s="51" t="n"/>
      <c r="J1495" s="51" t="n"/>
      <c r="K1495" s="51" t="n"/>
      <c r="L1495" s="54">
        <f>IF(OR(A1495="",C1495="",D1495=""),"",IF(COUNTIFS($A$5:$A$3004,A1495,$C$5:$C$3004,"&lt;"&amp;D1495,$D$5:$D$3004,"&gt;"&amp;C1495)&gt;1,"⚠️ пересечение",""))</f>
        <v/>
      </c>
      <c r="M1495" s="54">
        <f>IF(F1495="","",IF(J1495="✅ Сделано","✔ ",IF(J1495="❌ Пропущено","✖ ","⏰ "))&amp;IF(C1495="","",RIGHT("0"&amp;HOUR(C1495),2)&amp;":"&amp;RIGHT("0"&amp;MINUTE(C1495),2)&amp;IF(D1495="","","–"&amp;RIGHT("0"&amp;HOUR(D1495),2)&amp;":"&amp;RIGHT("0"&amp;MINUTE(D1495),2))&amp;" ")&amp;F1495)</f>
        <v/>
      </c>
      <c r="N1495" s="54">
        <f>IF(OR(A1495="",F1495=""),"",A1495&amp;"#"&amp;(COUNTIFS($A$5:$A$3004,A1495,$F$5:$F$3004,"?*",$O$5:$O$3004,"&lt;"&amp;O1495)+COUNTIFS($A$5:A1495,A1495,$F$5:F1495,"?*",$O$5:O1495,O1495)))</f>
        <v/>
      </c>
      <c r="O1495" s="54">
        <f>IF(A1495="","",IF(C1495="",0,C1495))</f>
        <v/>
      </c>
    </row>
    <row r="1496">
      <c r="A1496" s="58" t="n"/>
      <c r="B1496" s="49">
        <f>IF(A1496="","",CHOOSE(WEEKDAY(A1496,2),"Пн","Вт","Ср","Чт","Пт","Сб","Вс"))</f>
        <v/>
      </c>
      <c r="C1496" s="59" t="n"/>
      <c r="D1496" s="59" t="n"/>
      <c r="E1496" s="60">
        <f>IF(OR(C1496="",D1496=""),"",MOD(D1496-C1496,1)*24)</f>
        <v/>
      </c>
      <c r="F1496" s="50" t="n"/>
      <c r="G1496" s="51" t="n"/>
      <c r="H1496" s="51" t="n"/>
      <c r="I1496" s="51" t="n"/>
      <c r="J1496" s="51" t="n"/>
      <c r="K1496" s="51" t="n"/>
      <c r="L1496" s="54">
        <f>IF(OR(A1496="",C1496="",D1496=""),"",IF(COUNTIFS($A$5:$A$3004,A1496,$C$5:$C$3004,"&lt;"&amp;D1496,$D$5:$D$3004,"&gt;"&amp;C1496)&gt;1,"⚠️ пересечение",""))</f>
        <v/>
      </c>
      <c r="M1496" s="54">
        <f>IF(F1496="","",IF(J1496="✅ Сделано","✔ ",IF(J1496="❌ Пропущено","✖ ","⏰ "))&amp;IF(C1496="","",RIGHT("0"&amp;HOUR(C1496),2)&amp;":"&amp;RIGHT("0"&amp;MINUTE(C1496),2)&amp;IF(D1496="","","–"&amp;RIGHT("0"&amp;HOUR(D1496),2)&amp;":"&amp;RIGHT("0"&amp;MINUTE(D1496),2))&amp;" ")&amp;F1496)</f>
        <v/>
      </c>
      <c r="N1496" s="54">
        <f>IF(OR(A1496="",F1496=""),"",A1496&amp;"#"&amp;(COUNTIFS($A$5:$A$3004,A1496,$F$5:$F$3004,"?*",$O$5:$O$3004,"&lt;"&amp;O1496)+COUNTIFS($A$5:A1496,A1496,$F$5:F1496,"?*",$O$5:O1496,O1496)))</f>
        <v/>
      </c>
      <c r="O1496" s="54">
        <f>IF(A1496="","",IF(C1496="",0,C1496))</f>
        <v/>
      </c>
    </row>
    <row r="1497">
      <c r="A1497" s="58" t="n"/>
      <c r="B1497" s="49">
        <f>IF(A1497="","",CHOOSE(WEEKDAY(A1497,2),"Пн","Вт","Ср","Чт","Пт","Сб","Вс"))</f>
        <v/>
      </c>
      <c r="C1497" s="59" t="n"/>
      <c r="D1497" s="59" t="n"/>
      <c r="E1497" s="60">
        <f>IF(OR(C1497="",D1497=""),"",MOD(D1497-C1497,1)*24)</f>
        <v/>
      </c>
      <c r="F1497" s="50" t="n"/>
      <c r="G1497" s="51" t="n"/>
      <c r="H1497" s="51" t="n"/>
      <c r="I1497" s="51" t="n"/>
      <c r="J1497" s="51" t="n"/>
      <c r="K1497" s="51" t="n"/>
      <c r="L1497" s="54">
        <f>IF(OR(A1497="",C1497="",D1497=""),"",IF(COUNTIFS($A$5:$A$3004,A1497,$C$5:$C$3004,"&lt;"&amp;D1497,$D$5:$D$3004,"&gt;"&amp;C1497)&gt;1,"⚠️ пересечение",""))</f>
        <v/>
      </c>
      <c r="M1497" s="54">
        <f>IF(F1497="","",IF(J1497="✅ Сделано","✔ ",IF(J1497="❌ Пропущено","✖ ","⏰ "))&amp;IF(C1497="","",RIGHT("0"&amp;HOUR(C1497),2)&amp;":"&amp;RIGHT("0"&amp;MINUTE(C1497),2)&amp;IF(D1497="","","–"&amp;RIGHT("0"&amp;HOUR(D1497),2)&amp;":"&amp;RIGHT("0"&amp;MINUTE(D1497),2))&amp;" ")&amp;F1497)</f>
        <v/>
      </c>
      <c r="N1497" s="54">
        <f>IF(OR(A1497="",F1497=""),"",A1497&amp;"#"&amp;(COUNTIFS($A$5:$A$3004,A1497,$F$5:$F$3004,"?*",$O$5:$O$3004,"&lt;"&amp;O1497)+COUNTIFS($A$5:A1497,A1497,$F$5:F1497,"?*",$O$5:O1497,O1497)))</f>
        <v/>
      </c>
      <c r="O1497" s="54">
        <f>IF(A1497="","",IF(C1497="",0,C1497))</f>
        <v/>
      </c>
    </row>
    <row r="1498">
      <c r="A1498" s="58" t="n"/>
      <c r="B1498" s="49">
        <f>IF(A1498="","",CHOOSE(WEEKDAY(A1498,2),"Пн","Вт","Ср","Чт","Пт","Сб","Вс"))</f>
        <v/>
      </c>
      <c r="C1498" s="59" t="n"/>
      <c r="D1498" s="59" t="n"/>
      <c r="E1498" s="60">
        <f>IF(OR(C1498="",D1498=""),"",MOD(D1498-C1498,1)*24)</f>
        <v/>
      </c>
      <c r="F1498" s="50" t="n"/>
      <c r="G1498" s="51" t="n"/>
      <c r="H1498" s="51" t="n"/>
      <c r="I1498" s="51" t="n"/>
      <c r="J1498" s="51" t="n"/>
      <c r="K1498" s="51" t="n"/>
      <c r="L1498" s="54">
        <f>IF(OR(A1498="",C1498="",D1498=""),"",IF(COUNTIFS($A$5:$A$3004,A1498,$C$5:$C$3004,"&lt;"&amp;D1498,$D$5:$D$3004,"&gt;"&amp;C1498)&gt;1,"⚠️ пересечение",""))</f>
        <v/>
      </c>
      <c r="M1498" s="54">
        <f>IF(F1498="","",IF(J1498="✅ Сделано","✔ ",IF(J1498="❌ Пропущено","✖ ","⏰ "))&amp;IF(C1498="","",RIGHT("0"&amp;HOUR(C1498),2)&amp;":"&amp;RIGHT("0"&amp;MINUTE(C1498),2)&amp;IF(D1498="","","–"&amp;RIGHT("0"&amp;HOUR(D1498),2)&amp;":"&amp;RIGHT("0"&amp;MINUTE(D1498),2))&amp;" ")&amp;F1498)</f>
        <v/>
      </c>
      <c r="N1498" s="54">
        <f>IF(OR(A1498="",F1498=""),"",A1498&amp;"#"&amp;(COUNTIFS($A$5:$A$3004,A1498,$F$5:$F$3004,"?*",$O$5:$O$3004,"&lt;"&amp;O1498)+COUNTIFS($A$5:A1498,A1498,$F$5:F1498,"?*",$O$5:O1498,O1498)))</f>
        <v/>
      </c>
      <c r="O1498" s="54">
        <f>IF(A1498="","",IF(C1498="",0,C1498))</f>
        <v/>
      </c>
    </row>
    <row r="1499">
      <c r="A1499" s="58" t="n"/>
      <c r="B1499" s="49">
        <f>IF(A1499="","",CHOOSE(WEEKDAY(A1499,2),"Пн","Вт","Ср","Чт","Пт","Сб","Вс"))</f>
        <v/>
      </c>
      <c r="C1499" s="59" t="n"/>
      <c r="D1499" s="59" t="n"/>
      <c r="E1499" s="60">
        <f>IF(OR(C1499="",D1499=""),"",MOD(D1499-C1499,1)*24)</f>
        <v/>
      </c>
      <c r="F1499" s="50" t="n"/>
      <c r="G1499" s="51" t="n"/>
      <c r="H1499" s="51" t="n"/>
      <c r="I1499" s="51" t="n"/>
      <c r="J1499" s="51" t="n"/>
      <c r="K1499" s="51" t="n"/>
      <c r="L1499" s="54">
        <f>IF(OR(A1499="",C1499="",D1499=""),"",IF(COUNTIFS($A$5:$A$3004,A1499,$C$5:$C$3004,"&lt;"&amp;D1499,$D$5:$D$3004,"&gt;"&amp;C1499)&gt;1,"⚠️ пересечение",""))</f>
        <v/>
      </c>
      <c r="M1499" s="54">
        <f>IF(F1499="","",IF(J1499="✅ Сделано","✔ ",IF(J1499="❌ Пропущено","✖ ","⏰ "))&amp;IF(C1499="","",RIGHT("0"&amp;HOUR(C1499),2)&amp;":"&amp;RIGHT("0"&amp;MINUTE(C1499),2)&amp;IF(D1499="","","–"&amp;RIGHT("0"&amp;HOUR(D1499),2)&amp;":"&amp;RIGHT("0"&amp;MINUTE(D1499),2))&amp;" ")&amp;F1499)</f>
        <v/>
      </c>
      <c r="N1499" s="54">
        <f>IF(OR(A1499="",F1499=""),"",A1499&amp;"#"&amp;(COUNTIFS($A$5:$A$3004,A1499,$F$5:$F$3004,"?*",$O$5:$O$3004,"&lt;"&amp;O1499)+COUNTIFS($A$5:A1499,A1499,$F$5:F1499,"?*",$O$5:O1499,O1499)))</f>
        <v/>
      </c>
      <c r="O1499" s="54">
        <f>IF(A1499="","",IF(C1499="",0,C1499))</f>
        <v/>
      </c>
    </row>
    <row r="1500">
      <c r="A1500" s="58" t="n"/>
      <c r="B1500" s="49">
        <f>IF(A1500="","",CHOOSE(WEEKDAY(A1500,2),"Пн","Вт","Ср","Чт","Пт","Сб","Вс"))</f>
        <v/>
      </c>
      <c r="C1500" s="59" t="n"/>
      <c r="D1500" s="59" t="n"/>
      <c r="E1500" s="60">
        <f>IF(OR(C1500="",D1500=""),"",MOD(D1500-C1500,1)*24)</f>
        <v/>
      </c>
      <c r="F1500" s="50" t="n"/>
      <c r="G1500" s="51" t="n"/>
      <c r="H1500" s="51" t="n"/>
      <c r="I1500" s="51" t="n"/>
      <c r="J1500" s="51" t="n"/>
      <c r="K1500" s="51" t="n"/>
      <c r="L1500" s="54">
        <f>IF(OR(A1500="",C1500="",D1500=""),"",IF(COUNTIFS($A$5:$A$3004,A1500,$C$5:$C$3004,"&lt;"&amp;D1500,$D$5:$D$3004,"&gt;"&amp;C1500)&gt;1,"⚠️ пересечение",""))</f>
        <v/>
      </c>
      <c r="M1500" s="54">
        <f>IF(F1500="","",IF(J1500="✅ Сделано","✔ ",IF(J1500="❌ Пропущено","✖ ","⏰ "))&amp;IF(C1500="","",RIGHT("0"&amp;HOUR(C1500),2)&amp;":"&amp;RIGHT("0"&amp;MINUTE(C1500),2)&amp;IF(D1500="","","–"&amp;RIGHT("0"&amp;HOUR(D1500),2)&amp;":"&amp;RIGHT("0"&amp;MINUTE(D1500),2))&amp;" ")&amp;F1500)</f>
        <v/>
      </c>
      <c r="N1500" s="54">
        <f>IF(OR(A1500="",F1500=""),"",A1500&amp;"#"&amp;(COUNTIFS($A$5:$A$3004,A1500,$F$5:$F$3004,"?*",$O$5:$O$3004,"&lt;"&amp;O1500)+COUNTIFS($A$5:A1500,A1500,$F$5:F1500,"?*",$O$5:O1500,O1500)))</f>
        <v/>
      </c>
      <c r="O1500" s="54">
        <f>IF(A1500="","",IF(C1500="",0,C1500))</f>
        <v/>
      </c>
    </row>
    <row r="1501">
      <c r="A1501" s="58" t="n"/>
      <c r="B1501" s="49">
        <f>IF(A1501="","",CHOOSE(WEEKDAY(A1501,2),"Пн","Вт","Ср","Чт","Пт","Сб","Вс"))</f>
        <v/>
      </c>
      <c r="C1501" s="59" t="n"/>
      <c r="D1501" s="59" t="n"/>
      <c r="E1501" s="60">
        <f>IF(OR(C1501="",D1501=""),"",MOD(D1501-C1501,1)*24)</f>
        <v/>
      </c>
      <c r="F1501" s="50" t="n"/>
      <c r="G1501" s="51" t="n"/>
      <c r="H1501" s="51" t="n"/>
      <c r="I1501" s="51" t="n"/>
      <c r="J1501" s="51" t="n"/>
      <c r="K1501" s="51" t="n"/>
      <c r="L1501" s="54">
        <f>IF(OR(A1501="",C1501="",D1501=""),"",IF(COUNTIFS($A$5:$A$3004,A1501,$C$5:$C$3004,"&lt;"&amp;D1501,$D$5:$D$3004,"&gt;"&amp;C1501)&gt;1,"⚠️ пересечение",""))</f>
        <v/>
      </c>
      <c r="M1501" s="54">
        <f>IF(F1501="","",IF(J1501="✅ Сделано","✔ ",IF(J1501="❌ Пропущено","✖ ","⏰ "))&amp;IF(C1501="","",RIGHT("0"&amp;HOUR(C1501),2)&amp;":"&amp;RIGHT("0"&amp;MINUTE(C1501),2)&amp;IF(D1501="","","–"&amp;RIGHT("0"&amp;HOUR(D1501),2)&amp;":"&amp;RIGHT("0"&amp;MINUTE(D1501),2))&amp;" ")&amp;F1501)</f>
        <v/>
      </c>
      <c r="N1501" s="54">
        <f>IF(OR(A1501="",F1501=""),"",A1501&amp;"#"&amp;(COUNTIFS($A$5:$A$3004,A1501,$F$5:$F$3004,"?*",$O$5:$O$3004,"&lt;"&amp;O1501)+COUNTIFS($A$5:A1501,A1501,$F$5:F1501,"?*",$O$5:O1501,O1501)))</f>
        <v/>
      </c>
      <c r="O1501" s="54">
        <f>IF(A1501="","",IF(C1501="",0,C1501))</f>
        <v/>
      </c>
    </row>
    <row r="1502">
      <c r="A1502" s="58" t="n"/>
      <c r="B1502" s="49">
        <f>IF(A1502="","",CHOOSE(WEEKDAY(A1502,2),"Пн","Вт","Ср","Чт","Пт","Сб","Вс"))</f>
        <v/>
      </c>
      <c r="C1502" s="59" t="n"/>
      <c r="D1502" s="59" t="n"/>
      <c r="E1502" s="60">
        <f>IF(OR(C1502="",D1502=""),"",MOD(D1502-C1502,1)*24)</f>
        <v/>
      </c>
      <c r="F1502" s="50" t="n"/>
      <c r="G1502" s="51" t="n"/>
      <c r="H1502" s="51" t="n"/>
      <c r="I1502" s="51" t="n"/>
      <c r="J1502" s="51" t="n"/>
      <c r="K1502" s="51" t="n"/>
      <c r="L1502" s="54">
        <f>IF(OR(A1502="",C1502="",D1502=""),"",IF(COUNTIFS($A$5:$A$3004,A1502,$C$5:$C$3004,"&lt;"&amp;D1502,$D$5:$D$3004,"&gt;"&amp;C1502)&gt;1,"⚠️ пересечение",""))</f>
        <v/>
      </c>
      <c r="M1502" s="54">
        <f>IF(F1502="","",IF(J1502="✅ Сделано","✔ ",IF(J1502="❌ Пропущено","✖ ","⏰ "))&amp;IF(C1502="","",RIGHT("0"&amp;HOUR(C1502),2)&amp;":"&amp;RIGHT("0"&amp;MINUTE(C1502),2)&amp;IF(D1502="","","–"&amp;RIGHT("0"&amp;HOUR(D1502),2)&amp;":"&amp;RIGHT("0"&amp;MINUTE(D1502),2))&amp;" ")&amp;F1502)</f>
        <v/>
      </c>
      <c r="N1502" s="54">
        <f>IF(OR(A1502="",F1502=""),"",A1502&amp;"#"&amp;(COUNTIFS($A$5:$A$3004,A1502,$F$5:$F$3004,"?*",$O$5:$O$3004,"&lt;"&amp;O1502)+COUNTIFS($A$5:A1502,A1502,$F$5:F1502,"?*",$O$5:O1502,O1502)))</f>
        <v/>
      </c>
      <c r="O1502" s="54">
        <f>IF(A1502="","",IF(C1502="",0,C1502))</f>
        <v/>
      </c>
    </row>
    <row r="1503">
      <c r="A1503" s="58" t="n"/>
      <c r="B1503" s="49">
        <f>IF(A1503="","",CHOOSE(WEEKDAY(A1503,2),"Пн","Вт","Ср","Чт","Пт","Сб","Вс"))</f>
        <v/>
      </c>
      <c r="C1503" s="59" t="n"/>
      <c r="D1503" s="59" t="n"/>
      <c r="E1503" s="60">
        <f>IF(OR(C1503="",D1503=""),"",MOD(D1503-C1503,1)*24)</f>
        <v/>
      </c>
      <c r="F1503" s="50" t="n"/>
      <c r="G1503" s="51" t="n"/>
      <c r="H1503" s="51" t="n"/>
      <c r="I1503" s="51" t="n"/>
      <c r="J1503" s="51" t="n"/>
      <c r="K1503" s="51" t="n"/>
      <c r="L1503" s="54">
        <f>IF(OR(A1503="",C1503="",D1503=""),"",IF(COUNTIFS($A$5:$A$3004,A1503,$C$5:$C$3004,"&lt;"&amp;D1503,$D$5:$D$3004,"&gt;"&amp;C1503)&gt;1,"⚠️ пересечение",""))</f>
        <v/>
      </c>
      <c r="M1503" s="54">
        <f>IF(F1503="","",IF(J1503="✅ Сделано","✔ ",IF(J1503="❌ Пропущено","✖ ","⏰ "))&amp;IF(C1503="","",RIGHT("0"&amp;HOUR(C1503),2)&amp;":"&amp;RIGHT("0"&amp;MINUTE(C1503),2)&amp;IF(D1503="","","–"&amp;RIGHT("0"&amp;HOUR(D1503),2)&amp;":"&amp;RIGHT("0"&amp;MINUTE(D1503),2))&amp;" ")&amp;F1503)</f>
        <v/>
      </c>
      <c r="N1503" s="54">
        <f>IF(OR(A1503="",F1503=""),"",A1503&amp;"#"&amp;(COUNTIFS($A$5:$A$3004,A1503,$F$5:$F$3004,"?*",$O$5:$O$3004,"&lt;"&amp;O1503)+COUNTIFS($A$5:A1503,A1503,$F$5:F1503,"?*",$O$5:O1503,O1503)))</f>
        <v/>
      </c>
      <c r="O1503" s="54">
        <f>IF(A1503="","",IF(C1503="",0,C1503))</f>
        <v/>
      </c>
    </row>
    <row r="1504">
      <c r="A1504" s="58" t="n"/>
      <c r="B1504" s="49">
        <f>IF(A1504="","",CHOOSE(WEEKDAY(A1504,2),"Пн","Вт","Ср","Чт","Пт","Сб","Вс"))</f>
        <v/>
      </c>
      <c r="C1504" s="59" t="n"/>
      <c r="D1504" s="59" t="n"/>
      <c r="E1504" s="60">
        <f>IF(OR(C1504="",D1504=""),"",MOD(D1504-C1504,1)*24)</f>
        <v/>
      </c>
      <c r="F1504" s="50" t="n"/>
      <c r="G1504" s="51" t="n"/>
      <c r="H1504" s="51" t="n"/>
      <c r="I1504" s="51" t="n"/>
      <c r="J1504" s="51" t="n"/>
      <c r="K1504" s="51" t="n"/>
      <c r="L1504" s="54">
        <f>IF(OR(A1504="",C1504="",D1504=""),"",IF(COUNTIFS($A$5:$A$3004,A1504,$C$5:$C$3004,"&lt;"&amp;D1504,$D$5:$D$3004,"&gt;"&amp;C1504)&gt;1,"⚠️ пересечение",""))</f>
        <v/>
      </c>
      <c r="M1504" s="54">
        <f>IF(F1504="","",IF(J1504="✅ Сделано","✔ ",IF(J1504="❌ Пропущено","✖ ","⏰ "))&amp;IF(C1504="","",RIGHT("0"&amp;HOUR(C1504),2)&amp;":"&amp;RIGHT("0"&amp;MINUTE(C1504),2)&amp;IF(D1504="","","–"&amp;RIGHT("0"&amp;HOUR(D1504),2)&amp;":"&amp;RIGHT("0"&amp;MINUTE(D1504),2))&amp;" ")&amp;F1504)</f>
        <v/>
      </c>
      <c r="N1504" s="54">
        <f>IF(OR(A1504="",F1504=""),"",A1504&amp;"#"&amp;(COUNTIFS($A$5:$A$3004,A1504,$F$5:$F$3004,"?*",$O$5:$O$3004,"&lt;"&amp;O1504)+COUNTIFS($A$5:A1504,A1504,$F$5:F1504,"?*",$O$5:O1504,O1504)))</f>
        <v/>
      </c>
      <c r="O1504" s="54">
        <f>IF(A1504="","",IF(C1504="",0,C1504))</f>
        <v/>
      </c>
    </row>
    <row r="1505">
      <c r="A1505" s="58" t="n"/>
      <c r="B1505" s="49">
        <f>IF(A1505="","",CHOOSE(WEEKDAY(A1505,2),"Пн","Вт","Ср","Чт","Пт","Сб","Вс"))</f>
        <v/>
      </c>
      <c r="C1505" s="59" t="n"/>
      <c r="D1505" s="59" t="n"/>
      <c r="E1505" s="60">
        <f>IF(OR(C1505="",D1505=""),"",MOD(D1505-C1505,1)*24)</f>
        <v/>
      </c>
      <c r="F1505" s="50" t="n"/>
      <c r="G1505" s="51" t="n"/>
      <c r="H1505" s="51" t="n"/>
      <c r="I1505" s="51" t="n"/>
      <c r="J1505" s="51" t="n"/>
      <c r="K1505" s="51" t="n"/>
      <c r="L1505" s="54">
        <f>IF(OR(A1505="",C1505="",D1505=""),"",IF(COUNTIFS($A$5:$A$3004,A1505,$C$5:$C$3004,"&lt;"&amp;D1505,$D$5:$D$3004,"&gt;"&amp;C1505)&gt;1,"⚠️ пересечение",""))</f>
        <v/>
      </c>
      <c r="M1505" s="54">
        <f>IF(F1505="","",IF(J1505="✅ Сделано","✔ ",IF(J1505="❌ Пропущено","✖ ","⏰ "))&amp;IF(C1505="","",RIGHT("0"&amp;HOUR(C1505),2)&amp;":"&amp;RIGHT("0"&amp;MINUTE(C1505),2)&amp;IF(D1505="","","–"&amp;RIGHT("0"&amp;HOUR(D1505),2)&amp;":"&amp;RIGHT("0"&amp;MINUTE(D1505),2))&amp;" ")&amp;F1505)</f>
        <v/>
      </c>
      <c r="N1505" s="54">
        <f>IF(OR(A1505="",F1505=""),"",A1505&amp;"#"&amp;(COUNTIFS($A$5:$A$3004,A1505,$F$5:$F$3004,"?*",$O$5:$O$3004,"&lt;"&amp;O1505)+COUNTIFS($A$5:A1505,A1505,$F$5:F1505,"?*",$O$5:O1505,O1505)))</f>
        <v/>
      </c>
      <c r="O1505" s="54">
        <f>IF(A1505="","",IF(C1505="",0,C1505))</f>
        <v/>
      </c>
    </row>
    <row r="1506">
      <c r="A1506" s="58" t="n"/>
      <c r="B1506" s="49">
        <f>IF(A1506="","",CHOOSE(WEEKDAY(A1506,2),"Пн","Вт","Ср","Чт","Пт","Сб","Вс"))</f>
        <v/>
      </c>
      <c r="C1506" s="59" t="n"/>
      <c r="D1506" s="59" t="n"/>
      <c r="E1506" s="60">
        <f>IF(OR(C1506="",D1506=""),"",MOD(D1506-C1506,1)*24)</f>
        <v/>
      </c>
      <c r="F1506" s="50" t="n"/>
      <c r="G1506" s="51" t="n"/>
      <c r="H1506" s="51" t="n"/>
      <c r="I1506" s="51" t="n"/>
      <c r="J1506" s="51" t="n"/>
      <c r="K1506" s="51" t="n"/>
      <c r="L1506" s="54">
        <f>IF(OR(A1506="",C1506="",D1506=""),"",IF(COUNTIFS($A$5:$A$3004,A1506,$C$5:$C$3004,"&lt;"&amp;D1506,$D$5:$D$3004,"&gt;"&amp;C1506)&gt;1,"⚠️ пересечение",""))</f>
        <v/>
      </c>
      <c r="M1506" s="54">
        <f>IF(F1506="","",IF(J1506="✅ Сделано","✔ ",IF(J1506="❌ Пропущено","✖ ","⏰ "))&amp;IF(C1506="","",RIGHT("0"&amp;HOUR(C1506),2)&amp;":"&amp;RIGHT("0"&amp;MINUTE(C1506),2)&amp;IF(D1506="","","–"&amp;RIGHT("0"&amp;HOUR(D1506),2)&amp;":"&amp;RIGHT("0"&amp;MINUTE(D1506),2))&amp;" ")&amp;F1506)</f>
        <v/>
      </c>
      <c r="N1506" s="54">
        <f>IF(OR(A1506="",F1506=""),"",A1506&amp;"#"&amp;(COUNTIFS($A$5:$A$3004,A1506,$F$5:$F$3004,"?*",$O$5:$O$3004,"&lt;"&amp;O1506)+COUNTIFS($A$5:A1506,A1506,$F$5:F1506,"?*",$O$5:O1506,O1506)))</f>
        <v/>
      </c>
      <c r="O1506" s="54">
        <f>IF(A1506="","",IF(C1506="",0,C1506))</f>
        <v/>
      </c>
    </row>
    <row r="1507">
      <c r="A1507" s="58" t="n"/>
      <c r="B1507" s="49">
        <f>IF(A1507="","",CHOOSE(WEEKDAY(A1507,2),"Пн","Вт","Ср","Чт","Пт","Сб","Вс"))</f>
        <v/>
      </c>
      <c r="C1507" s="59" t="n"/>
      <c r="D1507" s="59" t="n"/>
      <c r="E1507" s="60">
        <f>IF(OR(C1507="",D1507=""),"",MOD(D1507-C1507,1)*24)</f>
        <v/>
      </c>
      <c r="F1507" s="50" t="n"/>
      <c r="G1507" s="51" t="n"/>
      <c r="H1507" s="51" t="n"/>
      <c r="I1507" s="51" t="n"/>
      <c r="J1507" s="51" t="n"/>
      <c r="K1507" s="51" t="n"/>
      <c r="L1507" s="54">
        <f>IF(OR(A1507="",C1507="",D1507=""),"",IF(COUNTIFS($A$5:$A$3004,A1507,$C$5:$C$3004,"&lt;"&amp;D1507,$D$5:$D$3004,"&gt;"&amp;C1507)&gt;1,"⚠️ пересечение",""))</f>
        <v/>
      </c>
      <c r="M1507" s="54">
        <f>IF(F1507="","",IF(J1507="✅ Сделано","✔ ",IF(J1507="❌ Пропущено","✖ ","⏰ "))&amp;IF(C1507="","",RIGHT("0"&amp;HOUR(C1507),2)&amp;":"&amp;RIGHT("0"&amp;MINUTE(C1507),2)&amp;IF(D1507="","","–"&amp;RIGHT("0"&amp;HOUR(D1507),2)&amp;":"&amp;RIGHT("0"&amp;MINUTE(D1507),2))&amp;" ")&amp;F1507)</f>
        <v/>
      </c>
      <c r="N1507" s="54">
        <f>IF(OR(A1507="",F1507=""),"",A1507&amp;"#"&amp;(COUNTIFS($A$5:$A$3004,A1507,$F$5:$F$3004,"?*",$O$5:$O$3004,"&lt;"&amp;O1507)+COUNTIFS($A$5:A1507,A1507,$F$5:F1507,"?*",$O$5:O1507,O1507)))</f>
        <v/>
      </c>
      <c r="O1507" s="54">
        <f>IF(A1507="","",IF(C1507="",0,C1507))</f>
        <v/>
      </c>
    </row>
    <row r="1508">
      <c r="A1508" s="58" t="n"/>
      <c r="B1508" s="49">
        <f>IF(A1508="","",CHOOSE(WEEKDAY(A1508,2),"Пн","Вт","Ср","Чт","Пт","Сб","Вс"))</f>
        <v/>
      </c>
      <c r="C1508" s="59" t="n"/>
      <c r="D1508" s="59" t="n"/>
      <c r="E1508" s="60">
        <f>IF(OR(C1508="",D1508=""),"",MOD(D1508-C1508,1)*24)</f>
        <v/>
      </c>
      <c r="F1508" s="50" t="n"/>
      <c r="G1508" s="51" t="n"/>
      <c r="H1508" s="51" t="n"/>
      <c r="I1508" s="51" t="n"/>
      <c r="J1508" s="51" t="n"/>
      <c r="K1508" s="51" t="n"/>
      <c r="L1508" s="54">
        <f>IF(OR(A1508="",C1508="",D1508=""),"",IF(COUNTIFS($A$5:$A$3004,A1508,$C$5:$C$3004,"&lt;"&amp;D1508,$D$5:$D$3004,"&gt;"&amp;C1508)&gt;1,"⚠️ пересечение",""))</f>
        <v/>
      </c>
      <c r="M1508" s="54">
        <f>IF(F1508="","",IF(J1508="✅ Сделано","✔ ",IF(J1508="❌ Пропущено","✖ ","⏰ "))&amp;IF(C1508="","",RIGHT("0"&amp;HOUR(C1508),2)&amp;":"&amp;RIGHT("0"&amp;MINUTE(C1508),2)&amp;IF(D1508="","","–"&amp;RIGHT("0"&amp;HOUR(D1508),2)&amp;":"&amp;RIGHT("0"&amp;MINUTE(D1508),2))&amp;" ")&amp;F1508)</f>
        <v/>
      </c>
      <c r="N1508" s="54">
        <f>IF(OR(A1508="",F1508=""),"",A1508&amp;"#"&amp;(COUNTIFS($A$5:$A$3004,A1508,$F$5:$F$3004,"?*",$O$5:$O$3004,"&lt;"&amp;O1508)+COUNTIFS($A$5:A1508,A1508,$F$5:F1508,"?*",$O$5:O1508,O1508)))</f>
        <v/>
      </c>
      <c r="O1508" s="54">
        <f>IF(A1508="","",IF(C1508="",0,C1508))</f>
        <v/>
      </c>
    </row>
    <row r="1509">
      <c r="A1509" s="58" t="n"/>
      <c r="B1509" s="49">
        <f>IF(A1509="","",CHOOSE(WEEKDAY(A1509,2),"Пн","Вт","Ср","Чт","Пт","Сб","Вс"))</f>
        <v/>
      </c>
      <c r="C1509" s="59" t="n"/>
      <c r="D1509" s="59" t="n"/>
      <c r="E1509" s="60">
        <f>IF(OR(C1509="",D1509=""),"",MOD(D1509-C1509,1)*24)</f>
        <v/>
      </c>
      <c r="F1509" s="50" t="n"/>
      <c r="G1509" s="51" t="n"/>
      <c r="H1509" s="51" t="n"/>
      <c r="I1509" s="51" t="n"/>
      <c r="J1509" s="51" t="n"/>
      <c r="K1509" s="51" t="n"/>
      <c r="L1509" s="54">
        <f>IF(OR(A1509="",C1509="",D1509=""),"",IF(COUNTIFS($A$5:$A$3004,A1509,$C$5:$C$3004,"&lt;"&amp;D1509,$D$5:$D$3004,"&gt;"&amp;C1509)&gt;1,"⚠️ пересечение",""))</f>
        <v/>
      </c>
      <c r="M1509" s="54">
        <f>IF(F1509="","",IF(J1509="✅ Сделано","✔ ",IF(J1509="❌ Пропущено","✖ ","⏰ "))&amp;IF(C1509="","",RIGHT("0"&amp;HOUR(C1509),2)&amp;":"&amp;RIGHT("0"&amp;MINUTE(C1509),2)&amp;IF(D1509="","","–"&amp;RIGHT("0"&amp;HOUR(D1509),2)&amp;":"&amp;RIGHT("0"&amp;MINUTE(D1509),2))&amp;" ")&amp;F1509)</f>
        <v/>
      </c>
      <c r="N1509" s="54">
        <f>IF(OR(A1509="",F1509=""),"",A1509&amp;"#"&amp;(COUNTIFS($A$5:$A$3004,A1509,$F$5:$F$3004,"?*",$O$5:$O$3004,"&lt;"&amp;O1509)+COUNTIFS($A$5:A1509,A1509,$F$5:F1509,"?*",$O$5:O1509,O1509)))</f>
        <v/>
      </c>
      <c r="O1509" s="54">
        <f>IF(A1509="","",IF(C1509="",0,C1509))</f>
        <v/>
      </c>
    </row>
    <row r="1510">
      <c r="A1510" s="58" t="n"/>
      <c r="B1510" s="49">
        <f>IF(A1510="","",CHOOSE(WEEKDAY(A1510,2),"Пн","Вт","Ср","Чт","Пт","Сб","Вс"))</f>
        <v/>
      </c>
      <c r="C1510" s="59" t="n"/>
      <c r="D1510" s="59" t="n"/>
      <c r="E1510" s="60">
        <f>IF(OR(C1510="",D1510=""),"",MOD(D1510-C1510,1)*24)</f>
        <v/>
      </c>
      <c r="F1510" s="50" t="n"/>
      <c r="G1510" s="51" t="n"/>
      <c r="H1510" s="51" t="n"/>
      <c r="I1510" s="51" t="n"/>
      <c r="J1510" s="51" t="n"/>
      <c r="K1510" s="51" t="n"/>
      <c r="L1510" s="54">
        <f>IF(OR(A1510="",C1510="",D1510=""),"",IF(COUNTIFS($A$5:$A$3004,A1510,$C$5:$C$3004,"&lt;"&amp;D1510,$D$5:$D$3004,"&gt;"&amp;C1510)&gt;1,"⚠️ пересечение",""))</f>
        <v/>
      </c>
      <c r="M1510" s="54">
        <f>IF(F1510="","",IF(J1510="✅ Сделано","✔ ",IF(J1510="❌ Пропущено","✖ ","⏰ "))&amp;IF(C1510="","",RIGHT("0"&amp;HOUR(C1510),2)&amp;":"&amp;RIGHT("0"&amp;MINUTE(C1510),2)&amp;IF(D1510="","","–"&amp;RIGHT("0"&amp;HOUR(D1510),2)&amp;":"&amp;RIGHT("0"&amp;MINUTE(D1510),2))&amp;" ")&amp;F1510)</f>
        <v/>
      </c>
      <c r="N1510" s="54">
        <f>IF(OR(A1510="",F1510=""),"",A1510&amp;"#"&amp;(COUNTIFS($A$5:$A$3004,A1510,$F$5:$F$3004,"?*",$O$5:$O$3004,"&lt;"&amp;O1510)+COUNTIFS($A$5:A1510,A1510,$F$5:F1510,"?*",$O$5:O1510,O1510)))</f>
        <v/>
      </c>
      <c r="O1510" s="54">
        <f>IF(A1510="","",IF(C1510="",0,C1510))</f>
        <v/>
      </c>
    </row>
    <row r="1511">
      <c r="A1511" s="58" t="n"/>
      <c r="B1511" s="49">
        <f>IF(A1511="","",CHOOSE(WEEKDAY(A1511,2),"Пн","Вт","Ср","Чт","Пт","Сб","Вс"))</f>
        <v/>
      </c>
      <c r="C1511" s="59" t="n"/>
      <c r="D1511" s="59" t="n"/>
      <c r="E1511" s="60">
        <f>IF(OR(C1511="",D1511=""),"",MOD(D1511-C1511,1)*24)</f>
        <v/>
      </c>
      <c r="F1511" s="50" t="n"/>
      <c r="G1511" s="51" t="n"/>
      <c r="H1511" s="51" t="n"/>
      <c r="I1511" s="51" t="n"/>
      <c r="J1511" s="51" t="n"/>
      <c r="K1511" s="51" t="n"/>
      <c r="L1511" s="54">
        <f>IF(OR(A1511="",C1511="",D1511=""),"",IF(COUNTIFS($A$5:$A$3004,A1511,$C$5:$C$3004,"&lt;"&amp;D1511,$D$5:$D$3004,"&gt;"&amp;C1511)&gt;1,"⚠️ пересечение",""))</f>
        <v/>
      </c>
      <c r="M1511" s="54">
        <f>IF(F1511="","",IF(J1511="✅ Сделано","✔ ",IF(J1511="❌ Пропущено","✖ ","⏰ "))&amp;IF(C1511="","",RIGHT("0"&amp;HOUR(C1511),2)&amp;":"&amp;RIGHT("0"&amp;MINUTE(C1511),2)&amp;IF(D1511="","","–"&amp;RIGHT("0"&amp;HOUR(D1511),2)&amp;":"&amp;RIGHT("0"&amp;MINUTE(D1511),2))&amp;" ")&amp;F1511)</f>
        <v/>
      </c>
      <c r="N1511" s="54">
        <f>IF(OR(A1511="",F1511=""),"",A1511&amp;"#"&amp;(COUNTIFS($A$5:$A$3004,A1511,$F$5:$F$3004,"?*",$O$5:$O$3004,"&lt;"&amp;O1511)+COUNTIFS($A$5:A1511,A1511,$F$5:F1511,"?*",$O$5:O1511,O1511)))</f>
        <v/>
      </c>
      <c r="O1511" s="54">
        <f>IF(A1511="","",IF(C1511="",0,C1511))</f>
        <v/>
      </c>
    </row>
    <row r="1512">
      <c r="A1512" s="58" t="n"/>
      <c r="B1512" s="49">
        <f>IF(A1512="","",CHOOSE(WEEKDAY(A1512,2),"Пн","Вт","Ср","Чт","Пт","Сб","Вс"))</f>
        <v/>
      </c>
      <c r="C1512" s="59" t="n"/>
      <c r="D1512" s="59" t="n"/>
      <c r="E1512" s="60">
        <f>IF(OR(C1512="",D1512=""),"",MOD(D1512-C1512,1)*24)</f>
        <v/>
      </c>
      <c r="F1512" s="50" t="n"/>
      <c r="G1512" s="51" t="n"/>
      <c r="H1512" s="51" t="n"/>
      <c r="I1512" s="51" t="n"/>
      <c r="J1512" s="51" t="n"/>
      <c r="K1512" s="51" t="n"/>
      <c r="L1512" s="54">
        <f>IF(OR(A1512="",C1512="",D1512=""),"",IF(COUNTIFS($A$5:$A$3004,A1512,$C$5:$C$3004,"&lt;"&amp;D1512,$D$5:$D$3004,"&gt;"&amp;C1512)&gt;1,"⚠️ пересечение",""))</f>
        <v/>
      </c>
      <c r="M1512" s="54">
        <f>IF(F1512="","",IF(J1512="✅ Сделано","✔ ",IF(J1512="❌ Пропущено","✖ ","⏰ "))&amp;IF(C1512="","",RIGHT("0"&amp;HOUR(C1512),2)&amp;":"&amp;RIGHT("0"&amp;MINUTE(C1512),2)&amp;IF(D1512="","","–"&amp;RIGHT("0"&amp;HOUR(D1512),2)&amp;":"&amp;RIGHT("0"&amp;MINUTE(D1512),2))&amp;" ")&amp;F1512)</f>
        <v/>
      </c>
      <c r="N1512" s="54">
        <f>IF(OR(A1512="",F1512=""),"",A1512&amp;"#"&amp;(COUNTIFS($A$5:$A$3004,A1512,$F$5:$F$3004,"?*",$O$5:$O$3004,"&lt;"&amp;O1512)+COUNTIFS($A$5:A1512,A1512,$F$5:F1512,"?*",$O$5:O1512,O1512)))</f>
        <v/>
      </c>
      <c r="O1512" s="54">
        <f>IF(A1512="","",IF(C1512="",0,C1512))</f>
        <v/>
      </c>
    </row>
    <row r="1513">
      <c r="A1513" s="58" t="n"/>
      <c r="B1513" s="49">
        <f>IF(A1513="","",CHOOSE(WEEKDAY(A1513,2),"Пн","Вт","Ср","Чт","Пт","Сб","Вс"))</f>
        <v/>
      </c>
      <c r="C1513" s="59" t="n"/>
      <c r="D1513" s="59" t="n"/>
      <c r="E1513" s="60">
        <f>IF(OR(C1513="",D1513=""),"",MOD(D1513-C1513,1)*24)</f>
        <v/>
      </c>
      <c r="F1513" s="50" t="n"/>
      <c r="G1513" s="51" t="n"/>
      <c r="H1513" s="51" t="n"/>
      <c r="I1513" s="51" t="n"/>
      <c r="J1513" s="51" t="n"/>
      <c r="K1513" s="51" t="n"/>
      <c r="L1513" s="54">
        <f>IF(OR(A1513="",C1513="",D1513=""),"",IF(COUNTIFS($A$5:$A$3004,A1513,$C$5:$C$3004,"&lt;"&amp;D1513,$D$5:$D$3004,"&gt;"&amp;C1513)&gt;1,"⚠️ пересечение",""))</f>
        <v/>
      </c>
      <c r="M1513" s="54">
        <f>IF(F1513="","",IF(J1513="✅ Сделано","✔ ",IF(J1513="❌ Пропущено","✖ ","⏰ "))&amp;IF(C1513="","",RIGHT("0"&amp;HOUR(C1513),2)&amp;":"&amp;RIGHT("0"&amp;MINUTE(C1513),2)&amp;IF(D1513="","","–"&amp;RIGHT("0"&amp;HOUR(D1513),2)&amp;":"&amp;RIGHT("0"&amp;MINUTE(D1513),2))&amp;" ")&amp;F1513)</f>
        <v/>
      </c>
      <c r="N1513" s="54">
        <f>IF(OR(A1513="",F1513=""),"",A1513&amp;"#"&amp;(COUNTIFS($A$5:$A$3004,A1513,$F$5:$F$3004,"?*",$O$5:$O$3004,"&lt;"&amp;O1513)+COUNTIFS($A$5:A1513,A1513,$F$5:F1513,"?*",$O$5:O1513,O1513)))</f>
        <v/>
      </c>
      <c r="O1513" s="54">
        <f>IF(A1513="","",IF(C1513="",0,C1513))</f>
        <v/>
      </c>
    </row>
    <row r="1514">
      <c r="A1514" s="58" t="n"/>
      <c r="B1514" s="49">
        <f>IF(A1514="","",CHOOSE(WEEKDAY(A1514,2),"Пн","Вт","Ср","Чт","Пт","Сб","Вс"))</f>
        <v/>
      </c>
      <c r="C1514" s="59" t="n"/>
      <c r="D1514" s="59" t="n"/>
      <c r="E1514" s="60">
        <f>IF(OR(C1514="",D1514=""),"",MOD(D1514-C1514,1)*24)</f>
        <v/>
      </c>
      <c r="F1514" s="50" t="n"/>
      <c r="G1514" s="51" t="n"/>
      <c r="H1514" s="51" t="n"/>
      <c r="I1514" s="51" t="n"/>
      <c r="J1514" s="51" t="n"/>
      <c r="K1514" s="51" t="n"/>
      <c r="L1514" s="54">
        <f>IF(OR(A1514="",C1514="",D1514=""),"",IF(COUNTIFS($A$5:$A$3004,A1514,$C$5:$C$3004,"&lt;"&amp;D1514,$D$5:$D$3004,"&gt;"&amp;C1514)&gt;1,"⚠️ пересечение",""))</f>
        <v/>
      </c>
      <c r="M1514" s="54">
        <f>IF(F1514="","",IF(J1514="✅ Сделано","✔ ",IF(J1514="❌ Пропущено","✖ ","⏰ "))&amp;IF(C1514="","",RIGHT("0"&amp;HOUR(C1514),2)&amp;":"&amp;RIGHT("0"&amp;MINUTE(C1514),2)&amp;IF(D1514="","","–"&amp;RIGHT("0"&amp;HOUR(D1514),2)&amp;":"&amp;RIGHT("0"&amp;MINUTE(D1514),2))&amp;" ")&amp;F1514)</f>
        <v/>
      </c>
      <c r="N1514" s="54">
        <f>IF(OR(A1514="",F1514=""),"",A1514&amp;"#"&amp;(COUNTIFS($A$5:$A$3004,A1514,$F$5:$F$3004,"?*",$O$5:$O$3004,"&lt;"&amp;O1514)+COUNTIFS($A$5:A1514,A1514,$F$5:F1514,"?*",$O$5:O1514,O1514)))</f>
        <v/>
      </c>
      <c r="O1514" s="54">
        <f>IF(A1514="","",IF(C1514="",0,C1514))</f>
        <v/>
      </c>
    </row>
    <row r="1515">
      <c r="A1515" s="58" t="n"/>
      <c r="B1515" s="49">
        <f>IF(A1515="","",CHOOSE(WEEKDAY(A1515,2),"Пн","Вт","Ср","Чт","Пт","Сб","Вс"))</f>
        <v/>
      </c>
      <c r="C1515" s="59" t="n"/>
      <c r="D1515" s="59" t="n"/>
      <c r="E1515" s="60">
        <f>IF(OR(C1515="",D1515=""),"",MOD(D1515-C1515,1)*24)</f>
        <v/>
      </c>
      <c r="F1515" s="50" t="n"/>
      <c r="G1515" s="51" t="n"/>
      <c r="H1515" s="51" t="n"/>
      <c r="I1515" s="51" t="n"/>
      <c r="J1515" s="51" t="n"/>
      <c r="K1515" s="51" t="n"/>
      <c r="L1515" s="54">
        <f>IF(OR(A1515="",C1515="",D1515=""),"",IF(COUNTIFS($A$5:$A$3004,A1515,$C$5:$C$3004,"&lt;"&amp;D1515,$D$5:$D$3004,"&gt;"&amp;C1515)&gt;1,"⚠️ пересечение",""))</f>
        <v/>
      </c>
      <c r="M1515" s="54">
        <f>IF(F1515="","",IF(J1515="✅ Сделано","✔ ",IF(J1515="❌ Пропущено","✖ ","⏰ "))&amp;IF(C1515="","",RIGHT("0"&amp;HOUR(C1515),2)&amp;":"&amp;RIGHT("0"&amp;MINUTE(C1515),2)&amp;IF(D1515="","","–"&amp;RIGHT("0"&amp;HOUR(D1515),2)&amp;":"&amp;RIGHT("0"&amp;MINUTE(D1515),2))&amp;" ")&amp;F1515)</f>
        <v/>
      </c>
      <c r="N1515" s="54">
        <f>IF(OR(A1515="",F1515=""),"",A1515&amp;"#"&amp;(COUNTIFS($A$5:$A$3004,A1515,$F$5:$F$3004,"?*",$O$5:$O$3004,"&lt;"&amp;O1515)+COUNTIFS($A$5:A1515,A1515,$F$5:F1515,"?*",$O$5:O1515,O1515)))</f>
        <v/>
      </c>
      <c r="O1515" s="54">
        <f>IF(A1515="","",IF(C1515="",0,C1515))</f>
        <v/>
      </c>
    </row>
    <row r="1516">
      <c r="A1516" s="58" t="n"/>
      <c r="B1516" s="49">
        <f>IF(A1516="","",CHOOSE(WEEKDAY(A1516,2),"Пн","Вт","Ср","Чт","Пт","Сб","Вс"))</f>
        <v/>
      </c>
      <c r="C1516" s="59" t="n"/>
      <c r="D1516" s="59" t="n"/>
      <c r="E1516" s="60">
        <f>IF(OR(C1516="",D1516=""),"",MOD(D1516-C1516,1)*24)</f>
        <v/>
      </c>
      <c r="F1516" s="50" t="n"/>
      <c r="G1516" s="51" t="n"/>
      <c r="H1516" s="51" t="n"/>
      <c r="I1516" s="51" t="n"/>
      <c r="J1516" s="51" t="n"/>
      <c r="K1516" s="51" t="n"/>
      <c r="L1516" s="54">
        <f>IF(OR(A1516="",C1516="",D1516=""),"",IF(COUNTIFS($A$5:$A$3004,A1516,$C$5:$C$3004,"&lt;"&amp;D1516,$D$5:$D$3004,"&gt;"&amp;C1516)&gt;1,"⚠️ пересечение",""))</f>
        <v/>
      </c>
      <c r="M1516" s="54">
        <f>IF(F1516="","",IF(J1516="✅ Сделано","✔ ",IF(J1516="❌ Пропущено","✖ ","⏰ "))&amp;IF(C1516="","",RIGHT("0"&amp;HOUR(C1516),2)&amp;":"&amp;RIGHT("0"&amp;MINUTE(C1516),2)&amp;IF(D1516="","","–"&amp;RIGHT("0"&amp;HOUR(D1516),2)&amp;":"&amp;RIGHT("0"&amp;MINUTE(D1516),2))&amp;" ")&amp;F1516)</f>
        <v/>
      </c>
      <c r="N1516" s="54">
        <f>IF(OR(A1516="",F1516=""),"",A1516&amp;"#"&amp;(COUNTIFS($A$5:$A$3004,A1516,$F$5:$F$3004,"?*",$O$5:$O$3004,"&lt;"&amp;O1516)+COUNTIFS($A$5:A1516,A1516,$F$5:F1516,"?*",$O$5:O1516,O1516)))</f>
        <v/>
      </c>
      <c r="O1516" s="54">
        <f>IF(A1516="","",IF(C1516="",0,C1516))</f>
        <v/>
      </c>
    </row>
    <row r="1517">
      <c r="A1517" s="58" t="n"/>
      <c r="B1517" s="49">
        <f>IF(A1517="","",CHOOSE(WEEKDAY(A1517,2),"Пн","Вт","Ср","Чт","Пт","Сб","Вс"))</f>
        <v/>
      </c>
      <c r="C1517" s="59" t="n"/>
      <c r="D1517" s="59" t="n"/>
      <c r="E1517" s="60">
        <f>IF(OR(C1517="",D1517=""),"",MOD(D1517-C1517,1)*24)</f>
        <v/>
      </c>
      <c r="F1517" s="50" t="n"/>
      <c r="G1517" s="51" t="n"/>
      <c r="H1517" s="51" t="n"/>
      <c r="I1517" s="51" t="n"/>
      <c r="J1517" s="51" t="n"/>
      <c r="K1517" s="51" t="n"/>
      <c r="L1517" s="54">
        <f>IF(OR(A1517="",C1517="",D1517=""),"",IF(COUNTIFS($A$5:$A$3004,A1517,$C$5:$C$3004,"&lt;"&amp;D1517,$D$5:$D$3004,"&gt;"&amp;C1517)&gt;1,"⚠️ пересечение",""))</f>
        <v/>
      </c>
      <c r="M1517" s="54">
        <f>IF(F1517="","",IF(J1517="✅ Сделано","✔ ",IF(J1517="❌ Пропущено","✖ ","⏰ "))&amp;IF(C1517="","",RIGHT("0"&amp;HOUR(C1517),2)&amp;":"&amp;RIGHT("0"&amp;MINUTE(C1517),2)&amp;IF(D1517="","","–"&amp;RIGHT("0"&amp;HOUR(D1517),2)&amp;":"&amp;RIGHT("0"&amp;MINUTE(D1517),2))&amp;" ")&amp;F1517)</f>
        <v/>
      </c>
      <c r="N1517" s="54">
        <f>IF(OR(A1517="",F1517=""),"",A1517&amp;"#"&amp;(COUNTIFS($A$5:$A$3004,A1517,$F$5:$F$3004,"?*",$O$5:$O$3004,"&lt;"&amp;O1517)+COUNTIFS($A$5:A1517,A1517,$F$5:F1517,"?*",$O$5:O1517,O1517)))</f>
        <v/>
      </c>
      <c r="O1517" s="54">
        <f>IF(A1517="","",IF(C1517="",0,C1517))</f>
        <v/>
      </c>
    </row>
    <row r="1518">
      <c r="A1518" s="58" t="n"/>
      <c r="B1518" s="49">
        <f>IF(A1518="","",CHOOSE(WEEKDAY(A1518,2),"Пн","Вт","Ср","Чт","Пт","Сб","Вс"))</f>
        <v/>
      </c>
      <c r="C1518" s="59" t="n"/>
      <c r="D1518" s="59" t="n"/>
      <c r="E1518" s="60">
        <f>IF(OR(C1518="",D1518=""),"",MOD(D1518-C1518,1)*24)</f>
        <v/>
      </c>
      <c r="F1518" s="50" t="n"/>
      <c r="G1518" s="51" t="n"/>
      <c r="H1518" s="51" t="n"/>
      <c r="I1518" s="51" t="n"/>
      <c r="J1518" s="51" t="n"/>
      <c r="K1518" s="51" t="n"/>
      <c r="L1518" s="54">
        <f>IF(OR(A1518="",C1518="",D1518=""),"",IF(COUNTIFS($A$5:$A$3004,A1518,$C$5:$C$3004,"&lt;"&amp;D1518,$D$5:$D$3004,"&gt;"&amp;C1518)&gt;1,"⚠️ пересечение",""))</f>
        <v/>
      </c>
      <c r="M1518" s="54">
        <f>IF(F1518="","",IF(J1518="✅ Сделано","✔ ",IF(J1518="❌ Пропущено","✖ ","⏰ "))&amp;IF(C1518="","",RIGHT("0"&amp;HOUR(C1518),2)&amp;":"&amp;RIGHT("0"&amp;MINUTE(C1518),2)&amp;IF(D1518="","","–"&amp;RIGHT("0"&amp;HOUR(D1518),2)&amp;":"&amp;RIGHT("0"&amp;MINUTE(D1518),2))&amp;" ")&amp;F1518)</f>
        <v/>
      </c>
      <c r="N1518" s="54">
        <f>IF(OR(A1518="",F1518=""),"",A1518&amp;"#"&amp;(COUNTIFS($A$5:$A$3004,A1518,$F$5:$F$3004,"?*",$O$5:$O$3004,"&lt;"&amp;O1518)+COUNTIFS($A$5:A1518,A1518,$F$5:F1518,"?*",$O$5:O1518,O1518)))</f>
        <v/>
      </c>
      <c r="O1518" s="54">
        <f>IF(A1518="","",IF(C1518="",0,C1518))</f>
        <v/>
      </c>
    </row>
    <row r="1519">
      <c r="A1519" s="58" t="n"/>
      <c r="B1519" s="49">
        <f>IF(A1519="","",CHOOSE(WEEKDAY(A1519,2),"Пн","Вт","Ср","Чт","Пт","Сб","Вс"))</f>
        <v/>
      </c>
      <c r="C1519" s="59" t="n"/>
      <c r="D1519" s="59" t="n"/>
      <c r="E1519" s="60">
        <f>IF(OR(C1519="",D1519=""),"",MOD(D1519-C1519,1)*24)</f>
        <v/>
      </c>
      <c r="F1519" s="50" t="n"/>
      <c r="G1519" s="51" t="n"/>
      <c r="H1519" s="51" t="n"/>
      <c r="I1519" s="51" t="n"/>
      <c r="J1519" s="51" t="n"/>
      <c r="K1519" s="51" t="n"/>
      <c r="L1519" s="54">
        <f>IF(OR(A1519="",C1519="",D1519=""),"",IF(COUNTIFS($A$5:$A$3004,A1519,$C$5:$C$3004,"&lt;"&amp;D1519,$D$5:$D$3004,"&gt;"&amp;C1519)&gt;1,"⚠️ пересечение",""))</f>
        <v/>
      </c>
      <c r="M1519" s="54">
        <f>IF(F1519="","",IF(J1519="✅ Сделано","✔ ",IF(J1519="❌ Пропущено","✖ ","⏰ "))&amp;IF(C1519="","",RIGHT("0"&amp;HOUR(C1519),2)&amp;":"&amp;RIGHT("0"&amp;MINUTE(C1519),2)&amp;IF(D1519="","","–"&amp;RIGHT("0"&amp;HOUR(D1519),2)&amp;":"&amp;RIGHT("0"&amp;MINUTE(D1519),2))&amp;" ")&amp;F1519)</f>
        <v/>
      </c>
      <c r="N1519" s="54">
        <f>IF(OR(A1519="",F1519=""),"",A1519&amp;"#"&amp;(COUNTIFS($A$5:$A$3004,A1519,$F$5:$F$3004,"?*",$O$5:$O$3004,"&lt;"&amp;O1519)+COUNTIFS($A$5:A1519,A1519,$F$5:F1519,"?*",$O$5:O1519,O1519)))</f>
        <v/>
      </c>
      <c r="O1519" s="54">
        <f>IF(A1519="","",IF(C1519="",0,C1519))</f>
        <v/>
      </c>
    </row>
    <row r="1520">
      <c r="A1520" s="58" t="n"/>
      <c r="B1520" s="49">
        <f>IF(A1520="","",CHOOSE(WEEKDAY(A1520,2),"Пн","Вт","Ср","Чт","Пт","Сб","Вс"))</f>
        <v/>
      </c>
      <c r="C1520" s="59" t="n"/>
      <c r="D1520" s="59" t="n"/>
      <c r="E1520" s="60">
        <f>IF(OR(C1520="",D1520=""),"",MOD(D1520-C1520,1)*24)</f>
        <v/>
      </c>
      <c r="F1520" s="50" t="n"/>
      <c r="G1520" s="51" t="n"/>
      <c r="H1520" s="51" t="n"/>
      <c r="I1520" s="51" t="n"/>
      <c r="J1520" s="51" t="n"/>
      <c r="K1520" s="51" t="n"/>
      <c r="L1520" s="54">
        <f>IF(OR(A1520="",C1520="",D1520=""),"",IF(COUNTIFS($A$5:$A$3004,A1520,$C$5:$C$3004,"&lt;"&amp;D1520,$D$5:$D$3004,"&gt;"&amp;C1520)&gt;1,"⚠️ пересечение",""))</f>
        <v/>
      </c>
      <c r="M1520" s="54">
        <f>IF(F1520="","",IF(J1520="✅ Сделано","✔ ",IF(J1520="❌ Пропущено","✖ ","⏰ "))&amp;IF(C1520="","",RIGHT("0"&amp;HOUR(C1520),2)&amp;":"&amp;RIGHT("0"&amp;MINUTE(C1520),2)&amp;IF(D1520="","","–"&amp;RIGHT("0"&amp;HOUR(D1520),2)&amp;":"&amp;RIGHT("0"&amp;MINUTE(D1520),2))&amp;" ")&amp;F1520)</f>
        <v/>
      </c>
      <c r="N1520" s="54">
        <f>IF(OR(A1520="",F1520=""),"",A1520&amp;"#"&amp;(COUNTIFS($A$5:$A$3004,A1520,$F$5:$F$3004,"?*",$O$5:$O$3004,"&lt;"&amp;O1520)+COUNTIFS($A$5:A1520,A1520,$F$5:F1520,"?*",$O$5:O1520,O1520)))</f>
        <v/>
      </c>
      <c r="O1520" s="54">
        <f>IF(A1520="","",IF(C1520="",0,C1520))</f>
        <v/>
      </c>
    </row>
    <row r="1521">
      <c r="A1521" s="58" t="n"/>
      <c r="B1521" s="49">
        <f>IF(A1521="","",CHOOSE(WEEKDAY(A1521,2),"Пн","Вт","Ср","Чт","Пт","Сб","Вс"))</f>
        <v/>
      </c>
      <c r="C1521" s="59" t="n"/>
      <c r="D1521" s="59" t="n"/>
      <c r="E1521" s="60">
        <f>IF(OR(C1521="",D1521=""),"",MOD(D1521-C1521,1)*24)</f>
        <v/>
      </c>
      <c r="F1521" s="50" t="n"/>
      <c r="G1521" s="51" t="n"/>
      <c r="H1521" s="51" t="n"/>
      <c r="I1521" s="51" t="n"/>
      <c r="J1521" s="51" t="n"/>
      <c r="K1521" s="51" t="n"/>
      <c r="L1521" s="54">
        <f>IF(OR(A1521="",C1521="",D1521=""),"",IF(COUNTIFS($A$5:$A$3004,A1521,$C$5:$C$3004,"&lt;"&amp;D1521,$D$5:$D$3004,"&gt;"&amp;C1521)&gt;1,"⚠️ пересечение",""))</f>
        <v/>
      </c>
      <c r="M1521" s="54">
        <f>IF(F1521="","",IF(J1521="✅ Сделано","✔ ",IF(J1521="❌ Пропущено","✖ ","⏰ "))&amp;IF(C1521="","",RIGHT("0"&amp;HOUR(C1521),2)&amp;":"&amp;RIGHT("0"&amp;MINUTE(C1521),2)&amp;IF(D1521="","","–"&amp;RIGHT("0"&amp;HOUR(D1521),2)&amp;":"&amp;RIGHT("0"&amp;MINUTE(D1521),2))&amp;" ")&amp;F1521)</f>
        <v/>
      </c>
      <c r="N1521" s="54">
        <f>IF(OR(A1521="",F1521=""),"",A1521&amp;"#"&amp;(COUNTIFS($A$5:$A$3004,A1521,$F$5:$F$3004,"?*",$O$5:$O$3004,"&lt;"&amp;O1521)+COUNTIFS($A$5:A1521,A1521,$F$5:F1521,"?*",$O$5:O1521,O1521)))</f>
        <v/>
      </c>
      <c r="O1521" s="54">
        <f>IF(A1521="","",IF(C1521="",0,C1521))</f>
        <v/>
      </c>
    </row>
    <row r="1522">
      <c r="A1522" s="58" t="n"/>
      <c r="B1522" s="49">
        <f>IF(A1522="","",CHOOSE(WEEKDAY(A1522,2),"Пн","Вт","Ср","Чт","Пт","Сб","Вс"))</f>
        <v/>
      </c>
      <c r="C1522" s="59" t="n"/>
      <c r="D1522" s="59" t="n"/>
      <c r="E1522" s="60">
        <f>IF(OR(C1522="",D1522=""),"",MOD(D1522-C1522,1)*24)</f>
        <v/>
      </c>
      <c r="F1522" s="50" t="n"/>
      <c r="G1522" s="51" t="n"/>
      <c r="H1522" s="51" t="n"/>
      <c r="I1522" s="51" t="n"/>
      <c r="J1522" s="51" t="n"/>
      <c r="K1522" s="51" t="n"/>
      <c r="L1522" s="54">
        <f>IF(OR(A1522="",C1522="",D1522=""),"",IF(COUNTIFS($A$5:$A$3004,A1522,$C$5:$C$3004,"&lt;"&amp;D1522,$D$5:$D$3004,"&gt;"&amp;C1522)&gt;1,"⚠️ пересечение",""))</f>
        <v/>
      </c>
      <c r="M1522" s="54">
        <f>IF(F1522="","",IF(J1522="✅ Сделано","✔ ",IF(J1522="❌ Пропущено","✖ ","⏰ "))&amp;IF(C1522="","",RIGHT("0"&amp;HOUR(C1522),2)&amp;":"&amp;RIGHT("0"&amp;MINUTE(C1522),2)&amp;IF(D1522="","","–"&amp;RIGHT("0"&amp;HOUR(D1522),2)&amp;":"&amp;RIGHT("0"&amp;MINUTE(D1522),2))&amp;" ")&amp;F1522)</f>
        <v/>
      </c>
      <c r="N1522" s="54">
        <f>IF(OR(A1522="",F1522=""),"",A1522&amp;"#"&amp;(COUNTIFS($A$5:$A$3004,A1522,$F$5:$F$3004,"?*",$O$5:$O$3004,"&lt;"&amp;O1522)+COUNTIFS($A$5:A1522,A1522,$F$5:F1522,"?*",$O$5:O1522,O1522)))</f>
        <v/>
      </c>
      <c r="O1522" s="54">
        <f>IF(A1522="","",IF(C1522="",0,C1522))</f>
        <v/>
      </c>
    </row>
    <row r="1523">
      <c r="A1523" s="58" t="n"/>
      <c r="B1523" s="49">
        <f>IF(A1523="","",CHOOSE(WEEKDAY(A1523,2),"Пн","Вт","Ср","Чт","Пт","Сб","Вс"))</f>
        <v/>
      </c>
      <c r="C1523" s="59" t="n"/>
      <c r="D1523" s="59" t="n"/>
      <c r="E1523" s="60">
        <f>IF(OR(C1523="",D1523=""),"",MOD(D1523-C1523,1)*24)</f>
        <v/>
      </c>
      <c r="F1523" s="50" t="n"/>
      <c r="G1523" s="51" t="n"/>
      <c r="H1523" s="51" t="n"/>
      <c r="I1523" s="51" t="n"/>
      <c r="J1523" s="51" t="n"/>
      <c r="K1523" s="51" t="n"/>
      <c r="L1523" s="54">
        <f>IF(OR(A1523="",C1523="",D1523=""),"",IF(COUNTIFS($A$5:$A$3004,A1523,$C$5:$C$3004,"&lt;"&amp;D1523,$D$5:$D$3004,"&gt;"&amp;C1523)&gt;1,"⚠️ пересечение",""))</f>
        <v/>
      </c>
      <c r="M1523" s="54">
        <f>IF(F1523="","",IF(J1523="✅ Сделано","✔ ",IF(J1523="❌ Пропущено","✖ ","⏰ "))&amp;IF(C1523="","",RIGHT("0"&amp;HOUR(C1523),2)&amp;":"&amp;RIGHT("0"&amp;MINUTE(C1523),2)&amp;IF(D1523="","","–"&amp;RIGHT("0"&amp;HOUR(D1523),2)&amp;":"&amp;RIGHT("0"&amp;MINUTE(D1523),2))&amp;" ")&amp;F1523)</f>
        <v/>
      </c>
      <c r="N1523" s="54">
        <f>IF(OR(A1523="",F1523=""),"",A1523&amp;"#"&amp;(COUNTIFS($A$5:$A$3004,A1523,$F$5:$F$3004,"?*",$O$5:$O$3004,"&lt;"&amp;O1523)+COUNTIFS($A$5:A1523,A1523,$F$5:F1523,"?*",$O$5:O1523,O1523)))</f>
        <v/>
      </c>
      <c r="O1523" s="54">
        <f>IF(A1523="","",IF(C1523="",0,C1523))</f>
        <v/>
      </c>
    </row>
    <row r="1524">
      <c r="A1524" s="58" t="n"/>
      <c r="B1524" s="49">
        <f>IF(A1524="","",CHOOSE(WEEKDAY(A1524,2),"Пн","Вт","Ср","Чт","Пт","Сб","Вс"))</f>
        <v/>
      </c>
      <c r="C1524" s="59" t="n"/>
      <c r="D1524" s="59" t="n"/>
      <c r="E1524" s="60">
        <f>IF(OR(C1524="",D1524=""),"",MOD(D1524-C1524,1)*24)</f>
        <v/>
      </c>
      <c r="F1524" s="50" t="n"/>
      <c r="G1524" s="51" t="n"/>
      <c r="H1524" s="51" t="n"/>
      <c r="I1524" s="51" t="n"/>
      <c r="J1524" s="51" t="n"/>
      <c r="K1524" s="51" t="n"/>
      <c r="L1524" s="54">
        <f>IF(OR(A1524="",C1524="",D1524=""),"",IF(COUNTIFS($A$5:$A$3004,A1524,$C$5:$C$3004,"&lt;"&amp;D1524,$D$5:$D$3004,"&gt;"&amp;C1524)&gt;1,"⚠️ пересечение",""))</f>
        <v/>
      </c>
      <c r="M1524" s="54">
        <f>IF(F1524="","",IF(J1524="✅ Сделано","✔ ",IF(J1524="❌ Пропущено","✖ ","⏰ "))&amp;IF(C1524="","",RIGHT("0"&amp;HOUR(C1524),2)&amp;":"&amp;RIGHT("0"&amp;MINUTE(C1524),2)&amp;IF(D1524="","","–"&amp;RIGHT("0"&amp;HOUR(D1524),2)&amp;":"&amp;RIGHT("0"&amp;MINUTE(D1524),2))&amp;" ")&amp;F1524)</f>
        <v/>
      </c>
      <c r="N1524" s="54">
        <f>IF(OR(A1524="",F1524=""),"",A1524&amp;"#"&amp;(COUNTIFS($A$5:$A$3004,A1524,$F$5:$F$3004,"?*",$O$5:$O$3004,"&lt;"&amp;O1524)+COUNTIFS($A$5:A1524,A1524,$F$5:F1524,"?*",$O$5:O1524,O1524)))</f>
        <v/>
      </c>
      <c r="O1524" s="54">
        <f>IF(A1524="","",IF(C1524="",0,C1524))</f>
        <v/>
      </c>
    </row>
    <row r="1525">
      <c r="A1525" s="58" t="n"/>
      <c r="B1525" s="49">
        <f>IF(A1525="","",CHOOSE(WEEKDAY(A1525,2),"Пн","Вт","Ср","Чт","Пт","Сб","Вс"))</f>
        <v/>
      </c>
      <c r="C1525" s="59" t="n"/>
      <c r="D1525" s="59" t="n"/>
      <c r="E1525" s="60">
        <f>IF(OR(C1525="",D1525=""),"",MOD(D1525-C1525,1)*24)</f>
        <v/>
      </c>
      <c r="F1525" s="50" t="n"/>
      <c r="G1525" s="51" t="n"/>
      <c r="H1525" s="51" t="n"/>
      <c r="I1525" s="51" t="n"/>
      <c r="J1525" s="51" t="n"/>
      <c r="K1525" s="51" t="n"/>
      <c r="L1525" s="54">
        <f>IF(OR(A1525="",C1525="",D1525=""),"",IF(COUNTIFS($A$5:$A$3004,A1525,$C$5:$C$3004,"&lt;"&amp;D1525,$D$5:$D$3004,"&gt;"&amp;C1525)&gt;1,"⚠️ пересечение",""))</f>
        <v/>
      </c>
      <c r="M1525" s="54">
        <f>IF(F1525="","",IF(J1525="✅ Сделано","✔ ",IF(J1525="❌ Пропущено","✖ ","⏰ "))&amp;IF(C1525="","",RIGHT("0"&amp;HOUR(C1525),2)&amp;":"&amp;RIGHT("0"&amp;MINUTE(C1525),2)&amp;IF(D1525="","","–"&amp;RIGHT("0"&amp;HOUR(D1525),2)&amp;":"&amp;RIGHT("0"&amp;MINUTE(D1525),2))&amp;" ")&amp;F1525)</f>
        <v/>
      </c>
      <c r="N1525" s="54">
        <f>IF(OR(A1525="",F1525=""),"",A1525&amp;"#"&amp;(COUNTIFS($A$5:$A$3004,A1525,$F$5:$F$3004,"?*",$O$5:$O$3004,"&lt;"&amp;O1525)+COUNTIFS($A$5:A1525,A1525,$F$5:F1525,"?*",$O$5:O1525,O1525)))</f>
        <v/>
      </c>
      <c r="O1525" s="54">
        <f>IF(A1525="","",IF(C1525="",0,C1525))</f>
        <v/>
      </c>
    </row>
    <row r="1526">
      <c r="A1526" s="58" t="n"/>
      <c r="B1526" s="49">
        <f>IF(A1526="","",CHOOSE(WEEKDAY(A1526,2),"Пн","Вт","Ср","Чт","Пт","Сб","Вс"))</f>
        <v/>
      </c>
      <c r="C1526" s="59" t="n"/>
      <c r="D1526" s="59" t="n"/>
      <c r="E1526" s="60">
        <f>IF(OR(C1526="",D1526=""),"",MOD(D1526-C1526,1)*24)</f>
        <v/>
      </c>
      <c r="F1526" s="50" t="n"/>
      <c r="G1526" s="51" t="n"/>
      <c r="H1526" s="51" t="n"/>
      <c r="I1526" s="51" t="n"/>
      <c r="J1526" s="51" t="n"/>
      <c r="K1526" s="51" t="n"/>
      <c r="L1526" s="54">
        <f>IF(OR(A1526="",C1526="",D1526=""),"",IF(COUNTIFS($A$5:$A$3004,A1526,$C$5:$C$3004,"&lt;"&amp;D1526,$D$5:$D$3004,"&gt;"&amp;C1526)&gt;1,"⚠️ пересечение",""))</f>
        <v/>
      </c>
      <c r="M1526" s="54">
        <f>IF(F1526="","",IF(J1526="✅ Сделано","✔ ",IF(J1526="❌ Пропущено","✖ ","⏰ "))&amp;IF(C1526="","",RIGHT("0"&amp;HOUR(C1526),2)&amp;":"&amp;RIGHT("0"&amp;MINUTE(C1526),2)&amp;IF(D1526="","","–"&amp;RIGHT("0"&amp;HOUR(D1526),2)&amp;":"&amp;RIGHT("0"&amp;MINUTE(D1526),2))&amp;" ")&amp;F1526)</f>
        <v/>
      </c>
      <c r="N1526" s="54">
        <f>IF(OR(A1526="",F1526=""),"",A1526&amp;"#"&amp;(COUNTIFS($A$5:$A$3004,A1526,$F$5:$F$3004,"?*",$O$5:$O$3004,"&lt;"&amp;O1526)+COUNTIFS($A$5:A1526,A1526,$F$5:F1526,"?*",$O$5:O1526,O1526)))</f>
        <v/>
      </c>
      <c r="O1526" s="54">
        <f>IF(A1526="","",IF(C1526="",0,C1526))</f>
        <v/>
      </c>
    </row>
    <row r="1527">
      <c r="A1527" s="58" t="n"/>
      <c r="B1527" s="49">
        <f>IF(A1527="","",CHOOSE(WEEKDAY(A1527,2),"Пн","Вт","Ср","Чт","Пт","Сб","Вс"))</f>
        <v/>
      </c>
      <c r="C1527" s="59" t="n"/>
      <c r="D1527" s="59" t="n"/>
      <c r="E1527" s="60">
        <f>IF(OR(C1527="",D1527=""),"",MOD(D1527-C1527,1)*24)</f>
        <v/>
      </c>
      <c r="F1527" s="50" t="n"/>
      <c r="G1527" s="51" t="n"/>
      <c r="H1527" s="51" t="n"/>
      <c r="I1527" s="51" t="n"/>
      <c r="J1527" s="51" t="n"/>
      <c r="K1527" s="51" t="n"/>
      <c r="L1527" s="54">
        <f>IF(OR(A1527="",C1527="",D1527=""),"",IF(COUNTIFS($A$5:$A$3004,A1527,$C$5:$C$3004,"&lt;"&amp;D1527,$D$5:$D$3004,"&gt;"&amp;C1527)&gt;1,"⚠️ пересечение",""))</f>
        <v/>
      </c>
      <c r="M1527" s="54">
        <f>IF(F1527="","",IF(J1527="✅ Сделано","✔ ",IF(J1527="❌ Пропущено","✖ ","⏰ "))&amp;IF(C1527="","",RIGHT("0"&amp;HOUR(C1527),2)&amp;":"&amp;RIGHT("0"&amp;MINUTE(C1527),2)&amp;IF(D1527="","","–"&amp;RIGHT("0"&amp;HOUR(D1527),2)&amp;":"&amp;RIGHT("0"&amp;MINUTE(D1527),2))&amp;" ")&amp;F1527)</f>
        <v/>
      </c>
      <c r="N1527" s="54">
        <f>IF(OR(A1527="",F1527=""),"",A1527&amp;"#"&amp;(COUNTIFS($A$5:$A$3004,A1527,$F$5:$F$3004,"?*",$O$5:$O$3004,"&lt;"&amp;O1527)+COUNTIFS($A$5:A1527,A1527,$F$5:F1527,"?*",$O$5:O1527,O1527)))</f>
        <v/>
      </c>
      <c r="O1527" s="54">
        <f>IF(A1527="","",IF(C1527="",0,C1527))</f>
        <v/>
      </c>
    </row>
    <row r="1528">
      <c r="A1528" s="58" t="n"/>
      <c r="B1528" s="49">
        <f>IF(A1528="","",CHOOSE(WEEKDAY(A1528,2),"Пн","Вт","Ср","Чт","Пт","Сб","Вс"))</f>
        <v/>
      </c>
      <c r="C1528" s="59" t="n"/>
      <c r="D1528" s="59" t="n"/>
      <c r="E1528" s="60">
        <f>IF(OR(C1528="",D1528=""),"",MOD(D1528-C1528,1)*24)</f>
        <v/>
      </c>
      <c r="F1528" s="50" t="n"/>
      <c r="G1528" s="51" t="n"/>
      <c r="H1528" s="51" t="n"/>
      <c r="I1528" s="51" t="n"/>
      <c r="J1528" s="51" t="n"/>
      <c r="K1528" s="51" t="n"/>
      <c r="L1528" s="54">
        <f>IF(OR(A1528="",C1528="",D1528=""),"",IF(COUNTIFS($A$5:$A$3004,A1528,$C$5:$C$3004,"&lt;"&amp;D1528,$D$5:$D$3004,"&gt;"&amp;C1528)&gt;1,"⚠️ пересечение",""))</f>
        <v/>
      </c>
      <c r="M1528" s="54">
        <f>IF(F1528="","",IF(J1528="✅ Сделано","✔ ",IF(J1528="❌ Пропущено","✖ ","⏰ "))&amp;IF(C1528="","",RIGHT("0"&amp;HOUR(C1528),2)&amp;":"&amp;RIGHT("0"&amp;MINUTE(C1528),2)&amp;IF(D1528="","","–"&amp;RIGHT("0"&amp;HOUR(D1528),2)&amp;":"&amp;RIGHT("0"&amp;MINUTE(D1528),2))&amp;" ")&amp;F1528)</f>
        <v/>
      </c>
      <c r="N1528" s="54">
        <f>IF(OR(A1528="",F1528=""),"",A1528&amp;"#"&amp;(COUNTIFS($A$5:$A$3004,A1528,$F$5:$F$3004,"?*",$O$5:$O$3004,"&lt;"&amp;O1528)+COUNTIFS($A$5:A1528,A1528,$F$5:F1528,"?*",$O$5:O1528,O1528)))</f>
        <v/>
      </c>
      <c r="O1528" s="54">
        <f>IF(A1528="","",IF(C1528="",0,C1528))</f>
        <v/>
      </c>
    </row>
    <row r="1529">
      <c r="A1529" s="58" t="n"/>
      <c r="B1529" s="49">
        <f>IF(A1529="","",CHOOSE(WEEKDAY(A1529,2),"Пн","Вт","Ср","Чт","Пт","Сб","Вс"))</f>
        <v/>
      </c>
      <c r="C1529" s="59" t="n"/>
      <c r="D1529" s="59" t="n"/>
      <c r="E1529" s="60">
        <f>IF(OR(C1529="",D1529=""),"",MOD(D1529-C1529,1)*24)</f>
        <v/>
      </c>
      <c r="F1529" s="50" t="n"/>
      <c r="G1529" s="51" t="n"/>
      <c r="H1529" s="51" t="n"/>
      <c r="I1529" s="51" t="n"/>
      <c r="J1529" s="51" t="n"/>
      <c r="K1529" s="51" t="n"/>
      <c r="L1529" s="54">
        <f>IF(OR(A1529="",C1529="",D1529=""),"",IF(COUNTIFS($A$5:$A$3004,A1529,$C$5:$C$3004,"&lt;"&amp;D1529,$D$5:$D$3004,"&gt;"&amp;C1529)&gt;1,"⚠️ пересечение",""))</f>
        <v/>
      </c>
      <c r="M1529" s="54">
        <f>IF(F1529="","",IF(J1529="✅ Сделано","✔ ",IF(J1529="❌ Пропущено","✖ ","⏰ "))&amp;IF(C1529="","",RIGHT("0"&amp;HOUR(C1529),2)&amp;":"&amp;RIGHT("0"&amp;MINUTE(C1529),2)&amp;IF(D1529="","","–"&amp;RIGHT("0"&amp;HOUR(D1529),2)&amp;":"&amp;RIGHT("0"&amp;MINUTE(D1529),2))&amp;" ")&amp;F1529)</f>
        <v/>
      </c>
      <c r="N1529" s="54">
        <f>IF(OR(A1529="",F1529=""),"",A1529&amp;"#"&amp;(COUNTIFS($A$5:$A$3004,A1529,$F$5:$F$3004,"?*",$O$5:$O$3004,"&lt;"&amp;O1529)+COUNTIFS($A$5:A1529,A1529,$F$5:F1529,"?*",$O$5:O1529,O1529)))</f>
        <v/>
      </c>
      <c r="O1529" s="54">
        <f>IF(A1529="","",IF(C1529="",0,C1529))</f>
        <v/>
      </c>
    </row>
    <row r="1530">
      <c r="A1530" s="58" t="n"/>
      <c r="B1530" s="49">
        <f>IF(A1530="","",CHOOSE(WEEKDAY(A1530,2),"Пн","Вт","Ср","Чт","Пт","Сб","Вс"))</f>
        <v/>
      </c>
      <c r="C1530" s="59" t="n"/>
      <c r="D1530" s="59" t="n"/>
      <c r="E1530" s="60">
        <f>IF(OR(C1530="",D1530=""),"",MOD(D1530-C1530,1)*24)</f>
        <v/>
      </c>
      <c r="F1530" s="50" t="n"/>
      <c r="G1530" s="51" t="n"/>
      <c r="H1530" s="51" t="n"/>
      <c r="I1530" s="51" t="n"/>
      <c r="J1530" s="51" t="n"/>
      <c r="K1530" s="51" t="n"/>
      <c r="L1530" s="54">
        <f>IF(OR(A1530="",C1530="",D1530=""),"",IF(COUNTIFS($A$5:$A$3004,A1530,$C$5:$C$3004,"&lt;"&amp;D1530,$D$5:$D$3004,"&gt;"&amp;C1530)&gt;1,"⚠️ пересечение",""))</f>
        <v/>
      </c>
      <c r="M1530" s="54">
        <f>IF(F1530="","",IF(J1530="✅ Сделано","✔ ",IF(J1530="❌ Пропущено","✖ ","⏰ "))&amp;IF(C1530="","",RIGHT("0"&amp;HOUR(C1530),2)&amp;":"&amp;RIGHT("0"&amp;MINUTE(C1530),2)&amp;IF(D1530="","","–"&amp;RIGHT("0"&amp;HOUR(D1530),2)&amp;":"&amp;RIGHT("0"&amp;MINUTE(D1530),2))&amp;" ")&amp;F1530)</f>
        <v/>
      </c>
      <c r="N1530" s="54">
        <f>IF(OR(A1530="",F1530=""),"",A1530&amp;"#"&amp;(COUNTIFS($A$5:$A$3004,A1530,$F$5:$F$3004,"?*",$O$5:$O$3004,"&lt;"&amp;O1530)+COUNTIFS($A$5:A1530,A1530,$F$5:F1530,"?*",$O$5:O1530,O1530)))</f>
        <v/>
      </c>
      <c r="O1530" s="54">
        <f>IF(A1530="","",IF(C1530="",0,C1530))</f>
        <v/>
      </c>
    </row>
    <row r="1531">
      <c r="A1531" s="58" t="n"/>
      <c r="B1531" s="49">
        <f>IF(A1531="","",CHOOSE(WEEKDAY(A1531,2),"Пн","Вт","Ср","Чт","Пт","Сб","Вс"))</f>
        <v/>
      </c>
      <c r="C1531" s="59" t="n"/>
      <c r="D1531" s="59" t="n"/>
      <c r="E1531" s="60">
        <f>IF(OR(C1531="",D1531=""),"",MOD(D1531-C1531,1)*24)</f>
        <v/>
      </c>
      <c r="F1531" s="50" t="n"/>
      <c r="G1531" s="51" t="n"/>
      <c r="H1531" s="51" t="n"/>
      <c r="I1531" s="51" t="n"/>
      <c r="J1531" s="51" t="n"/>
      <c r="K1531" s="51" t="n"/>
      <c r="L1531" s="54">
        <f>IF(OR(A1531="",C1531="",D1531=""),"",IF(COUNTIFS($A$5:$A$3004,A1531,$C$5:$C$3004,"&lt;"&amp;D1531,$D$5:$D$3004,"&gt;"&amp;C1531)&gt;1,"⚠️ пересечение",""))</f>
        <v/>
      </c>
      <c r="M1531" s="54">
        <f>IF(F1531="","",IF(J1531="✅ Сделано","✔ ",IF(J1531="❌ Пропущено","✖ ","⏰ "))&amp;IF(C1531="","",RIGHT("0"&amp;HOUR(C1531),2)&amp;":"&amp;RIGHT("0"&amp;MINUTE(C1531),2)&amp;IF(D1531="","","–"&amp;RIGHT("0"&amp;HOUR(D1531),2)&amp;":"&amp;RIGHT("0"&amp;MINUTE(D1531),2))&amp;" ")&amp;F1531)</f>
        <v/>
      </c>
      <c r="N1531" s="54">
        <f>IF(OR(A1531="",F1531=""),"",A1531&amp;"#"&amp;(COUNTIFS($A$5:$A$3004,A1531,$F$5:$F$3004,"?*",$O$5:$O$3004,"&lt;"&amp;O1531)+COUNTIFS($A$5:A1531,A1531,$F$5:F1531,"?*",$O$5:O1531,O1531)))</f>
        <v/>
      </c>
      <c r="O1531" s="54">
        <f>IF(A1531="","",IF(C1531="",0,C1531))</f>
        <v/>
      </c>
    </row>
    <row r="1532">
      <c r="A1532" s="58" t="n"/>
      <c r="B1532" s="49">
        <f>IF(A1532="","",CHOOSE(WEEKDAY(A1532,2),"Пн","Вт","Ср","Чт","Пт","Сб","Вс"))</f>
        <v/>
      </c>
      <c r="C1532" s="59" t="n"/>
      <c r="D1532" s="59" t="n"/>
      <c r="E1532" s="60">
        <f>IF(OR(C1532="",D1532=""),"",MOD(D1532-C1532,1)*24)</f>
        <v/>
      </c>
      <c r="F1532" s="50" t="n"/>
      <c r="G1532" s="51" t="n"/>
      <c r="H1532" s="51" t="n"/>
      <c r="I1532" s="51" t="n"/>
      <c r="J1532" s="51" t="n"/>
      <c r="K1532" s="51" t="n"/>
      <c r="L1532" s="54">
        <f>IF(OR(A1532="",C1532="",D1532=""),"",IF(COUNTIFS($A$5:$A$3004,A1532,$C$5:$C$3004,"&lt;"&amp;D1532,$D$5:$D$3004,"&gt;"&amp;C1532)&gt;1,"⚠️ пересечение",""))</f>
        <v/>
      </c>
      <c r="M1532" s="54">
        <f>IF(F1532="","",IF(J1532="✅ Сделано","✔ ",IF(J1532="❌ Пропущено","✖ ","⏰ "))&amp;IF(C1532="","",RIGHT("0"&amp;HOUR(C1532),2)&amp;":"&amp;RIGHT("0"&amp;MINUTE(C1532),2)&amp;IF(D1532="","","–"&amp;RIGHT("0"&amp;HOUR(D1532),2)&amp;":"&amp;RIGHT("0"&amp;MINUTE(D1532),2))&amp;" ")&amp;F1532)</f>
        <v/>
      </c>
      <c r="N1532" s="54">
        <f>IF(OR(A1532="",F1532=""),"",A1532&amp;"#"&amp;(COUNTIFS($A$5:$A$3004,A1532,$F$5:$F$3004,"?*",$O$5:$O$3004,"&lt;"&amp;O1532)+COUNTIFS($A$5:A1532,A1532,$F$5:F1532,"?*",$O$5:O1532,O1532)))</f>
        <v/>
      </c>
      <c r="O1532" s="54">
        <f>IF(A1532="","",IF(C1532="",0,C1532))</f>
        <v/>
      </c>
    </row>
    <row r="1533">
      <c r="A1533" s="58" t="n"/>
      <c r="B1533" s="49">
        <f>IF(A1533="","",CHOOSE(WEEKDAY(A1533,2),"Пн","Вт","Ср","Чт","Пт","Сб","Вс"))</f>
        <v/>
      </c>
      <c r="C1533" s="59" t="n"/>
      <c r="D1533" s="59" t="n"/>
      <c r="E1533" s="60">
        <f>IF(OR(C1533="",D1533=""),"",MOD(D1533-C1533,1)*24)</f>
        <v/>
      </c>
      <c r="F1533" s="50" t="n"/>
      <c r="G1533" s="51" t="n"/>
      <c r="H1533" s="51" t="n"/>
      <c r="I1533" s="51" t="n"/>
      <c r="J1533" s="51" t="n"/>
      <c r="K1533" s="51" t="n"/>
      <c r="L1533" s="54">
        <f>IF(OR(A1533="",C1533="",D1533=""),"",IF(COUNTIFS($A$5:$A$3004,A1533,$C$5:$C$3004,"&lt;"&amp;D1533,$D$5:$D$3004,"&gt;"&amp;C1533)&gt;1,"⚠️ пересечение",""))</f>
        <v/>
      </c>
      <c r="M1533" s="54">
        <f>IF(F1533="","",IF(J1533="✅ Сделано","✔ ",IF(J1533="❌ Пропущено","✖ ","⏰ "))&amp;IF(C1533="","",RIGHT("0"&amp;HOUR(C1533),2)&amp;":"&amp;RIGHT("0"&amp;MINUTE(C1533),2)&amp;IF(D1533="","","–"&amp;RIGHT("0"&amp;HOUR(D1533),2)&amp;":"&amp;RIGHT("0"&amp;MINUTE(D1533),2))&amp;" ")&amp;F1533)</f>
        <v/>
      </c>
      <c r="N1533" s="54">
        <f>IF(OR(A1533="",F1533=""),"",A1533&amp;"#"&amp;(COUNTIFS($A$5:$A$3004,A1533,$F$5:$F$3004,"?*",$O$5:$O$3004,"&lt;"&amp;O1533)+COUNTIFS($A$5:A1533,A1533,$F$5:F1533,"?*",$O$5:O1533,O1533)))</f>
        <v/>
      </c>
      <c r="O1533" s="54">
        <f>IF(A1533="","",IF(C1533="",0,C1533))</f>
        <v/>
      </c>
    </row>
    <row r="1534">
      <c r="A1534" s="58" t="n"/>
      <c r="B1534" s="49">
        <f>IF(A1534="","",CHOOSE(WEEKDAY(A1534,2),"Пн","Вт","Ср","Чт","Пт","Сб","Вс"))</f>
        <v/>
      </c>
      <c r="C1534" s="59" t="n"/>
      <c r="D1534" s="59" t="n"/>
      <c r="E1534" s="60">
        <f>IF(OR(C1534="",D1534=""),"",MOD(D1534-C1534,1)*24)</f>
        <v/>
      </c>
      <c r="F1534" s="50" t="n"/>
      <c r="G1534" s="51" t="n"/>
      <c r="H1534" s="51" t="n"/>
      <c r="I1534" s="51" t="n"/>
      <c r="J1534" s="51" t="n"/>
      <c r="K1534" s="51" t="n"/>
      <c r="L1534" s="54">
        <f>IF(OR(A1534="",C1534="",D1534=""),"",IF(COUNTIFS($A$5:$A$3004,A1534,$C$5:$C$3004,"&lt;"&amp;D1534,$D$5:$D$3004,"&gt;"&amp;C1534)&gt;1,"⚠️ пересечение",""))</f>
        <v/>
      </c>
      <c r="M1534" s="54">
        <f>IF(F1534="","",IF(J1534="✅ Сделано","✔ ",IF(J1534="❌ Пропущено","✖ ","⏰ "))&amp;IF(C1534="","",RIGHT("0"&amp;HOUR(C1534),2)&amp;":"&amp;RIGHT("0"&amp;MINUTE(C1534),2)&amp;IF(D1534="","","–"&amp;RIGHT("0"&amp;HOUR(D1534),2)&amp;":"&amp;RIGHT("0"&amp;MINUTE(D1534),2))&amp;" ")&amp;F1534)</f>
        <v/>
      </c>
      <c r="N1534" s="54">
        <f>IF(OR(A1534="",F1534=""),"",A1534&amp;"#"&amp;(COUNTIFS($A$5:$A$3004,A1534,$F$5:$F$3004,"?*",$O$5:$O$3004,"&lt;"&amp;O1534)+COUNTIFS($A$5:A1534,A1534,$F$5:F1534,"?*",$O$5:O1534,O1534)))</f>
        <v/>
      </c>
      <c r="O1534" s="54">
        <f>IF(A1534="","",IF(C1534="",0,C1534))</f>
        <v/>
      </c>
    </row>
    <row r="1535">
      <c r="A1535" s="58" t="n"/>
      <c r="B1535" s="49">
        <f>IF(A1535="","",CHOOSE(WEEKDAY(A1535,2),"Пн","Вт","Ср","Чт","Пт","Сб","Вс"))</f>
        <v/>
      </c>
      <c r="C1535" s="59" t="n"/>
      <c r="D1535" s="59" t="n"/>
      <c r="E1535" s="60">
        <f>IF(OR(C1535="",D1535=""),"",MOD(D1535-C1535,1)*24)</f>
        <v/>
      </c>
      <c r="F1535" s="50" t="n"/>
      <c r="G1535" s="51" t="n"/>
      <c r="H1535" s="51" t="n"/>
      <c r="I1535" s="51" t="n"/>
      <c r="J1535" s="51" t="n"/>
      <c r="K1535" s="51" t="n"/>
      <c r="L1535" s="54">
        <f>IF(OR(A1535="",C1535="",D1535=""),"",IF(COUNTIFS($A$5:$A$3004,A1535,$C$5:$C$3004,"&lt;"&amp;D1535,$D$5:$D$3004,"&gt;"&amp;C1535)&gt;1,"⚠️ пересечение",""))</f>
        <v/>
      </c>
      <c r="M1535" s="54">
        <f>IF(F1535="","",IF(J1535="✅ Сделано","✔ ",IF(J1535="❌ Пропущено","✖ ","⏰ "))&amp;IF(C1535="","",RIGHT("0"&amp;HOUR(C1535),2)&amp;":"&amp;RIGHT("0"&amp;MINUTE(C1535),2)&amp;IF(D1535="","","–"&amp;RIGHT("0"&amp;HOUR(D1535),2)&amp;":"&amp;RIGHT("0"&amp;MINUTE(D1535),2))&amp;" ")&amp;F1535)</f>
        <v/>
      </c>
      <c r="N1535" s="54">
        <f>IF(OR(A1535="",F1535=""),"",A1535&amp;"#"&amp;(COUNTIFS($A$5:$A$3004,A1535,$F$5:$F$3004,"?*",$O$5:$O$3004,"&lt;"&amp;O1535)+COUNTIFS($A$5:A1535,A1535,$F$5:F1535,"?*",$O$5:O1535,O1535)))</f>
        <v/>
      </c>
      <c r="O1535" s="54">
        <f>IF(A1535="","",IF(C1535="",0,C1535))</f>
        <v/>
      </c>
    </row>
    <row r="1536">
      <c r="A1536" s="58" t="n"/>
      <c r="B1536" s="49">
        <f>IF(A1536="","",CHOOSE(WEEKDAY(A1536,2),"Пн","Вт","Ср","Чт","Пт","Сб","Вс"))</f>
        <v/>
      </c>
      <c r="C1536" s="59" t="n"/>
      <c r="D1536" s="59" t="n"/>
      <c r="E1536" s="60">
        <f>IF(OR(C1536="",D1536=""),"",MOD(D1536-C1536,1)*24)</f>
        <v/>
      </c>
      <c r="F1536" s="50" t="n"/>
      <c r="G1536" s="51" t="n"/>
      <c r="H1536" s="51" t="n"/>
      <c r="I1536" s="51" t="n"/>
      <c r="J1536" s="51" t="n"/>
      <c r="K1536" s="51" t="n"/>
      <c r="L1536" s="54">
        <f>IF(OR(A1536="",C1536="",D1536=""),"",IF(COUNTIFS($A$5:$A$3004,A1536,$C$5:$C$3004,"&lt;"&amp;D1536,$D$5:$D$3004,"&gt;"&amp;C1536)&gt;1,"⚠️ пересечение",""))</f>
        <v/>
      </c>
      <c r="M1536" s="54">
        <f>IF(F1536="","",IF(J1536="✅ Сделано","✔ ",IF(J1536="❌ Пропущено","✖ ","⏰ "))&amp;IF(C1536="","",RIGHT("0"&amp;HOUR(C1536),2)&amp;":"&amp;RIGHT("0"&amp;MINUTE(C1536),2)&amp;IF(D1536="","","–"&amp;RIGHT("0"&amp;HOUR(D1536),2)&amp;":"&amp;RIGHT("0"&amp;MINUTE(D1536),2))&amp;" ")&amp;F1536)</f>
        <v/>
      </c>
      <c r="N1536" s="54">
        <f>IF(OR(A1536="",F1536=""),"",A1536&amp;"#"&amp;(COUNTIFS($A$5:$A$3004,A1536,$F$5:$F$3004,"?*",$O$5:$O$3004,"&lt;"&amp;O1536)+COUNTIFS($A$5:A1536,A1536,$F$5:F1536,"?*",$O$5:O1536,O1536)))</f>
        <v/>
      </c>
      <c r="O1536" s="54">
        <f>IF(A1536="","",IF(C1536="",0,C1536))</f>
        <v/>
      </c>
    </row>
    <row r="1537">
      <c r="A1537" s="58" t="n"/>
      <c r="B1537" s="49">
        <f>IF(A1537="","",CHOOSE(WEEKDAY(A1537,2),"Пн","Вт","Ср","Чт","Пт","Сб","Вс"))</f>
        <v/>
      </c>
      <c r="C1537" s="59" t="n"/>
      <c r="D1537" s="59" t="n"/>
      <c r="E1537" s="60">
        <f>IF(OR(C1537="",D1537=""),"",MOD(D1537-C1537,1)*24)</f>
        <v/>
      </c>
      <c r="F1537" s="50" t="n"/>
      <c r="G1537" s="51" t="n"/>
      <c r="H1537" s="51" t="n"/>
      <c r="I1537" s="51" t="n"/>
      <c r="J1537" s="51" t="n"/>
      <c r="K1537" s="51" t="n"/>
      <c r="L1537" s="54">
        <f>IF(OR(A1537="",C1537="",D1537=""),"",IF(COUNTIFS($A$5:$A$3004,A1537,$C$5:$C$3004,"&lt;"&amp;D1537,$D$5:$D$3004,"&gt;"&amp;C1537)&gt;1,"⚠️ пересечение",""))</f>
        <v/>
      </c>
      <c r="M1537" s="54">
        <f>IF(F1537="","",IF(J1537="✅ Сделано","✔ ",IF(J1537="❌ Пропущено","✖ ","⏰ "))&amp;IF(C1537="","",RIGHT("0"&amp;HOUR(C1537),2)&amp;":"&amp;RIGHT("0"&amp;MINUTE(C1537),2)&amp;IF(D1537="","","–"&amp;RIGHT("0"&amp;HOUR(D1537),2)&amp;":"&amp;RIGHT("0"&amp;MINUTE(D1537),2))&amp;" ")&amp;F1537)</f>
        <v/>
      </c>
      <c r="N1537" s="54">
        <f>IF(OR(A1537="",F1537=""),"",A1537&amp;"#"&amp;(COUNTIFS($A$5:$A$3004,A1537,$F$5:$F$3004,"?*",$O$5:$O$3004,"&lt;"&amp;O1537)+COUNTIFS($A$5:A1537,A1537,$F$5:F1537,"?*",$O$5:O1537,O1537)))</f>
        <v/>
      </c>
      <c r="O1537" s="54">
        <f>IF(A1537="","",IF(C1537="",0,C1537))</f>
        <v/>
      </c>
    </row>
    <row r="1538">
      <c r="A1538" s="58" t="n"/>
      <c r="B1538" s="49">
        <f>IF(A1538="","",CHOOSE(WEEKDAY(A1538,2),"Пн","Вт","Ср","Чт","Пт","Сб","Вс"))</f>
        <v/>
      </c>
      <c r="C1538" s="59" t="n"/>
      <c r="D1538" s="59" t="n"/>
      <c r="E1538" s="60">
        <f>IF(OR(C1538="",D1538=""),"",MOD(D1538-C1538,1)*24)</f>
        <v/>
      </c>
      <c r="F1538" s="50" t="n"/>
      <c r="G1538" s="51" t="n"/>
      <c r="H1538" s="51" t="n"/>
      <c r="I1538" s="51" t="n"/>
      <c r="J1538" s="51" t="n"/>
      <c r="K1538" s="51" t="n"/>
      <c r="L1538" s="54">
        <f>IF(OR(A1538="",C1538="",D1538=""),"",IF(COUNTIFS($A$5:$A$3004,A1538,$C$5:$C$3004,"&lt;"&amp;D1538,$D$5:$D$3004,"&gt;"&amp;C1538)&gt;1,"⚠️ пересечение",""))</f>
        <v/>
      </c>
      <c r="M1538" s="54">
        <f>IF(F1538="","",IF(J1538="✅ Сделано","✔ ",IF(J1538="❌ Пропущено","✖ ","⏰ "))&amp;IF(C1538="","",RIGHT("0"&amp;HOUR(C1538),2)&amp;":"&amp;RIGHT("0"&amp;MINUTE(C1538),2)&amp;IF(D1538="","","–"&amp;RIGHT("0"&amp;HOUR(D1538),2)&amp;":"&amp;RIGHT("0"&amp;MINUTE(D1538),2))&amp;" ")&amp;F1538)</f>
        <v/>
      </c>
      <c r="N1538" s="54">
        <f>IF(OR(A1538="",F1538=""),"",A1538&amp;"#"&amp;(COUNTIFS($A$5:$A$3004,A1538,$F$5:$F$3004,"?*",$O$5:$O$3004,"&lt;"&amp;O1538)+COUNTIFS($A$5:A1538,A1538,$F$5:F1538,"?*",$O$5:O1538,O1538)))</f>
        <v/>
      </c>
      <c r="O1538" s="54">
        <f>IF(A1538="","",IF(C1538="",0,C1538))</f>
        <v/>
      </c>
    </row>
    <row r="1539">
      <c r="A1539" s="58" t="n"/>
      <c r="B1539" s="49">
        <f>IF(A1539="","",CHOOSE(WEEKDAY(A1539,2),"Пн","Вт","Ср","Чт","Пт","Сб","Вс"))</f>
        <v/>
      </c>
      <c r="C1539" s="59" t="n"/>
      <c r="D1539" s="59" t="n"/>
      <c r="E1539" s="60">
        <f>IF(OR(C1539="",D1539=""),"",MOD(D1539-C1539,1)*24)</f>
        <v/>
      </c>
      <c r="F1539" s="50" t="n"/>
      <c r="G1539" s="51" t="n"/>
      <c r="H1539" s="51" t="n"/>
      <c r="I1539" s="51" t="n"/>
      <c r="J1539" s="51" t="n"/>
      <c r="K1539" s="51" t="n"/>
      <c r="L1539" s="54">
        <f>IF(OR(A1539="",C1539="",D1539=""),"",IF(COUNTIFS($A$5:$A$3004,A1539,$C$5:$C$3004,"&lt;"&amp;D1539,$D$5:$D$3004,"&gt;"&amp;C1539)&gt;1,"⚠️ пересечение",""))</f>
        <v/>
      </c>
      <c r="M1539" s="54">
        <f>IF(F1539="","",IF(J1539="✅ Сделано","✔ ",IF(J1539="❌ Пропущено","✖ ","⏰ "))&amp;IF(C1539="","",RIGHT("0"&amp;HOUR(C1539),2)&amp;":"&amp;RIGHT("0"&amp;MINUTE(C1539),2)&amp;IF(D1539="","","–"&amp;RIGHT("0"&amp;HOUR(D1539),2)&amp;":"&amp;RIGHT("0"&amp;MINUTE(D1539),2))&amp;" ")&amp;F1539)</f>
        <v/>
      </c>
      <c r="N1539" s="54">
        <f>IF(OR(A1539="",F1539=""),"",A1539&amp;"#"&amp;(COUNTIFS($A$5:$A$3004,A1539,$F$5:$F$3004,"?*",$O$5:$O$3004,"&lt;"&amp;O1539)+COUNTIFS($A$5:A1539,A1539,$F$5:F1539,"?*",$O$5:O1539,O1539)))</f>
        <v/>
      </c>
      <c r="O1539" s="54">
        <f>IF(A1539="","",IF(C1539="",0,C1539))</f>
        <v/>
      </c>
    </row>
    <row r="1540">
      <c r="A1540" s="58" t="n"/>
      <c r="B1540" s="49">
        <f>IF(A1540="","",CHOOSE(WEEKDAY(A1540,2),"Пн","Вт","Ср","Чт","Пт","Сб","Вс"))</f>
        <v/>
      </c>
      <c r="C1540" s="59" t="n"/>
      <c r="D1540" s="59" t="n"/>
      <c r="E1540" s="60">
        <f>IF(OR(C1540="",D1540=""),"",MOD(D1540-C1540,1)*24)</f>
        <v/>
      </c>
      <c r="F1540" s="50" t="n"/>
      <c r="G1540" s="51" t="n"/>
      <c r="H1540" s="51" t="n"/>
      <c r="I1540" s="51" t="n"/>
      <c r="J1540" s="51" t="n"/>
      <c r="K1540" s="51" t="n"/>
      <c r="L1540" s="54">
        <f>IF(OR(A1540="",C1540="",D1540=""),"",IF(COUNTIFS($A$5:$A$3004,A1540,$C$5:$C$3004,"&lt;"&amp;D1540,$D$5:$D$3004,"&gt;"&amp;C1540)&gt;1,"⚠️ пересечение",""))</f>
        <v/>
      </c>
      <c r="M1540" s="54">
        <f>IF(F1540="","",IF(J1540="✅ Сделано","✔ ",IF(J1540="❌ Пропущено","✖ ","⏰ "))&amp;IF(C1540="","",RIGHT("0"&amp;HOUR(C1540),2)&amp;":"&amp;RIGHT("0"&amp;MINUTE(C1540),2)&amp;IF(D1540="","","–"&amp;RIGHT("0"&amp;HOUR(D1540),2)&amp;":"&amp;RIGHT("0"&amp;MINUTE(D1540),2))&amp;" ")&amp;F1540)</f>
        <v/>
      </c>
      <c r="N1540" s="54">
        <f>IF(OR(A1540="",F1540=""),"",A1540&amp;"#"&amp;(COUNTIFS($A$5:$A$3004,A1540,$F$5:$F$3004,"?*",$O$5:$O$3004,"&lt;"&amp;O1540)+COUNTIFS($A$5:A1540,A1540,$F$5:F1540,"?*",$O$5:O1540,O1540)))</f>
        <v/>
      </c>
      <c r="O1540" s="54">
        <f>IF(A1540="","",IF(C1540="",0,C1540))</f>
        <v/>
      </c>
    </row>
    <row r="1541">
      <c r="A1541" s="58" t="n"/>
      <c r="B1541" s="49">
        <f>IF(A1541="","",CHOOSE(WEEKDAY(A1541,2),"Пн","Вт","Ср","Чт","Пт","Сб","Вс"))</f>
        <v/>
      </c>
      <c r="C1541" s="59" t="n"/>
      <c r="D1541" s="59" t="n"/>
      <c r="E1541" s="60">
        <f>IF(OR(C1541="",D1541=""),"",MOD(D1541-C1541,1)*24)</f>
        <v/>
      </c>
      <c r="F1541" s="50" t="n"/>
      <c r="G1541" s="51" t="n"/>
      <c r="H1541" s="51" t="n"/>
      <c r="I1541" s="51" t="n"/>
      <c r="J1541" s="51" t="n"/>
      <c r="K1541" s="51" t="n"/>
      <c r="L1541" s="54">
        <f>IF(OR(A1541="",C1541="",D1541=""),"",IF(COUNTIFS($A$5:$A$3004,A1541,$C$5:$C$3004,"&lt;"&amp;D1541,$D$5:$D$3004,"&gt;"&amp;C1541)&gt;1,"⚠️ пересечение",""))</f>
        <v/>
      </c>
      <c r="M1541" s="54">
        <f>IF(F1541="","",IF(J1541="✅ Сделано","✔ ",IF(J1541="❌ Пропущено","✖ ","⏰ "))&amp;IF(C1541="","",RIGHT("0"&amp;HOUR(C1541),2)&amp;":"&amp;RIGHT("0"&amp;MINUTE(C1541),2)&amp;IF(D1541="","","–"&amp;RIGHT("0"&amp;HOUR(D1541),2)&amp;":"&amp;RIGHT("0"&amp;MINUTE(D1541),2))&amp;" ")&amp;F1541)</f>
        <v/>
      </c>
      <c r="N1541" s="54">
        <f>IF(OR(A1541="",F1541=""),"",A1541&amp;"#"&amp;(COUNTIFS($A$5:$A$3004,A1541,$F$5:$F$3004,"?*",$O$5:$O$3004,"&lt;"&amp;O1541)+COUNTIFS($A$5:A1541,A1541,$F$5:F1541,"?*",$O$5:O1541,O1541)))</f>
        <v/>
      </c>
      <c r="O1541" s="54">
        <f>IF(A1541="","",IF(C1541="",0,C1541))</f>
        <v/>
      </c>
    </row>
    <row r="1542">
      <c r="A1542" s="58" t="n"/>
      <c r="B1542" s="49">
        <f>IF(A1542="","",CHOOSE(WEEKDAY(A1542,2),"Пн","Вт","Ср","Чт","Пт","Сб","Вс"))</f>
        <v/>
      </c>
      <c r="C1542" s="59" t="n"/>
      <c r="D1542" s="59" t="n"/>
      <c r="E1542" s="60">
        <f>IF(OR(C1542="",D1542=""),"",MOD(D1542-C1542,1)*24)</f>
        <v/>
      </c>
      <c r="F1542" s="50" t="n"/>
      <c r="G1542" s="51" t="n"/>
      <c r="H1542" s="51" t="n"/>
      <c r="I1542" s="51" t="n"/>
      <c r="J1542" s="51" t="n"/>
      <c r="K1542" s="51" t="n"/>
      <c r="L1542" s="54">
        <f>IF(OR(A1542="",C1542="",D1542=""),"",IF(COUNTIFS($A$5:$A$3004,A1542,$C$5:$C$3004,"&lt;"&amp;D1542,$D$5:$D$3004,"&gt;"&amp;C1542)&gt;1,"⚠️ пересечение",""))</f>
        <v/>
      </c>
      <c r="M1542" s="54">
        <f>IF(F1542="","",IF(J1542="✅ Сделано","✔ ",IF(J1542="❌ Пропущено","✖ ","⏰ "))&amp;IF(C1542="","",RIGHT("0"&amp;HOUR(C1542),2)&amp;":"&amp;RIGHT("0"&amp;MINUTE(C1542),2)&amp;IF(D1542="","","–"&amp;RIGHT("0"&amp;HOUR(D1542),2)&amp;":"&amp;RIGHT("0"&amp;MINUTE(D1542),2))&amp;" ")&amp;F1542)</f>
        <v/>
      </c>
      <c r="N1542" s="54">
        <f>IF(OR(A1542="",F1542=""),"",A1542&amp;"#"&amp;(COUNTIFS($A$5:$A$3004,A1542,$F$5:$F$3004,"?*",$O$5:$O$3004,"&lt;"&amp;O1542)+COUNTIFS($A$5:A1542,A1542,$F$5:F1542,"?*",$O$5:O1542,O1542)))</f>
        <v/>
      </c>
      <c r="O1542" s="54">
        <f>IF(A1542="","",IF(C1542="",0,C1542))</f>
        <v/>
      </c>
    </row>
    <row r="1543">
      <c r="A1543" s="58" t="n"/>
      <c r="B1543" s="49">
        <f>IF(A1543="","",CHOOSE(WEEKDAY(A1543,2),"Пн","Вт","Ср","Чт","Пт","Сб","Вс"))</f>
        <v/>
      </c>
      <c r="C1543" s="59" t="n"/>
      <c r="D1543" s="59" t="n"/>
      <c r="E1543" s="60">
        <f>IF(OR(C1543="",D1543=""),"",MOD(D1543-C1543,1)*24)</f>
        <v/>
      </c>
      <c r="F1543" s="50" t="n"/>
      <c r="G1543" s="51" t="n"/>
      <c r="H1543" s="51" t="n"/>
      <c r="I1543" s="51" t="n"/>
      <c r="J1543" s="51" t="n"/>
      <c r="K1543" s="51" t="n"/>
      <c r="L1543" s="54">
        <f>IF(OR(A1543="",C1543="",D1543=""),"",IF(COUNTIFS($A$5:$A$3004,A1543,$C$5:$C$3004,"&lt;"&amp;D1543,$D$5:$D$3004,"&gt;"&amp;C1543)&gt;1,"⚠️ пересечение",""))</f>
        <v/>
      </c>
      <c r="M1543" s="54">
        <f>IF(F1543="","",IF(J1543="✅ Сделано","✔ ",IF(J1543="❌ Пропущено","✖ ","⏰ "))&amp;IF(C1543="","",RIGHT("0"&amp;HOUR(C1543),2)&amp;":"&amp;RIGHT("0"&amp;MINUTE(C1543),2)&amp;IF(D1543="","","–"&amp;RIGHT("0"&amp;HOUR(D1543),2)&amp;":"&amp;RIGHT("0"&amp;MINUTE(D1543),2))&amp;" ")&amp;F1543)</f>
        <v/>
      </c>
      <c r="N1543" s="54">
        <f>IF(OR(A1543="",F1543=""),"",A1543&amp;"#"&amp;(COUNTIFS($A$5:$A$3004,A1543,$F$5:$F$3004,"?*",$O$5:$O$3004,"&lt;"&amp;O1543)+COUNTIFS($A$5:A1543,A1543,$F$5:F1543,"?*",$O$5:O1543,O1543)))</f>
        <v/>
      </c>
      <c r="O1543" s="54">
        <f>IF(A1543="","",IF(C1543="",0,C1543))</f>
        <v/>
      </c>
    </row>
    <row r="1544">
      <c r="A1544" s="58" t="n"/>
      <c r="B1544" s="49">
        <f>IF(A1544="","",CHOOSE(WEEKDAY(A1544,2),"Пн","Вт","Ср","Чт","Пт","Сб","Вс"))</f>
        <v/>
      </c>
      <c r="C1544" s="59" t="n"/>
      <c r="D1544" s="59" t="n"/>
      <c r="E1544" s="60">
        <f>IF(OR(C1544="",D1544=""),"",MOD(D1544-C1544,1)*24)</f>
        <v/>
      </c>
      <c r="F1544" s="50" t="n"/>
      <c r="G1544" s="51" t="n"/>
      <c r="H1544" s="51" t="n"/>
      <c r="I1544" s="51" t="n"/>
      <c r="J1544" s="51" t="n"/>
      <c r="K1544" s="51" t="n"/>
      <c r="L1544" s="54">
        <f>IF(OR(A1544="",C1544="",D1544=""),"",IF(COUNTIFS($A$5:$A$3004,A1544,$C$5:$C$3004,"&lt;"&amp;D1544,$D$5:$D$3004,"&gt;"&amp;C1544)&gt;1,"⚠️ пересечение",""))</f>
        <v/>
      </c>
      <c r="M1544" s="54">
        <f>IF(F1544="","",IF(J1544="✅ Сделано","✔ ",IF(J1544="❌ Пропущено","✖ ","⏰ "))&amp;IF(C1544="","",RIGHT("0"&amp;HOUR(C1544),2)&amp;":"&amp;RIGHT("0"&amp;MINUTE(C1544),2)&amp;IF(D1544="","","–"&amp;RIGHT("0"&amp;HOUR(D1544),2)&amp;":"&amp;RIGHT("0"&amp;MINUTE(D1544),2))&amp;" ")&amp;F1544)</f>
        <v/>
      </c>
      <c r="N1544" s="54">
        <f>IF(OR(A1544="",F1544=""),"",A1544&amp;"#"&amp;(COUNTIFS($A$5:$A$3004,A1544,$F$5:$F$3004,"?*",$O$5:$O$3004,"&lt;"&amp;O1544)+COUNTIFS($A$5:A1544,A1544,$F$5:F1544,"?*",$O$5:O1544,O1544)))</f>
        <v/>
      </c>
      <c r="O1544" s="54">
        <f>IF(A1544="","",IF(C1544="",0,C1544))</f>
        <v/>
      </c>
    </row>
    <row r="1545">
      <c r="A1545" s="58" t="n"/>
      <c r="B1545" s="49">
        <f>IF(A1545="","",CHOOSE(WEEKDAY(A1545,2),"Пн","Вт","Ср","Чт","Пт","Сб","Вс"))</f>
        <v/>
      </c>
      <c r="C1545" s="59" t="n"/>
      <c r="D1545" s="59" t="n"/>
      <c r="E1545" s="60">
        <f>IF(OR(C1545="",D1545=""),"",MOD(D1545-C1545,1)*24)</f>
        <v/>
      </c>
      <c r="F1545" s="50" t="n"/>
      <c r="G1545" s="51" t="n"/>
      <c r="H1545" s="51" t="n"/>
      <c r="I1545" s="51" t="n"/>
      <c r="J1545" s="51" t="n"/>
      <c r="K1545" s="51" t="n"/>
      <c r="L1545" s="54">
        <f>IF(OR(A1545="",C1545="",D1545=""),"",IF(COUNTIFS($A$5:$A$3004,A1545,$C$5:$C$3004,"&lt;"&amp;D1545,$D$5:$D$3004,"&gt;"&amp;C1545)&gt;1,"⚠️ пересечение",""))</f>
        <v/>
      </c>
      <c r="M1545" s="54">
        <f>IF(F1545="","",IF(J1545="✅ Сделано","✔ ",IF(J1545="❌ Пропущено","✖ ","⏰ "))&amp;IF(C1545="","",RIGHT("0"&amp;HOUR(C1545),2)&amp;":"&amp;RIGHT("0"&amp;MINUTE(C1545),2)&amp;IF(D1545="","","–"&amp;RIGHT("0"&amp;HOUR(D1545),2)&amp;":"&amp;RIGHT("0"&amp;MINUTE(D1545),2))&amp;" ")&amp;F1545)</f>
        <v/>
      </c>
      <c r="N1545" s="54">
        <f>IF(OR(A1545="",F1545=""),"",A1545&amp;"#"&amp;(COUNTIFS($A$5:$A$3004,A1545,$F$5:$F$3004,"?*",$O$5:$O$3004,"&lt;"&amp;O1545)+COUNTIFS($A$5:A1545,A1545,$F$5:F1545,"?*",$O$5:O1545,O1545)))</f>
        <v/>
      </c>
      <c r="O1545" s="54">
        <f>IF(A1545="","",IF(C1545="",0,C1545))</f>
        <v/>
      </c>
    </row>
    <row r="1546">
      <c r="A1546" s="58" t="n"/>
      <c r="B1546" s="49">
        <f>IF(A1546="","",CHOOSE(WEEKDAY(A1546,2),"Пн","Вт","Ср","Чт","Пт","Сб","Вс"))</f>
        <v/>
      </c>
      <c r="C1546" s="59" t="n"/>
      <c r="D1546" s="59" t="n"/>
      <c r="E1546" s="60">
        <f>IF(OR(C1546="",D1546=""),"",MOD(D1546-C1546,1)*24)</f>
        <v/>
      </c>
      <c r="F1546" s="50" t="n"/>
      <c r="G1546" s="51" t="n"/>
      <c r="H1546" s="51" t="n"/>
      <c r="I1546" s="51" t="n"/>
      <c r="J1546" s="51" t="n"/>
      <c r="K1546" s="51" t="n"/>
      <c r="L1546" s="54">
        <f>IF(OR(A1546="",C1546="",D1546=""),"",IF(COUNTIFS($A$5:$A$3004,A1546,$C$5:$C$3004,"&lt;"&amp;D1546,$D$5:$D$3004,"&gt;"&amp;C1546)&gt;1,"⚠️ пересечение",""))</f>
        <v/>
      </c>
      <c r="M1546" s="54">
        <f>IF(F1546="","",IF(J1546="✅ Сделано","✔ ",IF(J1546="❌ Пропущено","✖ ","⏰ "))&amp;IF(C1546="","",RIGHT("0"&amp;HOUR(C1546),2)&amp;":"&amp;RIGHT("0"&amp;MINUTE(C1546),2)&amp;IF(D1546="","","–"&amp;RIGHT("0"&amp;HOUR(D1546),2)&amp;":"&amp;RIGHT("0"&amp;MINUTE(D1546),2))&amp;" ")&amp;F1546)</f>
        <v/>
      </c>
      <c r="N1546" s="54">
        <f>IF(OR(A1546="",F1546=""),"",A1546&amp;"#"&amp;(COUNTIFS($A$5:$A$3004,A1546,$F$5:$F$3004,"?*",$O$5:$O$3004,"&lt;"&amp;O1546)+COUNTIFS($A$5:A1546,A1546,$F$5:F1546,"?*",$O$5:O1546,O1546)))</f>
        <v/>
      </c>
      <c r="O1546" s="54">
        <f>IF(A1546="","",IF(C1546="",0,C1546))</f>
        <v/>
      </c>
    </row>
    <row r="1547">
      <c r="A1547" s="58" t="n"/>
      <c r="B1547" s="49">
        <f>IF(A1547="","",CHOOSE(WEEKDAY(A1547,2),"Пн","Вт","Ср","Чт","Пт","Сб","Вс"))</f>
        <v/>
      </c>
      <c r="C1547" s="59" t="n"/>
      <c r="D1547" s="59" t="n"/>
      <c r="E1547" s="60">
        <f>IF(OR(C1547="",D1547=""),"",MOD(D1547-C1547,1)*24)</f>
        <v/>
      </c>
      <c r="F1547" s="50" t="n"/>
      <c r="G1547" s="51" t="n"/>
      <c r="H1547" s="51" t="n"/>
      <c r="I1547" s="51" t="n"/>
      <c r="J1547" s="51" t="n"/>
      <c r="K1547" s="51" t="n"/>
      <c r="L1547" s="54">
        <f>IF(OR(A1547="",C1547="",D1547=""),"",IF(COUNTIFS($A$5:$A$3004,A1547,$C$5:$C$3004,"&lt;"&amp;D1547,$D$5:$D$3004,"&gt;"&amp;C1547)&gt;1,"⚠️ пересечение",""))</f>
        <v/>
      </c>
      <c r="M1547" s="54">
        <f>IF(F1547="","",IF(J1547="✅ Сделано","✔ ",IF(J1547="❌ Пропущено","✖ ","⏰ "))&amp;IF(C1547="","",RIGHT("0"&amp;HOUR(C1547),2)&amp;":"&amp;RIGHT("0"&amp;MINUTE(C1547),2)&amp;IF(D1547="","","–"&amp;RIGHT("0"&amp;HOUR(D1547),2)&amp;":"&amp;RIGHT("0"&amp;MINUTE(D1547),2))&amp;" ")&amp;F1547)</f>
        <v/>
      </c>
      <c r="N1547" s="54">
        <f>IF(OR(A1547="",F1547=""),"",A1547&amp;"#"&amp;(COUNTIFS($A$5:$A$3004,A1547,$F$5:$F$3004,"?*",$O$5:$O$3004,"&lt;"&amp;O1547)+COUNTIFS($A$5:A1547,A1547,$F$5:F1547,"?*",$O$5:O1547,O1547)))</f>
        <v/>
      </c>
      <c r="O1547" s="54">
        <f>IF(A1547="","",IF(C1547="",0,C1547))</f>
        <v/>
      </c>
    </row>
    <row r="1548">
      <c r="A1548" s="58" t="n"/>
      <c r="B1548" s="49">
        <f>IF(A1548="","",CHOOSE(WEEKDAY(A1548,2),"Пн","Вт","Ср","Чт","Пт","Сб","Вс"))</f>
        <v/>
      </c>
      <c r="C1548" s="59" t="n"/>
      <c r="D1548" s="59" t="n"/>
      <c r="E1548" s="60">
        <f>IF(OR(C1548="",D1548=""),"",MOD(D1548-C1548,1)*24)</f>
        <v/>
      </c>
      <c r="F1548" s="50" t="n"/>
      <c r="G1548" s="51" t="n"/>
      <c r="H1548" s="51" t="n"/>
      <c r="I1548" s="51" t="n"/>
      <c r="J1548" s="51" t="n"/>
      <c r="K1548" s="51" t="n"/>
      <c r="L1548" s="54">
        <f>IF(OR(A1548="",C1548="",D1548=""),"",IF(COUNTIFS($A$5:$A$3004,A1548,$C$5:$C$3004,"&lt;"&amp;D1548,$D$5:$D$3004,"&gt;"&amp;C1548)&gt;1,"⚠️ пересечение",""))</f>
        <v/>
      </c>
      <c r="M1548" s="54">
        <f>IF(F1548="","",IF(J1548="✅ Сделано","✔ ",IF(J1548="❌ Пропущено","✖ ","⏰ "))&amp;IF(C1548="","",RIGHT("0"&amp;HOUR(C1548),2)&amp;":"&amp;RIGHT("0"&amp;MINUTE(C1548),2)&amp;IF(D1548="","","–"&amp;RIGHT("0"&amp;HOUR(D1548),2)&amp;":"&amp;RIGHT("0"&amp;MINUTE(D1548),2))&amp;" ")&amp;F1548)</f>
        <v/>
      </c>
      <c r="N1548" s="54">
        <f>IF(OR(A1548="",F1548=""),"",A1548&amp;"#"&amp;(COUNTIFS($A$5:$A$3004,A1548,$F$5:$F$3004,"?*",$O$5:$O$3004,"&lt;"&amp;O1548)+COUNTIFS($A$5:A1548,A1548,$F$5:F1548,"?*",$O$5:O1548,O1548)))</f>
        <v/>
      </c>
      <c r="O1548" s="54">
        <f>IF(A1548="","",IF(C1548="",0,C1548))</f>
        <v/>
      </c>
    </row>
    <row r="1549">
      <c r="A1549" s="58" t="n"/>
      <c r="B1549" s="49">
        <f>IF(A1549="","",CHOOSE(WEEKDAY(A1549,2),"Пн","Вт","Ср","Чт","Пт","Сб","Вс"))</f>
        <v/>
      </c>
      <c r="C1549" s="59" t="n"/>
      <c r="D1549" s="59" t="n"/>
      <c r="E1549" s="60">
        <f>IF(OR(C1549="",D1549=""),"",MOD(D1549-C1549,1)*24)</f>
        <v/>
      </c>
      <c r="F1549" s="50" t="n"/>
      <c r="G1549" s="51" t="n"/>
      <c r="H1549" s="51" t="n"/>
      <c r="I1549" s="51" t="n"/>
      <c r="J1549" s="51" t="n"/>
      <c r="K1549" s="51" t="n"/>
      <c r="L1549" s="54">
        <f>IF(OR(A1549="",C1549="",D1549=""),"",IF(COUNTIFS($A$5:$A$3004,A1549,$C$5:$C$3004,"&lt;"&amp;D1549,$D$5:$D$3004,"&gt;"&amp;C1549)&gt;1,"⚠️ пересечение",""))</f>
        <v/>
      </c>
      <c r="M1549" s="54">
        <f>IF(F1549="","",IF(J1549="✅ Сделано","✔ ",IF(J1549="❌ Пропущено","✖ ","⏰ "))&amp;IF(C1549="","",RIGHT("0"&amp;HOUR(C1549),2)&amp;":"&amp;RIGHT("0"&amp;MINUTE(C1549),2)&amp;IF(D1549="","","–"&amp;RIGHT("0"&amp;HOUR(D1549),2)&amp;":"&amp;RIGHT("0"&amp;MINUTE(D1549),2))&amp;" ")&amp;F1549)</f>
        <v/>
      </c>
      <c r="N1549" s="54">
        <f>IF(OR(A1549="",F1549=""),"",A1549&amp;"#"&amp;(COUNTIFS($A$5:$A$3004,A1549,$F$5:$F$3004,"?*",$O$5:$O$3004,"&lt;"&amp;O1549)+COUNTIFS($A$5:A1549,A1549,$F$5:F1549,"?*",$O$5:O1549,O1549)))</f>
        <v/>
      </c>
      <c r="O1549" s="54">
        <f>IF(A1549="","",IF(C1549="",0,C1549))</f>
        <v/>
      </c>
    </row>
    <row r="1550">
      <c r="A1550" s="58" t="n"/>
      <c r="B1550" s="49">
        <f>IF(A1550="","",CHOOSE(WEEKDAY(A1550,2),"Пн","Вт","Ср","Чт","Пт","Сб","Вс"))</f>
        <v/>
      </c>
      <c r="C1550" s="59" t="n"/>
      <c r="D1550" s="59" t="n"/>
      <c r="E1550" s="60">
        <f>IF(OR(C1550="",D1550=""),"",MOD(D1550-C1550,1)*24)</f>
        <v/>
      </c>
      <c r="F1550" s="50" t="n"/>
      <c r="G1550" s="51" t="n"/>
      <c r="H1550" s="51" t="n"/>
      <c r="I1550" s="51" t="n"/>
      <c r="J1550" s="51" t="n"/>
      <c r="K1550" s="51" t="n"/>
      <c r="L1550" s="54">
        <f>IF(OR(A1550="",C1550="",D1550=""),"",IF(COUNTIFS($A$5:$A$3004,A1550,$C$5:$C$3004,"&lt;"&amp;D1550,$D$5:$D$3004,"&gt;"&amp;C1550)&gt;1,"⚠️ пересечение",""))</f>
        <v/>
      </c>
      <c r="M1550" s="54">
        <f>IF(F1550="","",IF(J1550="✅ Сделано","✔ ",IF(J1550="❌ Пропущено","✖ ","⏰ "))&amp;IF(C1550="","",RIGHT("0"&amp;HOUR(C1550),2)&amp;":"&amp;RIGHT("0"&amp;MINUTE(C1550),2)&amp;IF(D1550="","","–"&amp;RIGHT("0"&amp;HOUR(D1550),2)&amp;":"&amp;RIGHT("0"&amp;MINUTE(D1550),2))&amp;" ")&amp;F1550)</f>
        <v/>
      </c>
      <c r="N1550" s="54">
        <f>IF(OR(A1550="",F1550=""),"",A1550&amp;"#"&amp;(COUNTIFS($A$5:$A$3004,A1550,$F$5:$F$3004,"?*",$O$5:$O$3004,"&lt;"&amp;O1550)+COUNTIFS($A$5:A1550,A1550,$F$5:F1550,"?*",$O$5:O1550,O1550)))</f>
        <v/>
      </c>
      <c r="O1550" s="54">
        <f>IF(A1550="","",IF(C1550="",0,C1550))</f>
        <v/>
      </c>
    </row>
    <row r="1551">
      <c r="A1551" s="58" t="n"/>
      <c r="B1551" s="49">
        <f>IF(A1551="","",CHOOSE(WEEKDAY(A1551,2),"Пн","Вт","Ср","Чт","Пт","Сб","Вс"))</f>
        <v/>
      </c>
      <c r="C1551" s="59" t="n"/>
      <c r="D1551" s="59" t="n"/>
      <c r="E1551" s="60">
        <f>IF(OR(C1551="",D1551=""),"",MOD(D1551-C1551,1)*24)</f>
        <v/>
      </c>
      <c r="F1551" s="50" t="n"/>
      <c r="G1551" s="51" t="n"/>
      <c r="H1551" s="51" t="n"/>
      <c r="I1551" s="51" t="n"/>
      <c r="J1551" s="51" t="n"/>
      <c r="K1551" s="51" t="n"/>
      <c r="L1551" s="54">
        <f>IF(OR(A1551="",C1551="",D1551=""),"",IF(COUNTIFS($A$5:$A$3004,A1551,$C$5:$C$3004,"&lt;"&amp;D1551,$D$5:$D$3004,"&gt;"&amp;C1551)&gt;1,"⚠️ пересечение",""))</f>
        <v/>
      </c>
      <c r="M1551" s="54">
        <f>IF(F1551="","",IF(J1551="✅ Сделано","✔ ",IF(J1551="❌ Пропущено","✖ ","⏰ "))&amp;IF(C1551="","",RIGHT("0"&amp;HOUR(C1551),2)&amp;":"&amp;RIGHT("0"&amp;MINUTE(C1551),2)&amp;IF(D1551="","","–"&amp;RIGHT("0"&amp;HOUR(D1551),2)&amp;":"&amp;RIGHT("0"&amp;MINUTE(D1551),2))&amp;" ")&amp;F1551)</f>
        <v/>
      </c>
      <c r="N1551" s="54">
        <f>IF(OR(A1551="",F1551=""),"",A1551&amp;"#"&amp;(COUNTIFS($A$5:$A$3004,A1551,$F$5:$F$3004,"?*",$O$5:$O$3004,"&lt;"&amp;O1551)+COUNTIFS($A$5:A1551,A1551,$F$5:F1551,"?*",$O$5:O1551,O1551)))</f>
        <v/>
      </c>
      <c r="O1551" s="54">
        <f>IF(A1551="","",IF(C1551="",0,C1551))</f>
        <v/>
      </c>
    </row>
    <row r="1552">
      <c r="A1552" s="58" t="n"/>
      <c r="B1552" s="49">
        <f>IF(A1552="","",CHOOSE(WEEKDAY(A1552,2),"Пн","Вт","Ср","Чт","Пт","Сб","Вс"))</f>
        <v/>
      </c>
      <c r="C1552" s="59" t="n"/>
      <c r="D1552" s="59" t="n"/>
      <c r="E1552" s="60">
        <f>IF(OR(C1552="",D1552=""),"",MOD(D1552-C1552,1)*24)</f>
        <v/>
      </c>
      <c r="F1552" s="50" t="n"/>
      <c r="G1552" s="51" t="n"/>
      <c r="H1552" s="51" t="n"/>
      <c r="I1552" s="51" t="n"/>
      <c r="J1552" s="51" t="n"/>
      <c r="K1552" s="51" t="n"/>
      <c r="L1552" s="54">
        <f>IF(OR(A1552="",C1552="",D1552=""),"",IF(COUNTIFS($A$5:$A$3004,A1552,$C$5:$C$3004,"&lt;"&amp;D1552,$D$5:$D$3004,"&gt;"&amp;C1552)&gt;1,"⚠️ пересечение",""))</f>
        <v/>
      </c>
      <c r="M1552" s="54">
        <f>IF(F1552="","",IF(J1552="✅ Сделано","✔ ",IF(J1552="❌ Пропущено","✖ ","⏰ "))&amp;IF(C1552="","",RIGHT("0"&amp;HOUR(C1552),2)&amp;":"&amp;RIGHT("0"&amp;MINUTE(C1552),2)&amp;IF(D1552="","","–"&amp;RIGHT("0"&amp;HOUR(D1552),2)&amp;":"&amp;RIGHT("0"&amp;MINUTE(D1552),2))&amp;" ")&amp;F1552)</f>
        <v/>
      </c>
      <c r="N1552" s="54">
        <f>IF(OR(A1552="",F1552=""),"",A1552&amp;"#"&amp;(COUNTIFS($A$5:$A$3004,A1552,$F$5:$F$3004,"?*",$O$5:$O$3004,"&lt;"&amp;O1552)+COUNTIFS($A$5:A1552,A1552,$F$5:F1552,"?*",$O$5:O1552,O1552)))</f>
        <v/>
      </c>
      <c r="O1552" s="54">
        <f>IF(A1552="","",IF(C1552="",0,C1552))</f>
        <v/>
      </c>
    </row>
    <row r="1553">
      <c r="A1553" s="58" t="n"/>
      <c r="B1553" s="49">
        <f>IF(A1553="","",CHOOSE(WEEKDAY(A1553,2),"Пн","Вт","Ср","Чт","Пт","Сб","Вс"))</f>
        <v/>
      </c>
      <c r="C1553" s="59" t="n"/>
      <c r="D1553" s="59" t="n"/>
      <c r="E1553" s="60">
        <f>IF(OR(C1553="",D1553=""),"",MOD(D1553-C1553,1)*24)</f>
        <v/>
      </c>
      <c r="F1553" s="50" t="n"/>
      <c r="G1553" s="51" t="n"/>
      <c r="H1553" s="51" t="n"/>
      <c r="I1553" s="51" t="n"/>
      <c r="J1553" s="51" t="n"/>
      <c r="K1553" s="51" t="n"/>
      <c r="L1553" s="54">
        <f>IF(OR(A1553="",C1553="",D1553=""),"",IF(COUNTIFS($A$5:$A$3004,A1553,$C$5:$C$3004,"&lt;"&amp;D1553,$D$5:$D$3004,"&gt;"&amp;C1553)&gt;1,"⚠️ пересечение",""))</f>
        <v/>
      </c>
      <c r="M1553" s="54">
        <f>IF(F1553="","",IF(J1553="✅ Сделано","✔ ",IF(J1553="❌ Пропущено","✖ ","⏰ "))&amp;IF(C1553="","",RIGHT("0"&amp;HOUR(C1553),2)&amp;":"&amp;RIGHT("0"&amp;MINUTE(C1553),2)&amp;IF(D1553="","","–"&amp;RIGHT("0"&amp;HOUR(D1553),2)&amp;":"&amp;RIGHT("0"&amp;MINUTE(D1553),2))&amp;" ")&amp;F1553)</f>
        <v/>
      </c>
      <c r="N1553" s="54">
        <f>IF(OR(A1553="",F1553=""),"",A1553&amp;"#"&amp;(COUNTIFS($A$5:$A$3004,A1553,$F$5:$F$3004,"?*",$O$5:$O$3004,"&lt;"&amp;O1553)+COUNTIFS($A$5:A1553,A1553,$F$5:F1553,"?*",$O$5:O1553,O1553)))</f>
        <v/>
      </c>
      <c r="O1553" s="54">
        <f>IF(A1553="","",IF(C1553="",0,C1553))</f>
        <v/>
      </c>
    </row>
    <row r="1554">
      <c r="A1554" s="58" t="n"/>
      <c r="B1554" s="49">
        <f>IF(A1554="","",CHOOSE(WEEKDAY(A1554,2),"Пн","Вт","Ср","Чт","Пт","Сб","Вс"))</f>
        <v/>
      </c>
      <c r="C1554" s="59" t="n"/>
      <c r="D1554" s="59" t="n"/>
      <c r="E1554" s="60">
        <f>IF(OR(C1554="",D1554=""),"",MOD(D1554-C1554,1)*24)</f>
        <v/>
      </c>
      <c r="F1554" s="50" t="n"/>
      <c r="G1554" s="51" t="n"/>
      <c r="H1554" s="51" t="n"/>
      <c r="I1554" s="51" t="n"/>
      <c r="J1554" s="51" t="n"/>
      <c r="K1554" s="51" t="n"/>
      <c r="L1554" s="54">
        <f>IF(OR(A1554="",C1554="",D1554=""),"",IF(COUNTIFS($A$5:$A$3004,A1554,$C$5:$C$3004,"&lt;"&amp;D1554,$D$5:$D$3004,"&gt;"&amp;C1554)&gt;1,"⚠️ пересечение",""))</f>
        <v/>
      </c>
      <c r="M1554" s="54">
        <f>IF(F1554="","",IF(J1554="✅ Сделано","✔ ",IF(J1554="❌ Пропущено","✖ ","⏰ "))&amp;IF(C1554="","",RIGHT("0"&amp;HOUR(C1554),2)&amp;":"&amp;RIGHT("0"&amp;MINUTE(C1554),2)&amp;IF(D1554="","","–"&amp;RIGHT("0"&amp;HOUR(D1554),2)&amp;":"&amp;RIGHT("0"&amp;MINUTE(D1554),2))&amp;" ")&amp;F1554)</f>
        <v/>
      </c>
      <c r="N1554" s="54">
        <f>IF(OR(A1554="",F1554=""),"",A1554&amp;"#"&amp;(COUNTIFS($A$5:$A$3004,A1554,$F$5:$F$3004,"?*",$O$5:$O$3004,"&lt;"&amp;O1554)+COUNTIFS($A$5:A1554,A1554,$F$5:F1554,"?*",$O$5:O1554,O1554)))</f>
        <v/>
      </c>
      <c r="O1554" s="54">
        <f>IF(A1554="","",IF(C1554="",0,C1554))</f>
        <v/>
      </c>
    </row>
    <row r="1555">
      <c r="A1555" s="58" t="n"/>
      <c r="B1555" s="49">
        <f>IF(A1555="","",CHOOSE(WEEKDAY(A1555,2),"Пн","Вт","Ср","Чт","Пт","Сб","Вс"))</f>
        <v/>
      </c>
      <c r="C1555" s="59" t="n"/>
      <c r="D1555" s="59" t="n"/>
      <c r="E1555" s="60">
        <f>IF(OR(C1555="",D1555=""),"",MOD(D1555-C1555,1)*24)</f>
        <v/>
      </c>
      <c r="F1555" s="50" t="n"/>
      <c r="G1555" s="51" t="n"/>
      <c r="H1555" s="51" t="n"/>
      <c r="I1555" s="51" t="n"/>
      <c r="J1555" s="51" t="n"/>
      <c r="K1555" s="51" t="n"/>
      <c r="L1555" s="54">
        <f>IF(OR(A1555="",C1555="",D1555=""),"",IF(COUNTIFS($A$5:$A$3004,A1555,$C$5:$C$3004,"&lt;"&amp;D1555,$D$5:$D$3004,"&gt;"&amp;C1555)&gt;1,"⚠️ пересечение",""))</f>
        <v/>
      </c>
      <c r="M1555" s="54">
        <f>IF(F1555="","",IF(J1555="✅ Сделано","✔ ",IF(J1555="❌ Пропущено","✖ ","⏰ "))&amp;IF(C1555="","",RIGHT("0"&amp;HOUR(C1555),2)&amp;":"&amp;RIGHT("0"&amp;MINUTE(C1555),2)&amp;IF(D1555="","","–"&amp;RIGHT("0"&amp;HOUR(D1555),2)&amp;":"&amp;RIGHT("0"&amp;MINUTE(D1555),2))&amp;" ")&amp;F1555)</f>
        <v/>
      </c>
      <c r="N1555" s="54">
        <f>IF(OR(A1555="",F1555=""),"",A1555&amp;"#"&amp;(COUNTIFS($A$5:$A$3004,A1555,$F$5:$F$3004,"?*",$O$5:$O$3004,"&lt;"&amp;O1555)+COUNTIFS($A$5:A1555,A1555,$F$5:F1555,"?*",$O$5:O1555,O1555)))</f>
        <v/>
      </c>
      <c r="O1555" s="54">
        <f>IF(A1555="","",IF(C1555="",0,C1555))</f>
        <v/>
      </c>
    </row>
    <row r="1556">
      <c r="A1556" s="58" t="n"/>
      <c r="B1556" s="49">
        <f>IF(A1556="","",CHOOSE(WEEKDAY(A1556,2),"Пн","Вт","Ср","Чт","Пт","Сб","Вс"))</f>
        <v/>
      </c>
      <c r="C1556" s="59" t="n"/>
      <c r="D1556" s="59" t="n"/>
      <c r="E1556" s="60">
        <f>IF(OR(C1556="",D1556=""),"",MOD(D1556-C1556,1)*24)</f>
        <v/>
      </c>
      <c r="F1556" s="50" t="n"/>
      <c r="G1556" s="51" t="n"/>
      <c r="H1556" s="51" t="n"/>
      <c r="I1556" s="51" t="n"/>
      <c r="J1556" s="51" t="n"/>
      <c r="K1556" s="51" t="n"/>
      <c r="L1556" s="54">
        <f>IF(OR(A1556="",C1556="",D1556=""),"",IF(COUNTIFS($A$5:$A$3004,A1556,$C$5:$C$3004,"&lt;"&amp;D1556,$D$5:$D$3004,"&gt;"&amp;C1556)&gt;1,"⚠️ пересечение",""))</f>
        <v/>
      </c>
      <c r="M1556" s="54">
        <f>IF(F1556="","",IF(J1556="✅ Сделано","✔ ",IF(J1556="❌ Пропущено","✖ ","⏰ "))&amp;IF(C1556="","",RIGHT("0"&amp;HOUR(C1556),2)&amp;":"&amp;RIGHT("0"&amp;MINUTE(C1556),2)&amp;IF(D1556="","","–"&amp;RIGHT("0"&amp;HOUR(D1556),2)&amp;":"&amp;RIGHT("0"&amp;MINUTE(D1556),2))&amp;" ")&amp;F1556)</f>
        <v/>
      </c>
      <c r="N1556" s="54">
        <f>IF(OR(A1556="",F1556=""),"",A1556&amp;"#"&amp;(COUNTIFS($A$5:$A$3004,A1556,$F$5:$F$3004,"?*",$O$5:$O$3004,"&lt;"&amp;O1556)+COUNTIFS($A$5:A1556,A1556,$F$5:F1556,"?*",$O$5:O1556,O1556)))</f>
        <v/>
      </c>
      <c r="O1556" s="54">
        <f>IF(A1556="","",IF(C1556="",0,C1556))</f>
        <v/>
      </c>
    </row>
    <row r="1557">
      <c r="A1557" s="58" t="n"/>
      <c r="B1557" s="49">
        <f>IF(A1557="","",CHOOSE(WEEKDAY(A1557,2),"Пн","Вт","Ср","Чт","Пт","Сб","Вс"))</f>
        <v/>
      </c>
      <c r="C1557" s="59" t="n"/>
      <c r="D1557" s="59" t="n"/>
      <c r="E1557" s="60">
        <f>IF(OR(C1557="",D1557=""),"",MOD(D1557-C1557,1)*24)</f>
        <v/>
      </c>
      <c r="F1557" s="50" t="n"/>
      <c r="G1557" s="51" t="n"/>
      <c r="H1557" s="51" t="n"/>
      <c r="I1557" s="51" t="n"/>
      <c r="J1557" s="51" t="n"/>
      <c r="K1557" s="51" t="n"/>
      <c r="L1557" s="54">
        <f>IF(OR(A1557="",C1557="",D1557=""),"",IF(COUNTIFS($A$5:$A$3004,A1557,$C$5:$C$3004,"&lt;"&amp;D1557,$D$5:$D$3004,"&gt;"&amp;C1557)&gt;1,"⚠️ пересечение",""))</f>
        <v/>
      </c>
      <c r="M1557" s="54">
        <f>IF(F1557="","",IF(J1557="✅ Сделано","✔ ",IF(J1557="❌ Пропущено","✖ ","⏰ "))&amp;IF(C1557="","",RIGHT("0"&amp;HOUR(C1557),2)&amp;":"&amp;RIGHT("0"&amp;MINUTE(C1557),2)&amp;IF(D1557="","","–"&amp;RIGHT("0"&amp;HOUR(D1557),2)&amp;":"&amp;RIGHT("0"&amp;MINUTE(D1557),2))&amp;" ")&amp;F1557)</f>
        <v/>
      </c>
      <c r="N1557" s="54">
        <f>IF(OR(A1557="",F1557=""),"",A1557&amp;"#"&amp;(COUNTIFS($A$5:$A$3004,A1557,$F$5:$F$3004,"?*",$O$5:$O$3004,"&lt;"&amp;O1557)+COUNTIFS($A$5:A1557,A1557,$F$5:F1557,"?*",$O$5:O1557,O1557)))</f>
        <v/>
      </c>
      <c r="O1557" s="54">
        <f>IF(A1557="","",IF(C1557="",0,C1557))</f>
        <v/>
      </c>
    </row>
    <row r="1558">
      <c r="A1558" s="58" t="n"/>
      <c r="B1558" s="49">
        <f>IF(A1558="","",CHOOSE(WEEKDAY(A1558,2),"Пн","Вт","Ср","Чт","Пт","Сб","Вс"))</f>
        <v/>
      </c>
      <c r="C1558" s="59" t="n"/>
      <c r="D1558" s="59" t="n"/>
      <c r="E1558" s="60">
        <f>IF(OR(C1558="",D1558=""),"",MOD(D1558-C1558,1)*24)</f>
        <v/>
      </c>
      <c r="F1558" s="50" t="n"/>
      <c r="G1558" s="51" t="n"/>
      <c r="H1558" s="51" t="n"/>
      <c r="I1558" s="51" t="n"/>
      <c r="J1558" s="51" t="n"/>
      <c r="K1558" s="51" t="n"/>
      <c r="L1558" s="54">
        <f>IF(OR(A1558="",C1558="",D1558=""),"",IF(COUNTIFS($A$5:$A$3004,A1558,$C$5:$C$3004,"&lt;"&amp;D1558,$D$5:$D$3004,"&gt;"&amp;C1558)&gt;1,"⚠️ пересечение",""))</f>
        <v/>
      </c>
      <c r="M1558" s="54">
        <f>IF(F1558="","",IF(J1558="✅ Сделано","✔ ",IF(J1558="❌ Пропущено","✖ ","⏰ "))&amp;IF(C1558="","",RIGHT("0"&amp;HOUR(C1558),2)&amp;":"&amp;RIGHT("0"&amp;MINUTE(C1558),2)&amp;IF(D1558="","","–"&amp;RIGHT("0"&amp;HOUR(D1558),2)&amp;":"&amp;RIGHT("0"&amp;MINUTE(D1558),2))&amp;" ")&amp;F1558)</f>
        <v/>
      </c>
      <c r="N1558" s="54">
        <f>IF(OR(A1558="",F1558=""),"",A1558&amp;"#"&amp;(COUNTIFS($A$5:$A$3004,A1558,$F$5:$F$3004,"?*",$O$5:$O$3004,"&lt;"&amp;O1558)+COUNTIFS($A$5:A1558,A1558,$F$5:F1558,"?*",$O$5:O1558,O1558)))</f>
        <v/>
      </c>
      <c r="O1558" s="54">
        <f>IF(A1558="","",IF(C1558="",0,C1558))</f>
        <v/>
      </c>
    </row>
    <row r="1559">
      <c r="A1559" s="58" t="n"/>
      <c r="B1559" s="49">
        <f>IF(A1559="","",CHOOSE(WEEKDAY(A1559,2),"Пн","Вт","Ср","Чт","Пт","Сб","Вс"))</f>
        <v/>
      </c>
      <c r="C1559" s="59" t="n"/>
      <c r="D1559" s="59" t="n"/>
      <c r="E1559" s="60">
        <f>IF(OR(C1559="",D1559=""),"",MOD(D1559-C1559,1)*24)</f>
        <v/>
      </c>
      <c r="F1559" s="50" t="n"/>
      <c r="G1559" s="51" t="n"/>
      <c r="H1559" s="51" t="n"/>
      <c r="I1559" s="51" t="n"/>
      <c r="J1559" s="51" t="n"/>
      <c r="K1559" s="51" t="n"/>
      <c r="L1559" s="54">
        <f>IF(OR(A1559="",C1559="",D1559=""),"",IF(COUNTIFS($A$5:$A$3004,A1559,$C$5:$C$3004,"&lt;"&amp;D1559,$D$5:$D$3004,"&gt;"&amp;C1559)&gt;1,"⚠️ пересечение",""))</f>
        <v/>
      </c>
      <c r="M1559" s="54">
        <f>IF(F1559="","",IF(J1559="✅ Сделано","✔ ",IF(J1559="❌ Пропущено","✖ ","⏰ "))&amp;IF(C1559="","",RIGHT("0"&amp;HOUR(C1559),2)&amp;":"&amp;RIGHT("0"&amp;MINUTE(C1559),2)&amp;IF(D1559="","","–"&amp;RIGHT("0"&amp;HOUR(D1559),2)&amp;":"&amp;RIGHT("0"&amp;MINUTE(D1559),2))&amp;" ")&amp;F1559)</f>
        <v/>
      </c>
      <c r="N1559" s="54">
        <f>IF(OR(A1559="",F1559=""),"",A1559&amp;"#"&amp;(COUNTIFS($A$5:$A$3004,A1559,$F$5:$F$3004,"?*",$O$5:$O$3004,"&lt;"&amp;O1559)+COUNTIFS($A$5:A1559,A1559,$F$5:F1559,"?*",$O$5:O1559,O1559)))</f>
        <v/>
      </c>
      <c r="O1559" s="54">
        <f>IF(A1559="","",IF(C1559="",0,C1559))</f>
        <v/>
      </c>
    </row>
    <row r="1560">
      <c r="A1560" s="58" t="n"/>
      <c r="B1560" s="49">
        <f>IF(A1560="","",CHOOSE(WEEKDAY(A1560,2),"Пн","Вт","Ср","Чт","Пт","Сб","Вс"))</f>
        <v/>
      </c>
      <c r="C1560" s="59" t="n"/>
      <c r="D1560" s="59" t="n"/>
      <c r="E1560" s="60">
        <f>IF(OR(C1560="",D1560=""),"",MOD(D1560-C1560,1)*24)</f>
        <v/>
      </c>
      <c r="F1560" s="50" t="n"/>
      <c r="G1560" s="51" t="n"/>
      <c r="H1560" s="51" t="n"/>
      <c r="I1560" s="51" t="n"/>
      <c r="J1560" s="51" t="n"/>
      <c r="K1560" s="51" t="n"/>
      <c r="L1560" s="54">
        <f>IF(OR(A1560="",C1560="",D1560=""),"",IF(COUNTIFS($A$5:$A$3004,A1560,$C$5:$C$3004,"&lt;"&amp;D1560,$D$5:$D$3004,"&gt;"&amp;C1560)&gt;1,"⚠️ пересечение",""))</f>
        <v/>
      </c>
      <c r="M1560" s="54">
        <f>IF(F1560="","",IF(J1560="✅ Сделано","✔ ",IF(J1560="❌ Пропущено","✖ ","⏰ "))&amp;IF(C1560="","",RIGHT("0"&amp;HOUR(C1560),2)&amp;":"&amp;RIGHT("0"&amp;MINUTE(C1560),2)&amp;IF(D1560="","","–"&amp;RIGHT("0"&amp;HOUR(D1560),2)&amp;":"&amp;RIGHT("0"&amp;MINUTE(D1560),2))&amp;" ")&amp;F1560)</f>
        <v/>
      </c>
      <c r="N1560" s="54">
        <f>IF(OR(A1560="",F1560=""),"",A1560&amp;"#"&amp;(COUNTIFS($A$5:$A$3004,A1560,$F$5:$F$3004,"?*",$O$5:$O$3004,"&lt;"&amp;O1560)+COUNTIFS($A$5:A1560,A1560,$F$5:F1560,"?*",$O$5:O1560,O1560)))</f>
        <v/>
      </c>
      <c r="O1560" s="54">
        <f>IF(A1560="","",IF(C1560="",0,C1560))</f>
        <v/>
      </c>
    </row>
    <row r="1561">
      <c r="A1561" s="58" t="n"/>
      <c r="B1561" s="49">
        <f>IF(A1561="","",CHOOSE(WEEKDAY(A1561,2),"Пн","Вт","Ср","Чт","Пт","Сб","Вс"))</f>
        <v/>
      </c>
      <c r="C1561" s="59" t="n"/>
      <c r="D1561" s="59" t="n"/>
      <c r="E1561" s="60">
        <f>IF(OR(C1561="",D1561=""),"",MOD(D1561-C1561,1)*24)</f>
        <v/>
      </c>
      <c r="F1561" s="50" t="n"/>
      <c r="G1561" s="51" t="n"/>
      <c r="H1561" s="51" t="n"/>
      <c r="I1561" s="51" t="n"/>
      <c r="J1561" s="51" t="n"/>
      <c r="K1561" s="51" t="n"/>
      <c r="L1561" s="54">
        <f>IF(OR(A1561="",C1561="",D1561=""),"",IF(COUNTIFS($A$5:$A$3004,A1561,$C$5:$C$3004,"&lt;"&amp;D1561,$D$5:$D$3004,"&gt;"&amp;C1561)&gt;1,"⚠️ пересечение",""))</f>
        <v/>
      </c>
      <c r="M1561" s="54">
        <f>IF(F1561="","",IF(J1561="✅ Сделано","✔ ",IF(J1561="❌ Пропущено","✖ ","⏰ "))&amp;IF(C1561="","",RIGHT("0"&amp;HOUR(C1561),2)&amp;":"&amp;RIGHT("0"&amp;MINUTE(C1561),2)&amp;IF(D1561="","","–"&amp;RIGHT("0"&amp;HOUR(D1561),2)&amp;":"&amp;RIGHT("0"&amp;MINUTE(D1561),2))&amp;" ")&amp;F1561)</f>
        <v/>
      </c>
      <c r="N1561" s="54">
        <f>IF(OR(A1561="",F1561=""),"",A1561&amp;"#"&amp;(COUNTIFS($A$5:$A$3004,A1561,$F$5:$F$3004,"?*",$O$5:$O$3004,"&lt;"&amp;O1561)+COUNTIFS($A$5:A1561,A1561,$F$5:F1561,"?*",$O$5:O1561,O1561)))</f>
        <v/>
      </c>
      <c r="O1561" s="54">
        <f>IF(A1561="","",IF(C1561="",0,C1561))</f>
        <v/>
      </c>
    </row>
    <row r="1562">
      <c r="A1562" s="58" t="n"/>
      <c r="B1562" s="49">
        <f>IF(A1562="","",CHOOSE(WEEKDAY(A1562,2),"Пн","Вт","Ср","Чт","Пт","Сб","Вс"))</f>
        <v/>
      </c>
      <c r="C1562" s="59" t="n"/>
      <c r="D1562" s="59" t="n"/>
      <c r="E1562" s="60">
        <f>IF(OR(C1562="",D1562=""),"",MOD(D1562-C1562,1)*24)</f>
        <v/>
      </c>
      <c r="F1562" s="50" t="n"/>
      <c r="G1562" s="51" t="n"/>
      <c r="H1562" s="51" t="n"/>
      <c r="I1562" s="51" t="n"/>
      <c r="J1562" s="51" t="n"/>
      <c r="K1562" s="51" t="n"/>
      <c r="L1562" s="54">
        <f>IF(OR(A1562="",C1562="",D1562=""),"",IF(COUNTIFS($A$5:$A$3004,A1562,$C$5:$C$3004,"&lt;"&amp;D1562,$D$5:$D$3004,"&gt;"&amp;C1562)&gt;1,"⚠️ пересечение",""))</f>
        <v/>
      </c>
      <c r="M1562" s="54">
        <f>IF(F1562="","",IF(J1562="✅ Сделано","✔ ",IF(J1562="❌ Пропущено","✖ ","⏰ "))&amp;IF(C1562="","",RIGHT("0"&amp;HOUR(C1562),2)&amp;":"&amp;RIGHT("0"&amp;MINUTE(C1562),2)&amp;IF(D1562="","","–"&amp;RIGHT("0"&amp;HOUR(D1562),2)&amp;":"&amp;RIGHT("0"&amp;MINUTE(D1562),2))&amp;" ")&amp;F1562)</f>
        <v/>
      </c>
      <c r="N1562" s="54">
        <f>IF(OR(A1562="",F1562=""),"",A1562&amp;"#"&amp;(COUNTIFS($A$5:$A$3004,A1562,$F$5:$F$3004,"?*",$O$5:$O$3004,"&lt;"&amp;O1562)+COUNTIFS($A$5:A1562,A1562,$F$5:F1562,"?*",$O$5:O1562,O1562)))</f>
        <v/>
      </c>
      <c r="O1562" s="54">
        <f>IF(A1562="","",IF(C1562="",0,C1562))</f>
        <v/>
      </c>
    </row>
    <row r="1563">
      <c r="A1563" s="58" t="n"/>
      <c r="B1563" s="49">
        <f>IF(A1563="","",CHOOSE(WEEKDAY(A1563,2),"Пн","Вт","Ср","Чт","Пт","Сб","Вс"))</f>
        <v/>
      </c>
      <c r="C1563" s="59" t="n"/>
      <c r="D1563" s="59" t="n"/>
      <c r="E1563" s="60">
        <f>IF(OR(C1563="",D1563=""),"",MOD(D1563-C1563,1)*24)</f>
        <v/>
      </c>
      <c r="F1563" s="50" t="n"/>
      <c r="G1563" s="51" t="n"/>
      <c r="H1563" s="51" t="n"/>
      <c r="I1563" s="51" t="n"/>
      <c r="J1563" s="51" t="n"/>
      <c r="K1563" s="51" t="n"/>
      <c r="L1563" s="54">
        <f>IF(OR(A1563="",C1563="",D1563=""),"",IF(COUNTIFS($A$5:$A$3004,A1563,$C$5:$C$3004,"&lt;"&amp;D1563,$D$5:$D$3004,"&gt;"&amp;C1563)&gt;1,"⚠️ пересечение",""))</f>
        <v/>
      </c>
      <c r="M1563" s="54">
        <f>IF(F1563="","",IF(J1563="✅ Сделано","✔ ",IF(J1563="❌ Пропущено","✖ ","⏰ "))&amp;IF(C1563="","",RIGHT("0"&amp;HOUR(C1563),2)&amp;":"&amp;RIGHT("0"&amp;MINUTE(C1563),2)&amp;IF(D1563="","","–"&amp;RIGHT("0"&amp;HOUR(D1563),2)&amp;":"&amp;RIGHT("0"&amp;MINUTE(D1563),2))&amp;" ")&amp;F1563)</f>
        <v/>
      </c>
      <c r="N1563" s="54">
        <f>IF(OR(A1563="",F1563=""),"",A1563&amp;"#"&amp;(COUNTIFS($A$5:$A$3004,A1563,$F$5:$F$3004,"?*",$O$5:$O$3004,"&lt;"&amp;O1563)+COUNTIFS($A$5:A1563,A1563,$F$5:F1563,"?*",$O$5:O1563,O1563)))</f>
        <v/>
      </c>
      <c r="O1563" s="54">
        <f>IF(A1563="","",IF(C1563="",0,C1563))</f>
        <v/>
      </c>
    </row>
    <row r="1564">
      <c r="A1564" s="58" t="n"/>
      <c r="B1564" s="49">
        <f>IF(A1564="","",CHOOSE(WEEKDAY(A1564,2),"Пн","Вт","Ср","Чт","Пт","Сб","Вс"))</f>
        <v/>
      </c>
      <c r="C1564" s="59" t="n"/>
      <c r="D1564" s="59" t="n"/>
      <c r="E1564" s="60">
        <f>IF(OR(C1564="",D1564=""),"",MOD(D1564-C1564,1)*24)</f>
        <v/>
      </c>
      <c r="F1564" s="50" t="n"/>
      <c r="G1564" s="51" t="n"/>
      <c r="H1564" s="51" t="n"/>
      <c r="I1564" s="51" t="n"/>
      <c r="J1564" s="51" t="n"/>
      <c r="K1564" s="51" t="n"/>
      <c r="L1564" s="54">
        <f>IF(OR(A1564="",C1564="",D1564=""),"",IF(COUNTIFS($A$5:$A$3004,A1564,$C$5:$C$3004,"&lt;"&amp;D1564,$D$5:$D$3004,"&gt;"&amp;C1564)&gt;1,"⚠️ пересечение",""))</f>
        <v/>
      </c>
      <c r="M1564" s="54">
        <f>IF(F1564="","",IF(J1564="✅ Сделано","✔ ",IF(J1564="❌ Пропущено","✖ ","⏰ "))&amp;IF(C1564="","",RIGHT("0"&amp;HOUR(C1564),2)&amp;":"&amp;RIGHT("0"&amp;MINUTE(C1564),2)&amp;IF(D1564="","","–"&amp;RIGHT("0"&amp;HOUR(D1564),2)&amp;":"&amp;RIGHT("0"&amp;MINUTE(D1564),2))&amp;" ")&amp;F1564)</f>
        <v/>
      </c>
      <c r="N1564" s="54">
        <f>IF(OR(A1564="",F1564=""),"",A1564&amp;"#"&amp;(COUNTIFS($A$5:$A$3004,A1564,$F$5:$F$3004,"?*",$O$5:$O$3004,"&lt;"&amp;O1564)+COUNTIFS($A$5:A1564,A1564,$F$5:F1564,"?*",$O$5:O1564,O1564)))</f>
        <v/>
      </c>
      <c r="O1564" s="54">
        <f>IF(A1564="","",IF(C1564="",0,C1564))</f>
        <v/>
      </c>
    </row>
    <row r="1565">
      <c r="A1565" s="58" t="n"/>
      <c r="B1565" s="49">
        <f>IF(A1565="","",CHOOSE(WEEKDAY(A1565,2),"Пн","Вт","Ср","Чт","Пт","Сб","Вс"))</f>
        <v/>
      </c>
      <c r="C1565" s="59" t="n"/>
      <c r="D1565" s="59" t="n"/>
      <c r="E1565" s="60">
        <f>IF(OR(C1565="",D1565=""),"",MOD(D1565-C1565,1)*24)</f>
        <v/>
      </c>
      <c r="F1565" s="50" t="n"/>
      <c r="G1565" s="51" t="n"/>
      <c r="H1565" s="51" t="n"/>
      <c r="I1565" s="51" t="n"/>
      <c r="J1565" s="51" t="n"/>
      <c r="K1565" s="51" t="n"/>
      <c r="L1565" s="54">
        <f>IF(OR(A1565="",C1565="",D1565=""),"",IF(COUNTIFS($A$5:$A$3004,A1565,$C$5:$C$3004,"&lt;"&amp;D1565,$D$5:$D$3004,"&gt;"&amp;C1565)&gt;1,"⚠️ пересечение",""))</f>
        <v/>
      </c>
      <c r="M1565" s="54">
        <f>IF(F1565="","",IF(J1565="✅ Сделано","✔ ",IF(J1565="❌ Пропущено","✖ ","⏰ "))&amp;IF(C1565="","",RIGHT("0"&amp;HOUR(C1565),2)&amp;":"&amp;RIGHT("0"&amp;MINUTE(C1565),2)&amp;IF(D1565="","","–"&amp;RIGHT("0"&amp;HOUR(D1565),2)&amp;":"&amp;RIGHT("0"&amp;MINUTE(D1565),2))&amp;" ")&amp;F1565)</f>
        <v/>
      </c>
      <c r="N1565" s="54">
        <f>IF(OR(A1565="",F1565=""),"",A1565&amp;"#"&amp;(COUNTIFS($A$5:$A$3004,A1565,$F$5:$F$3004,"?*",$O$5:$O$3004,"&lt;"&amp;O1565)+COUNTIFS($A$5:A1565,A1565,$F$5:F1565,"?*",$O$5:O1565,O1565)))</f>
        <v/>
      </c>
      <c r="O1565" s="54">
        <f>IF(A1565="","",IF(C1565="",0,C1565))</f>
        <v/>
      </c>
    </row>
    <row r="1566">
      <c r="A1566" s="58" t="n"/>
      <c r="B1566" s="49">
        <f>IF(A1566="","",CHOOSE(WEEKDAY(A1566,2),"Пн","Вт","Ср","Чт","Пт","Сб","Вс"))</f>
        <v/>
      </c>
      <c r="C1566" s="59" t="n"/>
      <c r="D1566" s="59" t="n"/>
      <c r="E1566" s="60">
        <f>IF(OR(C1566="",D1566=""),"",MOD(D1566-C1566,1)*24)</f>
        <v/>
      </c>
      <c r="F1566" s="50" t="n"/>
      <c r="G1566" s="51" t="n"/>
      <c r="H1566" s="51" t="n"/>
      <c r="I1566" s="51" t="n"/>
      <c r="J1566" s="51" t="n"/>
      <c r="K1566" s="51" t="n"/>
      <c r="L1566" s="54">
        <f>IF(OR(A1566="",C1566="",D1566=""),"",IF(COUNTIFS($A$5:$A$3004,A1566,$C$5:$C$3004,"&lt;"&amp;D1566,$D$5:$D$3004,"&gt;"&amp;C1566)&gt;1,"⚠️ пересечение",""))</f>
        <v/>
      </c>
      <c r="M1566" s="54">
        <f>IF(F1566="","",IF(J1566="✅ Сделано","✔ ",IF(J1566="❌ Пропущено","✖ ","⏰ "))&amp;IF(C1566="","",RIGHT("0"&amp;HOUR(C1566),2)&amp;":"&amp;RIGHT("0"&amp;MINUTE(C1566),2)&amp;IF(D1566="","","–"&amp;RIGHT("0"&amp;HOUR(D1566),2)&amp;":"&amp;RIGHT("0"&amp;MINUTE(D1566),2))&amp;" ")&amp;F1566)</f>
        <v/>
      </c>
      <c r="N1566" s="54">
        <f>IF(OR(A1566="",F1566=""),"",A1566&amp;"#"&amp;(COUNTIFS($A$5:$A$3004,A1566,$F$5:$F$3004,"?*",$O$5:$O$3004,"&lt;"&amp;O1566)+COUNTIFS($A$5:A1566,A1566,$F$5:F1566,"?*",$O$5:O1566,O1566)))</f>
        <v/>
      </c>
      <c r="O1566" s="54">
        <f>IF(A1566="","",IF(C1566="",0,C1566))</f>
        <v/>
      </c>
    </row>
    <row r="1567">
      <c r="A1567" s="58" t="n"/>
      <c r="B1567" s="49">
        <f>IF(A1567="","",CHOOSE(WEEKDAY(A1567,2),"Пн","Вт","Ср","Чт","Пт","Сб","Вс"))</f>
        <v/>
      </c>
      <c r="C1567" s="59" t="n"/>
      <c r="D1567" s="59" t="n"/>
      <c r="E1567" s="60">
        <f>IF(OR(C1567="",D1567=""),"",MOD(D1567-C1567,1)*24)</f>
        <v/>
      </c>
      <c r="F1567" s="50" t="n"/>
      <c r="G1567" s="51" t="n"/>
      <c r="H1567" s="51" t="n"/>
      <c r="I1567" s="51" t="n"/>
      <c r="J1567" s="51" t="n"/>
      <c r="K1567" s="51" t="n"/>
      <c r="L1567" s="54">
        <f>IF(OR(A1567="",C1567="",D1567=""),"",IF(COUNTIFS($A$5:$A$3004,A1567,$C$5:$C$3004,"&lt;"&amp;D1567,$D$5:$D$3004,"&gt;"&amp;C1567)&gt;1,"⚠️ пересечение",""))</f>
        <v/>
      </c>
      <c r="M1567" s="54">
        <f>IF(F1567="","",IF(J1567="✅ Сделано","✔ ",IF(J1567="❌ Пропущено","✖ ","⏰ "))&amp;IF(C1567="","",RIGHT("0"&amp;HOUR(C1567),2)&amp;":"&amp;RIGHT("0"&amp;MINUTE(C1567),2)&amp;IF(D1567="","","–"&amp;RIGHT("0"&amp;HOUR(D1567),2)&amp;":"&amp;RIGHT("0"&amp;MINUTE(D1567),2))&amp;" ")&amp;F1567)</f>
        <v/>
      </c>
      <c r="N1567" s="54">
        <f>IF(OR(A1567="",F1567=""),"",A1567&amp;"#"&amp;(COUNTIFS($A$5:$A$3004,A1567,$F$5:$F$3004,"?*",$O$5:$O$3004,"&lt;"&amp;O1567)+COUNTIFS($A$5:A1567,A1567,$F$5:F1567,"?*",$O$5:O1567,O1567)))</f>
        <v/>
      </c>
      <c r="O1567" s="54">
        <f>IF(A1567="","",IF(C1567="",0,C1567))</f>
        <v/>
      </c>
    </row>
    <row r="1568">
      <c r="A1568" s="58" t="n"/>
      <c r="B1568" s="49">
        <f>IF(A1568="","",CHOOSE(WEEKDAY(A1568,2),"Пн","Вт","Ср","Чт","Пт","Сб","Вс"))</f>
        <v/>
      </c>
      <c r="C1568" s="59" t="n"/>
      <c r="D1568" s="59" t="n"/>
      <c r="E1568" s="60">
        <f>IF(OR(C1568="",D1568=""),"",MOD(D1568-C1568,1)*24)</f>
        <v/>
      </c>
      <c r="F1568" s="50" t="n"/>
      <c r="G1568" s="51" t="n"/>
      <c r="H1568" s="51" t="n"/>
      <c r="I1568" s="51" t="n"/>
      <c r="J1568" s="51" t="n"/>
      <c r="K1568" s="51" t="n"/>
      <c r="L1568" s="54">
        <f>IF(OR(A1568="",C1568="",D1568=""),"",IF(COUNTIFS($A$5:$A$3004,A1568,$C$5:$C$3004,"&lt;"&amp;D1568,$D$5:$D$3004,"&gt;"&amp;C1568)&gt;1,"⚠️ пересечение",""))</f>
        <v/>
      </c>
      <c r="M1568" s="54">
        <f>IF(F1568="","",IF(J1568="✅ Сделано","✔ ",IF(J1568="❌ Пропущено","✖ ","⏰ "))&amp;IF(C1568="","",RIGHT("0"&amp;HOUR(C1568),2)&amp;":"&amp;RIGHT("0"&amp;MINUTE(C1568),2)&amp;IF(D1568="","","–"&amp;RIGHT("0"&amp;HOUR(D1568),2)&amp;":"&amp;RIGHT("0"&amp;MINUTE(D1568),2))&amp;" ")&amp;F1568)</f>
        <v/>
      </c>
      <c r="N1568" s="54">
        <f>IF(OR(A1568="",F1568=""),"",A1568&amp;"#"&amp;(COUNTIFS($A$5:$A$3004,A1568,$F$5:$F$3004,"?*",$O$5:$O$3004,"&lt;"&amp;O1568)+COUNTIFS($A$5:A1568,A1568,$F$5:F1568,"?*",$O$5:O1568,O1568)))</f>
        <v/>
      </c>
      <c r="O1568" s="54">
        <f>IF(A1568="","",IF(C1568="",0,C1568))</f>
        <v/>
      </c>
    </row>
    <row r="1569">
      <c r="A1569" s="58" t="n"/>
      <c r="B1569" s="49">
        <f>IF(A1569="","",CHOOSE(WEEKDAY(A1569,2),"Пн","Вт","Ср","Чт","Пт","Сб","Вс"))</f>
        <v/>
      </c>
      <c r="C1569" s="59" t="n"/>
      <c r="D1569" s="59" t="n"/>
      <c r="E1569" s="60">
        <f>IF(OR(C1569="",D1569=""),"",MOD(D1569-C1569,1)*24)</f>
        <v/>
      </c>
      <c r="F1569" s="50" t="n"/>
      <c r="G1569" s="51" t="n"/>
      <c r="H1569" s="51" t="n"/>
      <c r="I1569" s="51" t="n"/>
      <c r="J1569" s="51" t="n"/>
      <c r="K1569" s="51" t="n"/>
      <c r="L1569" s="54">
        <f>IF(OR(A1569="",C1569="",D1569=""),"",IF(COUNTIFS($A$5:$A$3004,A1569,$C$5:$C$3004,"&lt;"&amp;D1569,$D$5:$D$3004,"&gt;"&amp;C1569)&gt;1,"⚠️ пересечение",""))</f>
        <v/>
      </c>
      <c r="M1569" s="54">
        <f>IF(F1569="","",IF(J1569="✅ Сделано","✔ ",IF(J1569="❌ Пропущено","✖ ","⏰ "))&amp;IF(C1569="","",RIGHT("0"&amp;HOUR(C1569),2)&amp;":"&amp;RIGHT("0"&amp;MINUTE(C1569),2)&amp;IF(D1569="","","–"&amp;RIGHT("0"&amp;HOUR(D1569),2)&amp;":"&amp;RIGHT("0"&amp;MINUTE(D1569),2))&amp;" ")&amp;F1569)</f>
        <v/>
      </c>
      <c r="N1569" s="54">
        <f>IF(OR(A1569="",F1569=""),"",A1569&amp;"#"&amp;(COUNTIFS($A$5:$A$3004,A1569,$F$5:$F$3004,"?*",$O$5:$O$3004,"&lt;"&amp;O1569)+COUNTIFS($A$5:A1569,A1569,$F$5:F1569,"?*",$O$5:O1569,O1569)))</f>
        <v/>
      </c>
      <c r="O1569" s="54">
        <f>IF(A1569="","",IF(C1569="",0,C1569))</f>
        <v/>
      </c>
    </row>
    <row r="1570">
      <c r="A1570" s="58" t="n"/>
      <c r="B1570" s="49">
        <f>IF(A1570="","",CHOOSE(WEEKDAY(A1570,2),"Пн","Вт","Ср","Чт","Пт","Сб","Вс"))</f>
        <v/>
      </c>
      <c r="C1570" s="59" t="n"/>
      <c r="D1570" s="59" t="n"/>
      <c r="E1570" s="60">
        <f>IF(OR(C1570="",D1570=""),"",MOD(D1570-C1570,1)*24)</f>
        <v/>
      </c>
      <c r="F1570" s="50" t="n"/>
      <c r="G1570" s="51" t="n"/>
      <c r="H1570" s="51" t="n"/>
      <c r="I1570" s="51" t="n"/>
      <c r="J1570" s="51" t="n"/>
      <c r="K1570" s="51" t="n"/>
      <c r="L1570" s="54">
        <f>IF(OR(A1570="",C1570="",D1570=""),"",IF(COUNTIFS($A$5:$A$3004,A1570,$C$5:$C$3004,"&lt;"&amp;D1570,$D$5:$D$3004,"&gt;"&amp;C1570)&gt;1,"⚠️ пересечение",""))</f>
        <v/>
      </c>
      <c r="M1570" s="54">
        <f>IF(F1570="","",IF(J1570="✅ Сделано","✔ ",IF(J1570="❌ Пропущено","✖ ","⏰ "))&amp;IF(C1570="","",RIGHT("0"&amp;HOUR(C1570),2)&amp;":"&amp;RIGHT("0"&amp;MINUTE(C1570),2)&amp;IF(D1570="","","–"&amp;RIGHT("0"&amp;HOUR(D1570),2)&amp;":"&amp;RIGHT("0"&amp;MINUTE(D1570),2))&amp;" ")&amp;F1570)</f>
        <v/>
      </c>
      <c r="N1570" s="54">
        <f>IF(OR(A1570="",F1570=""),"",A1570&amp;"#"&amp;(COUNTIFS($A$5:$A$3004,A1570,$F$5:$F$3004,"?*",$O$5:$O$3004,"&lt;"&amp;O1570)+COUNTIFS($A$5:A1570,A1570,$F$5:F1570,"?*",$O$5:O1570,O1570)))</f>
        <v/>
      </c>
      <c r="O1570" s="54">
        <f>IF(A1570="","",IF(C1570="",0,C1570))</f>
        <v/>
      </c>
    </row>
    <row r="1571">
      <c r="A1571" s="58" t="n"/>
      <c r="B1571" s="49">
        <f>IF(A1571="","",CHOOSE(WEEKDAY(A1571,2),"Пн","Вт","Ср","Чт","Пт","Сб","Вс"))</f>
        <v/>
      </c>
      <c r="C1571" s="59" t="n"/>
      <c r="D1571" s="59" t="n"/>
      <c r="E1571" s="60">
        <f>IF(OR(C1571="",D1571=""),"",MOD(D1571-C1571,1)*24)</f>
        <v/>
      </c>
      <c r="F1571" s="50" t="n"/>
      <c r="G1571" s="51" t="n"/>
      <c r="H1571" s="51" t="n"/>
      <c r="I1571" s="51" t="n"/>
      <c r="J1571" s="51" t="n"/>
      <c r="K1571" s="51" t="n"/>
      <c r="L1571" s="54">
        <f>IF(OR(A1571="",C1571="",D1571=""),"",IF(COUNTIFS($A$5:$A$3004,A1571,$C$5:$C$3004,"&lt;"&amp;D1571,$D$5:$D$3004,"&gt;"&amp;C1571)&gt;1,"⚠️ пересечение",""))</f>
        <v/>
      </c>
      <c r="M1571" s="54">
        <f>IF(F1571="","",IF(J1571="✅ Сделано","✔ ",IF(J1571="❌ Пропущено","✖ ","⏰ "))&amp;IF(C1571="","",RIGHT("0"&amp;HOUR(C1571),2)&amp;":"&amp;RIGHT("0"&amp;MINUTE(C1571),2)&amp;IF(D1571="","","–"&amp;RIGHT("0"&amp;HOUR(D1571),2)&amp;":"&amp;RIGHT("0"&amp;MINUTE(D1571),2))&amp;" ")&amp;F1571)</f>
        <v/>
      </c>
      <c r="N1571" s="54">
        <f>IF(OR(A1571="",F1571=""),"",A1571&amp;"#"&amp;(COUNTIFS($A$5:$A$3004,A1571,$F$5:$F$3004,"?*",$O$5:$O$3004,"&lt;"&amp;O1571)+COUNTIFS($A$5:A1571,A1571,$F$5:F1571,"?*",$O$5:O1571,O1571)))</f>
        <v/>
      </c>
      <c r="O1571" s="54">
        <f>IF(A1571="","",IF(C1571="",0,C1571))</f>
        <v/>
      </c>
    </row>
    <row r="1572">
      <c r="A1572" s="58" t="n"/>
      <c r="B1572" s="49">
        <f>IF(A1572="","",CHOOSE(WEEKDAY(A1572,2),"Пн","Вт","Ср","Чт","Пт","Сб","Вс"))</f>
        <v/>
      </c>
      <c r="C1572" s="59" t="n"/>
      <c r="D1572" s="59" t="n"/>
      <c r="E1572" s="60">
        <f>IF(OR(C1572="",D1572=""),"",MOD(D1572-C1572,1)*24)</f>
        <v/>
      </c>
      <c r="F1572" s="50" t="n"/>
      <c r="G1572" s="51" t="n"/>
      <c r="H1572" s="51" t="n"/>
      <c r="I1572" s="51" t="n"/>
      <c r="J1572" s="51" t="n"/>
      <c r="K1572" s="51" t="n"/>
      <c r="L1572" s="54">
        <f>IF(OR(A1572="",C1572="",D1572=""),"",IF(COUNTIFS($A$5:$A$3004,A1572,$C$5:$C$3004,"&lt;"&amp;D1572,$D$5:$D$3004,"&gt;"&amp;C1572)&gt;1,"⚠️ пересечение",""))</f>
        <v/>
      </c>
      <c r="M1572" s="54">
        <f>IF(F1572="","",IF(J1572="✅ Сделано","✔ ",IF(J1572="❌ Пропущено","✖ ","⏰ "))&amp;IF(C1572="","",RIGHT("0"&amp;HOUR(C1572),2)&amp;":"&amp;RIGHT("0"&amp;MINUTE(C1572),2)&amp;IF(D1572="","","–"&amp;RIGHT("0"&amp;HOUR(D1572),2)&amp;":"&amp;RIGHT("0"&amp;MINUTE(D1572),2))&amp;" ")&amp;F1572)</f>
        <v/>
      </c>
      <c r="N1572" s="54">
        <f>IF(OR(A1572="",F1572=""),"",A1572&amp;"#"&amp;(COUNTIFS($A$5:$A$3004,A1572,$F$5:$F$3004,"?*",$O$5:$O$3004,"&lt;"&amp;O1572)+COUNTIFS($A$5:A1572,A1572,$F$5:F1572,"?*",$O$5:O1572,O1572)))</f>
        <v/>
      </c>
      <c r="O1572" s="54">
        <f>IF(A1572="","",IF(C1572="",0,C1572))</f>
        <v/>
      </c>
    </row>
    <row r="1573">
      <c r="A1573" s="58" t="n"/>
      <c r="B1573" s="49">
        <f>IF(A1573="","",CHOOSE(WEEKDAY(A1573,2),"Пн","Вт","Ср","Чт","Пт","Сб","Вс"))</f>
        <v/>
      </c>
      <c r="C1573" s="59" t="n"/>
      <c r="D1573" s="59" t="n"/>
      <c r="E1573" s="60">
        <f>IF(OR(C1573="",D1573=""),"",MOD(D1573-C1573,1)*24)</f>
        <v/>
      </c>
      <c r="F1573" s="50" t="n"/>
      <c r="G1573" s="51" t="n"/>
      <c r="H1573" s="51" t="n"/>
      <c r="I1573" s="51" t="n"/>
      <c r="J1573" s="51" t="n"/>
      <c r="K1573" s="51" t="n"/>
      <c r="L1573" s="54">
        <f>IF(OR(A1573="",C1573="",D1573=""),"",IF(COUNTIFS($A$5:$A$3004,A1573,$C$5:$C$3004,"&lt;"&amp;D1573,$D$5:$D$3004,"&gt;"&amp;C1573)&gt;1,"⚠️ пересечение",""))</f>
        <v/>
      </c>
      <c r="M1573" s="54">
        <f>IF(F1573="","",IF(J1573="✅ Сделано","✔ ",IF(J1573="❌ Пропущено","✖ ","⏰ "))&amp;IF(C1573="","",RIGHT("0"&amp;HOUR(C1573),2)&amp;":"&amp;RIGHT("0"&amp;MINUTE(C1573),2)&amp;IF(D1573="","","–"&amp;RIGHT("0"&amp;HOUR(D1573),2)&amp;":"&amp;RIGHT("0"&amp;MINUTE(D1573),2))&amp;" ")&amp;F1573)</f>
        <v/>
      </c>
      <c r="N1573" s="54">
        <f>IF(OR(A1573="",F1573=""),"",A1573&amp;"#"&amp;(COUNTIFS($A$5:$A$3004,A1573,$F$5:$F$3004,"?*",$O$5:$O$3004,"&lt;"&amp;O1573)+COUNTIFS($A$5:A1573,A1573,$F$5:F1573,"?*",$O$5:O1573,O1573)))</f>
        <v/>
      </c>
      <c r="O1573" s="54">
        <f>IF(A1573="","",IF(C1573="",0,C1573))</f>
        <v/>
      </c>
    </row>
    <row r="1574">
      <c r="A1574" s="58" t="n"/>
      <c r="B1574" s="49">
        <f>IF(A1574="","",CHOOSE(WEEKDAY(A1574,2),"Пн","Вт","Ср","Чт","Пт","Сб","Вс"))</f>
        <v/>
      </c>
      <c r="C1574" s="59" t="n"/>
      <c r="D1574" s="59" t="n"/>
      <c r="E1574" s="60">
        <f>IF(OR(C1574="",D1574=""),"",MOD(D1574-C1574,1)*24)</f>
        <v/>
      </c>
      <c r="F1574" s="50" t="n"/>
      <c r="G1574" s="51" t="n"/>
      <c r="H1574" s="51" t="n"/>
      <c r="I1574" s="51" t="n"/>
      <c r="J1574" s="51" t="n"/>
      <c r="K1574" s="51" t="n"/>
      <c r="L1574" s="54">
        <f>IF(OR(A1574="",C1574="",D1574=""),"",IF(COUNTIFS($A$5:$A$3004,A1574,$C$5:$C$3004,"&lt;"&amp;D1574,$D$5:$D$3004,"&gt;"&amp;C1574)&gt;1,"⚠️ пересечение",""))</f>
        <v/>
      </c>
      <c r="M1574" s="54">
        <f>IF(F1574="","",IF(J1574="✅ Сделано","✔ ",IF(J1574="❌ Пропущено","✖ ","⏰ "))&amp;IF(C1574="","",RIGHT("0"&amp;HOUR(C1574),2)&amp;":"&amp;RIGHT("0"&amp;MINUTE(C1574),2)&amp;IF(D1574="","","–"&amp;RIGHT("0"&amp;HOUR(D1574),2)&amp;":"&amp;RIGHT("0"&amp;MINUTE(D1574),2))&amp;" ")&amp;F1574)</f>
        <v/>
      </c>
      <c r="N1574" s="54">
        <f>IF(OR(A1574="",F1574=""),"",A1574&amp;"#"&amp;(COUNTIFS($A$5:$A$3004,A1574,$F$5:$F$3004,"?*",$O$5:$O$3004,"&lt;"&amp;O1574)+COUNTIFS($A$5:A1574,A1574,$F$5:F1574,"?*",$O$5:O1574,O1574)))</f>
        <v/>
      </c>
      <c r="O1574" s="54">
        <f>IF(A1574="","",IF(C1574="",0,C1574))</f>
        <v/>
      </c>
    </row>
    <row r="1575">
      <c r="A1575" s="58" t="n"/>
      <c r="B1575" s="49">
        <f>IF(A1575="","",CHOOSE(WEEKDAY(A1575,2),"Пн","Вт","Ср","Чт","Пт","Сб","Вс"))</f>
        <v/>
      </c>
      <c r="C1575" s="59" t="n"/>
      <c r="D1575" s="59" t="n"/>
      <c r="E1575" s="60">
        <f>IF(OR(C1575="",D1575=""),"",MOD(D1575-C1575,1)*24)</f>
        <v/>
      </c>
      <c r="F1575" s="50" t="n"/>
      <c r="G1575" s="51" t="n"/>
      <c r="H1575" s="51" t="n"/>
      <c r="I1575" s="51" t="n"/>
      <c r="J1575" s="51" t="n"/>
      <c r="K1575" s="51" t="n"/>
      <c r="L1575" s="54">
        <f>IF(OR(A1575="",C1575="",D1575=""),"",IF(COUNTIFS($A$5:$A$3004,A1575,$C$5:$C$3004,"&lt;"&amp;D1575,$D$5:$D$3004,"&gt;"&amp;C1575)&gt;1,"⚠️ пересечение",""))</f>
        <v/>
      </c>
      <c r="M1575" s="54">
        <f>IF(F1575="","",IF(J1575="✅ Сделано","✔ ",IF(J1575="❌ Пропущено","✖ ","⏰ "))&amp;IF(C1575="","",RIGHT("0"&amp;HOUR(C1575),2)&amp;":"&amp;RIGHT("0"&amp;MINUTE(C1575),2)&amp;IF(D1575="","","–"&amp;RIGHT("0"&amp;HOUR(D1575),2)&amp;":"&amp;RIGHT("0"&amp;MINUTE(D1575),2))&amp;" ")&amp;F1575)</f>
        <v/>
      </c>
      <c r="N1575" s="54">
        <f>IF(OR(A1575="",F1575=""),"",A1575&amp;"#"&amp;(COUNTIFS($A$5:$A$3004,A1575,$F$5:$F$3004,"?*",$O$5:$O$3004,"&lt;"&amp;O1575)+COUNTIFS($A$5:A1575,A1575,$F$5:F1575,"?*",$O$5:O1575,O1575)))</f>
        <v/>
      </c>
      <c r="O1575" s="54">
        <f>IF(A1575="","",IF(C1575="",0,C1575))</f>
        <v/>
      </c>
    </row>
    <row r="1576">
      <c r="A1576" s="58" t="n"/>
      <c r="B1576" s="49">
        <f>IF(A1576="","",CHOOSE(WEEKDAY(A1576,2),"Пн","Вт","Ср","Чт","Пт","Сб","Вс"))</f>
        <v/>
      </c>
      <c r="C1576" s="59" t="n"/>
      <c r="D1576" s="59" t="n"/>
      <c r="E1576" s="60">
        <f>IF(OR(C1576="",D1576=""),"",MOD(D1576-C1576,1)*24)</f>
        <v/>
      </c>
      <c r="F1576" s="50" t="n"/>
      <c r="G1576" s="51" t="n"/>
      <c r="H1576" s="51" t="n"/>
      <c r="I1576" s="51" t="n"/>
      <c r="J1576" s="51" t="n"/>
      <c r="K1576" s="51" t="n"/>
      <c r="L1576" s="54">
        <f>IF(OR(A1576="",C1576="",D1576=""),"",IF(COUNTIFS($A$5:$A$3004,A1576,$C$5:$C$3004,"&lt;"&amp;D1576,$D$5:$D$3004,"&gt;"&amp;C1576)&gt;1,"⚠️ пересечение",""))</f>
        <v/>
      </c>
      <c r="M1576" s="54">
        <f>IF(F1576="","",IF(J1576="✅ Сделано","✔ ",IF(J1576="❌ Пропущено","✖ ","⏰ "))&amp;IF(C1576="","",RIGHT("0"&amp;HOUR(C1576),2)&amp;":"&amp;RIGHT("0"&amp;MINUTE(C1576),2)&amp;IF(D1576="","","–"&amp;RIGHT("0"&amp;HOUR(D1576),2)&amp;":"&amp;RIGHT("0"&amp;MINUTE(D1576),2))&amp;" ")&amp;F1576)</f>
        <v/>
      </c>
      <c r="N1576" s="54">
        <f>IF(OR(A1576="",F1576=""),"",A1576&amp;"#"&amp;(COUNTIFS($A$5:$A$3004,A1576,$F$5:$F$3004,"?*",$O$5:$O$3004,"&lt;"&amp;O1576)+COUNTIFS($A$5:A1576,A1576,$F$5:F1576,"?*",$O$5:O1576,O1576)))</f>
        <v/>
      </c>
      <c r="O1576" s="54">
        <f>IF(A1576="","",IF(C1576="",0,C1576))</f>
        <v/>
      </c>
    </row>
    <row r="1577">
      <c r="A1577" s="58" t="n"/>
      <c r="B1577" s="49">
        <f>IF(A1577="","",CHOOSE(WEEKDAY(A1577,2),"Пн","Вт","Ср","Чт","Пт","Сб","Вс"))</f>
        <v/>
      </c>
      <c r="C1577" s="59" t="n"/>
      <c r="D1577" s="59" t="n"/>
      <c r="E1577" s="60">
        <f>IF(OR(C1577="",D1577=""),"",MOD(D1577-C1577,1)*24)</f>
        <v/>
      </c>
      <c r="F1577" s="50" t="n"/>
      <c r="G1577" s="51" t="n"/>
      <c r="H1577" s="51" t="n"/>
      <c r="I1577" s="51" t="n"/>
      <c r="J1577" s="51" t="n"/>
      <c r="K1577" s="51" t="n"/>
      <c r="L1577" s="54">
        <f>IF(OR(A1577="",C1577="",D1577=""),"",IF(COUNTIFS($A$5:$A$3004,A1577,$C$5:$C$3004,"&lt;"&amp;D1577,$D$5:$D$3004,"&gt;"&amp;C1577)&gt;1,"⚠️ пересечение",""))</f>
        <v/>
      </c>
      <c r="M1577" s="54">
        <f>IF(F1577="","",IF(J1577="✅ Сделано","✔ ",IF(J1577="❌ Пропущено","✖ ","⏰ "))&amp;IF(C1577="","",RIGHT("0"&amp;HOUR(C1577),2)&amp;":"&amp;RIGHT("0"&amp;MINUTE(C1577),2)&amp;IF(D1577="","","–"&amp;RIGHT("0"&amp;HOUR(D1577),2)&amp;":"&amp;RIGHT("0"&amp;MINUTE(D1577),2))&amp;" ")&amp;F1577)</f>
        <v/>
      </c>
      <c r="N1577" s="54">
        <f>IF(OR(A1577="",F1577=""),"",A1577&amp;"#"&amp;(COUNTIFS($A$5:$A$3004,A1577,$F$5:$F$3004,"?*",$O$5:$O$3004,"&lt;"&amp;O1577)+COUNTIFS($A$5:A1577,A1577,$F$5:F1577,"?*",$O$5:O1577,O1577)))</f>
        <v/>
      </c>
      <c r="O1577" s="54">
        <f>IF(A1577="","",IF(C1577="",0,C1577))</f>
        <v/>
      </c>
    </row>
    <row r="1578">
      <c r="A1578" s="58" t="n"/>
      <c r="B1578" s="49">
        <f>IF(A1578="","",CHOOSE(WEEKDAY(A1578,2),"Пн","Вт","Ср","Чт","Пт","Сб","Вс"))</f>
        <v/>
      </c>
      <c r="C1578" s="59" t="n"/>
      <c r="D1578" s="59" t="n"/>
      <c r="E1578" s="60">
        <f>IF(OR(C1578="",D1578=""),"",MOD(D1578-C1578,1)*24)</f>
        <v/>
      </c>
      <c r="F1578" s="50" t="n"/>
      <c r="G1578" s="51" t="n"/>
      <c r="H1578" s="51" t="n"/>
      <c r="I1578" s="51" t="n"/>
      <c r="J1578" s="51" t="n"/>
      <c r="K1578" s="51" t="n"/>
      <c r="L1578" s="54">
        <f>IF(OR(A1578="",C1578="",D1578=""),"",IF(COUNTIFS($A$5:$A$3004,A1578,$C$5:$C$3004,"&lt;"&amp;D1578,$D$5:$D$3004,"&gt;"&amp;C1578)&gt;1,"⚠️ пересечение",""))</f>
        <v/>
      </c>
      <c r="M1578" s="54">
        <f>IF(F1578="","",IF(J1578="✅ Сделано","✔ ",IF(J1578="❌ Пропущено","✖ ","⏰ "))&amp;IF(C1578="","",RIGHT("0"&amp;HOUR(C1578),2)&amp;":"&amp;RIGHT("0"&amp;MINUTE(C1578),2)&amp;IF(D1578="","","–"&amp;RIGHT("0"&amp;HOUR(D1578),2)&amp;":"&amp;RIGHT("0"&amp;MINUTE(D1578),2))&amp;" ")&amp;F1578)</f>
        <v/>
      </c>
      <c r="N1578" s="54">
        <f>IF(OR(A1578="",F1578=""),"",A1578&amp;"#"&amp;(COUNTIFS($A$5:$A$3004,A1578,$F$5:$F$3004,"?*",$O$5:$O$3004,"&lt;"&amp;O1578)+COUNTIFS($A$5:A1578,A1578,$F$5:F1578,"?*",$O$5:O1578,O1578)))</f>
        <v/>
      </c>
      <c r="O1578" s="54">
        <f>IF(A1578="","",IF(C1578="",0,C1578))</f>
        <v/>
      </c>
    </row>
    <row r="1579">
      <c r="A1579" s="58" t="n"/>
      <c r="B1579" s="49">
        <f>IF(A1579="","",CHOOSE(WEEKDAY(A1579,2),"Пн","Вт","Ср","Чт","Пт","Сб","Вс"))</f>
        <v/>
      </c>
      <c r="C1579" s="59" t="n"/>
      <c r="D1579" s="59" t="n"/>
      <c r="E1579" s="60">
        <f>IF(OR(C1579="",D1579=""),"",MOD(D1579-C1579,1)*24)</f>
        <v/>
      </c>
      <c r="F1579" s="50" t="n"/>
      <c r="G1579" s="51" t="n"/>
      <c r="H1579" s="51" t="n"/>
      <c r="I1579" s="51" t="n"/>
      <c r="J1579" s="51" t="n"/>
      <c r="K1579" s="51" t="n"/>
      <c r="L1579" s="54">
        <f>IF(OR(A1579="",C1579="",D1579=""),"",IF(COUNTIFS($A$5:$A$3004,A1579,$C$5:$C$3004,"&lt;"&amp;D1579,$D$5:$D$3004,"&gt;"&amp;C1579)&gt;1,"⚠️ пересечение",""))</f>
        <v/>
      </c>
      <c r="M1579" s="54">
        <f>IF(F1579="","",IF(J1579="✅ Сделано","✔ ",IF(J1579="❌ Пропущено","✖ ","⏰ "))&amp;IF(C1579="","",RIGHT("0"&amp;HOUR(C1579),2)&amp;":"&amp;RIGHT("0"&amp;MINUTE(C1579),2)&amp;IF(D1579="","","–"&amp;RIGHT("0"&amp;HOUR(D1579),2)&amp;":"&amp;RIGHT("0"&amp;MINUTE(D1579),2))&amp;" ")&amp;F1579)</f>
        <v/>
      </c>
      <c r="N1579" s="54">
        <f>IF(OR(A1579="",F1579=""),"",A1579&amp;"#"&amp;(COUNTIFS($A$5:$A$3004,A1579,$F$5:$F$3004,"?*",$O$5:$O$3004,"&lt;"&amp;O1579)+COUNTIFS($A$5:A1579,A1579,$F$5:F1579,"?*",$O$5:O1579,O1579)))</f>
        <v/>
      </c>
      <c r="O1579" s="54">
        <f>IF(A1579="","",IF(C1579="",0,C1579))</f>
        <v/>
      </c>
    </row>
    <row r="1580">
      <c r="A1580" s="58" t="n"/>
      <c r="B1580" s="49">
        <f>IF(A1580="","",CHOOSE(WEEKDAY(A1580,2),"Пн","Вт","Ср","Чт","Пт","Сб","Вс"))</f>
        <v/>
      </c>
      <c r="C1580" s="59" t="n"/>
      <c r="D1580" s="59" t="n"/>
      <c r="E1580" s="60">
        <f>IF(OR(C1580="",D1580=""),"",MOD(D1580-C1580,1)*24)</f>
        <v/>
      </c>
      <c r="F1580" s="50" t="n"/>
      <c r="G1580" s="51" t="n"/>
      <c r="H1580" s="51" t="n"/>
      <c r="I1580" s="51" t="n"/>
      <c r="J1580" s="51" t="n"/>
      <c r="K1580" s="51" t="n"/>
      <c r="L1580" s="54">
        <f>IF(OR(A1580="",C1580="",D1580=""),"",IF(COUNTIFS($A$5:$A$3004,A1580,$C$5:$C$3004,"&lt;"&amp;D1580,$D$5:$D$3004,"&gt;"&amp;C1580)&gt;1,"⚠️ пересечение",""))</f>
        <v/>
      </c>
      <c r="M1580" s="54">
        <f>IF(F1580="","",IF(J1580="✅ Сделано","✔ ",IF(J1580="❌ Пропущено","✖ ","⏰ "))&amp;IF(C1580="","",RIGHT("0"&amp;HOUR(C1580),2)&amp;":"&amp;RIGHT("0"&amp;MINUTE(C1580),2)&amp;IF(D1580="","","–"&amp;RIGHT("0"&amp;HOUR(D1580),2)&amp;":"&amp;RIGHT("0"&amp;MINUTE(D1580),2))&amp;" ")&amp;F1580)</f>
        <v/>
      </c>
      <c r="N1580" s="54">
        <f>IF(OR(A1580="",F1580=""),"",A1580&amp;"#"&amp;(COUNTIFS($A$5:$A$3004,A1580,$F$5:$F$3004,"?*",$O$5:$O$3004,"&lt;"&amp;O1580)+COUNTIFS($A$5:A1580,A1580,$F$5:F1580,"?*",$O$5:O1580,O1580)))</f>
        <v/>
      </c>
      <c r="O1580" s="54">
        <f>IF(A1580="","",IF(C1580="",0,C1580))</f>
        <v/>
      </c>
    </row>
    <row r="1581">
      <c r="A1581" s="58" t="n"/>
      <c r="B1581" s="49">
        <f>IF(A1581="","",CHOOSE(WEEKDAY(A1581,2),"Пн","Вт","Ср","Чт","Пт","Сб","Вс"))</f>
        <v/>
      </c>
      <c r="C1581" s="59" t="n"/>
      <c r="D1581" s="59" t="n"/>
      <c r="E1581" s="60">
        <f>IF(OR(C1581="",D1581=""),"",MOD(D1581-C1581,1)*24)</f>
        <v/>
      </c>
      <c r="F1581" s="50" t="n"/>
      <c r="G1581" s="51" t="n"/>
      <c r="H1581" s="51" t="n"/>
      <c r="I1581" s="51" t="n"/>
      <c r="J1581" s="51" t="n"/>
      <c r="K1581" s="51" t="n"/>
      <c r="L1581" s="54">
        <f>IF(OR(A1581="",C1581="",D1581=""),"",IF(COUNTIFS($A$5:$A$3004,A1581,$C$5:$C$3004,"&lt;"&amp;D1581,$D$5:$D$3004,"&gt;"&amp;C1581)&gt;1,"⚠️ пересечение",""))</f>
        <v/>
      </c>
      <c r="M1581" s="54">
        <f>IF(F1581="","",IF(J1581="✅ Сделано","✔ ",IF(J1581="❌ Пропущено","✖ ","⏰ "))&amp;IF(C1581="","",RIGHT("0"&amp;HOUR(C1581),2)&amp;":"&amp;RIGHT("0"&amp;MINUTE(C1581),2)&amp;IF(D1581="","","–"&amp;RIGHT("0"&amp;HOUR(D1581),2)&amp;":"&amp;RIGHT("0"&amp;MINUTE(D1581),2))&amp;" ")&amp;F1581)</f>
        <v/>
      </c>
      <c r="N1581" s="54">
        <f>IF(OR(A1581="",F1581=""),"",A1581&amp;"#"&amp;(COUNTIFS($A$5:$A$3004,A1581,$F$5:$F$3004,"?*",$O$5:$O$3004,"&lt;"&amp;O1581)+COUNTIFS($A$5:A1581,A1581,$F$5:F1581,"?*",$O$5:O1581,O1581)))</f>
        <v/>
      </c>
      <c r="O1581" s="54">
        <f>IF(A1581="","",IF(C1581="",0,C1581))</f>
        <v/>
      </c>
    </row>
    <row r="1582">
      <c r="A1582" s="58" t="n"/>
      <c r="B1582" s="49">
        <f>IF(A1582="","",CHOOSE(WEEKDAY(A1582,2),"Пн","Вт","Ср","Чт","Пт","Сб","Вс"))</f>
        <v/>
      </c>
      <c r="C1582" s="59" t="n"/>
      <c r="D1582" s="59" t="n"/>
      <c r="E1582" s="60">
        <f>IF(OR(C1582="",D1582=""),"",MOD(D1582-C1582,1)*24)</f>
        <v/>
      </c>
      <c r="F1582" s="50" t="n"/>
      <c r="G1582" s="51" t="n"/>
      <c r="H1582" s="51" t="n"/>
      <c r="I1582" s="51" t="n"/>
      <c r="J1582" s="51" t="n"/>
      <c r="K1582" s="51" t="n"/>
      <c r="L1582" s="54">
        <f>IF(OR(A1582="",C1582="",D1582=""),"",IF(COUNTIFS($A$5:$A$3004,A1582,$C$5:$C$3004,"&lt;"&amp;D1582,$D$5:$D$3004,"&gt;"&amp;C1582)&gt;1,"⚠️ пересечение",""))</f>
        <v/>
      </c>
      <c r="M1582" s="54">
        <f>IF(F1582="","",IF(J1582="✅ Сделано","✔ ",IF(J1582="❌ Пропущено","✖ ","⏰ "))&amp;IF(C1582="","",RIGHT("0"&amp;HOUR(C1582),2)&amp;":"&amp;RIGHT("0"&amp;MINUTE(C1582),2)&amp;IF(D1582="","","–"&amp;RIGHT("0"&amp;HOUR(D1582),2)&amp;":"&amp;RIGHT("0"&amp;MINUTE(D1582),2))&amp;" ")&amp;F1582)</f>
        <v/>
      </c>
      <c r="N1582" s="54">
        <f>IF(OR(A1582="",F1582=""),"",A1582&amp;"#"&amp;(COUNTIFS($A$5:$A$3004,A1582,$F$5:$F$3004,"?*",$O$5:$O$3004,"&lt;"&amp;O1582)+COUNTIFS($A$5:A1582,A1582,$F$5:F1582,"?*",$O$5:O1582,O1582)))</f>
        <v/>
      </c>
      <c r="O1582" s="54">
        <f>IF(A1582="","",IF(C1582="",0,C1582))</f>
        <v/>
      </c>
    </row>
    <row r="1583">
      <c r="A1583" s="58" t="n"/>
      <c r="B1583" s="49">
        <f>IF(A1583="","",CHOOSE(WEEKDAY(A1583,2),"Пн","Вт","Ср","Чт","Пт","Сб","Вс"))</f>
        <v/>
      </c>
      <c r="C1583" s="59" t="n"/>
      <c r="D1583" s="59" t="n"/>
      <c r="E1583" s="60">
        <f>IF(OR(C1583="",D1583=""),"",MOD(D1583-C1583,1)*24)</f>
        <v/>
      </c>
      <c r="F1583" s="50" t="n"/>
      <c r="G1583" s="51" t="n"/>
      <c r="H1583" s="51" t="n"/>
      <c r="I1583" s="51" t="n"/>
      <c r="J1583" s="51" t="n"/>
      <c r="K1583" s="51" t="n"/>
      <c r="L1583" s="54">
        <f>IF(OR(A1583="",C1583="",D1583=""),"",IF(COUNTIFS($A$5:$A$3004,A1583,$C$5:$C$3004,"&lt;"&amp;D1583,$D$5:$D$3004,"&gt;"&amp;C1583)&gt;1,"⚠️ пересечение",""))</f>
        <v/>
      </c>
      <c r="M1583" s="54">
        <f>IF(F1583="","",IF(J1583="✅ Сделано","✔ ",IF(J1583="❌ Пропущено","✖ ","⏰ "))&amp;IF(C1583="","",RIGHT("0"&amp;HOUR(C1583),2)&amp;":"&amp;RIGHT("0"&amp;MINUTE(C1583),2)&amp;IF(D1583="","","–"&amp;RIGHT("0"&amp;HOUR(D1583),2)&amp;":"&amp;RIGHT("0"&amp;MINUTE(D1583),2))&amp;" ")&amp;F1583)</f>
        <v/>
      </c>
      <c r="N1583" s="54">
        <f>IF(OR(A1583="",F1583=""),"",A1583&amp;"#"&amp;(COUNTIFS($A$5:$A$3004,A1583,$F$5:$F$3004,"?*",$O$5:$O$3004,"&lt;"&amp;O1583)+COUNTIFS($A$5:A1583,A1583,$F$5:F1583,"?*",$O$5:O1583,O1583)))</f>
        <v/>
      </c>
      <c r="O1583" s="54">
        <f>IF(A1583="","",IF(C1583="",0,C1583))</f>
        <v/>
      </c>
    </row>
    <row r="1584">
      <c r="A1584" s="58" t="n"/>
      <c r="B1584" s="49">
        <f>IF(A1584="","",CHOOSE(WEEKDAY(A1584,2),"Пн","Вт","Ср","Чт","Пт","Сб","Вс"))</f>
        <v/>
      </c>
      <c r="C1584" s="59" t="n"/>
      <c r="D1584" s="59" t="n"/>
      <c r="E1584" s="60">
        <f>IF(OR(C1584="",D1584=""),"",MOD(D1584-C1584,1)*24)</f>
        <v/>
      </c>
      <c r="F1584" s="50" t="n"/>
      <c r="G1584" s="51" t="n"/>
      <c r="H1584" s="51" t="n"/>
      <c r="I1584" s="51" t="n"/>
      <c r="J1584" s="51" t="n"/>
      <c r="K1584" s="51" t="n"/>
      <c r="L1584" s="54">
        <f>IF(OR(A1584="",C1584="",D1584=""),"",IF(COUNTIFS($A$5:$A$3004,A1584,$C$5:$C$3004,"&lt;"&amp;D1584,$D$5:$D$3004,"&gt;"&amp;C1584)&gt;1,"⚠️ пересечение",""))</f>
        <v/>
      </c>
      <c r="M1584" s="54">
        <f>IF(F1584="","",IF(J1584="✅ Сделано","✔ ",IF(J1584="❌ Пропущено","✖ ","⏰ "))&amp;IF(C1584="","",RIGHT("0"&amp;HOUR(C1584),2)&amp;":"&amp;RIGHT("0"&amp;MINUTE(C1584),2)&amp;IF(D1584="","","–"&amp;RIGHT("0"&amp;HOUR(D1584),2)&amp;":"&amp;RIGHT("0"&amp;MINUTE(D1584),2))&amp;" ")&amp;F1584)</f>
        <v/>
      </c>
      <c r="N1584" s="54">
        <f>IF(OR(A1584="",F1584=""),"",A1584&amp;"#"&amp;(COUNTIFS($A$5:$A$3004,A1584,$F$5:$F$3004,"?*",$O$5:$O$3004,"&lt;"&amp;O1584)+COUNTIFS($A$5:A1584,A1584,$F$5:F1584,"?*",$O$5:O1584,O1584)))</f>
        <v/>
      </c>
      <c r="O1584" s="54">
        <f>IF(A1584="","",IF(C1584="",0,C1584))</f>
        <v/>
      </c>
    </row>
    <row r="1585">
      <c r="A1585" s="58" t="n"/>
      <c r="B1585" s="49">
        <f>IF(A1585="","",CHOOSE(WEEKDAY(A1585,2),"Пн","Вт","Ср","Чт","Пт","Сб","Вс"))</f>
        <v/>
      </c>
      <c r="C1585" s="59" t="n"/>
      <c r="D1585" s="59" t="n"/>
      <c r="E1585" s="60">
        <f>IF(OR(C1585="",D1585=""),"",MOD(D1585-C1585,1)*24)</f>
        <v/>
      </c>
      <c r="F1585" s="50" t="n"/>
      <c r="G1585" s="51" t="n"/>
      <c r="H1585" s="51" t="n"/>
      <c r="I1585" s="51" t="n"/>
      <c r="J1585" s="51" t="n"/>
      <c r="K1585" s="51" t="n"/>
      <c r="L1585" s="54">
        <f>IF(OR(A1585="",C1585="",D1585=""),"",IF(COUNTIFS($A$5:$A$3004,A1585,$C$5:$C$3004,"&lt;"&amp;D1585,$D$5:$D$3004,"&gt;"&amp;C1585)&gt;1,"⚠️ пересечение",""))</f>
        <v/>
      </c>
      <c r="M1585" s="54">
        <f>IF(F1585="","",IF(J1585="✅ Сделано","✔ ",IF(J1585="❌ Пропущено","✖ ","⏰ "))&amp;IF(C1585="","",RIGHT("0"&amp;HOUR(C1585),2)&amp;":"&amp;RIGHT("0"&amp;MINUTE(C1585),2)&amp;IF(D1585="","","–"&amp;RIGHT("0"&amp;HOUR(D1585),2)&amp;":"&amp;RIGHT("0"&amp;MINUTE(D1585),2))&amp;" ")&amp;F1585)</f>
        <v/>
      </c>
      <c r="N1585" s="54">
        <f>IF(OR(A1585="",F1585=""),"",A1585&amp;"#"&amp;(COUNTIFS($A$5:$A$3004,A1585,$F$5:$F$3004,"?*",$O$5:$O$3004,"&lt;"&amp;O1585)+COUNTIFS($A$5:A1585,A1585,$F$5:F1585,"?*",$O$5:O1585,O1585)))</f>
        <v/>
      </c>
      <c r="O1585" s="54">
        <f>IF(A1585="","",IF(C1585="",0,C1585))</f>
        <v/>
      </c>
    </row>
    <row r="1586">
      <c r="A1586" s="58" t="n"/>
      <c r="B1586" s="49">
        <f>IF(A1586="","",CHOOSE(WEEKDAY(A1586,2),"Пн","Вт","Ср","Чт","Пт","Сб","Вс"))</f>
        <v/>
      </c>
      <c r="C1586" s="59" t="n"/>
      <c r="D1586" s="59" t="n"/>
      <c r="E1586" s="60">
        <f>IF(OR(C1586="",D1586=""),"",MOD(D1586-C1586,1)*24)</f>
        <v/>
      </c>
      <c r="F1586" s="50" t="n"/>
      <c r="G1586" s="51" t="n"/>
      <c r="H1586" s="51" t="n"/>
      <c r="I1586" s="51" t="n"/>
      <c r="J1586" s="51" t="n"/>
      <c r="K1586" s="51" t="n"/>
      <c r="L1586" s="54">
        <f>IF(OR(A1586="",C1586="",D1586=""),"",IF(COUNTIFS($A$5:$A$3004,A1586,$C$5:$C$3004,"&lt;"&amp;D1586,$D$5:$D$3004,"&gt;"&amp;C1586)&gt;1,"⚠️ пересечение",""))</f>
        <v/>
      </c>
      <c r="M1586" s="54">
        <f>IF(F1586="","",IF(J1586="✅ Сделано","✔ ",IF(J1586="❌ Пропущено","✖ ","⏰ "))&amp;IF(C1586="","",RIGHT("0"&amp;HOUR(C1586),2)&amp;":"&amp;RIGHT("0"&amp;MINUTE(C1586),2)&amp;IF(D1586="","","–"&amp;RIGHT("0"&amp;HOUR(D1586),2)&amp;":"&amp;RIGHT("0"&amp;MINUTE(D1586),2))&amp;" ")&amp;F1586)</f>
        <v/>
      </c>
      <c r="N1586" s="54">
        <f>IF(OR(A1586="",F1586=""),"",A1586&amp;"#"&amp;(COUNTIFS($A$5:$A$3004,A1586,$F$5:$F$3004,"?*",$O$5:$O$3004,"&lt;"&amp;O1586)+COUNTIFS($A$5:A1586,A1586,$F$5:F1586,"?*",$O$5:O1586,O1586)))</f>
        <v/>
      </c>
      <c r="O1586" s="54">
        <f>IF(A1586="","",IF(C1586="",0,C1586))</f>
        <v/>
      </c>
    </row>
    <row r="1587">
      <c r="A1587" s="58" t="n"/>
      <c r="B1587" s="49">
        <f>IF(A1587="","",CHOOSE(WEEKDAY(A1587,2),"Пн","Вт","Ср","Чт","Пт","Сб","Вс"))</f>
        <v/>
      </c>
      <c r="C1587" s="59" t="n"/>
      <c r="D1587" s="59" t="n"/>
      <c r="E1587" s="60">
        <f>IF(OR(C1587="",D1587=""),"",MOD(D1587-C1587,1)*24)</f>
        <v/>
      </c>
      <c r="F1587" s="50" t="n"/>
      <c r="G1587" s="51" t="n"/>
      <c r="H1587" s="51" t="n"/>
      <c r="I1587" s="51" t="n"/>
      <c r="J1587" s="51" t="n"/>
      <c r="K1587" s="51" t="n"/>
      <c r="L1587" s="54">
        <f>IF(OR(A1587="",C1587="",D1587=""),"",IF(COUNTIFS($A$5:$A$3004,A1587,$C$5:$C$3004,"&lt;"&amp;D1587,$D$5:$D$3004,"&gt;"&amp;C1587)&gt;1,"⚠️ пересечение",""))</f>
        <v/>
      </c>
      <c r="M1587" s="54">
        <f>IF(F1587="","",IF(J1587="✅ Сделано","✔ ",IF(J1587="❌ Пропущено","✖ ","⏰ "))&amp;IF(C1587="","",RIGHT("0"&amp;HOUR(C1587),2)&amp;":"&amp;RIGHT("0"&amp;MINUTE(C1587),2)&amp;IF(D1587="","","–"&amp;RIGHT("0"&amp;HOUR(D1587),2)&amp;":"&amp;RIGHT("0"&amp;MINUTE(D1587),2))&amp;" ")&amp;F1587)</f>
        <v/>
      </c>
      <c r="N1587" s="54">
        <f>IF(OR(A1587="",F1587=""),"",A1587&amp;"#"&amp;(COUNTIFS($A$5:$A$3004,A1587,$F$5:$F$3004,"?*",$O$5:$O$3004,"&lt;"&amp;O1587)+COUNTIFS($A$5:A1587,A1587,$F$5:F1587,"?*",$O$5:O1587,O1587)))</f>
        <v/>
      </c>
      <c r="O1587" s="54">
        <f>IF(A1587="","",IF(C1587="",0,C1587))</f>
        <v/>
      </c>
    </row>
    <row r="1588">
      <c r="A1588" s="58" t="n"/>
      <c r="B1588" s="49">
        <f>IF(A1588="","",CHOOSE(WEEKDAY(A1588,2),"Пн","Вт","Ср","Чт","Пт","Сб","Вс"))</f>
        <v/>
      </c>
      <c r="C1588" s="59" t="n"/>
      <c r="D1588" s="59" t="n"/>
      <c r="E1588" s="60">
        <f>IF(OR(C1588="",D1588=""),"",MOD(D1588-C1588,1)*24)</f>
        <v/>
      </c>
      <c r="F1588" s="50" t="n"/>
      <c r="G1588" s="51" t="n"/>
      <c r="H1588" s="51" t="n"/>
      <c r="I1588" s="51" t="n"/>
      <c r="J1588" s="51" t="n"/>
      <c r="K1588" s="51" t="n"/>
      <c r="L1588" s="54">
        <f>IF(OR(A1588="",C1588="",D1588=""),"",IF(COUNTIFS($A$5:$A$3004,A1588,$C$5:$C$3004,"&lt;"&amp;D1588,$D$5:$D$3004,"&gt;"&amp;C1588)&gt;1,"⚠️ пересечение",""))</f>
        <v/>
      </c>
      <c r="M1588" s="54">
        <f>IF(F1588="","",IF(J1588="✅ Сделано","✔ ",IF(J1588="❌ Пропущено","✖ ","⏰ "))&amp;IF(C1588="","",RIGHT("0"&amp;HOUR(C1588),2)&amp;":"&amp;RIGHT("0"&amp;MINUTE(C1588),2)&amp;IF(D1588="","","–"&amp;RIGHT("0"&amp;HOUR(D1588),2)&amp;":"&amp;RIGHT("0"&amp;MINUTE(D1588),2))&amp;" ")&amp;F1588)</f>
        <v/>
      </c>
      <c r="N1588" s="54">
        <f>IF(OR(A1588="",F1588=""),"",A1588&amp;"#"&amp;(COUNTIFS($A$5:$A$3004,A1588,$F$5:$F$3004,"?*",$O$5:$O$3004,"&lt;"&amp;O1588)+COUNTIFS($A$5:A1588,A1588,$F$5:F1588,"?*",$O$5:O1588,O1588)))</f>
        <v/>
      </c>
      <c r="O1588" s="54">
        <f>IF(A1588="","",IF(C1588="",0,C1588))</f>
        <v/>
      </c>
    </row>
    <row r="1589">
      <c r="A1589" s="58" t="n"/>
      <c r="B1589" s="49">
        <f>IF(A1589="","",CHOOSE(WEEKDAY(A1589,2),"Пн","Вт","Ср","Чт","Пт","Сб","Вс"))</f>
        <v/>
      </c>
      <c r="C1589" s="59" t="n"/>
      <c r="D1589" s="59" t="n"/>
      <c r="E1589" s="60">
        <f>IF(OR(C1589="",D1589=""),"",MOD(D1589-C1589,1)*24)</f>
        <v/>
      </c>
      <c r="F1589" s="50" t="n"/>
      <c r="G1589" s="51" t="n"/>
      <c r="H1589" s="51" t="n"/>
      <c r="I1589" s="51" t="n"/>
      <c r="J1589" s="51" t="n"/>
      <c r="K1589" s="51" t="n"/>
      <c r="L1589" s="54">
        <f>IF(OR(A1589="",C1589="",D1589=""),"",IF(COUNTIFS($A$5:$A$3004,A1589,$C$5:$C$3004,"&lt;"&amp;D1589,$D$5:$D$3004,"&gt;"&amp;C1589)&gt;1,"⚠️ пересечение",""))</f>
        <v/>
      </c>
      <c r="M1589" s="54">
        <f>IF(F1589="","",IF(J1589="✅ Сделано","✔ ",IF(J1589="❌ Пропущено","✖ ","⏰ "))&amp;IF(C1589="","",RIGHT("0"&amp;HOUR(C1589),2)&amp;":"&amp;RIGHT("0"&amp;MINUTE(C1589),2)&amp;IF(D1589="","","–"&amp;RIGHT("0"&amp;HOUR(D1589),2)&amp;":"&amp;RIGHT("0"&amp;MINUTE(D1589),2))&amp;" ")&amp;F1589)</f>
        <v/>
      </c>
      <c r="N1589" s="54">
        <f>IF(OR(A1589="",F1589=""),"",A1589&amp;"#"&amp;(COUNTIFS($A$5:$A$3004,A1589,$F$5:$F$3004,"?*",$O$5:$O$3004,"&lt;"&amp;O1589)+COUNTIFS($A$5:A1589,A1589,$F$5:F1589,"?*",$O$5:O1589,O1589)))</f>
        <v/>
      </c>
      <c r="O1589" s="54">
        <f>IF(A1589="","",IF(C1589="",0,C1589))</f>
        <v/>
      </c>
    </row>
    <row r="1590">
      <c r="A1590" s="58" t="n"/>
      <c r="B1590" s="49">
        <f>IF(A1590="","",CHOOSE(WEEKDAY(A1590,2),"Пн","Вт","Ср","Чт","Пт","Сб","Вс"))</f>
        <v/>
      </c>
      <c r="C1590" s="59" t="n"/>
      <c r="D1590" s="59" t="n"/>
      <c r="E1590" s="60">
        <f>IF(OR(C1590="",D1590=""),"",MOD(D1590-C1590,1)*24)</f>
        <v/>
      </c>
      <c r="F1590" s="50" t="n"/>
      <c r="G1590" s="51" t="n"/>
      <c r="H1590" s="51" t="n"/>
      <c r="I1590" s="51" t="n"/>
      <c r="J1590" s="51" t="n"/>
      <c r="K1590" s="51" t="n"/>
      <c r="L1590" s="54">
        <f>IF(OR(A1590="",C1590="",D1590=""),"",IF(COUNTIFS($A$5:$A$3004,A1590,$C$5:$C$3004,"&lt;"&amp;D1590,$D$5:$D$3004,"&gt;"&amp;C1590)&gt;1,"⚠️ пересечение",""))</f>
        <v/>
      </c>
      <c r="M1590" s="54">
        <f>IF(F1590="","",IF(J1590="✅ Сделано","✔ ",IF(J1590="❌ Пропущено","✖ ","⏰ "))&amp;IF(C1590="","",RIGHT("0"&amp;HOUR(C1590),2)&amp;":"&amp;RIGHT("0"&amp;MINUTE(C1590),2)&amp;IF(D1590="","","–"&amp;RIGHT("0"&amp;HOUR(D1590),2)&amp;":"&amp;RIGHT("0"&amp;MINUTE(D1590),2))&amp;" ")&amp;F1590)</f>
        <v/>
      </c>
      <c r="N1590" s="54">
        <f>IF(OR(A1590="",F1590=""),"",A1590&amp;"#"&amp;(COUNTIFS($A$5:$A$3004,A1590,$F$5:$F$3004,"?*",$O$5:$O$3004,"&lt;"&amp;O1590)+COUNTIFS($A$5:A1590,A1590,$F$5:F1590,"?*",$O$5:O1590,O1590)))</f>
        <v/>
      </c>
      <c r="O1590" s="54">
        <f>IF(A1590="","",IF(C1590="",0,C1590))</f>
        <v/>
      </c>
    </row>
    <row r="1591">
      <c r="A1591" s="58" t="n"/>
      <c r="B1591" s="49">
        <f>IF(A1591="","",CHOOSE(WEEKDAY(A1591,2),"Пн","Вт","Ср","Чт","Пт","Сб","Вс"))</f>
        <v/>
      </c>
      <c r="C1591" s="59" t="n"/>
      <c r="D1591" s="59" t="n"/>
      <c r="E1591" s="60">
        <f>IF(OR(C1591="",D1591=""),"",MOD(D1591-C1591,1)*24)</f>
        <v/>
      </c>
      <c r="F1591" s="50" t="n"/>
      <c r="G1591" s="51" t="n"/>
      <c r="H1591" s="51" t="n"/>
      <c r="I1591" s="51" t="n"/>
      <c r="J1591" s="51" t="n"/>
      <c r="K1591" s="51" t="n"/>
      <c r="L1591" s="54">
        <f>IF(OR(A1591="",C1591="",D1591=""),"",IF(COUNTIFS($A$5:$A$3004,A1591,$C$5:$C$3004,"&lt;"&amp;D1591,$D$5:$D$3004,"&gt;"&amp;C1591)&gt;1,"⚠️ пересечение",""))</f>
        <v/>
      </c>
      <c r="M1591" s="54">
        <f>IF(F1591="","",IF(J1591="✅ Сделано","✔ ",IF(J1591="❌ Пропущено","✖ ","⏰ "))&amp;IF(C1591="","",RIGHT("0"&amp;HOUR(C1591),2)&amp;":"&amp;RIGHT("0"&amp;MINUTE(C1591),2)&amp;IF(D1591="","","–"&amp;RIGHT("0"&amp;HOUR(D1591),2)&amp;":"&amp;RIGHT("0"&amp;MINUTE(D1591),2))&amp;" ")&amp;F1591)</f>
        <v/>
      </c>
      <c r="N1591" s="54">
        <f>IF(OR(A1591="",F1591=""),"",A1591&amp;"#"&amp;(COUNTIFS($A$5:$A$3004,A1591,$F$5:$F$3004,"?*",$O$5:$O$3004,"&lt;"&amp;O1591)+COUNTIFS($A$5:A1591,A1591,$F$5:F1591,"?*",$O$5:O1591,O1591)))</f>
        <v/>
      </c>
      <c r="O1591" s="54">
        <f>IF(A1591="","",IF(C1591="",0,C1591))</f>
        <v/>
      </c>
    </row>
    <row r="1592">
      <c r="A1592" s="58" t="n"/>
      <c r="B1592" s="49">
        <f>IF(A1592="","",CHOOSE(WEEKDAY(A1592,2),"Пн","Вт","Ср","Чт","Пт","Сб","Вс"))</f>
        <v/>
      </c>
      <c r="C1592" s="59" t="n"/>
      <c r="D1592" s="59" t="n"/>
      <c r="E1592" s="60">
        <f>IF(OR(C1592="",D1592=""),"",MOD(D1592-C1592,1)*24)</f>
        <v/>
      </c>
      <c r="F1592" s="50" t="n"/>
      <c r="G1592" s="51" t="n"/>
      <c r="H1592" s="51" t="n"/>
      <c r="I1592" s="51" t="n"/>
      <c r="J1592" s="51" t="n"/>
      <c r="K1592" s="51" t="n"/>
      <c r="L1592" s="54">
        <f>IF(OR(A1592="",C1592="",D1592=""),"",IF(COUNTIFS($A$5:$A$3004,A1592,$C$5:$C$3004,"&lt;"&amp;D1592,$D$5:$D$3004,"&gt;"&amp;C1592)&gt;1,"⚠️ пересечение",""))</f>
        <v/>
      </c>
      <c r="M1592" s="54">
        <f>IF(F1592="","",IF(J1592="✅ Сделано","✔ ",IF(J1592="❌ Пропущено","✖ ","⏰ "))&amp;IF(C1592="","",RIGHT("0"&amp;HOUR(C1592),2)&amp;":"&amp;RIGHT("0"&amp;MINUTE(C1592),2)&amp;IF(D1592="","","–"&amp;RIGHT("0"&amp;HOUR(D1592),2)&amp;":"&amp;RIGHT("0"&amp;MINUTE(D1592),2))&amp;" ")&amp;F1592)</f>
        <v/>
      </c>
      <c r="N1592" s="54">
        <f>IF(OR(A1592="",F1592=""),"",A1592&amp;"#"&amp;(COUNTIFS($A$5:$A$3004,A1592,$F$5:$F$3004,"?*",$O$5:$O$3004,"&lt;"&amp;O1592)+COUNTIFS($A$5:A1592,A1592,$F$5:F1592,"?*",$O$5:O1592,O1592)))</f>
        <v/>
      </c>
      <c r="O1592" s="54">
        <f>IF(A1592="","",IF(C1592="",0,C1592))</f>
        <v/>
      </c>
    </row>
    <row r="1593">
      <c r="A1593" s="58" t="n"/>
      <c r="B1593" s="49">
        <f>IF(A1593="","",CHOOSE(WEEKDAY(A1593,2),"Пн","Вт","Ср","Чт","Пт","Сб","Вс"))</f>
        <v/>
      </c>
      <c r="C1593" s="59" t="n"/>
      <c r="D1593" s="59" t="n"/>
      <c r="E1593" s="60">
        <f>IF(OR(C1593="",D1593=""),"",MOD(D1593-C1593,1)*24)</f>
        <v/>
      </c>
      <c r="F1593" s="50" t="n"/>
      <c r="G1593" s="51" t="n"/>
      <c r="H1593" s="51" t="n"/>
      <c r="I1593" s="51" t="n"/>
      <c r="J1593" s="51" t="n"/>
      <c r="K1593" s="51" t="n"/>
      <c r="L1593" s="54">
        <f>IF(OR(A1593="",C1593="",D1593=""),"",IF(COUNTIFS($A$5:$A$3004,A1593,$C$5:$C$3004,"&lt;"&amp;D1593,$D$5:$D$3004,"&gt;"&amp;C1593)&gt;1,"⚠️ пересечение",""))</f>
        <v/>
      </c>
      <c r="M1593" s="54">
        <f>IF(F1593="","",IF(J1593="✅ Сделано","✔ ",IF(J1593="❌ Пропущено","✖ ","⏰ "))&amp;IF(C1593="","",RIGHT("0"&amp;HOUR(C1593),2)&amp;":"&amp;RIGHT("0"&amp;MINUTE(C1593),2)&amp;IF(D1593="","","–"&amp;RIGHT("0"&amp;HOUR(D1593),2)&amp;":"&amp;RIGHT("0"&amp;MINUTE(D1593),2))&amp;" ")&amp;F1593)</f>
        <v/>
      </c>
      <c r="N1593" s="54">
        <f>IF(OR(A1593="",F1593=""),"",A1593&amp;"#"&amp;(COUNTIFS($A$5:$A$3004,A1593,$F$5:$F$3004,"?*",$O$5:$O$3004,"&lt;"&amp;O1593)+COUNTIFS($A$5:A1593,A1593,$F$5:F1593,"?*",$O$5:O1593,O1593)))</f>
        <v/>
      </c>
      <c r="O1593" s="54">
        <f>IF(A1593="","",IF(C1593="",0,C1593))</f>
        <v/>
      </c>
    </row>
    <row r="1594">
      <c r="A1594" s="58" t="n"/>
      <c r="B1594" s="49">
        <f>IF(A1594="","",CHOOSE(WEEKDAY(A1594,2),"Пн","Вт","Ср","Чт","Пт","Сб","Вс"))</f>
        <v/>
      </c>
      <c r="C1594" s="59" t="n"/>
      <c r="D1594" s="59" t="n"/>
      <c r="E1594" s="60">
        <f>IF(OR(C1594="",D1594=""),"",MOD(D1594-C1594,1)*24)</f>
        <v/>
      </c>
      <c r="F1594" s="50" t="n"/>
      <c r="G1594" s="51" t="n"/>
      <c r="H1594" s="51" t="n"/>
      <c r="I1594" s="51" t="n"/>
      <c r="J1594" s="51" t="n"/>
      <c r="K1594" s="51" t="n"/>
      <c r="L1594" s="54">
        <f>IF(OR(A1594="",C1594="",D1594=""),"",IF(COUNTIFS($A$5:$A$3004,A1594,$C$5:$C$3004,"&lt;"&amp;D1594,$D$5:$D$3004,"&gt;"&amp;C1594)&gt;1,"⚠️ пересечение",""))</f>
        <v/>
      </c>
      <c r="M1594" s="54">
        <f>IF(F1594="","",IF(J1594="✅ Сделано","✔ ",IF(J1594="❌ Пропущено","✖ ","⏰ "))&amp;IF(C1594="","",RIGHT("0"&amp;HOUR(C1594),2)&amp;":"&amp;RIGHT("0"&amp;MINUTE(C1594),2)&amp;IF(D1594="","","–"&amp;RIGHT("0"&amp;HOUR(D1594),2)&amp;":"&amp;RIGHT("0"&amp;MINUTE(D1594),2))&amp;" ")&amp;F1594)</f>
        <v/>
      </c>
      <c r="N1594" s="54">
        <f>IF(OR(A1594="",F1594=""),"",A1594&amp;"#"&amp;(COUNTIFS($A$5:$A$3004,A1594,$F$5:$F$3004,"?*",$O$5:$O$3004,"&lt;"&amp;O1594)+COUNTIFS($A$5:A1594,A1594,$F$5:F1594,"?*",$O$5:O1594,O1594)))</f>
        <v/>
      </c>
      <c r="O1594" s="54">
        <f>IF(A1594="","",IF(C1594="",0,C1594))</f>
        <v/>
      </c>
    </row>
    <row r="1595">
      <c r="A1595" s="58" t="n"/>
      <c r="B1595" s="49">
        <f>IF(A1595="","",CHOOSE(WEEKDAY(A1595,2),"Пн","Вт","Ср","Чт","Пт","Сб","Вс"))</f>
        <v/>
      </c>
      <c r="C1595" s="59" t="n"/>
      <c r="D1595" s="59" t="n"/>
      <c r="E1595" s="60">
        <f>IF(OR(C1595="",D1595=""),"",MOD(D1595-C1595,1)*24)</f>
        <v/>
      </c>
      <c r="F1595" s="50" t="n"/>
      <c r="G1595" s="51" t="n"/>
      <c r="H1595" s="51" t="n"/>
      <c r="I1595" s="51" t="n"/>
      <c r="J1595" s="51" t="n"/>
      <c r="K1595" s="51" t="n"/>
      <c r="L1595" s="54">
        <f>IF(OR(A1595="",C1595="",D1595=""),"",IF(COUNTIFS($A$5:$A$3004,A1595,$C$5:$C$3004,"&lt;"&amp;D1595,$D$5:$D$3004,"&gt;"&amp;C1595)&gt;1,"⚠️ пересечение",""))</f>
        <v/>
      </c>
      <c r="M1595" s="54">
        <f>IF(F1595="","",IF(J1595="✅ Сделано","✔ ",IF(J1595="❌ Пропущено","✖ ","⏰ "))&amp;IF(C1595="","",RIGHT("0"&amp;HOUR(C1595),2)&amp;":"&amp;RIGHT("0"&amp;MINUTE(C1595),2)&amp;IF(D1595="","","–"&amp;RIGHT("0"&amp;HOUR(D1595),2)&amp;":"&amp;RIGHT("0"&amp;MINUTE(D1595),2))&amp;" ")&amp;F1595)</f>
        <v/>
      </c>
      <c r="N1595" s="54">
        <f>IF(OR(A1595="",F1595=""),"",A1595&amp;"#"&amp;(COUNTIFS($A$5:$A$3004,A1595,$F$5:$F$3004,"?*",$O$5:$O$3004,"&lt;"&amp;O1595)+COUNTIFS($A$5:A1595,A1595,$F$5:F1595,"?*",$O$5:O1595,O1595)))</f>
        <v/>
      </c>
      <c r="O1595" s="54">
        <f>IF(A1595="","",IF(C1595="",0,C1595))</f>
        <v/>
      </c>
    </row>
    <row r="1596">
      <c r="A1596" s="58" t="n"/>
      <c r="B1596" s="49">
        <f>IF(A1596="","",CHOOSE(WEEKDAY(A1596,2),"Пн","Вт","Ср","Чт","Пт","Сб","Вс"))</f>
        <v/>
      </c>
      <c r="C1596" s="59" t="n"/>
      <c r="D1596" s="59" t="n"/>
      <c r="E1596" s="60">
        <f>IF(OR(C1596="",D1596=""),"",MOD(D1596-C1596,1)*24)</f>
        <v/>
      </c>
      <c r="F1596" s="50" t="n"/>
      <c r="G1596" s="51" t="n"/>
      <c r="H1596" s="51" t="n"/>
      <c r="I1596" s="51" t="n"/>
      <c r="J1596" s="51" t="n"/>
      <c r="K1596" s="51" t="n"/>
      <c r="L1596" s="54">
        <f>IF(OR(A1596="",C1596="",D1596=""),"",IF(COUNTIFS($A$5:$A$3004,A1596,$C$5:$C$3004,"&lt;"&amp;D1596,$D$5:$D$3004,"&gt;"&amp;C1596)&gt;1,"⚠️ пересечение",""))</f>
        <v/>
      </c>
      <c r="M1596" s="54">
        <f>IF(F1596="","",IF(J1596="✅ Сделано","✔ ",IF(J1596="❌ Пропущено","✖ ","⏰ "))&amp;IF(C1596="","",RIGHT("0"&amp;HOUR(C1596),2)&amp;":"&amp;RIGHT("0"&amp;MINUTE(C1596),2)&amp;IF(D1596="","","–"&amp;RIGHT("0"&amp;HOUR(D1596),2)&amp;":"&amp;RIGHT("0"&amp;MINUTE(D1596),2))&amp;" ")&amp;F1596)</f>
        <v/>
      </c>
      <c r="N1596" s="54">
        <f>IF(OR(A1596="",F1596=""),"",A1596&amp;"#"&amp;(COUNTIFS($A$5:$A$3004,A1596,$F$5:$F$3004,"?*",$O$5:$O$3004,"&lt;"&amp;O1596)+COUNTIFS($A$5:A1596,A1596,$F$5:F1596,"?*",$O$5:O1596,O1596)))</f>
        <v/>
      </c>
      <c r="O1596" s="54">
        <f>IF(A1596="","",IF(C1596="",0,C1596))</f>
        <v/>
      </c>
    </row>
    <row r="1597">
      <c r="A1597" s="58" t="n"/>
      <c r="B1597" s="49">
        <f>IF(A1597="","",CHOOSE(WEEKDAY(A1597,2),"Пн","Вт","Ср","Чт","Пт","Сб","Вс"))</f>
        <v/>
      </c>
      <c r="C1597" s="59" t="n"/>
      <c r="D1597" s="59" t="n"/>
      <c r="E1597" s="60">
        <f>IF(OR(C1597="",D1597=""),"",MOD(D1597-C1597,1)*24)</f>
        <v/>
      </c>
      <c r="F1597" s="50" t="n"/>
      <c r="G1597" s="51" t="n"/>
      <c r="H1597" s="51" t="n"/>
      <c r="I1597" s="51" t="n"/>
      <c r="J1597" s="51" t="n"/>
      <c r="K1597" s="51" t="n"/>
      <c r="L1597" s="54">
        <f>IF(OR(A1597="",C1597="",D1597=""),"",IF(COUNTIFS($A$5:$A$3004,A1597,$C$5:$C$3004,"&lt;"&amp;D1597,$D$5:$D$3004,"&gt;"&amp;C1597)&gt;1,"⚠️ пересечение",""))</f>
        <v/>
      </c>
      <c r="M1597" s="54">
        <f>IF(F1597="","",IF(J1597="✅ Сделано","✔ ",IF(J1597="❌ Пропущено","✖ ","⏰ "))&amp;IF(C1597="","",RIGHT("0"&amp;HOUR(C1597),2)&amp;":"&amp;RIGHT("0"&amp;MINUTE(C1597),2)&amp;IF(D1597="","","–"&amp;RIGHT("0"&amp;HOUR(D1597),2)&amp;":"&amp;RIGHT("0"&amp;MINUTE(D1597),2))&amp;" ")&amp;F1597)</f>
        <v/>
      </c>
      <c r="N1597" s="54">
        <f>IF(OR(A1597="",F1597=""),"",A1597&amp;"#"&amp;(COUNTIFS($A$5:$A$3004,A1597,$F$5:$F$3004,"?*",$O$5:$O$3004,"&lt;"&amp;O1597)+COUNTIFS($A$5:A1597,A1597,$F$5:F1597,"?*",$O$5:O1597,O1597)))</f>
        <v/>
      </c>
      <c r="O1597" s="54">
        <f>IF(A1597="","",IF(C1597="",0,C1597))</f>
        <v/>
      </c>
    </row>
    <row r="1598">
      <c r="A1598" s="58" t="n"/>
      <c r="B1598" s="49">
        <f>IF(A1598="","",CHOOSE(WEEKDAY(A1598,2),"Пн","Вт","Ср","Чт","Пт","Сб","Вс"))</f>
        <v/>
      </c>
      <c r="C1598" s="59" t="n"/>
      <c r="D1598" s="59" t="n"/>
      <c r="E1598" s="60">
        <f>IF(OR(C1598="",D1598=""),"",MOD(D1598-C1598,1)*24)</f>
        <v/>
      </c>
      <c r="F1598" s="50" t="n"/>
      <c r="G1598" s="51" t="n"/>
      <c r="H1598" s="51" t="n"/>
      <c r="I1598" s="51" t="n"/>
      <c r="J1598" s="51" t="n"/>
      <c r="K1598" s="51" t="n"/>
      <c r="L1598" s="54">
        <f>IF(OR(A1598="",C1598="",D1598=""),"",IF(COUNTIFS($A$5:$A$3004,A1598,$C$5:$C$3004,"&lt;"&amp;D1598,$D$5:$D$3004,"&gt;"&amp;C1598)&gt;1,"⚠️ пересечение",""))</f>
        <v/>
      </c>
      <c r="M1598" s="54">
        <f>IF(F1598="","",IF(J1598="✅ Сделано","✔ ",IF(J1598="❌ Пропущено","✖ ","⏰ "))&amp;IF(C1598="","",RIGHT("0"&amp;HOUR(C1598),2)&amp;":"&amp;RIGHT("0"&amp;MINUTE(C1598),2)&amp;IF(D1598="","","–"&amp;RIGHT("0"&amp;HOUR(D1598),2)&amp;":"&amp;RIGHT("0"&amp;MINUTE(D1598),2))&amp;" ")&amp;F1598)</f>
        <v/>
      </c>
      <c r="N1598" s="54">
        <f>IF(OR(A1598="",F1598=""),"",A1598&amp;"#"&amp;(COUNTIFS($A$5:$A$3004,A1598,$F$5:$F$3004,"?*",$O$5:$O$3004,"&lt;"&amp;O1598)+COUNTIFS($A$5:A1598,A1598,$F$5:F1598,"?*",$O$5:O1598,O1598)))</f>
        <v/>
      </c>
      <c r="O1598" s="54">
        <f>IF(A1598="","",IF(C1598="",0,C1598))</f>
        <v/>
      </c>
    </row>
    <row r="1599">
      <c r="A1599" s="58" t="n"/>
      <c r="B1599" s="49">
        <f>IF(A1599="","",CHOOSE(WEEKDAY(A1599,2),"Пн","Вт","Ср","Чт","Пт","Сб","Вс"))</f>
        <v/>
      </c>
      <c r="C1599" s="59" t="n"/>
      <c r="D1599" s="59" t="n"/>
      <c r="E1599" s="60">
        <f>IF(OR(C1599="",D1599=""),"",MOD(D1599-C1599,1)*24)</f>
        <v/>
      </c>
      <c r="F1599" s="50" t="n"/>
      <c r="G1599" s="51" t="n"/>
      <c r="H1599" s="51" t="n"/>
      <c r="I1599" s="51" t="n"/>
      <c r="J1599" s="51" t="n"/>
      <c r="K1599" s="51" t="n"/>
      <c r="L1599" s="54">
        <f>IF(OR(A1599="",C1599="",D1599=""),"",IF(COUNTIFS($A$5:$A$3004,A1599,$C$5:$C$3004,"&lt;"&amp;D1599,$D$5:$D$3004,"&gt;"&amp;C1599)&gt;1,"⚠️ пересечение",""))</f>
        <v/>
      </c>
      <c r="M1599" s="54">
        <f>IF(F1599="","",IF(J1599="✅ Сделано","✔ ",IF(J1599="❌ Пропущено","✖ ","⏰ "))&amp;IF(C1599="","",RIGHT("0"&amp;HOUR(C1599),2)&amp;":"&amp;RIGHT("0"&amp;MINUTE(C1599),2)&amp;IF(D1599="","","–"&amp;RIGHT("0"&amp;HOUR(D1599),2)&amp;":"&amp;RIGHT("0"&amp;MINUTE(D1599),2))&amp;" ")&amp;F1599)</f>
        <v/>
      </c>
      <c r="N1599" s="54">
        <f>IF(OR(A1599="",F1599=""),"",A1599&amp;"#"&amp;(COUNTIFS($A$5:$A$3004,A1599,$F$5:$F$3004,"?*",$O$5:$O$3004,"&lt;"&amp;O1599)+COUNTIFS($A$5:A1599,A1599,$F$5:F1599,"?*",$O$5:O1599,O1599)))</f>
        <v/>
      </c>
      <c r="O1599" s="54">
        <f>IF(A1599="","",IF(C1599="",0,C1599))</f>
        <v/>
      </c>
    </row>
    <row r="1600">
      <c r="A1600" s="58" t="n"/>
      <c r="B1600" s="49">
        <f>IF(A1600="","",CHOOSE(WEEKDAY(A1600,2),"Пн","Вт","Ср","Чт","Пт","Сб","Вс"))</f>
        <v/>
      </c>
      <c r="C1600" s="59" t="n"/>
      <c r="D1600" s="59" t="n"/>
      <c r="E1600" s="60">
        <f>IF(OR(C1600="",D1600=""),"",MOD(D1600-C1600,1)*24)</f>
        <v/>
      </c>
      <c r="F1600" s="50" t="n"/>
      <c r="G1600" s="51" t="n"/>
      <c r="H1600" s="51" t="n"/>
      <c r="I1600" s="51" t="n"/>
      <c r="J1600" s="51" t="n"/>
      <c r="K1600" s="51" t="n"/>
      <c r="L1600" s="54">
        <f>IF(OR(A1600="",C1600="",D1600=""),"",IF(COUNTIFS($A$5:$A$3004,A1600,$C$5:$C$3004,"&lt;"&amp;D1600,$D$5:$D$3004,"&gt;"&amp;C1600)&gt;1,"⚠️ пересечение",""))</f>
        <v/>
      </c>
      <c r="M1600" s="54">
        <f>IF(F1600="","",IF(J1600="✅ Сделано","✔ ",IF(J1600="❌ Пропущено","✖ ","⏰ "))&amp;IF(C1600="","",RIGHT("0"&amp;HOUR(C1600),2)&amp;":"&amp;RIGHT("0"&amp;MINUTE(C1600),2)&amp;IF(D1600="","","–"&amp;RIGHT("0"&amp;HOUR(D1600),2)&amp;":"&amp;RIGHT("0"&amp;MINUTE(D1600),2))&amp;" ")&amp;F1600)</f>
        <v/>
      </c>
      <c r="N1600" s="54">
        <f>IF(OR(A1600="",F1600=""),"",A1600&amp;"#"&amp;(COUNTIFS($A$5:$A$3004,A1600,$F$5:$F$3004,"?*",$O$5:$O$3004,"&lt;"&amp;O1600)+COUNTIFS($A$5:A1600,A1600,$F$5:F1600,"?*",$O$5:O1600,O1600)))</f>
        <v/>
      </c>
      <c r="O1600" s="54">
        <f>IF(A1600="","",IF(C1600="",0,C1600))</f>
        <v/>
      </c>
    </row>
    <row r="1601">
      <c r="A1601" s="58" t="n"/>
      <c r="B1601" s="49">
        <f>IF(A1601="","",CHOOSE(WEEKDAY(A1601,2),"Пн","Вт","Ср","Чт","Пт","Сб","Вс"))</f>
        <v/>
      </c>
      <c r="C1601" s="59" t="n"/>
      <c r="D1601" s="59" t="n"/>
      <c r="E1601" s="60">
        <f>IF(OR(C1601="",D1601=""),"",MOD(D1601-C1601,1)*24)</f>
        <v/>
      </c>
      <c r="F1601" s="50" t="n"/>
      <c r="G1601" s="51" t="n"/>
      <c r="H1601" s="51" t="n"/>
      <c r="I1601" s="51" t="n"/>
      <c r="J1601" s="51" t="n"/>
      <c r="K1601" s="51" t="n"/>
      <c r="L1601" s="54">
        <f>IF(OR(A1601="",C1601="",D1601=""),"",IF(COUNTIFS($A$5:$A$3004,A1601,$C$5:$C$3004,"&lt;"&amp;D1601,$D$5:$D$3004,"&gt;"&amp;C1601)&gt;1,"⚠️ пересечение",""))</f>
        <v/>
      </c>
      <c r="M1601" s="54">
        <f>IF(F1601="","",IF(J1601="✅ Сделано","✔ ",IF(J1601="❌ Пропущено","✖ ","⏰ "))&amp;IF(C1601="","",RIGHT("0"&amp;HOUR(C1601),2)&amp;":"&amp;RIGHT("0"&amp;MINUTE(C1601),2)&amp;IF(D1601="","","–"&amp;RIGHT("0"&amp;HOUR(D1601),2)&amp;":"&amp;RIGHT("0"&amp;MINUTE(D1601),2))&amp;" ")&amp;F1601)</f>
        <v/>
      </c>
      <c r="N1601" s="54">
        <f>IF(OR(A1601="",F1601=""),"",A1601&amp;"#"&amp;(COUNTIFS($A$5:$A$3004,A1601,$F$5:$F$3004,"?*",$O$5:$O$3004,"&lt;"&amp;O1601)+COUNTIFS($A$5:A1601,A1601,$F$5:F1601,"?*",$O$5:O1601,O1601)))</f>
        <v/>
      </c>
      <c r="O1601" s="54">
        <f>IF(A1601="","",IF(C1601="",0,C1601))</f>
        <v/>
      </c>
    </row>
    <row r="1602">
      <c r="A1602" s="58" t="n"/>
      <c r="B1602" s="49">
        <f>IF(A1602="","",CHOOSE(WEEKDAY(A1602,2),"Пн","Вт","Ср","Чт","Пт","Сб","Вс"))</f>
        <v/>
      </c>
      <c r="C1602" s="59" t="n"/>
      <c r="D1602" s="59" t="n"/>
      <c r="E1602" s="60">
        <f>IF(OR(C1602="",D1602=""),"",MOD(D1602-C1602,1)*24)</f>
        <v/>
      </c>
      <c r="F1602" s="50" t="n"/>
      <c r="G1602" s="51" t="n"/>
      <c r="H1602" s="51" t="n"/>
      <c r="I1602" s="51" t="n"/>
      <c r="J1602" s="51" t="n"/>
      <c r="K1602" s="51" t="n"/>
      <c r="L1602" s="54">
        <f>IF(OR(A1602="",C1602="",D1602=""),"",IF(COUNTIFS($A$5:$A$3004,A1602,$C$5:$C$3004,"&lt;"&amp;D1602,$D$5:$D$3004,"&gt;"&amp;C1602)&gt;1,"⚠️ пересечение",""))</f>
        <v/>
      </c>
      <c r="M1602" s="54">
        <f>IF(F1602="","",IF(J1602="✅ Сделано","✔ ",IF(J1602="❌ Пропущено","✖ ","⏰ "))&amp;IF(C1602="","",RIGHT("0"&amp;HOUR(C1602),2)&amp;":"&amp;RIGHT("0"&amp;MINUTE(C1602),2)&amp;IF(D1602="","","–"&amp;RIGHT("0"&amp;HOUR(D1602),2)&amp;":"&amp;RIGHT("0"&amp;MINUTE(D1602),2))&amp;" ")&amp;F1602)</f>
        <v/>
      </c>
      <c r="N1602" s="54">
        <f>IF(OR(A1602="",F1602=""),"",A1602&amp;"#"&amp;(COUNTIFS($A$5:$A$3004,A1602,$F$5:$F$3004,"?*",$O$5:$O$3004,"&lt;"&amp;O1602)+COUNTIFS($A$5:A1602,A1602,$F$5:F1602,"?*",$O$5:O1602,O1602)))</f>
        <v/>
      </c>
      <c r="O1602" s="54">
        <f>IF(A1602="","",IF(C1602="",0,C1602))</f>
        <v/>
      </c>
    </row>
    <row r="1603">
      <c r="A1603" s="58" t="n"/>
      <c r="B1603" s="49">
        <f>IF(A1603="","",CHOOSE(WEEKDAY(A1603,2),"Пн","Вт","Ср","Чт","Пт","Сб","Вс"))</f>
        <v/>
      </c>
      <c r="C1603" s="59" t="n"/>
      <c r="D1603" s="59" t="n"/>
      <c r="E1603" s="60">
        <f>IF(OR(C1603="",D1603=""),"",MOD(D1603-C1603,1)*24)</f>
        <v/>
      </c>
      <c r="F1603" s="50" t="n"/>
      <c r="G1603" s="51" t="n"/>
      <c r="H1603" s="51" t="n"/>
      <c r="I1603" s="51" t="n"/>
      <c r="J1603" s="51" t="n"/>
      <c r="K1603" s="51" t="n"/>
      <c r="L1603" s="54">
        <f>IF(OR(A1603="",C1603="",D1603=""),"",IF(COUNTIFS($A$5:$A$3004,A1603,$C$5:$C$3004,"&lt;"&amp;D1603,$D$5:$D$3004,"&gt;"&amp;C1603)&gt;1,"⚠️ пересечение",""))</f>
        <v/>
      </c>
      <c r="M1603" s="54">
        <f>IF(F1603="","",IF(J1603="✅ Сделано","✔ ",IF(J1603="❌ Пропущено","✖ ","⏰ "))&amp;IF(C1603="","",RIGHT("0"&amp;HOUR(C1603),2)&amp;":"&amp;RIGHT("0"&amp;MINUTE(C1603),2)&amp;IF(D1603="","","–"&amp;RIGHT("0"&amp;HOUR(D1603),2)&amp;":"&amp;RIGHT("0"&amp;MINUTE(D1603),2))&amp;" ")&amp;F1603)</f>
        <v/>
      </c>
      <c r="N1603" s="54">
        <f>IF(OR(A1603="",F1603=""),"",A1603&amp;"#"&amp;(COUNTIFS($A$5:$A$3004,A1603,$F$5:$F$3004,"?*",$O$5:$O$3004,"&lt;"&amp;O1603)+COUNTIFS($A$5:A1603,A1603,$F$5:F1603,"?*",$O$5:O1603,O1603)))</f>
        <v/>
      </c>
      <c r="O1603" s="54">
        <f>IF(A1603="","",IF(C1603="",0,C1603))</f>
        <v/>
      </c>
    </row>
    <row r="1604">
      <c r="A1604" s="58" t="n"/>
      <c r="B1604" s="49">
        <f>IF(A1604="","",CHOOSE(WEEKDAY(A1604,2),"Пн","Вт","Ср","Чт","Пт","Сб","Вс"))</f>
        <v/>
      </c>
      <c r="C1604" s="59" t="n"/>
      <c r="D1604" s="59" t="n"/>
      <c r="E1604" s="60">
        <f>IF(OR(C1604="",D1604=""),"",MOD(D1604-C1604,1)*24)</f>
        <v/>
      </c>
      <c r="F1604" s="50" t="n"/>
      <c r="G1604" s="51" t="n"/>
      <c r="H1604" s="51" t="n"/>
      <c r="I1604" s="51" t="n"/>
      <c r="J1604" s="51" t="n"/>
      <c r="K1604" s="51" t="n"/>
      <c r="L1604" s="54">
        <f>IF(OR(A1604="",C1604="",D1604=""),"",IF(COUNTIFS($A$5:$A$3004,A1604,$C$5:$C$3004,"&lt;"&amp;D1604,$D$5:$D$3004,"&gt;"&amp;C1604)&gt;1,"⚠️ пересечение",""))</f>
        <v/>
      </c>
      <c r="M1604" s="54">
        <f>IF(F1604="","",IF(J1604="✅ Сделано","✔ ",IF(J1604="❌ Пропущено","✖ ","⏰ "))&amp;IF(C1604="","",RIGHT("0"&amp;HOUR(C1604),2)&amp;":"&amp;RIGHT("0"&amp;MINUTE(C1604),2)&amp;IF(D1604="","","–"&amp;RIGHT("0"&amp;HOUR(D1604),2)&amp;":"&amp;RIGHT("0"&amp;MINUTE(D1604),2))&amp;" ")&amp;F1604)</f>
        <v/>
      </c>
      <c r="N1604" s="54">
        <f>IF(OR(A1604="",F1604=""),"",A1604&amp;"#"&amp;(COUNTIFS($A$5:$A$3004,A1604,$F$5:$F$3004,"?*",$O$5:$O$3004,"&lt;"&amp;O1604)+COUNTIFS($A$5:A1604,A1604,$F$5:F1604,"?*",$O$5:O1604,O1604)))</f>
        <v/>
      </c>
      <c r="O1604" s="54">
        <f>IF(A1604="","",IF(C1604="",0,C1604))</f>
        <v/>
      </c>
    </row>
    <row r="1605">
      <c r="A1605" s="58" t="n"/>
      <c r="B1605" s="49">
        <f>IF(A1605="","",CHOOSE(WEEKDAY(A1605,2),"Пн","Вт","Ср","Чт","Пт","Сб","Вс"))</f>
        <v/>
      </c>
      <c r="C1605" s="59" t="n"/>
      <c r="D1605" s="59" t="n"/>
      <c r="E1605" s="60">
        <f>IF(OR(C1605="",D1605=""),"",MOD(D1605-C1605,1)*24)</f>
        <v/>
      </c>
      <c r="F1605" s="50" t="n"/>
      <c r="G1605" s="51" t="n"/>
      <c r="H1605" s="51" t="n"/>
      <c r="I1605" s="51" t="n"/>
      <c r="J1605" s="51" t="n"/>
      <c r="K1605" s="51" t="n"/>
      <c r="L1605" s="54">
        <f>IF(OR(A1605="",C1605="",D1605=""),"",IF(COUNTIFS($A$5:$A$3004,A1605,$C$5:$C$3004,"&lt;"&amp;D1605,$D$5:$D$3004,"&gt;"&amp;C1605)&gt;1,"⚠️ пересечение",""))</f>
        <v/>
      </c>
      <c r="M1605" s="54">
        <f>IF(F1605="","",IF(J1605="✅ Сделано","✔ ",IF(J1605="❌ Пропущено","✖ ","⏰ "))&amp;IF(C1605="","",RIGHT("0"&amp;HOUR(C1605),2)&amp;":"&amp;RIGHT("0"&amp;MINUTE(C1605),2)&amp;IF(D1605="","","–"&amp;RIGHT("0"&amp;HOUR(D1605),2)&amp;":"&amp;RIGHT("0"&amp;MINUTE(D1605),2))&amp;" ")&amp;F1605)</f>
        <v/>
      </c>
      <c r="N1605" s="54">
        <f>IF(OR(A1605="",F1605=""),"",A1605&amp;"#"&amp;(COUNTIFS($A$5:$A$3004,A1605,$F$5:$F$3004,"?*",$O$5:$O$3004,"&lt;"&amp;O1605)+COUNTIFS($A$5:A1605,A1605,$F$5:F1605,"?*",$O$5:O1605,O1605)))</f>
        <v/>
      </c>
      <c r="O1605" s="54">
        <f>IF(A1605="","",IF(C1605="",0,C1605))</f>
        <v/>
      </c>
    </row>
    <row r="1606">
      <c r="A1606" s="58" t="n"/>
      <c r="B1606" s="49">
        <f>IF(A1606="","",CHOOSE(WEEKDAY(A1606,2),"Пн","Вт","Ср","Чт","Пт","Сб","Вс"))</f>
        <v/>
      </c>
      <c r="C1606" s="59" t="n"/>
      <c r="D1606" s="59" t="n"/>
      <c r="E1606" s="60">
        <f>IF(OR(C1606="",D1606=""),"",MOD(D1606-C1606,1)*24)</f>
        <v/>
      </c>
      <c r="F1606" s="50" t="n"/>
      <c r="G1606" s="51" t="n"/>
      <c r="H1606" s="51" t="n"/>
      <c r="I1606" s="51" t="n"/>
      <c r="J1606" s="51" t="n"/>
      <c r="K1606" s="51" t="n"/>
      <c r="L1606" s="54">
        <f>IF(OR(A1606="",C1606="",D1606=""),"",IF(COUNTIFS($A$5:$A$3004,A1606,$C$5:$C$3004,"&lt;"&amp;D1606,$D$5:$D$3004,"&gt;"&amp;C1606)&gt;1,"⚠️ пересечение",""))</f>
        <v/>
      </c>
      <c r="M1606" s="54">
        <f>IF(F1606="","",IF(J1606="✅ Сделано","✔ ",IF(J1606="❌ Пропущено","✖ ","⏰ "))&amp;IF(C1606="","",RIGHT("0"&amp;HOUR(C1606),2)&amp;":"&amp;RIGHT("0"&amp;MINUTE(C1606),2)&amp;IF(D1606="","","–"&amp;RIGHT("0"&amp;HOUR(D1606),2)&amp;":"&amp;RIGHT("0"&amp;MINUTE(D1606),2))&amp;" ")&amp;F1606)</f>
        <v/>
      </c>
      <c r="N1606" s="54">
        <f>IF(OR(A1606="",F1606=""),"",A1606&amp;"#"&amp;(COUNTIFS($A$5:$A$3004,A1606,$F$5:$F$3004,"?*",$O$5:$O$3004,"&lt;"&amp;O1606)+COUNTIFS($A$5:A1606,A1606,$F$5:F1606,"?*",$O$5:O1606,O1606)))</f>
        <v/>
      </c>
      <c r="O1606" s="54">
        <f>IF(A1606="","",IF(C1606="",0,C1606))</f>
        <v/>
      </c>
    </row>
    <row r="1607">
      <c r="A1607" s="58" t="n"/>
      <c r="B1607" s="49">
        <f>IF(A1607="","",CHOOSE(WEEKDAY(A1607,2),"Пн","Вт","Ср","Чт","Пт","Сб","Вс"))</f>
        <v/>
      </c>
      <c r="C1607" s="59" t="n"/>
      <c r="D1607" s="59" t="n"/>
      <c r="E1607" s="60">
        <f>IF(OR(C1607="",D1607=""),"",MOD(D1607-C1607,1)*24)</f>
        <v/>
      </c>
      <c r="F1607" s="50" t="n"/>
      <c r="G1607" s="51" t="n"/>
      <c r="H1607" s="51" t="n"/>
      <c r="I1607" s="51" t="n"/>
      <c r="J1607" s="51" t="n"/>
      <c r="K1607" s="51" t="n"/>
      <c r="L1607" s="54">
        <f>IF(OR(A1607="",C1607="",D1607=""),"",IF(COUNTIFS($A$5:$A$3004,A1607,$C$5:$C$3004,"&lt;"&amp;D1607,$D$5:$D$3004,"&gt;"&amp;C1607)&gt;1,"⚠️ пересечение",""))</f>
        <v/>
      </c>
      <c r="M1607" s="54">
        <f>IF(F1607="","",IF(J1607="✅ Сделано","✔ ",IF(J1607="❌ Пропущено","✖ ","⏰ "))&amp;IF(C1607="","",RIGHT("0"&amp;HOUR(C1607),2)&amp;":"&amp;RIGHT("0"&amp;MINUTE(C1607),2)&amp;IF(D1607="","","–"&amp;RIGHT("0"&amp;HOUR(D1607),2)&amp;":"&amp;RIGHT("0"&amp;MINUTE(D1607),2))&amp;" ")&amp;F1607)</f>
        <v/>
      </c>
      <c r="N1607" s="54">
        <f>IF(OR(A1607="",F1607=""),"",A1607&amp;"#"&amp;(COUNTIFS($A$5:$A$3004,A1607,$F$5:$F$3004,"?*",$O$5:$O$3004,"&lt;"&amp;O1607)+COUNTIFS($A$5:A1607,A1607,$F$5:F1607,"?*",$O$5:O1607,O1607)))</f>
        <v/>
      </c>
      <c r="O1607" s="54">
        <f>IF(A1607="","",IF(C1607="",0,C1607))</f>
        <v/>
      </c>
    </row>
    <row r="1608">
      <c r="A1608" s="58" t="n"/>
      <c r="B1608" s="49">
        <f>IF(A1608="","",CHOOSE(WEEKDAY(A1608,2),"Пн","Вт","Ср","Чт","Пт","Сб","Вс"))</f>
        <v/>
      </c>
      <c r="C1608" s="59" t="n"/>
      <c r="D1608" s="59" t="n"/>
      <c r="E1608" s="60">
        <f>IF(OR(C1608="",D1608=""),"",MOD(D1608-C1608,1)*24)</f>
        <v/>
      </c>
      <c r="F1608" s="50" t="n"/>
      <c r="G1608" s="51" t="n"/>
      <c r="H1608" s="51" t="n"/>
      <c r="I1608" s="51" t="n"/>
      <c r="J1608" s="51" t="n"/>
      <c r="K1608" s="51" t="n"/>
      <c r="L1608" s="54">
        <f>IF(OR(A1608="",C1608="",D1608=""),"",IF(COUNTIFS($A$5:$A$3004,A1608,$C$5:$C$3004,"&lt;"&amp;D1608,$D$5:$D$3004,"&gt;"&amp;C1608)&gt;1,"⚠️ пересечение",""))</f>
        <v/>
      </c>
      <c r="M1608" s="54">
        <f>IF(F1608="","",IF(J1608="✅ Сделано","✔ ",IF(J1608="❌ Пропущено","✖ ","⏰ "))&amp;IF(C1608="","",RIGHT("0"&amp;HOUR(C1608),2)&amp;":"&amp;RIGHT("0"&amp;MINUTE(C1608),2)&amp;IF(D1608="","","–"&amp;RIGHT("0"&amp;HOUR(D1608),2)&amp;":"&amp;RIGHT("0"&amp;MINUTE(D1608),2))&amp;" ")&amp;F1608)</f>
        <v/>
      </c>
      <c r="N1608" s="54">
        <f>IF(OR(A1608="",F1608=""),"",A1608&amp;"#"&amp;(COUNTIFS($A$5:$A$3004,A1608,$F$5:$F$3004,"?*",$O$5:$O$3004,"&lt;"&amp;O1608)+COUNTIFS($A$5:A1608,A1608,$F$5:F1608,"?*",$O$5:O1608,O1608)))</f>
        <v/>
      </c>
      <c r="O1608" s="54">
        <f>IF(A1608="","",IF(C1608="",0,C1608))</f>
        <v/>
      </c>
    </row>
    <row r="1609">
      <c r="A1609" s="58" t="n"/>
      <c r="B1609" s="49">
        <f>IF(A1609="","",CHOOSE(WEEKDAY(A1609,2),"Пн","Вт","Ср","Чт","Пт","Сб","Вс"))</f>
        <v/>
      </c>
      <c r="C1609" s="59" t="n"/>
      <c r="D1609" s="59" t="n"/>
      <c r="E1609" s="60">
        <f>IF(OR(C1609="",D1609=""),"",MOD(D1609-C1609,1)*24)</f>
        <v/>
      </c>
      <c r="F1609" s="50" t="n"/>
      <c r="G1609" s="51" t="n"/>
      <c r="H1609" s="51" t="n"/>
      <c r="I1609" s="51" t="n"/>
      <c r="J1609" s="51" t="n"/>
      <c r="K1609" s="51" t="n"/>
      <c r="L1609" s="54">
        <f>IF(OR(A1609="",C1609="",D1609=""),"",IF(COUNTIFS($A$5:$A$3004,A1609,$C$5:$C$3004,"&lt;"&amp;D1609,$D$5:$D$3004,"&gt;"&amp;C1609)&gt;1,"⚠️ пересечение",""))</f>
        <v/>
      </c>
      <c r="M1609" s="54">
        <f>IF(F1609="","",IF(J1609="✅ Сделано","✔ ",IF(J1609="❌ Пропущено","✖ ","⏰ "))&amp;IF(C1609="","",RIGHT("0"&amp;HOUR(C1609),2)&amp;":"&amp;RIGHT("0"&amp;MINUTE(C1609),2)&amp;IF(D1609="","","–"&amp;RIGHT("0"&amp;HOUR(D1609),2)&amp;":"&amp;RIGHT("0"&amp;MINUTE(D1609),2))&amp;" ")&amp;F1609)</f>
        <v/>
      </c>
      <c r="N1609" s="54">
        <f>IF(OR(A1609="",F1609=""),"",A1609&amp;"#"&amp;(COUNTIFS($A$5:$A$3004,A1609,$F$5:$F$3004,"?*",$O$5:$O$3004,"&lt;"&amp;O1609)+COUNTIFS($A$5:A1609,A1609,$F$5:F1609,"?*",$O$5:O1609,O1609)))</f>
        <v/>
      </c>
      <c r="O1609" s="54">
        <f>IF(A1609="","",IF(C1609="",0,C1609))</f>
        <v/>
      </c>
    </row>
    <row r="1610">
      <c r="A1610" s="58" t="n"/>
      <c r="B1610" s="49">
        <f>IF(A1610="","",CHOOSE(WEEKDAY(A1610,2),"Пн","Вт","Ср","Чт","Пт","Сб","Вс"))</f>
        <v/>
      </c>
      <c r="C1610" s="59" t="n"/>
      <c r="D1610" s="59" t="n"/>
      <c r="E1610" s="60">
        <f>IF(OR(C1610="",D1610=""),"",MOD(D1610-C1610,1)*24)</f>
        <v/>
      </c>
      <c r="F1610" s="50" t="n"/>
      <c r="G1610" s="51" t="n"/>
      <c r="H1610" s="51" t="n"/>
      <c r="I1610" s="51" t="n"/>
      <c r="J1610" s="51" t="n"/>
      <c r="K1610" s="51" t="n"/>
      <c r="L1610" s="54">
        <f>IF(OR(A1610="",C1610="",D1610=""),"",IF(COUNTIFS($A$5:$A$3004,A1610,$C$5:$C$3004,"&lt;"&amp;D1610,$D$5:$D$3004,"&gt;"&amp;C1610)&gt;1,"⚠️ пересечение",""))</f>
        <v/>
      </c>
      <c r="M1610" s="54">
        <f>IF(F1610="","",IF(J1610="✅ Сделано","✔ ",IF(J1610="❌ Пропущено","✖ ","⏰ "))&amp;IF(C1610="","",RIGHT("0"&amp;HOUR(C1610),2)&amp;":"&amp;RIGHT("0"&amp;MINUTE(C1610),2)&amp;IF(D1610="","","–"&amp;RIGHT("0"&amp;HOUR(D1610),2)&amp;":"&amp;RIGHT("0"&amp;MINUTE(D1610),2))&amp;" ")&amp;F1610)</f>
        <v/>
      </c>
      <c r="N1610" s="54">
        <f>IF(OR(A1610="",F1610=""),"",A1610&amp;"#"&amp;(COUNTIFS($A$5:$A$3004,A1610,$F$5:$F$3004,"?*",$O$5:$O$3004,"&lt;"&amp;O1610)+COUNTIFS($A$5:A1610,A1610,$F$5:F1610,"?*",$O$5:O1610,O1610)))</f>
        <v/>
      </c>
      <c r="O1610" s="54">
        <f>IF(A1610="","",IF(C1610="",0,C1610))</f>
        <v/>
      </c>
    </row>
    <row r="1611">
      <c r="A1611" s="58" t="n"/>
      <c r="B1611" s="49">
        <f>IF(A1611="","",CHOOSE(WEEKDAY(A1611,2),"Пн","Вт","Ср","Чт","Пт","Сб","Вс"))</f>
        <v/>
      </c>
      <c r="C1611" s="59" t="n"/>
      <c r="D1611" s="59" t="n"/>
      <c r="E1611" s="60">
        <f>IF(OR(C1611="",D1611=""),"",MOD(D1611-C1611,1)*24)</f>
        <v/>
      </c>
      <c r="F1611" s="50" t="n"/>
      <c r="G1611" s="51" t="n"/>
      <c r="H1611" s="51" t="n"/>
      <c r="I1611" s="51" t="n"/>
      <c r="J1611" s="51" t="n"/>
      <c r="K1611" s="51" t="n"/>
      <c r="L1611" s="54">
        <f>IF(OR(A1611="",C1611="",D1611=""),"",IF(COUNTIFS($A$5:$A$3004,A1611,$C$5:$C$3004,"&lt;"&amp;D1611,$D$5:$D$3004,"&gt;"&amp;C1611)&gt;1,"⚠️ пересечение",""))</f>
        <v/>
      </c>
      <c r="M1611" s="54">
        <f>IF(F1611="","",IF(J1611="✅ Сделано","✔ ",IF(J1611="❌ Пропущено","✖ ","⏰ "))&amp;IF(C1611="","",RIGHT("0"&amp;HOUR(C1611),2)&amp;":"&amp;RIGHT("0"&amp;MINUTE(C1611),2)&amp;IF(D1611="","","–"&amp;RIGHT("0"&amp;HOUR(D1611),2)&amp;":"&amp;RIGHT("0"&amp;MINUTE(D1611),2))&amp;" ")&amp;F1611)</f>
        <v/>
      </c>
      <c r="N1611" s="54">
        <f>IF(OR(A1611="",F1611=""),"",A1611&amp;"#"&amp;(COUNTIFS($A$5:$A$3004,A1611,$F$5:$F$3004,"?*",$O$5:$O$3004,"&lt;"&amp;O1611)+COUNTIFS($A$5:A1611,A1611,$F$5:F1611,"?*",$O$5:O1611,O1611)))</f>
        <v/>
      </c>
      <c r="O1611" s="54">
        <f>IF(A1611="","",IF(C1611="",0,C1611))</f>
        <v/>
      </c>
    </row>
    <row r="1612">
      <c r="A1612" s="58" t="n"/>
      <c r="B1612" s="49">
        <f>IF(A1612="","",CHOOSE(WEEKDAY(A1612,2),"Пн","Вт","Ср","Чт","Пт","Сб","Вс"))</f>
        <v/>
      </c>
      <c r="C1612" s="59" t="n"/>
      <c r="D1612" s="59" t="n"/>
      <c r="E1612" s="60">
        <f>IF(OR(C1612="",D1612=""),"",MOD(D1612-C1612,1)*24)</f>
        <v/>
      </c>
      <c r="F1612" s="50" t="n"/>
      <c r="G1612" s="51" t="n"/>
      <c r="H1612" s="51" t="n"/>
      <c r="I1612" s="51" t="n"/>
      <c r="J1612" s="51" t="n"/>
      <c r="K1612" s="51" t="n"/>
      <c r="L1612" s="54">
        <f>IF(OR(A1612="",C1612="",D1612=""),"",IF(COUNTIFS($A$5:$A$3004,A1612,$C$5:$C$3004,"&lt;"&amp;D1612,$D$5:$D$3004,"&gt;"&amp;C1612)&gt;1,"⚠️ пересечение",""))</f>
        <v/>
      </c>
      <c r="M1612" s="54">
        <f>IF(F1612="","",IF(J1612="✅ Сделано","✔ ",IF(J1612="❌ Пропущено","✖ ","⏰ "))&amp;IF(C1612="","",RIGHT("0"&amp;HOUR(C1612),2)&amp;":"&amp;RIGHT("0"&amp;MINUTE(C1612),2)&amp;IF(D1612="","","–"&amp;RIGHT("0"&amp;HOUR(D1612),2)&amp;":"&amp;RIGHT("0"&amp;MINUTE(D1612),2))&amp;" ")&amp;F1612)</f>
        <v/>
      </c>
      <c r="N1612" s="54">
        <f>IF(OR(A1612="",F1612=""),"",A1612&amp;"#"&amp;(COUNTIFS($A$5:$A$3004,A1612,$F$5:$F$3004,"?*",$O$5:$O$3004,"&lt;"&amp;O1612)+COUNTIFS($A$5:A1612,A1612,$F$5:F1612,"?*",$O$5:O1612,O1612)))</f>
        <v/>
      </c>
      <c r="O1612" s="54">
        <f>IF(A1612="","",IF(C1612="",0,C1612))</f>
        <v/>
      </c>
    </row>
    <row r="1613">
      <c r="A1613" s="58" t="n"/>
      <c r="B1613" s="49">
        <f>IF(A1613="","",CHOOSE(WEEKDAY(A1613,2),"Пн","Вт","Ср","Чт","Пт","Сб","Вс"))</f>
        <v/>
      </c>
      <c r="C1613" s="59" t="n"/>
      <c r="D1613" s="59" t="n"/>
      <c r="E1613" s="60">
        <f>IF(OR(C1613="",D1613=""),"",MOD(D1613-C1613,1)*24)</f>
        <v/>
      </c>
      <c r="F1613" s="50" t="n"/>
      <c r="G1613" s="51" t="n"/>
      <c r="H1613" s="51" t="n"/>
      <c r="I1613" s="51" t="n"/>
      <c r="J1613" s="51" t="n"/>
      <c r="K1613" s="51" t="n"/>
      <c r="L1613" s="54">
        <f>IF(OR(A1613="",C1613="",D1613=""),"",IF(COUNTIFS($A$5:$A$3004,A1613,$C$5:$C$3004,"&lt;"&amp;D1613,$D$5:$D$3004,"&gt;"&amp;C1613)&gt;1,"⚠️ пересечение",""))</f>
        <v/>
      </c>
      <c r="M1613" s="54">
        <f>IF(F1613="","",IF(J1613="✅ Сделано","✔ ",IF(J1613="❌ Пропущено","✖ ","⏰ "))&amp;IF(C1613="","",RIGHT("0"&amp;HOUR(C1613),2)&amp;":"&amp;RIGHT("0"&amp;MINUTE(C1613),2)&amp;IF(D1613="","","–"&amp;RIGHT("0"&amp;HOUR(D1613),2)&amp;":"&amp;RIGHT("0"&amp;MINUTE(D1613),2))&amp;" ")&amp;F1613)</f>
        <v/>
      </c>
      <c r="N1613" s="54">
        <f>IF(OR(A1613="",F1613=""),"",A1613&amp;"#"&amp;(COUNTIFS($A$5:$A$3004,A1613,$F$5:$F$3004,"?*",$O$5:$O$3004,"&lt;"&amp;O1613)+COUNTIFS($A$5:A1613,A1613,$F$5:F1613,"?*",$O$5:O1613,O1613)))</f>
        <v/>
      </c>
      <c r="O1613" s="54">
        <f>IF(A1613="","",IF(C1613="",0,C1613))</f>
        <v/>
      </c>
    </row>
    <row r="1614">
      <c r="A1614" s="58" t="n"/>
      <c r="B1614" s="49">
        <f>IF(A1614="","",CHOOSE(WEEKDAY(A1614,2),"Пн","Вт","Ср","Чт","Пт","Сб","Вс"))</f>
        <v/>
      </c>
      <c r="C1614" s="59" t="n"/>
      <c r="D1614" s="59" t="n"/>
      <c r="E1614" s="60">
        <f>IF(OR(C1614="",D1614=""),"",MOD(D1614-C1614,1)*24)</f>
        <v/>
      </c>
      <c r="F1614" s="50" t="n"/>
      <c r="G1614" s="51" t="n"/>
      <c r="H1614" s="51" t="n"/>
      <c r="I1614" s="51" t="n"/>
      <c r="J1614" s="51" t="n"/>
      <c r="K1614" s="51" t="n"/>
      <c r="L1614" s="54">
        <f>IF(OR(A1614="",C1614="",D1614=""),"",IF(COUNTIFS($A$5:$A$3004,A1614,$C$5:$C$3004,"&lt;"&amp;D1614,$D$5:$D$3004,"&gt;"&amp;C1614)&gt;1,"⚠️ пересечение",""))</f>
        <v/>
      </c>
      <c r="M1614" s="54">
        <f>IF(F1614="","",IF(J1614="✅ Сделано","✔ ",IF(J1614="❌ Пропущено","✖ ","⏰ "))&amp;IF(C1614="","",RIGHT("0"&amp;HOUR(C1614),2)&amp;":"&amp;RIGHT("0"&amp;MINUTE(C1614),2)&amp;IF(D1614="","","–"&amp;RIGHT("0"&amp;HOUR(D1614),2)&amp;":"&amp;RIGHT("0"&amp;MINUTE(D1614),2))&amp;" ")&amp;F1614)</f>
        <v/>
      </c>
      <c r="N1614" s="54">
        <f>IF(OR(A1614="",F1614=""),"",A1614&amp;"#"&amp;(COUNTIFS($A$5:$A$3004,A1614,$F$5:$F$3004,"?*",$O$5:$O$3004,"&lt;"&amp;O1614)+COUNTIFS($A$5:A1614,A1614,$F$5:F1614,"?*",$O$5:O1614,O1614)))</f>
        <v/>
      </c>
      <c r="O1614" s="54">
        <f>IF(A1614="","",IF(C1614="",0,C1614))</f>
        <v/>
      </c>
    </row>
    <row r="1615">
      <c r="A1615" s="58" t="n"/>
      <c r="B1615" s="49">
        <f>IF(A1615="","",CHOOSE(WEEKDAY(A1615,2),"Пн","Вт","Ср","Чт","Пт","Сб","Вс"))</f>
        <v/>
      </c>
      <c r="C1615" s="59" t="n"/>
      <c r="D1615" s="59" t="n"/>
      <c r="E1615" s="60">
        <f>IF(OR(C1615="",D1615=""),"",MOD(D1615-C1615,1)*24)</f>
        <v/>
      </c>
      <c r="F1615" s="50" t="n"/>
      <c r="G1615" s="51" t="n"/>
      <c r="H1615" s="51" t="n"/>
      <c r="I1615" s="51" t="n"/>
      <c r="J1615" s="51" t="n"/>
      <c r="K1615" s="51" t="n"/>
      <c r="L1615" s="54">
        <f>IF(OR(A1615="",C1615="",D1615=""),"",IF(COUNTIFS($A$5:$A$3004,A1615,$C$5:$C$3004,"&lt;"&amp;D1615,$D$5:$D$3004,"&gt;"&amp;C1615)&gt;1,"⚠️ пересечение",""))</f>
        <v/>
      </c>
      <c r="M1615" s="54">
        <f>IF(F1615="","",IF(J1615="✅ Сделано","✔ ",IF(J1615="❌ Пропущено","✖ ","⏰ "))&amp;IF(C1615="","",RIGHT("0"&amp;HOUR(C1615),2)&amp;":"&amp;RIGHT("0"&amp;MINUTE(C1615),2)&amp;IF(D1615="","","–"&amp;RIGHT("0"&amp;HOUR(D1615),2)&amp;":"&amp;RIGHT("0"&amp;MINUTE(D1615),2))&amp;" ")&amp;F1615)</f>
        <v/>
      </c>
      <c r="N1615" s="54">
        <f>IF(OR(A1615="",F1615=""),"",A1615&amp;"#"&amp;(COUNTIFS($A$5:$A$3004,A1615,$F$5:$F$3004,"?*",$O$5:$O$3004,"&lt;"&amp;O1615)+COUNTIFS($A$5:A1615,A1615,$F$5:F1615,"?*",$O$5:O1615,O1615)))</f>
        <v/>
      </c>
      <c r="O1615" s="54">
        <f>IF(A1615="","",IF(C1615="",0,C1615))</f>
        <v/>
      </c>
    </row>
    <row r="1616">
      <c r="A1616" s="58" t="n"/>
      <c r="B1616" s="49">
        <f>IF(A1616="","",CHOOSE(WEEKDAY(A1616,2),"Пн","Вт","Ср","Чт","Пт","Сб","Вс"))</f>
        <v/>
      </c>
      <c r="C1616" s="59" t="n"/>
      <c r="D1616" s="59" t="n"/>
      <c r="E1616" s="60">
        <f>IF(OR(C1616="",D1616=""),"",MOD(D1616-C1616,1)*24)</f>
        <v/>
      </c>
      <c r="F1616" s="50" t="n"/>
      <c r="G1616" s="51" t="n"/>
      <c r="H1616" s="51" t="n"/>
      <c r="I1616" s="51" t="n"/>
      <c r="J1616" s="51" t="n"/>
      <c r="K1616" s="51" t="n"/>
      <c r="L1616" s="54">
        <f>IF(OR(A1616="",C1616="",D1616=""),"",IF(COUNTIFS($A$5:$A$3004,A1616,$C$5:$C$3004,"&lt;"&amp;D1616,$D$5:$D$3004,"&gt;"&amp;C1616)&gt;1,"⚠️ пересечение",""))</f>
        <v/>
      </c>
      <c r="M1616" s="54">
        <f>IF(F1616="","",IF(J1616="✅ Сделано","✔ ",IF(J1616="❌ Пропущено","✖ ","⏰ "))&amp;IF(C1616="","",RIGHT("0"&amp;HOUR(C1616),2)&amp;":"&amp;RIGHT("0"&amp;MINUTE(C1616),2)&amp;IF(D1616="","","–"&amp;RIGHT("0"&amp;HOUR(D1616),2)&amp;":"&amp;RIGHT("0"&amp;MINUTE(D1616),2))&amp;" ")&amp;F1616)</f>
        <v/>
      </c>
      <c r="N1616" s="54">
        <f>IF(OR(A1616="",F1616=""),"",A1616&amp;"#"&amp;(COUNTIFS($A$5:$A$3004,A1616,$F$5:$F$3004,"?*",$O$5:$O$3004,"&lt;"&amp;O1616)+COUNTIFS($A$5:A1616,A1616,$F$5:F1616,"?*",$O$5:O1616,O1616)))</f>
        <v/>
      </c>
      <c r="O1616" s="54">
        <f>IF(A1616="","",IF(C1616="",0,C1616))</f>
        <v/>
      </c>
    </row>
    <row r="1617">
      <c r="A1617" s="58" t="n"/>
      <c r="B1617" s="49">
        <f>IF(A1617="","",CHOOSE(WEEKDAY(A1617,2),"Пн","Вт","Ср","Чт","Пт","Сб","Вс"))</f>
        <v/>
      </c>
      <c r="C1617" s="59" t="n"/>
      <c r="D1617" s="59" t="n"/>
      <c r="E1617" s="60">
        <f>IF(OR(C1617="",D1617=""),"",MOD(D1617-C1617,1)*24)</f>
        <v/>
      </c>
      <c r="F1617" s="50" t="n"/>
      <c r="G1617" s="51" t="n"/>
      <c r="H1617" s="51" t="n"/>
      <c r="I1617" s="51" t="n"/>
      <c r="J1617" s="51" t="n"/>
      <c r="K1617" s="51" t="n"/>
      <c r="L1617" s="54">
        <f>IF(OR(A1617="",C1617="",D1617=""),"",IF(COUNTIFS($A$5:$A$3004,A1617,$C$5:$C$3004,"&lt;"&amp;D1617,$D$5:$D$3004,"&gt;"&amp;C1617)&gt;1,"⚠️ пересечение",""))</f>
        <v/>
      </c>
      <c r="M1617" s="54">
        <f>IF(F1617="","",IF(J1617="✅ Сделано","✔ ",IF(J1617="❌ Пропущено","✖ ","⏰ "))&amp;IF(C1617="","",RIGHT("0"&amp;HOUR(C1617),2)&amp;":"&amp;RIGHT("0"&amp;MINUTE(C1617),2)&amp;IF(D1617="","","–"&amp;RIGHT("0"&amp;HOUR(D1617),2)&amp;":"&amp;RIGHT("0"&amp;MINUTE(D1617),2))&amp;" ")&amp;F1617)</f>
        <v/>
      </c>
      <c r="N1617" s="54">
        <f>IF(OR(A1617="",F1617=""),"",A1617&amp;"#"&amp;(COUNTIFS($A$5:$A$3004,A1617,$F$5:$F$3004,"?*",$O$5:$O$3004,"&lt;"&amp;O1617)+COUNTIFS($A$5:A1617,A1617,$F$5:F1617,"?*",$O$5:O1617,O1617)))</f>
        <v/>
      </c>
      <c r="O1617" s="54">
        <f>IF(A1617="","",IF(C1617="",0,C1617))</f>
        <v/>
      </c>
    </row>
    <row r="1618">
      <c r="A1618" s="58" t="n"/>
      <c r="B1618" s="49">
        <f>IF(A1618="","",CHOOSE(WEEKDAY(A1618,2),"Пн","Вт","Ср","Чт","Пт","Сб","Вс"))</f>
        <v/>
      </c>
      <c r="C1618" s="59" t="n"/>
      <c r="D1618" s="59" t="n"/>
      <c r="E1618" s="60">
        <f>IF(OR(C1618="",D1618=""),"",MOD(D1618-C1618,1)*24)</f>
        <v/>
      </c>
      <c r="F1618" s="50" t="n"/>
      <c r="G1618" s="51" t="n"/>
      <c r="H1618" s="51" t="n"/>
      <c r="I1618" s="51" t="n"/>
      <c r="J1618" s="51" t="n"/>
      <c r="K1618" s="51" t="n"/>
      <c r="L1618" s="54">
        <f>IF(OR(A1618="",C1618="",D1618=""),"",IF(COUNTIFS($A$5:$A$3004,A1618,$C$5:$C$3004,"&lt;"&amp;D1618,$D$5:$D$3004,"&gt;"&amp;C1618)&gt;1,"⚠️ пересечение",""))</f>
        <v/>
      </c>
      <c r="M1618" s="54">
        <f>IF(F1618="","",IF(J1618="✅ Сделано","✔ ",IF(J1618="❌ Пропущено","✖ ","⏰ "))&amp;IF(C1618="","",RIGHT("0"&amp;HOUR(C1618),2)&amp;":"&amp;RIGHT("0"&amp;MINUTE(C1618),2)&amp;IF(D1618="","","–"&amp;RIGHT("0"&amp;HOUR(D1618),2)&amp;":"&amp;RIGHT("0"&amp;MINUTE(D1618),2))&amp;" ")&amp;F1618)</f>
        <v/>
      </c>
      <c r="N1618" s="54">
        <f>IF(OR(A1618="",F1618=""),"",A1618&amp;"#"&amp;(COUNTIFS($A$5:$A$3004,A1618,$F$5:$F$3004,"?*",$O$5:$O$3004,"&lt;"&amp;O1618)+COUNTIFS($A$5:A1618,A1618,$F$5:F1618,"?*",$O$5:O1618,O1618)))</f>
        <v/>
      </c>
      <c r="O1618" s="54">
        <f>IF(A1618="","",IF(C1618="",0,C1618))</f>
        <v/>
      </c>
    </row>
    <row r="1619">
      <c r="A1619" s="58" t="n"/>
      <c r="B1619" s="49">
        <f>IF(A1619="","",CHOOSE(WEEKDAY(A1619,2),"Пн","Вт","Ср","Чт","Пт","Сб","Вс"))</f>
        <v/>
      </c>
      <c r="C1619" s="59" t="n"/>
      <c r="D1619" s="59" t="n"/>
      <c r="E1619" s="60">
        <f>IF(OR(C1619="",D1619=""),"",MOD(D1619-C1619,1)*24)</f>
        <v/>
      </c>
      <c r="F1619" s="50" t="n"/>
      <c r="G1619" s="51" t="n"/>
      <c r="H1619" s="51" t="n"/>
      <c r="I1619" s="51" t="n"/>
      <c r="J1619" s="51" t="n"/>
      <c r="K1619" s="51" t="n"/>
      <c r="L1619" s="54">
        <f>IF(OR(A1619="",C1619="",D1619=""),"",IF(COUNTIFS($A$5:$A$3004,A1619,$C$5:$C$3004,"&lt;"&amp;D1619,$D$5:$D$3004,"&gt;"&amp;C1619)&gt;1,"⚠️ пересечение",""))</f>
        <v/>
      </c>
      <c r="M1619" s="54">
        <f>IF(F1619="","",IF(J1619="✅ Сделано","✔ ",IF(J1619="❌ Пропущено","✖ ","⏰ "))&amp;IF(C1619="","",RIGHT("0"&amp;HOUR(C1619),2)&amp;":"&amp;RIGHT("0"&amp;MINUTE(C1619),2)&amp;IF(D1619="","","–"&amp;RIGHT("0"&amp;HOUR(D1619),2)&amp;":"&amp;RIGHT("0"&amp;MINUTE(D1619),2))&amp;" ")&amp;F1619)</f>
        <v/>
      </c>
      <c r="N1619" s="54">
        <f>IF(OR(A1619="",F1619=""),"",A1619&amp;"#"&amp;(COUNTIFS($A$5:$A$3004,A1619,$F$5:$F$3004,"?*",$O$5:$O$3004,"&lt;"&amp;O1619)+COUNTIFS($A$5:A1619,A1619,$F$5:F1619,"?*",$O$5:O1619,O1619)))</f>
        <v/>
      </c>
      <c r="O1619" s="54">
        <f>IF(A1619="","",IF(C1619="",0,C1619))</f>
        <v/>
      </c>
    </row>
    <row r="1620">
      <c r="A1620" s="58" t="n"/>
      <c r="B1620" s="49">
        <f>IF(A1620="","",CHOOSE(WEEKDAY(A1620,2),"Пн","Вт","Ср","Чт","Пт","Сб","Вс"))</f>
        <v/>
      </c>
      <c r="C1620" s="59" t="n"/>
      <c r="D1620" s="59" t="n"/>
      <c r="E1620" s="60">
        <f>IF(OR(C1620="",D1620=""),"",MOD(D1620-C1620,1)*24)</f>
        <v/>
      </c>
      <c r="F1620" s="50" t="n"/>
      <c r="G1620" s="51" t="n"/>
      <c r="H1620" s="51" t="n"/>
      <c r="I1620" s="51" t="n"/>
      <c r="J1620" s="51" t="n"/>
      <c r="K1620" s="51" t="n"/>
      <c r="L1620" s="54">
        <f>IF(OR(A1620="",C1620="",D1620=""),"",IF(COUNTIFS($A$5:$A$3004,A1620,$C$5:$C$3004,"&lt;"&amp;D1620,$D$5:$D$3004,"&gt;"&amp;C1620)&gt;1,"⚠️ пересечение",""))</f>
        <v/>
      </c>
      <c r="M1620" s="54">
        <f>IF(F1620="","",IF(J1620="✅ Сделано","✔ ",IF(J1620="❌ Пропущено","✖ ","⏰ "))&amp;IF(C1620="","",RIGHT("0"&amp;HOUR(C1620),2)&amp;":"&amp;RIGHT("0"&amp;MINUTE(C1620),2)&amp;IF(D1620="","","–"&amp;RIGHT("0"&amp;HOUR(D1620),2)&amp;":"&amp;RIGHT("0"&amp;MINUTE(D1620),2))&amp;" ")&amp;F1620)</f>
        <v/>
      </c>
      <c r="N1620" s="54">
        <f>IF(OR(A1620="",F1620=""),"",A1620&amp;"#"&amp;(COUNTIFS($A$5:$A$3004,A1620,$F$5:$F$3004,"?*",$O$5:$O$3004,"&lt;"&amp;O1620)+COUNTIFS($A$5:A1620,A1620,$F$5:F1620,"?*",$O$5:O1620,O1620)))</f>
        <v/>
      </c>
      <c r="O1620" s="54">
        <f>IF(A1620="","",IF(C1620="",0,C1620))</f>
        <v/>
      </c>
    </row>
    <row r="1621">
      <c r="A1621" s="58" t="n"/>
      <c r="B1621" s="49">
        <f>IF(A1621="","",CHOOSE(WEEKDAY(A1621,2),"Пн","Вт","Ср","Чт","Пт","Сб","Вс"))</f>
        <v/>
      </c>
      <c r="C1621" s="59" t="n"/>
      <c r="D1621" s="59" t="n"/>
      <c r="E1621" s="60">
        <f>IF(OR(C1621="",D1621=""),"",MOD(D1621-C1621,1)*24)</f>
        <v/>
      </c>
      <c r="F1621" s="50" t="n"/>
      <c r="G1621" s="51" t="n"/>
      <c r="H1621" s="51" t="n"/>
      <c r="I1621" s="51" t="n"/>
      <c r="J1621" s="51" t="n"/>
      <c r="K1621" s="51" t="n"/>
      <c r="L1621" s="54">
        <f>IF(OR(A1621="",C1621="",D1621=""),"",IF(COUNTIFS($A$5:$A$3004,A1621,$C$5:$C$3004,"&lt;"&amp;D1621,$D$5:$D$3004,"&gt;"&amp;C1621)&gt;1,"⚠️ пересечение",""))</f>
        <v/>
      </c>
      <c r="M1621" s="54">
        <f>IF(F1621="","",IF(J1621="✅ Сделано","✔ ",IF(J1621="❌ Пропущено","✖ ","⏰ "))&amp;IF(C1621="","",RIGHT("0"&amp;HOUR(C1621),2)&amp;":"&amp;RIGHT("0"&amp;MINUTE(C1621),2)&amp;IF(D1621="","","–"&amp;RIGHT("0"&amp;HOUR(D1621),2)&amp;":"&amp;RIGHT("0"&amp;MINUTE(D1621),2))&amp;" ")&amp;F1621)</f>
        <v/>
      </c>
      <c r="N1621" s="54">
        <f>IF(OR(A1621="",F1621=""),"",A1621&amp;"#"&amp;(COUNTIFS($A$5:$A$3004,A1621,$F$5:$F$3004,"?*",$O$5:$O$3004,"&lt;"&amp;O1621)+COUNTIFS($A$5:A1621,A1621,$F$5:F1621,"?*",$O$5:O1621,O1621)))</f>
        <v/>
      </c>
      <c r="O1621" s="54">
        <f>IF(A1621="","",IF(C1621="",0,C1621))</f>
        <v/>
      </c>
    </row>
    <row r="1622">
      <c r="A1622" s="58" t="n"/>
      <c r="B1622" s="49">
        <f>IF(A1622="","",CHOOSE(WEEKDAY(A1622,2),"Пн","Вт","Ср","Чт","Пт","Сб","Вс"))</f>
        <v/>
      </c>
      <c r="C1622" s="59" t="n"/>
      <c r="D1622" s="59" t="n"/>
      <c r="E1622" s="60">
        <f>IF(OR(C1622="",D1622=""),"",MOD(D1622-C1622,1)*24)</f>
        <v/>
      </c>
      <c r="F1622" s="50" t="n"/>
      <c r="G1622" s="51" t="n"/>
      <c r="H1622" s="51" t="n"/>
      <c r="I1622" s="51" t="n"/>
      <c r="J1622" s="51" t="n"/>
      <c r="K1622" s="51" t="n"/>
      <c r="L1622" s="54">
        <f>IF(OR(A1622="",C1622="",D1622=""),"",IF(COUNTIFS($A$5:$A$3004,A1622,$C$5:$C$3004,"&lt;"&amp;D1622,$D$5:$D$3004,"&gt;"&amp;C1622)&gt;1,"⚠️ пересечение",""))</f>
        <v/>
      </c>
      <c r="M1622" s="54">
        <f>IF(F1622="","",IF(J1622="✅ Сделано","✔ ",IF(J1622="❌ Пропущено","✖ ","⏰ "))&amp;IF(C1622="","",RIGHT("0"&amp;HOUR(C1622),2)&amp;":"&amp;RIGHT("0"&amp;MINUTE(C1622),2)&amp;IF(D1622="","","–"&amp;RIGHT("0"&amp;HOUR(D1622),2)&amp;":"&amp;RIGHT("0"&amp;MINUTE(D1622),2))&amp;" ")&amp;F1622)</f>
        <v/>
      </c>
      <c r="N1622" s="54">
        <f>IF(OR(A1622="",F1622=""),"",A1622&amp;"#"&amp;(COUNTIFS($A$5:$A$3004,A1622,$F$5:$F$3004,"?*",$O$5:$O$3004,"&lt;"&amp;O1622)+COUNTIFS($A$5:A1622,A1622,$F$5:F1622,"?*",$O$5:O1622,O1622)))</f>
        <v/>
      </c>
      <c r="O1622" s="54">
        <f>IF(A1622="","",IF(C1622="",0,C1622))</f>
        <v/>
      </c>
    </row>
    <row r="1623">
      <c r="A1623" s="58" t="n"/>
      <c r="B1623" s="49">
        <f>IF(A1623="","",CHOOSE(WEEKDAY(A1623,2),"Пн","Вт","Ср","Чт","Пт","Сб","Вс"))</f>
        <v/>
      </c>
      <c r="C1623" s="59" t="n"/>
      <c r="D1623" s="59" t="n"/>
      <c r="E1623" s="60">
        <f>IF(OR(C1623="",D1623=""),"",MOD(D1623-C1623,1)*24)</f>
        <v/>
      </c>
      <c r="F1623" s="50" t="n"/>
      <c r="G1623" s="51" t="n"/>
      <c r="H1623" s="51" t="n"/>
      <c r="I1623" s="51" t="n"/>
      <c r="J1623" s="51" t="n"/>
      <c r="K1623" s="51" t="n"/>
      <c r="L1623" s="54">
        <f>IF(OR(A1623="",C1623="",D1623=""),"",IF(COUNTIFS($A$5:$A$3004,A1623,$C$5:$C$3004,"&lt;"&amp;D1623,$D$5:$D$3004,"&gt;"&amp;C1623)&gt;1,"⚠️ пересечение",""))</f>
        <v/>
      </c>
      <c r="M1623" s="54">
        <f>IF(F1623="","",IF(J1623="✅ Сделано","✔ ",IF(J1623="❌ Пропущено","✖ ","⏰ "))&amp;IF(C1623="","",RIGHT("0"&amp;HOUR(C1623),2)&amp;":"&amp;RIGHT("0"&amp;MINUTE(C1623),2)&amp;IF(D1623="","","–"&amp;RIGHT("0"&amp;HOUR(D1623),2)&amp;":"&amp;RIGHT("0"&amp;MINUTE(D1623),2))&amp;" ")&amp;F1623)</f>
        <v/>
      </c>
      <c r="N1623" s="54">
        <f>IF(OR(A1623="",F1623=""),"",A1623&amp;"#"&amp;(COUNTIFS($A$5:$A$3004,A1623,$F$5:$F$3004,"?*",$O$5:$O$3004,"&lt;"&amp;O1623)+COUNTIFS($A$5:A1623,A1623,$F$5:F1623,"?*",$O$5:O1623,O1623)))</f>
        <v/>
      </c>
      <c r="O1623" s="54">
        <f>IF(A1623="","",IF(C1623="",0,C1623))</f>
        <v/>
      </c>
    </row>
    <row r="1624">
      <c r="A1624" s="58" t="n"/>
      <c r="B1624" s="49">
        <f>IF(A1624="","",CHOOSE(WEEKDAY(A1624,2),"Пн","Вт","Ср","Чт","Пт","Сб","Вс"))</f>
        <v/>
      </c>
      <c r="C1624" s="59" t="n"/>
      <c r="D1624" s="59" t="n"/>
      <c r="E1624" s="60">
        <f>IF(OR(C1624="",D1624=""),"",MOD(D1624-C1624,1)*24)</f>
        <v/>
      </c>
      <c r="F1624" s="50" t="n"/>
      <c r="G1624" s="51" t="n"/>
      <c r="H1624" s="51" t="n"/>
      <c r="I1624" s="51" t="n"/>
      <c r="J1624" s="51" t="n"/>
      <c r="K1624" s="51" t="n"/>
      <c r="L1624" s="54">
        <f>IF(OR(A1624="",C1624="",D1624=""),"",IF(COUNTIFS($A$5:$A$3004,A1624,$C$5:$C$3004,"&lt;"&amp;D1624,$D$5:$D$3004,"&gt;"&amp;C1624)&gt;1,"⚠️ пересечение",""))</f>
        <v/>
      </c>
      <c r="M1624" s="54">
        <f>IF(F1624="","",IF(J1624="✅ Сделано","✔ ",IF(J1624="❌ Пропущено","✖ ","⏰ "))&amp;IF(C1624="","",RIGHT("0"&amp;HOUR(C1624),2)&amp;":"&amp;RIGHT("0"&amp;MINUTE(C1624),2)&amp;IF(D1624="","","–"&amp;RIGHT("0"&amp;HOUR(D1624),2)&amp;":"&amp;RIGHT("0"&amp;MINUTE(D1624),2))&amp;" ")&amp;F1624)</f>
        <v/>
      </c>
      <c r="N1624" s="54">
        <f>IF(OR(A1624="",F1624=""),"",A1624&amp;"#"&amp;(COUNTIFS($A$5:$A$3004,A1624,$F$5:$F$3004,"?*",$O$5:$O$3004,"&lt;"&amp;O1624)+COUNTIFS($A$5:A1624,A1624,$F$5:F1624,"?*",$O$5:O1624,O1624)))</f>
        <v/>
      </c>
      <c r="O1624" s="54">
        <f>IF(A1624="","",IF(C1624="",0,C1624))</f>
        <v/>
      </c>
    </row>
    <row r="1625">
      <c r="A1625" s="58" t="n"/>
      <c r="B1625" s="49">
        <f>IF(A1625="","",CHOOSE(WEEKDAY(A1625,2),"Пн","Вт","Ср","Чт","Пт","Сб","Вс"))</f>
        <v/>
      </c>
      <c r="C1625" s="59" t="n"/>
      <c r="D1625" s="59" t="n"/>
      <c r="E1625" s="60">
        <f>IF(OR(C1625="",D1625=""),"",MOD(D1625-C1625,1)*24)</f>
        <v/>
      </c>
      <c r="F1625" s="50" t="n"/>
      <c r="G1625" s="51" t="n"/>
      <c r="H1625" s="51" t="n"/>
      <c r="I1625" s="51" t="n"/>
      <c r="J1625" s="51" t="n"/>
      <c r="K1625" s="51" t="n"/>
      <c r="L1625" s="54">
        <f>IF(OR(A1625="",C1625="",D1625=""),"",IF(COUNTIFS($A$5:$A$3004,A1625,$C$5:$C$3004,"&lt;"&amp;D1625,$D$5:$D$3004,"&gt;"&amp;C1625)&gt;1,"⚠️ пересечение",""))</f>
        <v/>
      </c>
      <c r="M1625" s="54">
        <f>IF(F1625="","",IF(J1625="✅ Сделано","✔ ",IF(J1625="❌ Пропущено","✖ ","⏰ "))&amp;IF(C1625="","",RIGHT("0"&amp;HOUR(C1625),2)&amp;":"&amp;RIGHT("0"&amp;MINUTE(C1625),2)&amp;IF(D1625="","","–"&amp;RIGHT("0"&amp;HOUR(D1625),2)&amp;":"&amp;RIGHT("0"&amp;MINUTE(D1625),2))&amp;" ")&amp;F1625)</f>
        <v/>
      </c>
      <c r="N1625" s="54">
        <f>IF(OR(A1625="",F1625=""),"",A1625&amp;"#"&amp;(COUNTIFS($A$5:$A$3004,A1625,$F$5:$F$3004,"?*",$O$5:$O$3004,"&lt;"&amp;O1625)+COUNTIFS($A$5:A1625,A1625,$F$5:F1625,"?*",$O$5:O1625,O1625)))</f>
        <v/>
      </c>
      <c r="O1625" s="54">
        <f>IF(A1625="","",IF(C1625="",0,C1625))</f>
        <v/>
      </c>
    </row>
    <row r="1626">
      <c r="A1626" s="58" t="n"/>
      <c r="B1626" s="49">
        <f>IF(A1626="","",CHOOSE(WEEKDAY(A1626,2),"Пн","Вт","Ср","Чт","Пт","Сб","Вс"))</f>
        <v/>
      </c>
      <c r="C1626" s="59" t="n"/>
      <c r="D1626" s="59" t="n"/>
      <c r="E1626" s="60">
        <f>IF(OR(C1626="",D1626=""),"",MOD(D1626-C1626,1)*24)</f>
        <v/>
      </c>
      <c r="F1626" s="50" t="n"/>
      <c r="G1626" s="51" t="n"/>
      <c r="H1626" s="51" t="n"/>
      <c r="I1626" s="51" t="n"/>
      <c r="J1626" s="51" t="n"/>
      <c r="K1626" s="51" t="n"/>
      <c r="L1626" s="54">
        <f>IF(OR(A1626="",C1626="",D1626=""),"",IF(COUNTIFS($A$5:$A$3004,A1626,$C$5:$C$3004,"&lt;"&amp;D1626,$D$5:$D$3004,"&gt;"&amp;C1626)&gt;1,"⚠️ пересечение",""))</f>
        <v/>
      </c>
      <c r="M1626" s="54">
        <f>IF(F1626="","",IF(J1626="✅ Сделано","✔ ",IF(J1626="❌ Пропущено","✖ ","⏰ "))&amp;IF(C1626="","",RIGHT("0"&amp;HOUR(C1626),2)&amp;":"&amp;RIGHT("0"&amp;MINUTE(C1626),2)&amp;IF(D1626="","","–"&amp;RIGHT("0"&amp;HOUR(D1626),2)&amp;":"&amp;RIGHT("0"&amp;MINUTE(D1626),2))&amp;" ")&amp;F1626)</f>
        <v/>
      </c>
      <c r="N1626" s="54">
        <f>IF(OR(A1626="",F1626=""),"",A1626&amp;"#"&amp;(COUNTIFS($A$5:$A$3004,A1626,$F$5:$F$3004,"?*",$O$5:$O$3004,"&lt;"&amp;O1626)+COUNTIFS($A$5:A1626,A1626,$F$5:F1626,"?*",$O$5:O1626,O1626)))</f>
        <v/>
      </c>
      <c r="O1626" s="54">
        <f>IF(A1626="","",IF(C1626="",0,C1626))</f>
        <v/>
      </c>
    </row>
    <row r="1627">
      <c r="A1627" s="58" t="n"/>
      <c r="B1627" s="49">
        <f>IF(A1627="","",CHOOSE(WEEKDAY(A1627,2),"Пн","Вт","Ср","Чт","Пт","Сб","Вс"))</f>
        <v/>
      </c>
      <c r="C1627" s="59" t="n"/>
      <c r="D1627" s="59" t="n"/>
      <c r="E1627" s="60">
        <f>IF(OR(C1627="",D1627=""),"",MOD(D1627-C1627,1)*24)</f>
        <v/>
      </c>
      <c r="F1627" s="50" t="n"/>
      <c r="G1627" s="51" t="n"/>
      <c r="H1627" s="51" t="n"/>
      <c r="I1627" s="51" t="n"/>
      <c r="J1627" s="51" t="n"/>
      <c r="K1627" s="51" t="n"/>
      <c r="L1627" s="54">
        <f>IF(OR(A1627="",C1627="",D1627=""),"",IF(COUNTIFS($A$5:$A$3004,A1627,$C$5:$C$3004,"&lt;"&amp;D1627,$D$5:$D$3004,"&gt;"&amp;C1627)&gt;1,"⚠️ пересечение",""))</f>
        <v/>
      </c>
      <c r="M1627" s="54">
        <f>IF(F1627="","",IF(J1627="✅ Сделано","✔ ",IF(J1627="❌ Пропущено","✖ ","⏰ "))&amp;IF(C1627="","",RIGHT("0"&amp;HOUR(C1627),2)&amp;":"&amp;RIGHT("0"&amp;MINUTE(C1627),2)&amp;IF(D1627="","","–"&amp;RIGHT("0"&amp;HOUR(D1627),2)&amp;":"&amp;RIGHT("0"&amp;MINUTE(D1627),2))&amp;" ")&amp;F1627)</f>
        <v/>
      </c>
      <c r="N1627" s="54">
        <f>IF(OR(A1627="",F1627=""),"",A1627&amp;"#"&amp;(COUNTIFS($A$5:$A$3004,A1627,$F$5:$F$3004,"?*",$O$5:$O$3004,"&lt;"&amp;O1627)+COUNTIFS($A$5:A1627,A1627,$F$5:F1627,"?*",$O$5:O1627,O1627)))</f>
        <v/>
      </c>
      <c r="O1627" s="54">
        <f>IF(A1627="","",IF(C1627="",0,C1627))</f>
        <v/>
      </c>
    </row>
    <row r="1628">
      <c r="A1628" s="58" t="n"/>
      <c r="B1628" s="49">
        <f>IF(A1628="","",CHOOSE(WEEKDAY(A1628,2),"Пн","Вт","Ср","Чт","Пт","Сб","Вс"))</f>
        <v/>
      </c>
      <c r="C1628" s="59" t="n"/>
      <c r="D1628" s="59" t="n"/>
      <c r="E1628" s="60">
        <f>IF(OR(C1628="",D1628=""),"",MOD(D1628-C1628,1)*24)</f>
        <v/>
      </c>
      <c r="F1628" s="50" t="n"/>
      <c r="G1628" s="51" t="n"/>
      <c r="H1628" s="51" t="n"/>
      <c r="I1628" s="51" t="n"/>
      <c r="J1628" s="51" t="n"/>
      <c r="K1628" s="51" t="n"/>
      <c r="L1628" s="54">
        <f>IF(OR(A1628="",C1628="",D1628=""),"",IF(COUNTIFS($A$5:$A$3004,A1628,$C$5:$C$3004,"&lt;"&amp;D1628,$D$5:$D$3004,"&gt;"&amp;C1628)&gt;1,"⚠️ пересечение",""))</f>
        <v/>
      </c>
      <c r="M1628" s="54">
        <f>IF(F1628="","",IF(J1628="✅ Сделано","✔ ",IF(J1628="❌ Пропущено","✖ ","⏰ "))&amp;IF(C1628="","",RIGHT("0"&amp;HOUR(C1628),2)&amp;":"&amp;RIGHT("0"&amp;MINUTE(C1628),2)&amp;IF(D1628="","","–"&amp;RIGHT("0"&amp;HOUR(D1628),2)&amp;":"&amp;RIGHT("0"&amp;MINUTE(D1628),2))&amp;" ")&amp;F1628)</f>
        <v/>
      </c>
      <c r="N1628" s="54">
        <f>IF(OR(A1628="",F1628=""),"",A1628&amp;"#"&amp;(COUNTIFS($A$5:$A$3004,A1628,$F$5:$F$3004,"?*",$O$5:$O$3004,"&lt;"&amp;O1628)+COUNTIFS($A$5:A1628,A1628,$F$5:F1628,"?*",$O$5:O1628,O1628)))</f>
        <v/>
      </c>
      <c r="O1628" s="54">
        <f>IF(A1628="","",IF(C1628="",0,C1628))</f>
        <v/>
      </c>
    </row>
    <row r="1629">
      <c r="A1629" s="58" t="n"/>
      <c r="B1629" s="49">
        <f>IF(A1629="","",CHOOSE(WEEKDAY(A1629,2),"Пн","Вт","Ср","Чт","Пт","Сб","Вс"))</f>
        <v/>
      </c>
      <c r="C1629" s="59" t="n"/>
      <c r="D1629" s="59" t="n"/>
      <c r="E1629" s="60">
        <f>IF(OR(C1629="",D1629=""),"",MOD(D1629-C1629,1)*24)</f>
        <v/>
      </c>
      <c r="F1629" s="50" t="n"/>
      <c r="G1629" s="51" t="n"/>
      <c r="H1629" s="51" t="n"/>
      <c r="I1629" s="51" t="n"/>
      <c r="J1629" s="51" t="n"/>
      <c r="K1629" s="51" t="n"/>
      <c r="L1629" s="54">
        <f>IF(OR(A1629="",C1629="",D1629=""),"",IF(COUNTIFS($A$5:$A$3004,A1629,$C$5:$C$3004,"&lt;"&amp;D1629,$D$5:$D$3004,"&gt;"&amp;C1629)&gt;1,"⚠️ пересечение",""))</f>
        <v/>
      </c>
      <c r="M1629" s="54">
        <f>IF(F1629="","",IF(J1629="✅ Сделано","✔ ",IF(J1629="❌ Пропущено","✖ ","⏰ "))&amp;IF(C1629="","",RIGHT("0"&amp;HOUR(C1629),2)&amp;":"&amp;RIGHT("0"&amp;MINUTE(C1629),2)&amp;IF(D1629="","","–"&amp;RIGHT("0"&amp;HOUR(D1629),2)&amp;":"&amp;RIGHT("0"&amp;MINUTE(D1629),2))&amp;" ")&amp;F1629)</f>
        <v/>
      </c>
      <c r="N1629" s="54">
        <f>IF(OR(A1629="",F1629=""),"",A1629&amp;"#"&amp;(COUNTIFS($A$5:$A$3004,A1629,$F$5:$F$3004,"?*",$O$5:$O$3004,"&lt;"&amp;O1629)+COUNTIFS($A$5:A1629,A1629,$F$5:F1629,"?*",$O$5:O1629,O1629)))</f>
        <v/>
      </c>
      <c r="O1629" s="54">
        <f>IF(A1629="","",IF(C1629="",0,C1629))</f>
        <v/>
      </c>
    </row>
    <row r="1630">
      <c r="A1630" s="58" t="n"/>
      <c r="B1630" s="49">
        <f>IF(A1630="","",CHOOSE(WEEKDAY(A1630,2),"Пн","Вт","Ср","Чт","Пт","Сб","Вс"))</f>
        <v/>
      </c>
      <c r="C1630" s="59" t="n"/>
      <c r="D1630" s="59" t="n"/>
      <c r="E1630" s="60">
        <f>IF(OR(C1630="",D1630=""),"",MOD(D1630-C1630,1)*24)</f>
        <v/>
      </c>
      <c r="F1630" s="50" t="n"/>
      <c r="G1630" s="51" t="n"/>
      <c r="H1630" s="51" t="n"/>
      <c r="I1630" s="51" t="n"/>
      <c r="J1630" s="51" t="n"/>
      <c r="K1630" s="51" t="n"/>
      <c r="L1630" s="54">
        <f>IF(OR(A1630="",C1630="",D1630=""),"",IF(COUNTIFS($A$5:$A$3004,A1630,$C$5:$C$3004,"&lt;"&amp;D1630,$D$5:$D$3004,"&gt;"&amp;C1630)&gt;1,"⚠️ пересечение",""))</f>
        <v/>
      </c>
      <c r="M1630" s="54">
        <f>IF(F1630="","",IF(J1630="✅ Сделано","✔ ",IF(J1630="❌ Пропущено","✖ ","⏰ "))&amp;IF(C1630="","",RIGHT("0"&amp;HOUR(C1630),2)&amp;":"&amp;RIGHT("0"&amp;MINUTE(C1630),2)&amp;IF(D1630="","","–"&amp;RIGHT("0"&amp;HOUR(D1630),2)&amp;":"&amp;RIGHT("0"&amp;MINUTE(D1630),2))&amp;" ")&amp;F1630)</f>
        <v/>
      </c>
      <c r="N1630" s="54">
        <f>IF(OR(A1630="",F1630=""),"",A1630&amp;"#"&amp;(COUNTIFS($A$5:$A$3004,A1630,$F$5:$F$3004,"?*",$O$5:$O$3004,"&lt;"&amp;O1630)+COUNTIFS($A$5:A1630,A1630,$F$5:F1630,"?*",$O$5:O1630,O1630)))</f>
        <v/>
      </c>
      <c r="O1630" s="54">
        <f>IF(A1630="","",IF(C1630="",0,C1630))</f>
        <v/>
      </c>
    </row>
    <row r="1631">
      <c r="A1631" s="58" t="n"/>
      <c r="B1631" s="49">
        <f>IF(A1631="","",CHOOSE(WEEKDAY(A1631,2),"Пн","Вт","Ср","Чт","Пт","Сб","Вс"))</f>
        <v/>
      </c>
      <c r="C1631" s="59" t="n"/>
      <c r="D1631" s="59" t="n"/>
      <c r="E1631" s="60">
        <f>IF(OR(C1631="",D1631=""),"",MOD(D1631-C1631,1)*24)</f>
        <v/>
      </c>
      <c r="F1631" s="50" t="n"/>
      <c r="G1631" s="51" t="n"/>
      <c r="H1631" s="51" t="n"/>
      <c r="I1631" s="51" t="n"/>
      <c r="J1631" s="51" t="n"/>
      <c r="K1631" s="51" t="n"/>
      <c r="L1631" s="54">
        <f>IF(OR(A1631="",C1631="",D1631=""),"",IF(COUNTIFS($A$5:$A$3004,A1631,$C$5:$C$3004,"&lt;"&amp;D1631,$D$5:$D$3004,"&gt;"&amp;C1631)&gt;1,"⚠️ пересечение",""))</f>
        <v/>
      </c>
      <c r="M1631" s="54">
        <f>IF(F1631="","",IF(J1631="✅ Сделано","✔ ",IF(J1631="❌ Пропущено","✖ ","⏰ "))&amp;IF(C1631="","",RIGHT("0"&amp;HOUR(C1631),2)&amp;":"&amp;RIGHT("0"&amp;MINUTE(C1631),2)&amp;IF(D1631="","","–"&amp;RIGHT("0"&amp;HOUR(D1631),2)&amp;":"&amp;RIGHT("0"&amp;MINUTE(D1631),2))&amp;" ")&amp;F1631)</f>
        <v/>
      </c>
      <c r="N1631" s="54">
        <f>IF(OR(A1631="",F1631=""),"",A1631&amp;"#"&amp;(COUNTIFS($A$5:$A$3004,A1631,$F$5:$F$3004,"?*",$O$5:$O$3004,"&lt;"&amp;O1631)+COUNTIFS($A$5:A1631,A1631,$F$5:F1631,"?*",$O$5:O1631,O1631)))</f>
        <v/>
      </c>
      <c r="O1631" s="54">
        <f>IF(A1631="","",IF(C1631="",0,C1631))</f>
        <v/>
      </c>
    </row>
    <row r="1632">
      <c r="A1632" s="58" t="n"/>
      <c r="B1632" s="49">
        <f>IF(A1632="","",CHOOSE(WEEKDAY(A1632,2),"Пн","Вт","Ср","Чт","Пт","Сб","Вс"))</f>
        <v/>
      </c>
      <c r="C1632" s="59" t="n"/>
      <c r="D1632" s="59" t="n"/>
      <c r="E1632" s="60">
        <f>IF(OR(C1632="",D1632=""),"",MOD(D1632-C1632,1)*24)</f>
        <v/>
      </c>
      <c r="F1632" s="50" t="n"/>
      <c r="G1632" s="51" t="n"/>
      <c r="H1632" s="51" t="n"/>
      <c r="I1632" s="51" t="n"/>
      <c r="J1632" s="51" t="n"/>
      <c r="K1632" s="51" t="n"/>
      <c r="L1632" s="54">
        <f>IF(OR(A1632="",C1632="",D1632=""),"",IF(COUNTIFS($A$5:$A$3004,A1632,$C$5:$C$3004,"&lt;"&amp;D1632,$D$5:$D$3004,"&gt;"&amp;C1632)&gt;1,"⚠️ пересечение",""))</f>
        <v/>
      </c>
      <c r="M1632" s="54">
        <f>IF(F1632="","",IF(J1632="✅ Сделано","✔ ",IF(J1632="❌ Пропущено","✖ ","⏰ "))&amp;IF(C1632="","",RIGHT("0"&amp;HOUR(C1632),2)&amp;":"&amp;RIGHT("0"&amp;MINUTE(C1632),2)&amp;IF(D1632="","","–"&amp;RIGHT("0"&amp;HOUR(D1632),2)&amp;":"&amp;RIGHT("0"&amp;MINUTE(D1632),2))&amp;" ")&amp;F1632)</f>
        <v/>
      </c>
      <c r="N1632" s="54">
        <f>IF(OR(A1632="",F1632=""),"",A1632&amp;"#"&amp;(COUNTIFS($A$5:$A$3004,A1632,$F$5:$F$3004,"?*",$O$5:$O$3004,"&lt;"&amp;O1632)+COUNTIFS($A$5:A1632,A1632,$F$5:F1632,"?*",$O$5:O1632,O1632)))</f>
        <v/>
      </c>
      <c r="O1632" s="54">
        <f>IF(A1632="","",IF(C1632="",0,C1632))</f>
        <v/>
      </c>
    </row>
    <row r="1633">
      <c r="A1633" s="58" t="n"/>
      <c r="B1633" s="49">
        <f>IF(A1633="","",CHOOSE(WEEKDAY(A1633,2),"Пн","Вт","Ср","Чт","Пт","Сб","Вс"))</f>
        <v/>
      </c>
      <c r="C1633" s="59" t="n"/>
      <c r="D1633" s="59" t="n"/>
      <c r="E1633" s="60">
        <f>IF(OR(C1633="",D1633=""),"",MOD(D1633-C1633,1)*24)</f>
        <v/>
      </c>
      <c r="F1633" s="50" t="n"/>
      <c r="G1633" s="51" t="n"/>
      <c r="H1633" s="51" t="n"/>
      <c r="I1633" s="51" t="n"/>
      <c r="J1633" s="51" t="n"/>
      <c r="K1633" s="51" t="n"/>
      <c r="L1633" s="54">
        <f>IF(OR(A1633="",C1633="",D1633=""),"",IF(COUNTIFS($A$5:$A$3004,A1633,$C$5:$C$3004,"&lt;"&amp;D1633,$D$5:$D$3004,"&gt;"&amp;C1633)&gt;1,"⚠️ пересечение",""))</f>
        <v/>
      </c>
      <c r="M1633" s="54">
        <f>IF(F1633="","",IF(J1633="✅ Сделано","✔ ",IF(J1633="❌ Пропущено","✖ ","⏰ "))&amp;IF(C1633="","",RIGHT("0"&amp;HOUR(C1633),2)&amp;":"&amp;RIGHT("0"&amp;MINUTE(C1633),2)&amp;IF(D1633="","","–"&amp;RIGHT("0"&amp;HOUR(D1633),2)&amp;":"&amp;RIGHT("0"&amp;MINUTE(D1633),2))&amp;" ")&amp;F1633)</f>
        <v/>
      </c>
      <c r="N1633" s="54">
        <f>IF(OR(A1633="",F1633=""),"",A1633&amp;"#"&amp;(COUNTIFS($A$5:$A$3004,A1633,$F$5:$F$3004,"?*",$O$5:$O$3004,"&lt;"&amp;O1633)+COUNTIFS($A$5:A1633,A1633,$F$5:F1633,"?*",$O$5:O1633,O1633)))</f>
        <v/>
      </c>
      <c r="O1633" s="54">
        <f>IF(A1633="","",IF(C1633="",0,C1633))</f>
        <v/>
      </c>
    </row>
    <row r="1634">
      <c r="A1634" s="58" t="n"/>
      <c r="B1634" s="49">
        <f>IF(A1634="","",CHOOSE(WEEKDAY(A1634,2),"Пн","Вт","Ср","Чт","Пт","Сб","Вс"))</f>
        <v/>
      </c>
      <c r="C1634" s="59" t="n"/>
      <c r="D1634" s="59" t="n"/>
      <c r="E1634" s="60">
        <f>IF(OR(C1634="",D1634=""),"",MOD(D1634-C1634,1)*24)</f>
        <v/>
      </c>
      <c r="F1634" s="50" t="n"/>
      <c r="G1634" s="51" t="n"/>
      <c r="H1634" s="51" t="n"/>
      <c r="I1634" s="51" t="n"/>
      <c r="J1634" s="51" t="n"/>
      <c r="K1634" s="51" t="n"/>
      <c r="L1634" s="54">
        <f>IF(OR(A1634="",C1634="",D1634=""),"",IF(COUNTIFS($A$5:$A$3004,A1634,$C$5:$C$3004,"&lt;"&amp;D1634,$D$5:$D$3004,"&gt;"&amp;C1634)&gt;1,"⚠️ пересечение",""))</f>
        <v/>
      </c>
      <c r="M1634" s="54">
        <f>IF(F1634="","",IF(J1634="✅ Сделано","✔ ",IF(J1634="❌ Пропущено","✖ ","⏰ "))&amp;IF(C1634="","",RIGHT("0"&amp;HOUR(C1634),2)&amp;":"&amp;RIGHT("0"&amp;MINUTE(C1634),2)&amp;IF(D1634="","","–"&amp;RIGHT("0"&amp;HOUR(D1634),2)&amp;":"&amp;RIGHT("0"&amp;MINUTE(D1634),2))&amp;" ")&amp;F1634)</f>
        <v/>
      </c>
      <c r="N1634" s="54">
        <f>IF(OR(A1634="",F1634=""),"",A1634&amp;"#"&amp;(COUNTIFS($A$5:$A$3004,A1634,$F$5:$F$3004,"?*",$O$5:$O$3004,"&lt;"&amp;O1634)+COUNTIFS($A$5:A1634,A1634,$F$5:F1634,"?*",$O$5:O1634,O1634)))</f>
        <v/>
      </c>
      <c r="O1634" s="54">
        <f>IF(A1634="","",IF(C1634="",0,C1634))</f>
        <v/>
      </c>
    </row>
    <row r="1635">
      <c r="A1635" s="58" t="n"/>
      <c r="B1635" s="49">
        <f>IF(A1635="","",CHOOSE(WEEKDAY(A1635,2),"Пн","Вт","Ср","Чт","Пт","Сб","Вс"))</f>
        <v/>
      </c>
      <c r="C1635" s="59" t="n"/>
      <c r="D1635" s="59" t="n"/>
      <c r="E1635" s="60">
        <f>IF(OR(C1635="",D1635=""),"",MOD(D1635-C1635,1)*24)</f>
        <v/>
      </c>
      <c r="F1635" s="50" t="n"/>
      <c r="G1635" s="51" t="n"/>
      <c r="H1635" s="51" t="n"/>
      <c r="I1635" s="51" t="n"/>
      <c r="J1635" s="51" t="n"/>
      <c r="K1635" s="51" t="n"/>
      <c r="L1635" s="54">
        <f>IF(OR(A1635="",C1635="",D1635=""),"",IF(COUNTIFS($A$5:$A$3004,A1635,$C$5:$C$3004,"&lt;"&amp;D1635,$D$5:$D$3004,"&gt;"&amp;C1635)&gt;1,"⚠️ пересечение",""))</f>
        <v/>
      </c>
      <c r="M1635" s="54">
        <f>IF(F1635="","",IF(J1635="✅ Сделано","✔ ",IF(J1635="❌ Пропущено","✖ ","⏰ "))&amp;IF(C1635="","",RIGHT("0"&amp;HOUR(C1635),2)&amp;":"&amp;RIGHT("0"&amp;MINUTE(C1635),2)&amp;IF(D1635="","","–"&amp;RIGHT("0"&amp;HOUR(D1635),2)&amp;":"&amp;RIGHT("0"&amp;MINUTE(D1635),2))&amp;" ")&amp;F1635)</f>
        <v/>
      </c>
      <c r="N1635" s="54">
        <f>IF(OR(A1635="",F1635=""),"",A1635&amp;"#"&amp;(COUNTIFS($A$5:$A$3004,A1635,$F$5:$F$3004,"?*",$O$5:$O$3004,"&lt;"&amp;O1635)+COUNTIFS($A$5:A1635,A1635,$F$5:F1635,"?*",$O$5:O1635,O1635)))</f>
        <v/>
      </c>
      <c r="O1635" s="54">
        <f>IF(A1635="","",IF(C1635="",0,C1635))</f>
        <v/>
      </c>
    </row>
    <row r="1636">
      <c r="A1636" s="58" t="n"/>
      <c r="B1636" s="49">
        <f>IF(A1636="","",CHOOSE(WEEKDAY(A1636,2),"Пн","Вт","Ср","Чт","Пт","Сб","Вс"))</f>
        <v/>
      </c>
      <c r="C1636" s="59" t="n"/>
      <c r="D1636" s="59" t="n"/>
      <c r="E1636" s="60">
        <f>IF(OR(C1636="",D1636=""),"",MOD(D1636-C1636,1)*24)</f>
        <v/>
      </c>
      <c r="F1636" s="50" t="n"/>
      <c r="G1636" s="51" t="n"/>
      <c r="H1636" s="51" t="n"/>
      <c r="I1636" s="51" t="n"/>
      <c r="J1636" s="51" t="n"/>
      <c r="K1636" s="51" t="n"/>
      <c r="L1636" s="54">
        <f>IF(OR(A1636="",C1636="",D1636=""),"",IF(COUNTIFS($A$5:$A$3004,A1636,$C$5:$C$3004,"&lt;"&amp;D1636,$D$5:$D$3004,"&gt;"&amp;C1636)&gt;1,"⚠️ пересечение",""))</f>
        <v/>
      </c>
      <c r="M1636" s="54">
        <f>IF(F1636="","",IF(J1636="✅ Сделано","✔ ",IF(J1636="❌ Пропущено","✖ ","⏰ "))&amp;IF(C1636="","",RIGHT("0"&amp;HOUR(C1636),2)&amp;":"&amp;RIGHT("0"&amp;MINUTE(C1636),2)&amp;IF(D1636="","","–"&amp;RIGHT("0"&amp;HOUR(D1636),2)&amp;":"&amp;RIGHT("0"&amp;MINUTE(D1636),2))&amp;" ")&amp;F1636)</f>
        <v/>
      </c>
      <c r="N1636" s="54">
        <f>IF(OR(A1636="",F1636=""),"",A1636&amp;"#"&amp;(COUNTIFS($A$5:$A$3004,A1636,$F$5:$F$3004,"?*",$O$5:$O$3004,"&lt;"&amp;O1636)+COUNTIFS($A$5:A1636,A1636,$F$5:F1636,"?*",$O$5:O1636,O1636)))</f>
        <v/>
      </c>
      <c r="O1636" s="54">
        <f>IF(A1636="","",IF(C1636="",0,C1636))</f>
        <v/>
      </c>
    </row>
    <row r="1637">
      <c r="A1637" s="58" t="n"/>
      <c r="B1637" s="49">
        <f>IF(A1637="","",CHOOSE(WEEKDAY(A1637,2),"Пн","Вт","Ср","Чт","Пт","Сб","Вс"))</f>
        <v/>
      </c>
      <c r="C1637" s="59" t="n"/>
      <c r="D1637" s="59" t="n"/>
      <c r="E1637" s="60">
        <f>IF(OR(C1637="",D1637=""),"",MOD(D1637-C1637,1)*24)</f>
        <v/>
      </c>
      <c r="F1637" s="50" t="n"/>
      <c r="G1637" s="51" t="n"/>
      <c r="H1637" s="51" t="n"/>
      <c r="I1637" s="51" t="n"/>
      <c r="J1637" s="51" t="n"/>
      <c r="K1637" s="51" t="n"/>
      <c r="L1637" s="54">
        <f>IF(OR(A1637="",C1637="",D1637=""),"",IF(COUNTIFS($A$5:$A$3004,A1637,$C$5:$C$3004,"&lt;"&amp;D1637,$D$5:$D$3004,"&gt;"&amp;C1637)&gt;1,"⚠️ пересечение",""))</f>
        <v/>
      </c>
      <c r="M1637" s="54">
        <f>IF(F1637="","",IF(J1637="✅ Сделано","✔ ",IF(J1637="❌ Пропущено","✖ ","⏰ "))&amp;IF(C1637="","",RIGHT("0"&amp;HOUR(C1637),2)&amp;":"&amp;RIGHT("0"&amp;MINUTE(C1637),2)&amp;IF(D1637="","","–"&amp;RIGHT("0"&amp;HOUR(D1637),2)&amp;":"&amp;RIGHT("0"&amp;MINUTE(D1637),2))&amp;" ")&amp;F1637)</f>
        <v/>
      </c>
      <c r="N1637" s="54">
        <f>IF(OR(A1637="",F1637=""),"",A1637&amp;"#"&amp;(COUNTIFS($A$5:$A$3004,A1637,$F$5:$F$3004,"?*",$O$5:$O$3004,"&lt;"&amp;O1637)+COUNTIFS($A$5:A1637,A1637,$F$5:F1637,"?*",$O$5:O1637,O1637)))</f>
        <v/>
      </c>
      <c r="O1637" s="54">
        <f>IF(A1637="","",IF(C1637="",0,C1637))</f>
        <v/>
      </c>
    </row>
    <row r="1638">
      <c r="A1638" s="58" t="n"/>
      <c r="B1638" s="49">
        <f>IF(A1638="","",CHOOSE(WEEKDAY(A1638,2),"Пн","Вт","Ср","Чт","Пт","Сб","Вс"))</f>
        <v/>
      </c>
      <c r="C1638" s="59" t="n"/>
      <c r="D1638" s="59" t="n"/>
      <c r="E1638" s="60">
        <f>IF(OR(C1638="",D1638=""),"",MOD(D1638-C1638,1)*24)</f>
        <v/>
      </c>
      <c r="F1638" s="50" t="n"/>
      <c r="G1638" s="51" t="n"/>
      <c r="H1638" s="51" t="n"/>
      <c r="I1638" s="51" t="n"/>
      <c r="J1638" s="51" t="n"/>
      <c r="K1638" s="51" t="n"/>
      <c r="L1638" s="54">
        <f>IF(OR(A1638="",C1638="",D1638=""),"",IF(COUNTIFS($A$5:$A$3004,A1638,$C$5:$C$3004,"&lt;"&amp;D1638,$D$5:$D$3004,"&gt;"&amp;C1638)&gt;1,"⚠️ пересечение",""))</f>
        <v/>
      </c>
      <c r="M1638" s="54">
        <f>IF(F1638="","",IF(J1638="✅ Сделано","✔ ",IF(J1638="❌ Пропущено","✖ ","⏰ "))&amp;IF(C1638="","",RIGHT("0"&amp;HOUR(C1638),2)&amp;":"&amp;RIGHT("0"&amp;MINUTE(C1638),2)&amp;IF(D1638="","","–"&amp;RIGHT("0"&amp;HOUR(D1638),2)&amp;":"&amp;RIGHT("0"&amp;MINUTE(D1638),2))&amp;" ")&amp;F1638)</f>
        <v/>
      </c>
      <c r="N1638" s="54">
        <f>IF(OR(A1638="",F1638=""),"",A1638&amp;"#"&amp;(COUNTIFS($A$5:$A$3004,A1638,$F$5:$F$3004,"?*",$O$5:$O$3004,"&lt;"&amp;O1638)+COUNTIFS($A$5:A1638,A1638,$F$5:F1638,"?*",$O$5:O1638,O1638)))</f>
        <v/>
      </c>
      <c r="O1638" s="54">
        <f>IF(A1638="","",IF(C1638="",0,C1638))</f>
        <v/>
      </c>
    </row>
    <row r="1639">
      <c r="A1639" s="58" t="n"/>
      <c r="B1639" s="49">
        <f>IF(A1639="","",CHOOSE(WEEKDAY(A1639,2),"Пн","Вт","Ср","Чт","Пт","Сб","Вс"))</f>
        <v/>
      </c>
      <c r="C1639" s="59" t="n"/>
      <c r="D1639" s="59" t="n"/>
      <c r="E1639" s="60">
        <f>IF(OR(C1639="",D1639=""),"",MOD(D1639-C1639,1)*24)</f>
        <v/>
      </c>
      <c r="F1639" s="50" t="n"/>
      <c r="G1639" s="51" t="n"/>
      <c r="H1639" s="51" t="n"/>
      <c r="I1639" s="51" t="n"/>
      <c r="J1639" s="51" t="n"/>
      <c r="K1639" s="51" t="n"/>
      <c r="L1639" s="54">
        <f>IF(OR(A1639="",C1639="",D1639=""),"",IF(COUNTIFS($A$5:$A$3004,A1639,$C$5:$C$3004,"&lt;"&amp;D1639,$D$5:$D$3004,"&gt;"&amp;C1639)&gt;1,"⚠️ пересечение",""))</f>
        <v/>
      </c>
      <c r="M1639" s="54">
        <f>IF(F1639="","",IF(J1639="✅ Сделано","✔ ",IF(J1639="❌ Пропущено","✖ ","⏰ "))&amp;IF(C1639="","",RIGHT("0"&amp;HOUR(C1639),2)&amp;":"&amp;RIGHT("0"&amp;MINUTE(C1639),2)&amp;IF(D1639="","","–"&amp;RIGHT("0"&amp;HOUR(D1639),2)&amp;":"&amp;RIGHT("0"&amp;MINUTE(D1639),2))&amp;" ")&amp;F1639)</f>
        <v/>
      </c>
      <c r="N1639" s="54">
        <f>IF(OR(A1639="",F1639=""),"",A1639&amp;"#"&amp;(COUNTIFS($A$5:$A$3004,A1639,$F$5:$F$3004,"?*",$O$5:$O$3004,"&lt;"&amp;O1639)+COUNTIFS($A$5:A1639,A1639,$F$5:F1639,"?*",$O$5:O1639,O1639)))</f>
        <v/>
      </c>
      <c r="O1639" s="54">
        <f>IF(A1639="","",IF(C1639="",0,C1639))</f>
        <v/>
      </c>
    </row>
    <row r="1640">
      <c r="A1640" s="58" t="n"/>
      <c r="B1640" s="49">
        <f>IF(A1640="","",CHOOSE(WEEKDAY(A1640,2),"Пн","Вт","Ср","Чт","Пт","Сб","Вс"))</f>
        <v/>
      </c>
      <c r="C1640" s="59" t="n"/>
      <c r="D1640" s="59" t="n"/>
      <c r="E1640" s="60">
        <f>IF(OR(C1640="",D1640=""),"",MOD(D1640-C1640,1)*24)</f>
        <v/>
      </c>
      <c r="F1640" s="50" t="n"/>
      <c r="G1640" s="51" t="n"/>
      <c r="H1640" s="51" t="n"/>
      <c r="I1640" s="51" t="n"/>
      <c r="J1640" s="51" t="n"/>
      <c r="K1640" s="51" t="n"/>
      <c r="L1640" s="54">
        <f>IF(OR(A1640="",C1640="",D1640=""),"",IF(COUNTIFS($A$5:$A$3004,A1640,$C$5:$C$3004,"&lt;"&amp;D1640,$D$5:$D$3004,"&gt;"&amp;C1640)&gt;1,"⚠️ пересечение",""))</f>
        <v/>
      </c>
      <c r="M1640" s="54">
        <f>IF(F1640="","",IF(J1640="✅ Сделано","✔ ",IF(J1640="❌ Пропущено","✖ ","⏰ "))&amp;IF(C1640="","",RIGHT("0"&amp;HOUR(C1640),2)&amp;":"&amp;RIGHT("0"&amp;MINUTE(C1640),2)&amp;IF(D1640="","","–"&amp;RIGHT("0"&amp;HOUR(D1640),2)&amp;":"&amp;RIGHT("0"&amp;MINUTE(D1640),2))&amp;" ")&amp;F1640)</f>
        <v/>
      </c>
      <c r="N1640" s="54">
        <f>IF(OR(A1640="",F1640=""),"",A1640&amp;"#"&amp;(COUNTIFS($A$5:$A$3004,A1640,$F$5:$F$3004,"?*",$O$5:$O$3004,"&lt;"&amp;O1640)+COUNTIFS($A$5:A1640,A1640,$F$5:F1640,"?*",$O$5:O1640,O1640)))</f>
        <v/>
      </c>
      <c r="O1640" s="54">
        <f>IF(A1640="","",IF(C1640="",0,C1640))</f>
        <v/>
      </c>
    </row>
    <row r="1641">
      <c r="A1641" s="58" t="n"/>
      <c r="B1641" s="49">
        <f>IF(A1641="","",CHOOSE(WEEKDAY(A1641,2),"Пн","Вт","Ср","Чт","Пт","Сб","Вс"))</f>
        <v/>
      </c>
      <c r="C1641" s="59" t="n"/>
      <c r="D1641" s="59" t="n"/>
      <c r="E1641" s="60">
        <f>IF(OR(C1641="",D1641=""),"",MOD(D1641-C1641,1)*24)</f>
        <v/>
      </c>
      <c r="F1641" s="50" t="n"/>
      <c r="G1641" s="51" t="n"/>
      <c r="H1641" s="51" t="n"/>
      <c r="I1641" s="51" t="n"/>
      <c r="J1641" s="51" t="n"/>
      <c r="K1641" s="51" t="n"/>
      <c r="L1641" s="54">
        <f>IF(OR(A1641="",C1641="",D1641=""),"",IF(COUNTIFS($A$5:$A$3004,A1641,$C$5:$C$3004,"&lt;"&amp;D1641,$D$5:$D$3004,"&gt;"&amp;C1641)&gt;1,"⚠️ пересечение",""))</f>
        <v/>
      </c>
      <c r="M1641" s="54">
        <f>IF(F1641="","",IF(J1641="✅ Сделано","✔ ",IF(J1641="❌ Пропущено","✖ ","⏰ "))&amp;IF(C1641="","",RIGHT("0"&amp;HOUR(C1641),2)&amp;":"&amp;RIGHT("0"&amp;MINUTE(C1641),2)&amp;IF(D1641="","","–"&amp;RIGHT("0"&amp;HOUR(D1641),2)&amp;":"&amp;RIGHT("0"&amp;MINUTE(D1641),2))&amp;" ")&amp;F1641)</f>
        <v/>
      </c>
      <c r="N1641" s="54">
        <f>IF(OR(A1641="",F1641=""),"",A1641&amp;"#"&amp;(COUNTIFS($A$5:$A$3004,A1641,$F$5:$F$3004,"?*",$O$5:$O$3004,"&lt;"&amp;O1641)+COUNTIFS($A$5:A1641,A1641,$F$5:F1641,"?*",$O$5:O1641,O1641)))</f>
        <v/>
      </c>
      <c r="O1641" s="54">
        <f>IF(A1641="","",IF(C1641="",0,C1641))</f>
        <v/>
      </c>
    </row>
    <row r="1642">
      <c r="A1642" s="58" t="n"/>
      <c r="B1642" s="49">
        <f>IF(A1642="","",CHOOSE(WEEKDAY(A1642,2),"Пн","Вт","Ср","Чт","Пт","Сб","Вс"))</f>
        <v/>
      </c>
      <c r="C1642" s="59" t="n"/>
      <c r="D1642" s="59" t="n"/>
      <c r="E1642" s="60">
        <f>IF(OR(C1642="",D1642=""),"",MOD(D1642-C1642,1)*24)</f>
        <v/>
      </c>
      <c r="F1642" s="50" t="n"/>
      <c r="G1642" s="51" t="n"/>
      <c r="H1642" s="51" t="n"/>
      <c r="I1642" s="51" t="n"/>
      <c r="J1642" s="51" t="n"/>
      <c r="K1642" s="51" t="n"/>
      <c r="L1642" s="54">
        <f>IF(OR(A1642="",C1642="",D1642=""),"",IF(COUNTIFS($A$5:$A$3004,A1642,$C$5:$C$3004,"&lt;"&amp;D1642,$D$5:$D$3004,"&gt;"&amp;C1642)&gt;1,"⚠️ пересечение",""))</f>
        <v/>
      </c>
      <c r="M1642" s="54">
        <f>IF(F1642="","",IF(J1642="✅ Сделано","✔ ",IF(J1642="❌ Пропущено","✖ ","⏰ "))&amp;IF(C1642="","",RIGHT("0"&amp;HOUR(C1642),2)&amp;":"&amp;RIGHT("0"&amp;MINUTE(C1642),2)&amp;IF(D1642="","","–"&amp;RIGHT("0"&amp;HOUR(D1642),2)&amp;":"&amp;RIGHT("0"&amp;MINUTE(D1642),2))&amp;" ")&amp;F1642)</f>
        <v/>
      </c>
      <c r="N1642" s="54">
        <f>IF(OR(A1642="",F1642=""),"",A1642&amp;"#"&amp;(COUNTIFS($A$5:$A$3004,A1642,$F$5:$F$3004,"?*",$O$5:$O$3004,"&lt;"&amp;O1642)+COUNTIFS($A$5:A1642,A1642,$F$5:F1642,"?*",$O$5:O1642,O1642)))</f>
        <v/>
      </c>
      <c r="O1642" s="54">
        <f>IF(A1642="","",IF(C1642="",0,C1642))</f>
        <v/>
      </c>
    </row>
    <row r="1643">
      <c r="A1643" s="58" t="n"/>
      <c r="B1643" s="49">
        <f>IF(A1643="","",CHOOSE(WEEKDAY(A1643,2),"Пн","Вт","Ср","Чт","Пт","Сб","Вс"))</f>
        <v/>
      </c>
      <c r="C1643" s="59" t="n"/>
      <c r="D1643" s="59" t="n"/>
      <c r="E1643" s="60">
        <f>IF(OR(C1643="",D1643=""),"",MOD(D1643-C1643,1)*24)</f>
        <v/>
      </c>
      <c r="F1643" s="50" t="n"/>
      <c r="G1643" s="51" t="n"/>
      <c r="H1643" s="51" t="n"/>
      <c r="I1643" s="51" t="n"/>
      <c r="J1643" s="51" t="n"/>
      <c r="K1643" s="51" t="n"/>
      <c r="L1643" s="54">
        <f>IF(OR(A1643="",C1643="",D1643=""),"",IF(COUNTIFS($A$5:$A$3004,A1643,$C$5:$C$3004,"&lt;"&amp;D1643,$D$5:$D$3004,"&gt;"&amp;C1643)&gt;1,"⚠️ пересечение",""))</f>
        <v/>
      </c>
      <c r="M1643" s="54">
        <f>IF(F1643="","",IF(J1643="✅ Сделано","✔ ",IF(J1643="❌ Пропущено","✖ ","⏰ "))&amp;IF(C1643="","",RIGHT("0"&amp;HOUR(C1643),2)&amp;":"&amp;RIGHT("0"&amp;MINUTE(C1643),2)&amp;IF(D1643="","","–"&amp;RIGHT("0"&amp;HOUR(D1643),2)&amp;":"&amp;RIGHT("0"&amp;MINUTE(D1643),2))&amp;" ")&amp;F1643)</f>
        <v/>
      </c>
      <c r="N1643" s="54">
        <f>IF(OR(A1643="",F1643=""),"",A1643&amp;"#"&amp;(COUNTIFS($A$5:$A$3004,A1643,$F$5:$F$3004,"?*",$O$5:$O$3004,"&lt;"&amp;O1643)+COUNTIFS($A$5:A1643,A1643,$F$5:F1643,"?*",$O$5:O1643,O1643)))</f>
        <v/>
      </c>
      <c r="O1643" s="54">
        <f>IF(A1643="","",IF(C1643="",0,C1643))</f>
        <v/>
      </c>
    </row>
    <row r="1644">
      <c r="A1644" s="58" t="n"/>
      <c r="B1644" s="49">
        <f>IF(A1644="","",CHOOSE(WEEKDAY(A1644,2),"Пн","Вт","Ср","Чт","Пт","Сб","Вс"))</f>
        <v/>
      </c>
      <c r="C1644" s="59" t="n"/>
      <c r="D1644" s="59" t="n"/>
      <c r="E1644" s="60">
        <f>IF(OR(C1644="",D1644=""),"",MOD(D1644-C1644,1)*24)</f>
        <v/>
      </c>
      <c r="F1644" s="50" t="n"/>
      <c r="G1644" s="51" t="n"/>
      <c r="H1644" s="51" t="n"/>
      <c r="I1644" s="51" t="n"/>
      <c r="J1644" s="51" t="n"/>
      <c r="K1644" s="51" t="n"/>
      <c r="L1644" s="54">
        <f>IF(OR(A1644="",C1644="",D1644=""),"",IF(COUNTIFS($A$5:$A$3004,A1644,$C$5:$C$3004,"&lt;"&amp;D1644,$D$5:$D$3004,"&gt;"&amp;C1644)&gt;1,"⚠️ пересечение",""))</f>
        <v/>
      </c>
      <c r="M1644" s="54">
        <f>IF(F1644="","",IF(J1644="✅ Сделано","✔ ",IF(J1644="❌ Пропущено","✖ ","⏰ "))&amp;IF(C1644="","",RIGHT("0"&amp;HOUR(C1644),2)&amp;":"&amp;RIGHT("0"&amp;MINUTE(C1644),2)&amp;IF(D1644="","","–"&amp;RIGHT("0"&amp;HOUR(D1644),2)&amp;":"&amp;RIGHT("0"&amp;MINUTE(D1644),2))&amp;" ")&amp;F1644)</f>
        <v/>
      </c>
      <c r="N1644" s="54">
        <f>IF(OR(A1644="",F1644=""),"",A1644&amp;"#"&amp;(COUNTIFS($A$5:$A$3004,A1644,$F$5:$F$3004,"?*",$O$5:$O$3004,"&lt;"&amp;O1644)+COUNTIFS($A$5:A1644,A1644,$F$5:F1644,"?*",$O$5:O1644,O1644)))</f>
        <v/>
      </c>
      <c r="O1644" s="54">
        <f>IF(A1644="","",IF(C1644="",0,C1644))</f>
        <v/>
      </c>
    </row>
    <row r="1645">
      <c r="A1645" s="58" t="n"/>
      <c r="B1645" s="49">
        <f>IF(A1645="","",CHOOSE(WEEKDAY(A1645,2),"Пн","Вт","Ср","Чт","Пт","Сб","Вс"))</f>
        <v/>
      </c>
      <c r="C1645" s="59" t="n"/>
      <c r="D1645" s="59" t="n"/>
      <c r="E1645" s="60">
        <f>IF(OR(C1645="",D1645=""),"",MOD(D1645-C1645,1)*24)</f>
        <v/>
      </c>
      <c r="F1645" s="50" t="n"/>
      <c r="G1645" s="51" t="n"/>
      <c r="H1645" s="51" t="n"/>
      <c r="I1645" s="51" t="n"/>
      <c r="J1645" s="51" t="n"/>
      <c r="K1645" s="51" t="n"/>
      <c r="L1645" s="54">
        <f>IF(OR(A1645="",C1645="",D1645=""),"",IF(COUNTIFS($A$5:$A$3004,A1645,$C$5:$C$3004,"&lt;"&amp;D1645,$D$5:$D$3004,"&gt;"&amp;C1645)&gt;1,"⚠️ пересечение",""))</f>
        <v/>
      </c>
      <c r="M1645" s="54">
        <f>IF(F1645="","",IF(J1645="✅ Сделано","✔ ",IF(J1645="❌ Пропущено","✖ ","⏰ "))&amp;IF(C1645="","",RIGHT("0"&amp;HOUR(C1645),2)&amp;":"&amp;RIGHT("0"&amp;MINUTE(C1645),2)&amp;IF(D1645="","","–"&amp;RIGHT("0"&amp;HOUR(D1645),2)&amp;":"&amp;RIGHT("0"&amp;MINUTE(D1645),2))&amp;" ")&amp;F1645)</f>
        <v/>
      </c>
      <c r="N1645" s="54">
        <f>IF(OR(A1645="",F1645=""),"",A1645&amp;"#"&amp;(COUNTIFS($A$5:$A$3004,A1645,$F$5:$F$3004,"?*",$O$5:$O$3004,"&lt;"&amp;O1645)+COUNTIFS($A$5:A1645,A1645,$F$5:F1645,"?*",$O$5:O1645,O1645)))</f>
        <v/>
      </c>
      <c r="O1645" s="54">
        <f>IF(A1645="","",IF(C1645="",0,C1645))</f>
        <v/>
      </c>
    </row>
    <row r="1646">
      <c r="A1646" s="58" t="n"/>
      <c r="B1646" s="49">
        <f>IF(A1646="","",CHOOSE(WEEKDAY(A1646,2),"Пн","Вт","Ср","Чт","Пт","Сб","Вс"))</f>
        <v/>
      </c>
      <c r="C1646" s="59" t="n"/>
      <c r="D1646" s="59" t="n"/>
      <c r="E1646" s="60">
        <f>IF(OR(C1646="",D1646=""),"",MOD(D1646-C1646,1)*24)</f>
        <v/>
      </c>
      <c r="F1646" s="50" t="n"/>
      <c r="G1646" s="51" t="n"/>
      <c r="H1646" s="51" t="n"/>
      <c r="I1646" s="51" t="n"/>
      <c r="J1646" s="51" t="n"/>
      <c r="K1646" s="51" t="n"/>
      <c r="L1646" s="54">
        <f>IF(OR(A1646="",C1646="",D1646=""),"",IF(COUNTIFS($A$5:$A$3004,A1646,$C$5:$C$3004,"&lt;"&amp;D1646,$D$5:$D$3004,"&gt;"&amp;C1646)&gt;1,"⚠️ пересечение",""))</f>
        <v/>
      </c>
      <c r="M1646" s="54">
        <f>IF(F1646="","",IF(J1646="✅ Сделано","✔ ",IF(J1646="❌ Пропущено","✖ ","⏰ "))&amp;IF(C1646="","",RIGHT("0"&amp;HOUR(C1646),2)&amp;":"&amp;RIGHT("0"&amp;MINUTE(C1646),2)&amp;IF(D1646="","","–"&amp;RIGHT("0"&amp;HOUR(D1646),2)&amp;":"&amp;RIGHT("0"&amp;MINUTE(D1646),2))&amp;" ")&amp;F1646)</f>
        <v/>
      </c>
      <c r="N1646" s="54">
        <f>IF(OR(A1646="",F1646=""),"",A1646&amp;"#"&amp;(COUNTIFS($A$5:$A$3004,A1646,$F$5:$F$3004,"?*",$O$5:$O$3004,"&lt;"&amp;O1646)+COUNTIFS($A$5:A1646,A1646,$F$5:F1646,"?*",$O$5:O1646,O1646)))</f>
        <v/>
      </c>
      <c r="O1646" s="54">
        <f>IF(A1646="","",IF(C1646="",0,C1646))</f>
        <v/>
      </c>
    </row>
    <row r="1647">
      <c r="A1647" s="58" t="n"/>
      <c r="B1647" s="49">
        <f>IF(A1647="","",CHOOSE(WEEKDAY(A1647,2),"Пн","Вт","Ср","Чт","Пт","Сб","Вс"))</f>
        <v/>
      </c>
      <c r="C1647" s="59" t="n"/>
      <c r="D1647" s="59" t="n"/>
      <c r="E1647" s="60">
        <f>IF(OR(C1647="",D1647=""),"",MOD(D1647-C1647,1)*24)</f>
        <v/>
      </c>
      <c r="F1647" s="50" t="n"/>
      <c r="G1647" s="51" t="n"/>
      <c r="H1647" s="51" t="n"/>
      <c r="I1647" s="51" t="n"/>
      <c r="J1647" s="51" t="n"/>
      <c r="K1647" s="51" t="n"/>
      <c r="L1647" s="54">
        <f>IF(OR(A1647="",C1647="",D1647=""),"",IF(COUNTIFS($A$5:$A$3004,A1647,$C$5:$C$3004,"&lt;"&amp;D1647,$D$5:$D$3004,"&gt;"&amp;C1647)&gt;1,"⚠️ пересечение",""))</f>
        <v/>
      </c>
      <c r="M1647" s="54">
        <f>IF(F1647="","",IF(J1647="✅ Сделано","✔ ",IF(J1647="❌ Пропущено","✖ ","⏰ "))&amp;IF(C1647="","",RIGHT("0"&amp;HOUR(C1647),2)&amp;":"&amp;RIGHT("0"&amp;MINUTE(C1647),2)&amp;IF(D1647="","","–"&amp;RIGHT("0"&amp;HOUR(D1647),2)&amp;":"&amp;RIGHT("0"&amp;MINUTE(D1647),2))&amp;" ")&amp;F1647)</f>
        <v/>
      </c>
      <c r="N1647" s="54">
        <f>IF(OR(A1647="",F1647=""),"",A1647&amp;"#"&amp;(COUNTIFS($A$5:$A$3004,A1647,$F$5:$F$3004,"?*",$O$5:$O$3004,"&lt;"&amp;O1647)+COUNTIFS($A$5:A1647,A1647,$F$5:F1647,"?*",$O$5:O1647,O1647)))</f>
        <v/>
      </c>
      <c r="O1647" s="54">
        <f>IF(A1647="","",IF(C1647="",0,C1647))</f>
        <v/>
      </c>
    </row>
    <row r="1648">
      <c r="A1648" s="58" t="n"/>
      <c r="B1648" s="49">
        <f>IF(A1648="","",CHOOSE(WEEKDAY(A1648,2),"Пн","Вт","Ср","Чт","Пт","Сб","Вс"))</f>
        <v/>
      </c>
      <c r="C1648" s="59" t="n"/>
      <c r="D1648" s="59" t="n"/>
      <c r="E1648" s="60">
        <f>IF(OR(C1648="",D1648=""),"",MOD(D1648-C1648,1)*24)</f>
        <v/>
      </c>
      <c r="F1648" s="50" t="n"/>
      <c r="G1648" s="51" t="n"/>
      <c r="H1648" s="51" t="n"/>
      <c r="I1648" s="51" t="n"/>
      <c r="J1648" s="51" t="n"/>
      <c r="K1648" s="51" t="n"/>
      <c r="L1648" s="54">
        <f>IF(OR(A1648="",C1648="",D1648=""),"",IF(COUNTIFS($A$5:$A$3004,A1648,$C$5:$C$3004,"&lt;"&amp;D1648,$D$5:$D$3004,"&gt;"&amp;C1648)&gt;1,"⚠️ пересечение",""))</f>
        <v/>
      </c>
      <c r="M1648" s="54">
        <f>IF(F1648="","",IF(J1648="✅ Сделано","✔ ",IF(J1648="❌ Пропущено","✖ ","⏰ "))&amp;IF(C1648="","",RIGHT("0"&amp;HOUR(C1648),2)&amp;":"&amp;RIGHT("0"&amp;MINUTE(C1648),2)&amp;IF(D1648="","","–"&amp;RIGHT("0"&amp;HOUR(D1648),2)&amp;":"&amp;RIGHT("0"&amp;MINUTE(D1648),2))&amp;" ")&amp;F1648)</f>
        <v/>
      </c>
      <c r="N1648" s="54">
        <f>IF(OR(A1648="",F1648=""),"",A1648&amp;"#"&amp;(COUNTIFS($A$5:$A$3004,A1648,$F$5:$F$3004,"?*",$O$5:$O$3004,"&lt;"&amp;O1648)+COUNTIFS($A$5:A1648,A1648,$F$5:F1648,"?*",$O$5:O1648,O1648)))</f>
        <v/>
      </c>
      <c r="O1648" s="54">
        <f>IF(A1648="","",IF(C1648="",0,C1648))</f>
        <v/>
      </c>
    </row>
    <row r="1649">
      <c r="A1649" s="58" t="n"/>
      <c r="B1649" s="49">
        <f>IF(A1649="","",CHOOSE(WEEKDAY(A1649,2),"Пн","Вт","Ср","Чт","Пт","Сб","Вс"))</f>
        <v/>
      </c>
      <c r="C1649" s="59" t="n"/>
      <c r="D1649" s="59" t="n"/>
      <c r="E1649" s="60">
        <f>IF(OR(C1649="",D1649=""),"",MOD(D1649-C1649,1)*24)</f>
        <v/>
      </c>
      <c r="F1649" s="50" t="n"/>
      <c r="G1649" s="51" t="n"/>
      <c r="H1649" s="51" t="n"/>
      <c r="I1649" s="51" t="n"/>
      <c r="J1649" s="51" t="n"/>
      <c r="K1649" s="51" t="n"/>
      <c r="L1649" s="54">
        <f>IF(OR(A1649="",C1649="",D1649=""),"",IF(COUNTIFS($A$5:$A$3004,A1649,$C$5:$C$3004,"&lt;"&amp;D1649,$D$5:$D$3004,"&gt;"&amp;C1649)&gt;1,"⚠️ пересечение",""))</f>
        <v/>
      </c>
      <c r="M1649" s="54">
        <f>IF(F1649="","",IF(J1649="✅ Сделано","✔ ",IF(J1649="❌ Пропущено","✖ ","⏰ "))&amp;IF(C1649="","",RIGHT("0"&amp;HOUR(C1649),2)&amp;":"&amp;RIGHT("0"&amp;MINUTE(C1649),2)&amp;IF(D1649="","","–"&amp;RIGHT("0"&amp;HOUR(D1649),2)&amp;":"&amp;RIGHT("0"&amp;MINUTE(D1649),2))&amp;" ")&amp;F1649)</f>
        <v/>
      </c>
      <c r="N1649" s="54">
        <f>IF(OR(A1649="",F1649=""),"",A1649&amp;"#"&amp;(COUNTIFS($A$5:$A$3004,A1649,$F$5:$F$3004,"?*",$O$5:$O$3004,"&lt;"&amp;O1649)+COUNTIFS($A$5:A1649,A1649,$F$5:F1649,"?*",$O$5:O1649,O1649)))</f>
        <v/>
      </c>
      <c r="O1649" s="54">
        <f>IF(A1649="","",IF(C1649="",0,C1649))</f>
        <v/>
      </c>
    </row>
    <row r="1650">
      <c r="A1650" s="58" t="n"/>
      <c r="B1650" s="49">
        <f>IF(A1650="","",CHOOSE(WEEKDAY(A1650,2),"Пн","Вт","Ср","Чт","Пт","Сб","Вс"))</f>
        <v/>
      </c>
      <c r="C1650" s="59" t="n"/>
      <c r="D1650" s="59" t="n"/>
      <c r="E1650" s="60">
        <f>IF(OR(C1650="",D1650=""),"",MOD(D1650-C1650,1)*24)</f>
        <v/>
      </c>
      <c r="F1650" s="50" t="n"/>
      <c r="G1650" s="51" t="n"/>
      <c r="H1650" s="51" t="n"/>
      <c r="I1650" s="51" t="n"/>
      <c r="J1650" s="51" t="n"/>
      <c r="K1650" s="51" t="n"/>
      <c r="L1650" s="54">
        <f>IF(OR(A1650="",C1650="",D1650=""),"",IF(COUNTIFS($A$5:$A$3004,A1650,$C$5:$C$3004,"&lt;"&amp;D1650,$D$5:$D$3004,"&gt;"&amp;C1650)&gt;1,"⚠️ пересечение",""))</f>
        <v/>
      </c>
      <c r="M1650" s="54">
        <f>IF(F1650="","",IF(J1650="✅ Сделано","✔ ",IF(J1650="❌ Пропущено","✖ ","⏰ "))&amp;IF(C1650="","",RIGHT("0"&amp;HOUR(C1650),2)&amp;":"&amp;RIGHT("0"&amp;MINUTE(C1650),2)&amp;IF(D1650="","","–"&amp;RIGHT("0"&amp;HOUR(D1650),2)&amp;":"&amp;RIGHT("0"&amp;MINUTE(D1650),2))&amp;" ")&amp;F1650)</f>
        <v/>
      </c>
      <c r="N1650" s="54">
        <f>IF(OR(A1650="",F1650=""),"",A1650&amp;"#"&amp;(COUNTIFS($A$5:$A$3004,A1650,$F$5:$F$3004,"?*",$O$5:$O$3004,"&lt;"&amp;O1650)+COUNTIFS($A$5:A1650,A1650,$F$5:F1650,"?*",$O$5:O1650,O1650)))</f>
        <v/>
      </c>
      <c r="O1650" s="54">
        <f>IF(A1650="","",IF(C1650="",0,C1650))</f>
        <v/>
      </c>
    </row>
    <row r="1651">
      <c r="A1651" s="58" t="n"/>
      <c r="B1651" s="49">
        <f>IF(A1651="","",CHOOSE(WEEKDAY(A1651,2),"Пн","Вт","Ср","Чт","Пт","Сб","Вс"))</f>
        <v/>
      </c>
      <c r="C1651" s="59" t="n"/>
      <c r="D1651" s="59" t="n"/>
      <c r="E1651" s="60">
        <f>IF(OR(C1651="",D1651=""),"",MOD(D1651-C1651,1)*24)</f>
        <v/>
      </c>
      <c r="F1651" s="50" t="n"/>
      <c r="G1651" s="51" t="n"/>
      <c r="H1651" s="51" t="n"/>
      <c r="I1651" s="51" t="n"/>
      <c r="J1651" s="51" t="n"/>
      <c r="K1651" s="51" t="n"/>
      <c r="L1651" s="54">
        <f>IF(OR(A1651="",C1651="",D1651=""),"",IF(COUNTIFS($A$5:$A$3004,A1651,$C$5:$C$3004,"&lt;"&amp;D1651,$D$5:$D$3004,"&gt;"&amp;C1651)&gt;1,"⚠️ пересечение",""))</f>
        <v/>
      </c>
      <c r="M1651" s="54">
        <f>IF(F1651="","",IF(J1651="✅ Сделано","✔ ",IF(J1651="❌ Пропущено","✖ ","⏰ "))&amp;IF(C1651="","",RIGHT("0"&amp;HOUR(C1651),2)&amp;":"&amp;RIGHT("0"&amp;MINUTE(C1651),2)&amp;IF(D1651="","","–"&amp;RIGHT("0"&amp;HOUR(D1651),2)&amp;":"&amp;RIGHT("0"&amp;MINUTE(D1651),2))&amp;" ")&amp;F1651)</f>
        <v/>
      </c>
      <c r="N1651" s="54">
        <f>IF(OR(A1651="",F1651=""),"",A1651&amp;"#"&amp;(COUNTIFS($A$5:$A$3004,A1651,$F$5:$F$3004,"?*",$O$5:$O$3004,"&lt;"&amp;O1651)+COUNTIFS($A$5:A1651,A1651,$F$5:F1651,"?*",$O$5:O1651,O1651)))</f>
        <v/>
      </c>
      <c r="O1651" s="54">
        <f>IF(A1651="","",IF(C1651="",0,C1651))</f>
        <v/>
      </c>
    </row>
    <row r="1652">
      <c r="A1652" s="58" t="n"/>
      <c r="B1652" s="49">
        <f>IF(A1652="","",CHOOSE(WEEKDAY(A1652,2),"Пн","Вт","Ср","Чт","Пт","Сб","Вс"))</f>
        <v/>
      </c>
      <c r="C1652" s="59" t="n"/>
      <c r="D1652" s="59" t="n"/>
      <c r="E1652" s="60">
        <f>IF(OR(C1652="",D1652=""),"",MOD(D1652-C1652,1)*24)</f>
        <v/>
      </c>
      <c r="F1652" s="50" t="n"/>
      <c r="G1652" s="51" t="n"/>
      <c r="H1652" s="51" t="n"/>
      <c r="I1652" s="51" t="n"/>
      <c r="J1652" s="51" t="n"/>
      <c r="K1652" s="51" t="n"/>
      <c r="L1652" s="54">
        <f>IF(OR(A1652="",C1652="",D1652=""),"",IF(COUNTIFS($A$5:$A$3004,A1652,$C$5:$C$3004,"&lt;"&amp;D1652,$D$5:$D$3004,"&gt;"&amp;C1652)&gt;1,"⚠️ пересечение",""))</f>
        <v/>
      </c>
      <c r="M1652" s="54">
        <f>IF(F1652="","",IF(J1652="✅ Сделано","✔ ",IF(J1652="❌ Пропущено","✖ ","⏰ "))&amp;IF(C1652="","",RIGHT("0"&amp;HOUR(C1652),2)&amp;":"&amp;RIGHT("0"&amp;MINUTE(C1652),2)&amp;IF(D1652="","","–"&amp;RIGHT("0"&amp;HOUR(D1652),2)&amp;":"&amp;RIGHT("0"&amp;MINUTE(D1652),2))&amp;" ")&amp;F1652)</f>
        <v/>
      </c>
      <c r="N1652" s="54">
        <f>IF(OR(A1652="",F1652=""),"",A1652&amp;"#"&amp;(COUNTIFS($A$5:$A$3004,A1652,$F$5:$F$3004,"?*",$O$5:$O$3004,"&lt;"&amp;O1652)+COUNTIFS($A$5:A1652,A1652,$F$5:F1652,"?*",$O$5:O1652,O1652)))</f>
        <v/>
      </c>
      <c r="O1652" s="54">
        <f>IF(A1652="","",IF(C1652="",0,C1652))</f>
        <v/>
      </c>
    </row>
    <row r="1653">
      <c r="A1653" s="58" t="n"/>
      <c r="B1653" s="49">
        <f>IF(A1653="","",CHOOSE(WEEKDAY(A1653,2),"Пн","Вт","Ср","Чт","Пт","Сб","Вс"))</f>
        <v/>
      </c>
      <c r="C1653" s="59" t="n"/>
      <c r="D1653" s="59" t="n"/>
      <c r="E1653" s="60">
        <f>IF(OR(C1653="",D1653=""),"",MOD(D1653-C1653,1)*24)</f>
        <v/>
      </c>
      <c r="F1653" s="50" t="n"/>
      <c r="G1653" s="51" t="n"/>
      <c r="H1653" s="51" t="n"/>
      <c r="I1653" s="51" t="n"/>
      <c r="J1653" s="51" t="n"/>
      <c r="K1653" s="51" t="n"/>
      <c r="L1653" s="54">
        <f>IF(OR(A1653="",C1653="",D1653=""),"",IF(COUNTIFS($A$5:$A$3004,A1653,$C$5:$C$3004,"&lt;"&amp;D1653,$D$5:$D$3004,"&gt;"&amp;C1653)&gt;1,"⚠️ пересечение",""))</f>
        <v/>
      </c>
      <c r="M1653" s="54">
        <f>IF(F1653="","",IF(J1653="✅ Сделано","✔ ",IF(J1653="❌ Пропущено","✖ ","⏰ "))&amp;IF(C1653="","",RIGHT("0"&amp;HOUR(C1653),2)&amp;":"&amp;RIGHT("0"&amp;MINUTE(C1653),2)&amp;IF(D1653="","","–"&amp;RIGHT("0"&amp;HOUR(D1653),2)&amp;":"&amp;RIGHT("0"&amp;MINUTE(D1653),2))&amp;" ")&amp;F1653)</f>
        <v/>
      </c>
      <c r="N1653" s="54">
        <f>IF(OR(A1653="",F1653=""),"",A1653&amp;"#"&amp;(COUNTIFS($A$5:$A$3004,A1653,$F$5:$F$3004,"?*",$O$5:$O$3004,"&lt;"&amp;O1653)+COUNTIFS($A$5:A1653,A1653,$F$5:F1653,"?*",$O$5:O1653,O1653)))</f>
        <v/>
      </c>
      <c r="O1653" s="54">
        <f>IF(A1653="","",IF(C1653="",0,C1653))</f>
        <v/>
      </c>
    </row>
    <row r="1654">
      <c r="A1654" s="58" t="n"/>
      <c r="B1654" s="49">
        <f>IF(A1654="","",CHOOSE(WEEKDAY(A1654,2),"Пн","Вт","Ср","Чт","Пт","Сб","Вс"))</f>
        <v/>
      </c>
      <c r="C1654" s="59" t="n"/>
      <c r="D1654" s="59" t="n"/>
      <c r="E1654" s="60">
        <f>IF(OR(C1654="",D1654=""),"",MOD(D1654-C1654,1)*24)</f>
        <v/>
      </c>
      <c r="F1654" s="50" t="n"/>
      <c r="G1654" s="51" t="n"/>
      <c r="H1654" s="51" t="n"/>
      <c r="I1654" s="51" t="n"/>
      <c r="J1654" s="51" t="n"/>
      <c r="K1654" s="51" t="n"/>
      <c r="L1654" s="54">
        <f>IF(OR(A1654="",C1654="",D1654=""),"",IF(COUNTIFS($A$5:$A$3004,A1654,$C$5:$C$3004,"&lt;"&amp;D1654,$D$5:$D$3004,"&gt;"&amp;C1654)&gt;1,"⚠️ пересечение",""))</f>
        <v/>
      </c>
      <c r="M1654" s="54">
        <f>IF(F1654="","",IF(J1654="✅ Сделано","✔ ",IF(J1654="❌ Пропущено","✖ ","⏰ "))&amp;IF(C1654="","",RIGHT("0"&amp;HOUR(C1654),2)&amp;":"&amp;RIGHT("0"&amp;MINUTE(C1654),2)&amp;IF(D1654="","","–"&amp;RIGHT("0"&amp;HOUR(D1654),2)&amp;":"&amp;RIGHT("0"&amp;MINUTE(D1654),2))&amp;" ")&amp;F1654)</f>
        <v/>
      </c>
      <c r="N1654" s="54">
        <f>IF(OR(A1654="",F1654=""),"",A1654&amp;"#"&amp;(COUNTIFS($A$5:$A$3004,A1654,$F$5:$F$3004,"?*",$O$5:$O$3004,"&lt;"&amp;O1654)+COUNTIFS($A$5:A1654,A1654,$F$5:F1654,"?*",$O$5:O1654,O1654)))</f>
        <v/>
      </c>
      <c r="O1654" s="54">
        <f>IF(A1654="","",IF(C1654="",0,C1654))</f>
        <v/>
      </c>
    </row>
    <row r="1655">
      <c r="A1655" s="58" t="n"/>
      <c r="B1655" s="49">
        <f>IF(A1655="","",CHOOSE(WEEKDAY(A1655,2),"Пн","Вт","Ср","Чт","Пт","Сб","Вс"))</f>
        <v/>
      </c>
      <c r="C1655" s="59" t="n"/>
      <c r="D1655" s="59" t="n"/>
      <c r="E1655" s="60">
        <f>IF(OR(C1655="",D1655=""),"",MOD(D1655-C1655,1)*24)</f>
        <v/>
      </c>
      <c r="F1655" s="50" t="n"/>
      <c r="G1655" s="51" t="n"/>
      <c r="H1655" s="51" t="n"/>
      <c r="I1655" s="51" t="n"/>
      <c r="J1655" s="51" t="n"/>
      <c r="K1655" s="51" t="n"/>
      <c r="L1655" s="54">
        <f>IF(OR(A1655="",C1655="",D1655=""),"",IF(COUNTIFS($A$5:$A$3004,A1655,$C$5:$C$3004,"&lt;"&amp;D1655,$D$5:$D$3004,"&gt;"&amp;C1655)&gt;1,"⚠️ пересечение",""))</f>
        <v/>
      </c>
      <c r="M1655" s="54">
        <f>IF(F1655="","",IF(J1655="✅ Сделано","✔ ",IF(J1655="❌ Пропущено","✖ ","⏰ "))&amp;IF(C1655="","",RIGHT("0"&amp;HOUR(C1655),2)&amp;":"&amp;RIGHT("0"&amp;MINUTE(C1655),2)&amp;IF(D1655="","","–"&amp;RIGHT("0"&amp;HOUR(D1655),2)&amp;":"&amp;RIGHT("0"&amp;MINUTE(D1655),2))&amp;" ")&amp;F1655)</f>
        <v/>
      </c>
      <c r="N1655" s="54">
        <f>IF(OR(A1655="",F1655=""),"",A1655&amp;"#"&amp;(COUNTIFS($A$5:$A$3004,A1655,$F$5:$F$3004,"?*",$O$5:$O$3004,"&lt;"&amp;O1655)+COUNTIFS($A$5:A1655,A1655,$F$5:F1655,"?*",$O$5:O1655,O1655)))</f>
        <v/>
      </c>
      <c r="O1655" s="54">
        <f>IF(A1655="","",IF(C1655="",0,C1655))</f>
        <v/>
      </c>
    </row>
    <row r="1656">
      <c r="A1656" s="58" t="n"/>
      <c r="B1656" s="49">
        <f>IF(A1656="","",CHOOSE(WEEKDAY(A1656,2),"Пн","Вт","Ср","Чт","Пт","Сб","Вс"))</f>
        <v/>
      </c>
      <c r="C1656" s="59" t="n"/>
      <c r="D1656" s="59" t="n"/>
      <c r="E1656" s="60">
        <f>IF(OR(C1656="",D1656=""),"",MOD(D1656-C1656,1)*24)</f>
        <v/>
      </c>
      <c r="F1656" s="50" t="n"/>
      <c r="G1656" s="51" t="n"/>
      <c r="H1656" s="51" t="n"/>
      <c r="I1656" s="51" t="n"/>
      <c r="J1656" s="51" t="n"/>
      <c r="K1656" s="51" t="n"/>
      <c r="L1656" s="54">
        <f>IF(OR(A1656="",C1656="",D1656=""),"",IF(COUNTIFS($A$5:$A$3004,A1656,$C$5:$C$3004,"&lt;"&amp;D1656,$D$5:$D$3004,"&gt;"&amp;C1656)&gt;1,"⚠️ пересечение",""))</f>
        <v/>
      </c>
      <c r="M1656" s="54">
        <f>IF(F1656="","",IF(J1656="✅ Сделано","✔ ",IF(J1656="❌ Пропущено","✖ ","⏰ "))&amp;IF(C1656="","",RIGHT("0"&amp;HOUR(C1656),2)&amp;":"&amp;RIGHT("0"&amp;MINUTE(C1656),2)&amp;IF(D1656="","","–"&amp;RIGHT("0"&amp;HOUR(D1656),2)&amp;":"&amp;RIGHT("0"&amp;MINUTE(D1656),2))&amp;" ")&amp;F1656)</f>
        <v/>
      </c>
      <c r="N1656" s="54">
        <f>IF(OR(A1656="",F1656=""),"",A1656&amp;"#"&amp;(COUNTIFS($A$5:$A$3004,A1656,$F$5:$F$3004,"?*",$O$5:$O$3004,"&lt;"&amp;O1656)+COUNTIFS($A$5:A1656,A1656,$F$5:F1656,"?*",$O$5:O1656,O1656)))</f>
        <v/>
      </c>
      <c r="O1656" s="54">
        <f>IF(A1656="","",IF(C1656="",0,C1656))</f>
        <v/>
      </c>
    </row>
    <row r="1657">
      <c r="A1657" s="58" t="n"/>
      <c r="B1657" s="49">
        <f>IF(A1657="","",CHOOSE(WEEKDAY(A1657,2),"Пн","Вт","Ср","Чт","Пт","Сб","Вс"))</f>
        <v/>
      </c>
      <c r="C1657" s="59" t="n"/>
      <c r="D1657" s="59" t="n"/>
      <c r="E1657" s="60">
        <f>IF(OR(C1657="",D1657=""),"",MOD(D1657-C1657,1)*24)</f>
        <v/>
      </c>
      <c r="F1657" s="50" t="n"/>
      <c r="G1657" s="51" t="n"/>
      <c r="H1657" s="51" t="n"/>
      <c r="I1657" s="51" t="n"/>
      <c r="J1657" s="51" t="n"/>
      <c r="K1657" s="51" t="n"/>
      <c r="L1657" s="54">
        <f>IF(OR(A1657="",C1657="",D1657=""),"",IF(COUNTIFS($A$5:$A$3004,A1657,$C$5:$C$3004,"&lt;"&amp;D1657,$D$5:$D$3004,"&gt;"&amp;C1657)&gt;1,"⚠️ пересечение",""))</f>
        <v/>
      </c>
      <c r="M1657" s="54">
        <f>IF(F1657="","",IF(J1657="✅ Сделано","✔ ",IF(J1657="❌ Пропущено","✖ ","⏰ "))&amp;IF(C1657="","",RIGHT("0"&amp;HOUR(C1657),2)&amp;":"&amp;RIGHT("0"&amp;MINUTE(C1657),2)&amp;IF(D1657="","","–"&amp;RIGHT("0"&amp;HOUR(D1657),2)&amp;":"&amp;RIGHT("0"&amp;MINUTE(D1657),2))&amp;" ")&amp;F1657)</f>
        <v/>
      </c>
      <c r="N1657" s="54">
        <f>IF(OR(A1657="",F1657=""),"",A1657&amp;"#"&amp;(COUNTIFS($A$5:$A$3004,A1657,$F$5:$F$3004,"?*",$O$5:$O$3004,"&lt;"&amp;O1657)+COUNTIFS($A$5:A1657,A1657,$F$5:F1657,"?*",$O$5:O1657,O1657)))</f>
        <v/>
      </c>
      <c r="O1657" s="54">
        <f>IF(A1657="","",IF(C1657="",0,C1657))</f>
        <v/>
      </c>
    </row>
    <row r="1658">
      <c r="A1658" s="58" t="n"/>
      <c r="B1658" s="49">
        <f>IF(A1658="","",CHOOSE(WEEKDAY(A1658,2),"Пн","Вт","Ср","Чт","Пт","Сб","Вс"))</f>
        <v/>
      </c>
      <c r="C1658" s="59" t="n"/>
      <c r="D1658" s="59" t="n"/>
      <c r="E1658" s="60">
        <f>IF(OR(C1658="",D1658=""),"",MOD(D1658-C1658,1)*24)</f>
        <v/>
      </c>
      <c r="F1658" s="50" t="n"/>
      <c r="G1658" s="51" t="n"/>
      <c r="H1658" s="51" t="n"/>
      <c r="I1658" s="51" t="n"/>
      <c r="J1658" s="51" t="n"/>
      <c r="K1658" s="51" t="n"/>
      <c r="L1658" s="54">
        <f>IF(OR(A1658="",C1658="",D1658=""),"",IF(COUNTIFS($A$5:$A$3004,A1658,$C$5:$C$3004,"&lt;"&amp;D1658,$D$5:$D$3004,"&gt;"&amp;C1658)&gt;1,"⚠️ пересечение",""))</f>
        <v/>
      </c>
      <c r="M1658" s="54">
        <f>IF(F1658="","",IF(J1658="✅ Сделано","✔ ",IF(J1658="❌ Пропущено","✖ ","⏰ "))&amp;IF(C1658="","",RIGHT("0"&amp;HOUR(C1658),2)&amp;":"&amp;RIGHT("0"&amp;MINUTE(C1658),2)&amp;IF(D1658="","","–"&amp;RIGHT("0"&amp;HOUR(D1658),2)&amp;":"&amp;RIGHT("0"&amp;MINUTE(D1658),2))&amp;" ")&amp;F1658)</f>
        <v/>
      </c>
      <c r="N1658" s="54">
        <f>IF(OR(A1658="",F1658=""),"",A1658&amp;"#"&amp;(COUNTIFS($A$5:$A$3004,A1658,$F$5:$F$3004,"?*",$O$5:$O$3004,"&lt;"&amp;O1658)+COUNTIFS($A$5:A1658,A1658,$F$5:F1658,"?*",$O$5:O1658,O1658)))</f>
        <v/>
      </c>
      <c r="O1658" s="54">
        <f>IF(A1658="","",IF(C1658="",0,C1658))</f>
        <v/>
      </c>
    </row>
    <row r="1659">
      <c r="A1659" s="58" t="n"/>
      <c r="B1659" s="49">
        <f>IF(A1659="","",CHOOSE(WEEKDAY(A1659,2),"Пн","Вт","Ср","Чт","Пт","Сб","Вс"))</f>
        <v/>
      </c>
      <c r="C1659" s="59" t="n"/>
      <c r="D1659" s="59" t="n"/>
      <c r="E1659" s="60">
        <f>IF(OR(C1659="",D1659=""),"",MOD(D1659-C1659,1)*24)</f>
        <v/>
      </c>
      <c r="F1659" s="50" t="n"/>
      <c r="G1659" s="51" t="n"/>
      <c r="H1659" s="51" t="n"/>
      <c r="I1659" s="51" t="n"/>
      <c r="J1659" s="51" t="n"/>
      <c r="K1659" s="51" t="n"/>
      <c r="L1659" s="54">
        <f>IF(OR(A1659="",C1659="",D1659=""),"",IF(COUNTIFS($A$5:$A$3004,A1659,$C$5:$C$3004,"&lt;"&amp;D1659,$D$5:$D$3004,"&gt;"&amp;C1659)&gt;1,"⚠️ пересечение",""))</f>
        <v/>
      </c>
      <c r="M1659" s="54">
        <f>IF(F1659="","",IF(J1659="✅ Сделано","✔ ",IF(J1659="❌ Пропущено","✖ ","⏰ "))&amp;IF(C1659="","",RIGHT("0"&amp;HOUR(C1659),2)&amp;":"&amp;RIGHT("0"&amp;MINUTE(C1659),2)&amp;IF(D1659="","","–"&amp;RIGHT("0"&amp;HOUR(D1659),2)&amp;":"&amp;RIGHT("0"&amp;MINUTE(D1659),2))&amp;" ")&amp;F1659)</f>
        <v/>
      </c>
      <c r="N1659" s="54">
        <f>IF(OR(A1659="",F1659=""),"",A1659&amp;"#"&amp;(COUNTIFS($A$5:$A$3004,A1659,$F$5:$F$3004,"?*",$O$5:$O$3004,"&lt;"&amp;O1659)+COUNTIFS($A$5:A1659,A1659,$F$5:F1659,"?*",$O$5:O1659,O1659)))</f>
        <v/>
      </c>
      <c r="O1659" s="54">
        <f>IF(A1659="","",IF(C1659="",0,C1659))</f>
        <v/>
      </c>
    </row>
    <row r="1660">
      <c r="A1660" s="58" t="n"/>
      <c r="B1660" s="49">
        <f>IF(A1660="","",CHOOSE(WEEKDAY(A1660,2),"Пн","Вт","Ср","Чт","Пт","Сб","Вс"))</f>
        <v/>
      </c>
      <c r="C1660" s="59" t="n"/>
      <c r="D1660" s="59" t="n"/>
      <c r="E1660" s="60">
        <f>IF(OR(C1660="",D1660=""),"",MOD(D1660-C1660,1)*24)</f>
        <v/>
      </c>
      <c r="F1660" s="50" t="n"/>
      <c r="G1660" s="51" t="n"/>
      <c r="H1660" s="51" t="n"/>
      <c r="I1660" s="51" t="n"/>
      <c r="J1660" s="51" t="n"/>
      <c r="K1660" s="51" t="n"/>
      <c r="L1660" s="54">
        <f>IF(OR(A1660="",C1660="",D1660=""),"",IF(COUNTIFS($A$5:$A$3004,A1660,$C$5:$C$3004,"&lt;"&amp;D1660,$D$5:$D$3004,"&gt;"&amp;C1660)&gt;1,"⚠️ пересечение",""))</f>
        <v/>
      </c>
      <c r="M1660" s="54">
        <f>IF(F1660="","",IF(J1660="✅ Сделано","✔ ",IF(J1660="❌ Пропущено","✖ ","⏰ "))&amp;IF(C1660="","",RIGHT("0"&amp;HOUR(C1660),2)&amp;":"&amp;RIGHT("0"&amp;MINUTE(C1660),2)&amp;IF(D1660="","","–"&amp;RIGHT("0"&amp;HOUR(D1660),2)&amp;":"&amp;RIGHT("0"&amp;MINUTE(D1660),2))&amp;" ")&amp;F1660)</f>
        <v/>
      </c>
      <c r="N1660" s="54">
        <f>IF(OR(A1660="",F1660=""),"",A1660&amp;"#"&amp;(COUNTIFS($A$5:$A$3004,A1660,$F$5:$F$3004,"?*",$O$5:$O$3004,"&lt;"&amp;O1660)+COUNTIFS($A$5:A1660,A1660,$F$5:F1660,"?*",$O$5:O1660,O1660)))</f>
        <v/>
      </c>
      <c r="O1660" s="54">
        <f>IF(A1660="","",IF(C1660="",0,C1660))</f>
        <v/>
      </c>
    </row>
    <row r="1661">
      <c r="A1661" s="58" t="n"/>
      <c r="B1661" s="49">
        <f>IF(A1661="","",CHOOSE(WEEKDAY(A1661,2),"Пн","Вт","Ср","Чт","Пт","Сб","Вс"))</f>
        <v/>
      </c>
      <c r="C1661" s="59" t="n"/>
      <c r="D1661" s="59" t="n"/>
      <c r="E1661" s="60">
        <f>IF(OR(C1661="",D1661=""),"",MOD(D1661-C1661,1)*24)</f>
        <v/>
      </c>
      <c r="F1661" s="50" t="n"/>
      <c r="G1661" s="51" t="n"/>
      <c r="H1661" s="51" t="n"/>
      <c r="I1661" s="51" t="n"/>
      <c r="J1661" s="51" t="n"/>
      <c r="K1661" s="51" t="n"/>
      <c r="L1661" s="54">
        <f>IF(OR(A1661="",C1661="",D1661=""),"",IF(COUNTIFS($A$5:$A$3004,A1661,$C$5:$C$3004,"&lt;"&amp;D1661,$D$5:$D$3004,"&gt;"&amp;C1661)&gt;1,"⚠️ пересечение",""))</f>
        <v/>
      </c>
      <c r="M1661" s="54">
        <f>IF(F1661="","",IF(J1661="✅ Сделано","✔ ",IF(J1661="❌ Пропущено","✖ ","⏰ "))&amp;IF(C1661="","",RIGHT("0"&amp;HOUR(C1661),2)&amp;":"&amp;RIGHT("0"&amp;MINUTE(C1661),2)&amp;IF(D1661="","","–"&amp;RIGHT("0"&amp;HOUR(D1661),2)&amp;":"&amp;RIGHT("0"&amp;MINUTE(D1661),2))&amp;" ")&amp;F1661)</f>
        <v/>
      </c>
      <c r="N1661" s="54">
        <f>IF(OR(A1661="",F1661=""),"",A1661&amp;"#"&amp;(COUNTIFS($A$5:$A$3004,A1661,$F$5:$F$3004,"?*",$O$5:$O$3004,"&lt;"&amp;O1661)+COUNTIFS($A$5:A1661,A1661,$F$5:F1661,"?*",$O$5:O1661,O1661)))</f>
        <v/>
      </c>
      <c r="O1661" s="54">
        <f>IF(A1661="","",IF(C1661="",0,C1661))</f>
        <v/>
      </c>
    </row>
    <row r="1662">
      <c r="A1662" s="58" t="n"/>
      <c r="B1662" s="49">
        <f>IF(A1662="","",CHOOSE(WEEKDAY(A1662,2),"Пн","Вт","Ср","Чт","Пт","Сб","Вс"))</f>
        <v/>
      </c>
      <c r="C1662" s="59" t="n"/>
      <c r="D1662" s="59" t="n"/>
      <c r="E1662" s="60">
        <f>IF(OR(C1662="",D1662=""),"",MOD(D1662-C1662,1)*24)</f>
        <v/>
      </c>
      <c r="F1662" s="50" t="n"/>
      <c r="G1662" s="51" t="n"/>
      <c r="H1662" s="51" t="n"/>
      <c r="I1662" s="51" t="n"/>
      <c r="J1662" s="51" t="n"/>
      <c r="K1662" s="51" t="n"/>
      <c r="L1662" s="54">
        <f>IF(OR(A1662="",C1662="",D1662=""),"",IF(COUNTIFS($A$5:$A$3004,A1662,$C$5:$C$3004,"&lt;"&amp;D1662,$D$5:$D$3004,"&gt;"&amp;C1662)&gt;1,"⚠️ пересечение",""))</f>
        <v/>
      </c>
      <c r="M1662" s="54">
        <f>IF(F1662="","",IF(J1662="✅ Сделано","✔ ",IF(J1662="❌ Пропущено","✖ ","⏰ "))&amp;IF(C1662="","",RIGHT("0"&amp;HOUR(C1662),2)&amp;":"&amp;RIGHT("0"&amp;MINUTE(C1662),2)&amp;IF(D1662="","","–"&amp;RIGHT("0"&amp;HOUR(D1662),2)&amp;":"&amp;RIGHT("0"&amp;MINUTE(D1662),2))&amp;" ")&amp;F1662)</f>
        <v/>
      </c>
      <c r="N1662" s="54">
        <f>IF(OR(A1662="",F1662=""),"",A1662&amp;"#"&amp;(COUNTIFS($A$5:$A$3004,A1662,$F$5:$F$3004,"?*",$O$5:$O$3004,"&lt;"&amp;O1662)+COUNTIFS($A$5:A1662,A1662,$F$5:F1662,"?*",$O$5:O1662,O1662)))</f>
        <v/>
      </c>
      <c r="O1662" s="54">
        <f>IF(A1662="","",IF(C1662="",0,C1662))</f>
        <v/>
      </c>
    </row>
    <row r="1663">
      <c r="A1663" s="58" t="n"/>
      <c r="B1663" s="49">
        <f>IF(A1663="","",CHOOSE(WEEKDAY(A1663,2),"Пн","Вт","Ср","Чт","Пт","Сб","Вс"))</f>
        <v/>
      </c>
      <c r="C1663" s="59" t="n"/>
      <c r="D1663" s="59" t="n"/>
      <c r="E1663" s="60">
        <f>IF(OR(C1663="",D1663=""),"",MOD(D1663-C1663,1)*24)</f>
        <v/>
      </c>
      <c r="F1663" s="50" t="n"/>
      <c r="G1663" s="51" t="n"/>
      <c r="H1663" s="51" t="n"/>
      <c r="I1663" s="51" t="n"/>
      <c r="J1663" s="51" t="n"/>
      <c r="K1663" s="51" t="n"/>
      <c r="L1663" s="54">
        <f>IF(OR(A1663="",C1663="",D1663=""),"",IF(COUNTIFS($A$5:$A$3004,A1663,$C$5:$C$3004,"&lt;"&amp;D1663,$D$5:$D$3004,"&gt;"&amp;C1663)&gt;1,"⚠️ пересечение",""))</f>
        <v/>
      </c>
      <c r="M1663" s="54">
        <f>IF(F1663="","",IF(J1663="✅ Сделано","✔ ",IF(J1663="❌ Пропущено","✖ ","⏰ "))&amp;IF(C1663="","",RIGHT("0"&amp;HOUR(C1663),2)&amp;":"&amp;RIGHT("0"&amp;MINUTE(C1663),2)&amp;IF(D1663="","","–"&amp;RIGHT("0"&amp;HOUR(D1663),2)&amp;":"&amp;RIGHT("0"&amp;MINUTE(D1663),2))&amp;" ")&amp;F1663)</f>
        <v/>
      </c>
      <c r="N1663" s="54">
        <f>IF(OR(A1663="",F1663=""),"",A1663&amp;"#"&amp;(COUNTIFS($A$5:$A$3004,A1663,$F$5:$F$3004,"?*",$O$5:$O$3004,"&lt;"&amp;O1663)+COUNTIFS($A$5:A1663,A1663,$F$5:F1663,"?*",$O$5:O1663,O1663)))</f>
        <v/>
      </c>
      <c r="O1663" s="54">
        <f>IF(A1663="","",IF(C1663="",0,C1663))</f>
        <v/>
      </c>
    </row>
    <row r="1664">
      <c r="A1664" s="58" t="n"/>
      <c r="B1664" s="49">
        <f>IF(A1664="","",CHOOSE(WEEKDAY(A1664,2),"Пн","Вт","Ср","Чт","Пт","Сб","Вс"))</f>
        <v/>
      </c>
      <c r="C1664" s="59" t="n"/>
      <c r="D1664" s="59" t="n"/>
      <c r="E1664" s="60">
        <f>IF(OR(C1664="",D1664=""),"",MOD(D1664-C1664,1)*24)</f>
        <v/>
      </c>
      <c r="F1664" s="50" t="n"/>
      <c r="G1664" s="51" t="n"/>
      <c r="H1664" s="51" t="n"/>
      <c r="I1664" s="51" t="n"/>
      <c r="J1664" s="51" t="n"/>
      <c r="K1664" s="51" t="n"/>
      <c r="L1664" s="54">
        <f>IF(OR(A1664="",C1664="",D1664=""),"",IF(COUNTIFS($A$5:$A$3004,A1664,$C$5:$C$3004,"&lt;"&amp;D1664,$D$5:$D$3004,"&gt;"&amp;C1664)&gt;1,"⚠️ пересечение",""))</f>
        <v/>
      </c>
      <c r="M1664" s="54">
        <f>IF(F1664="","",IF(J1664="✅ Сделано","✔ ",IF(J1664="❌ Пропущено","✖ ","⏰ "))&amp;IF(C1664="","",RIGHT("0"&amp;HOUR(C1664),2)&amp;":"&amp;RIGHT("0"&amp;MINUTE(C1664),2)&amp;IF(D1664="","","–"&amp;RIGHT("0"&amp;HOUR(D1664),2)&amp;":"&amp;RIGHT("0"&amp;MINUTE(D1664),2))&amp;" ")&amp;F1664)</f>
        <v/>
      </c>
      <c r="N1664" s="54">
        <f>IF(OR(A1664="",F1664=""),"",A1664&amp;"#"&amp;(COUNTIFS($A$5:$A$3004,A1664,$F$5:$F$3004,"?*",$O$5:$O$3004,"&lt;"&amp;O1664)+COUNTIFS($A$5:A1664,A1664,$F$5:F1664,"?*",$O$5:O1664,O1664)))</f>
        <v/>
      </c>
      <c r="O1664" s="54">
        <f>IF(A1664="","",IF(C1664="",0,C1664))</f>
        <v/>
      </c>
    </row>
    <row r="1665">
      <c r="A1665" s="58" t="n"/>
      <c r="B1665" s="49">
        <f>IF(A1665="","",CHOOSE(WEEKDAY(A1665,2),"Пн","Вт","Ср","Чт","Пт","Сб","Вс"))</f>
        <v/>
      </c>
      <c r="C1665" s="59" t="n"/>
      <c r="D1665" s="59" t="n"/>
      <c r="E1665" s="60">
        <f>IF(OR(C1665="",D1665=""),"",MOD(D1665-C1665,1)*24)</f>
        <v/>
      </c>
      <c r="F1665" s="50" t="n"/>
      <c r="G1665" s="51" t="n"/>
      <c r="H1665" s="51" t="n"/>
      <c r="I1665" s="51" t="n"/>
      <c r="J1665" s="51" t="n"/>
      <c r="K1665" s="51" t="n"/>
      <c r="L1665" s="54">
        <f>IF(OR(A1665="",C1665="",D1665=""),"",IF(COUNTIFS($A$5:$A$3004,A1665,$C$5:$C$3004,"&lt;"&amp;D1665,$D$5:$D$3004,"&gt;"&amp;C1665)&gt;1,"⚠️ пересечение",""))</f>
        <v/>
      </c>
      <c r="M1665" s="54">
        <f>IF(F1665="","",IF(J1665="✅ Сделано","✔ ",IF(J1665="❌ Пропущено","✖ ","⏰ "))&amp;IF(C1665="","",RIGHT("0"&amp;HOUR(C1665),2)&amp;":"&amp;RIGHT("0"&amp;MINUTE(C1665),2)&amp;IF(D1665="","","–"&amp;RIGHT("0"&amp;HOUR(D1665),2)&amp;":"&amp;RIGHT("0"&amp;MINUTE(D1665),2))&amp;" ")&amp;F1665)</f>
        <v/>
      </c>
      <c r="N1665" s="54">
        <f>IF(OR(A1665="",F1665=""),"",A1665&amp;"#"&amp;(COUNTIFS($A$5:$A$3004,A1665,$F$5:$F$3004,"?*",$O$5:$O$3004,"&lt;"&amp;O1665)+COUNTIFS($A$5:A1665,A1665,$F$5:F1665,"?*",$O$5:O1665,O1665)))</f>
        <v/>
      </c>
      <c r="O1665" s="54">
        <f>IF(A1665="","",IF(C1665="",0,C1665))</f>
        <v/>
      </c>
    </row>
    <row r="1666">
      <c r="A1666" s="58" t="n"/>
      <c r="B1666" s="49">
        <f>IF(A1666="","",CHOOSE(WEEKDAY(A1666,2),"Пн","Вт","Ср","Чт","Пт","Сб","Вс"))</f>
        <v/>
      </c>
      <c r="C1666" s="59" t="n"/>
      <c r="D1666" s="59" t="n"/>
      <c r="E1666" s="60">
        <f>IF(OR(C1666="",D1666=""),"",MOD(D1666-C1666,1)*24)</f>
        <v/>
      </c>
      <c r="F1666" s="50" t="n"/>
      <c r="G1666" s="51" t="n"/>
      <c r="H1666" s="51" t="n"/>
      <c r="I1666" s="51" t="n"/>
      <c r="J1666" s="51" t="n"/>
      <c r="K1666" s="51" t="n"/>
      <c r="L1666" s="54">
        <f>IF(OR(A1666="",C1666="",D1666=""),"",IF(COUNTIFS($A$5:$A$3004,A1666,$C$5:$C$3004,"&lt;"&amp;D1666,$D$5:$D$3004,"&gt;"&amp;C1666)&gt;1,"⚠️ пересечение",""))</f>
        <v/>
      </c>
      <c r="M1666" s="54">
        <f>IF(F1666="","",IF(J1666="✅ Сделано","✔ ",IF(J1666="❌ Пропущено","✖ ","⏰ "))&amp;IF(C1666="","",RIGHT("0"&amp;HOUR(C1666),2)&amp;":"&amp;RIGHT("0"&amp;MINUTE(C1666),2)&amp;IF(D1666="","","–"&amp;RIGHT("0"&amp;HOUR(D1666),2)&amp;":"&amp;RIGHT("0"&amp;MINUTE(D1666),2))&amp;" ")&amp;F1666)</f>
        <v/>
      </c>
      <c r="N1666" s="54">
        <f>IF(OR(A1666="",F1666=""),"",A1666&amp;"#"&amp;(COUNTIFS($A$5:$A$3004,A1666,$F$5:$F$3004,"?*",$O$5:$O$3004,"&lt;"&amp;O1666)+COUNTIFS($A$5:A1666,A1666,$F$5:F1666,"?*",$O$5:O1666,O1666)))</f>
        <v/>
      </c>
      <c r="O1666" s="54">
        <f>IF(A1666="","",IF(C1666="",0,C1666))</f>
        <v/>
      </c>
    </row>
    <row r="1667">
      <c r="A1667" s="58" t="n"/>
      <c r="B1667" s="49">
        <f>IF(A1667="","",CHOOSE(WEEKDAY(A1667,2),"Пн","Вт","Ср","Чт","Пт","Сб","Вс"))</f>
        <v/>
      </c>
      <c r="C1667" s="59" t="n"/>
      <c r="D1667" s="59" t="n"/>
      <c r="E1667" s="60">
        <f>IF(OR(C1667="",D1667=""),"",MOD(D1667-C1667,1)*24)</f>
        <v/>
      </c>
      <c r="F1667" s="50" t="n"/>
      <c r="G1667" s="51" t="n"/>
      <c r="H1667" s="51" t="n"/>
      <c r="I1667" s="51" t="n"/>
      <c r="J1667" s="51" t="n"/>
      <c r="K1667" s="51" t="n"/>
      <c r="L1667" s="54">
        <f>IF(OR(A1667="",C1667="",D1667=""),"",IF(COUNTIFS($A$5:$A$3004,A1667,$C$5:$C$3004,"&lt;"&amp;D1667,$D$5:$D$3004,"&gt;"&amp;C1667)&gt;1,"⚠️ пересечение",""))</f>
        <v/>
      </c>
      <c r="M1667" s="54">
        <f>IF(F1667="","",IF(J1667="✅ Сделано","✔ ",IF(J1667="❌ Пропущено","✖ ","⏰ "))&amp;IF(C1667="","",RIGHT("0"&amp;HOUR(C1667),2)&amp;":"&amp;RIGHT("0"&amp;MINUTE(C1667),2)&amp;IF(D1667="","","–"&amp;RIGHT("0"&amp;HOUR(D1667),2)&amp;":"&amp;RIGHT("0"&amp;MINUTE(D1667),2))&amp;" ")&amp;F1667)</f>
        <v/>
      </c>
      <c r="N1667" s="54">
        <f>IF(OR(A1667="",F1667=""),"",A1667&amp;"#"&amp;(COUNTIFS($A$5:$A$3004,A1667,$F$5:$F$3004,"?*",$O$5:$O$3004,"&lt;"&amp;O1667)+COUNTIFS($A$5:A1667,A1667,$F$5:F1667,"?*",$O$5:O1667,O1667)))</f>
        <v/>
      </c>
      <c r="O1667" s="54">
        <f>IF(A1667="","",IF(C1667="",0,C1667))</f>
        <v/>
      </c>
    </row>
    <row r="1668">
      <c r="A1668" s="58" t="n"/>
      <c r="B1668" s="49">
        <f>IF(A1668="","",CHOOSE(WEEKDAY(A1668,2),"Пн","Вт","Ср","Чт","Пт","Сб","Вс"))</f>
        <v/>
      </c>
      <c r="C1668" s="59" t="n"/>
      <c r="D1668" s="59" t="n"/>
      <c r="E1668" s="60">
        <f>IF(OR(C1668="",D1668=""),"",MOD(D1668-C1668,1)*24)</f>
        <v/>
      </c>
      <c r="F1668" s="50" t="n"/>
      <c r="G1668" s="51" t="n"/>
      <c r="H1668" s="51" t="n"/>
      <c r="I1668" s="51" t="n"/>
      <c r="J1668" s="51" t="n"/>
      <c r="K1668" s="51" t="n"/>
      <c r="L1668" s="54">
        <f>IF(OR(A1668="",C1668="",D1668=""),"",IF(COUNTIFS($A$5:$A$3004,A1668,$C$5:$C$3004,"&lt;"&amp;D1668,$D$5:$D$3004,"&gt;"&amp;C1668)&gt;1,"⚠️ пересечение",""))</f>
        <v/>
      </c>
      <c r="M1668" s="54">
        <f>IF(F1668="","",IF(J1668="✅ Сделано","✔ ",IF(J1668="❌ Пропущено","✖ ","⏰ "))&amp;IF(C1668="","",RIGHT("0"&amp;HOUR(C1668),2)&amp;":"&amp;RIGHT("0"&amp;MINUTE(C1668),2)&amp;IF(D1668="","","–"&amp;RIGHT("0"&amp;HOUR(D1668),2)&amp;":"&amp;RIGHT("0"&amp;MINUTE(D1668),2))&amp;" ")&amp;F1668)</f>
        <v/>
      </c>
      <c r="N1668" s="54">
        <f>IF(OR(A1668="",F1668=""),"",A1668&amp;"#"&amp;(COUNTIFS($A$5:$A$3004,A1668,$F$5:$F$3004,"?*",$O$5:$O$3004,"&lt;"&amp;O1668)+COUNTIFS($A$5:A1668,A1668,$F$5:F1668,"?*",$O$5:O1668,O1668)))</f>
        <v/>
      </c>
      <c r="O1668" s="54">
        <f>IF(A1668="","",IF(C1668="",0,C1668))</f>
        <v/>
      </c>
    </row>
    <row r="1669">
      <c r="A1669" s="58" t="n"/>
      <c r="B1669" s="49">
        <f>IF(A1669="","",CHOOSE(WEEKDAY(A1669,2),"Пн","Вт","Ср","Чт","Пт","Сб","Вс"))</f>
        <v/>
      </c>
      <c r="C1669" s="59" t="n"/>
      <c r="D1669" s="59" t="n"/>
      <c r="E1669" s="60">
        <f>IF(OR(C1669="",D1669=""),"",MOD(D1669-C1669,1)*24)</f>
        <v/>
      </c>
      <c r="F1669" s="50" t="n"/>
      <c r="G1669" s="51" t="n"/>
      <c r="H1669" s="51" t="n"/>
      <c r="I1669" s="51" t="n"/>
      <c r="J1669" s="51" t="n"/>
      <c r="K1669" s="51" t="n"/>
      <c r="L1669" s="54">
        <f>IF(OR(A1669="",C1669="",D1669=""),"",IF(COUNTIFS($A$5:$A$3004,A1669,$C$5:$C$3004,"&lt;"&amp;D1669,$D$5:$D$3004,"&gt;"&amp;C1669)&gt;1,"⚠️ пересечение",""))</f>
        <v/>
      </c>
      <c r="M1669" s="54">
        <f>IF(F1669="","",IF(J1669="✅ Сделано","✔ ",IF(J1669="❌ Пропущено","✖ ","⏰ "))&amp;IF(C1669="","",RIGHT("0"&amp;HOUR(C1669),2)&amp;":"&amp;RIGHT("0"&amp;MINUTE(C1669),2)&amp;IF(D1669="","","–"&amp;RIGHT("0"&amp;HOUR(D1669),2)&amp;":"&amp;RIGHT("0"&amp;MINUTE(D1669),2))&amp;" ")&amp;F1669)</f>
        <v/>
      </c>
      <c r="N1669" s="54">
        <f>IF(OR(A1669="",F1669=""),"",A1669&amp;"#"&amp;(COUNTIFS($A$5:$A$3004,A1669,$F$5:$F$3004,"?*",$O$5:$O$3004,"&lt;"&amp;O1669)+COUNTIFS($A$5:A1669,A1669,$F$5:F1669,"?*",$O$5:O1669,O1669)))</f>
        <v/>
      </c>
      <c r="O1669" s="54">
        <f>IF(A1669="","",IF(C1669="",0,C1669))</f>
        <v/>
      </c>
    </row>
    <row r="1670">
      <c r="A1670" s="58" t="n"/>
      <c r="B1670" s="49">
        <f>IF(A1670="","",CHOOSE(WEEKDAY(A1670,2),"Пн","Вт","Ср","Чт","Пт","Сб","Вс"))</f>
        <v/>
      </c>
      <c r="C1670" s="59" t="n"/>
      <c r="D1670" s="59" t="n"/>
      <c r="E1670" s="60">
        <f>IF(OR(C1670="",D1670=""),"",MOD(D1670-C1670,1)*24)</f>
        <v/>
      </c>
      <c r="F1670" s="50" t="n"/>
      <c r="G1670" s="51" t="n"/>
      <c r="H1670" s="51" t="n"/>
      <c r="I1670" s="51" t="n"/>
      <c r="J1670" s="51" t="n"/>
      <c r="K1670" s="51" t="n"/>
      <c r="L1670" s="54">
        <f>IF(OR(A1670="",C1670="",D1670=""),"",IF(COUNTIFS($A$5:$A$3004,A1670,$C$5:$C$3004,"&lt;"&amp;D1670,$D$5:$D$3004,"&gt;"&amp;C1670)&gt;1,"⚠️ пересечение",""))</f>
        <v/>
      </c>
      <c r="M1670" s="54">
        <f>IF(F1670="","",IF(J1670="✅ Сделано","✔ ",IF(J1670="❌ Пропущено","✖ ","⏰ "))&amp;IF(C1670="","",RIGHT("0"&amp;HOUR(C1670),2)&amp;":"&amp;RIGHT("0"&amp;MINUTE(C1670),2)&amp;IF(D1670="","","–"&amp;RIGHT("0"&amp;HOUR(D1670),2)&amp;":"&amp;RIGHT("0"&amp;MINUTE(D1670),2))&amp;" ")&amp;F1670)</f>
        <v/>
      </c>
      <c r="N1670" s="54">
        <f>IF(OR(A1670="",F1670=""),"",A1670&amp;"#"&amp;(COUNTIFS($A$5:$A$3004,A1670,$F$5:$F$3004,"?*",$O$5:$O$3004,"&lt;"&amp;O1670)+COUNTIFS($A$5:A1670,A1670,$F$5:F1670,"?*",$O$5:O1670,O1670)))</f>
        <v/>
      </c>
      <c r="O1670" s="54">
        <f>IF(A1670="","",IF(C1670="",0,C1670))</f>
        <v/>
      </c>
    </row>
    <row r="1671">
      <c r="A1671" s="58" t="n"/>
      <c r="B1671" s="49">
        <f>IF(A1671="","",CHOOSE(WEEKDAY(A1671,2),"Пн","Вт","Ср","Чт","Пт","Сб","Вс"))</f>
        <v/>
      </c>
      <c r="C1671" s="59" t="n"/>
      <c r="D1671" s="59" t="n"/>
      <c r="E1671" s="60">
        <f>IF(OR(C1671="",D1671=""),"",MOD(D1671-C1671,1)*24)</f>
        <v/>
      </c>
      <c r="F1671" s="50" t="n"/>
      <c r="G1671" s="51" t="n"/>
      <c r="H1671" s="51" t="n"/>
      <c r="I1671" s="51" t="n"/>
      <c r="J1671" s="51" t="n"/>
      <c r="K1671" s="51" t="n"/>
      <c r="L1671" s="54">
        <f>IF(OR(A1671="",C1671="",D1671=""),"",IF(COUNTIFS($A$5:$A$3004,A1671,$C$5:$C$3004,"&lt;"&amp;D1671,$D$5:$D$3004,"&gt;"&amp;C1671)&gt;1,"⚠️ пересечение",""))</f>
        <v/>
      </c>
      <c r="M1671" s="54">
        <f>IF(F1671="","",IF(J1671="✅ Сделано","✔ ",IF(J1671="❌ Пропущено","✖ ","⏰ "))&amp;IF(C1671="","",RIGHT("0"&amp;HOUR(C1671),2)&amp;":"&amp;RIGHT("0"&amp;MINUTE(C1671),2)&amp;IF(D1671="","","–"&amp;RIGHT("0"&amp;HOUR(D1671),2)&amp;":"&amp;RIGHT("0"&amp;MINUTE(D1671),2))&amp;" ")&amp;F1671)</f>
        <v/>
      </c>
      <c r="N1671" s="54">
        <f>IF(OR(A1671="",F1671=""),"",A1671&amp;"#"&amp;(COUNTIFS($A$5:$A$3004,A1671,$F$5:$F$3004,"?*",$O$5:$O$3004,"&lt;"&amp;O1671)+COUNTIFS($A$5:A1671,A1671,$F$5:F1671,"?*",$O$5:O1671,O1671)))</f>
        <v/>
      </c>
      <c r="O1671" s="54">
        <f>IF(A1671="","",IF(C1671="",0,C1671))</f>
        <v/>
      </c>
    </row>
    <row r="1672">
      <c r="A1672" s="58" t="n"/>
      <c r="B1672" s="49">
        <f>IF(A1672="","",CHOOSE(WEEKDAY(A1672,2),"Пн","Вт","Ср","Чт","Пт","Сб","Вс"))</f>
        <v/>
      </c>
      <c r="C1672" s="59" t="n"/>
      <c r="D1672" s="59" t="n"/>
      <c r="E1672" s="60">
        <f>IF(OR(C1672="",D1672=""),"",MOD(D1672-C1672,1)*24)</f>
        <v/>
      </c>
      <c r="F1672" s="50" t="n"/>
      <c r="G1672" s="51" t="n"/>
      <c r="H1672" s="51" t="n"/>
      <c r="I1672" s="51" t="n"/>
      <c r="J1672" s="51" t="n"/>
      <c r="K1672" s="51" t="n"/>
      <c r="L1672" s="54">
        <f>IF(OR(A1672="",C1672="",D1672=""),"",IF(COUNTIFS($A$5:$A$3004,A1672,$C$5:$C$3004,"&lt;"&amp;D1672,$D$5:$D$3004,"&gt;"&amp;C1672)&gt;1,"⚠️ пересечение",""))</f>
        <v/>
      </c>
      <c r="M1672" s="54">
        <f>IF(F1672="","",IF(J1672="✅ Сделано","✔ ",IF(J1672="❌ Пропущено","✖ ","⏰ "))&amp;IF(C1672="","",RIGHT("0"&amp;HOUR(C1672),2)&amp;":"&amp;RIGHT("0"&amp;MINUTE(C1672),2)&amp;IF(D1672="","","–"&amp;RIGHT("0"&amp;HOUR(D1672),2)&amp;":"&amp;RIGHT("0"&amp;MINUTE(D1672),2))&amp;" ")&amp;F1672)</f>
        <v/>
      </c>
      <c r="N1672" s="54">
        <f>IF(OR(A1672="",F1672=""),"",A1672&amp;"#"&amp;(COUNTIFS($A$5:$A$3004,A1672,$F$5:$F$3004,"?*",$O$5:$O$3004,"&lt;"&amp;O1672)+COUNTIFS($A$5:A1672,A1672,$F$5:F1672,"?*",$O$5:O1672,O1672)))</f>
        <v/>
      </c>
      <c r="O1672" s="54">
        <f>IF(A1672="","",IF(C1672="",0,C1672))</f>
        <v/>
      </c>
    </row>
    <row r="1673">
      <c r="A1673" s="58" t="n"/>
      <c r="B1673" s="49">
        <f>IF(A1673="","",CHOOSE(WEEKDAY(A1673,2),"Пн","Вт","Ср","Чт","Пт","Сб","Вс"))</f>
        <v/>
      </c>
      <c r="C1673" s="59" t="n"/>
      <c r="D1673" s="59" t="n"/>
      <c r="E1673" s="60">
        <f>IF(OR(C1673="",D1673=""),"",MOD(D1673-C1673,1)*24)</f>
        <v/>
      </c>
      <c r="F1673" s="50" t="n"/>
      <c r="G1673" s="51" t="n"/>
      <c r="H1673" s="51" t="n"/>
      <c r="I1673" s="51" t="n"/>
      <c r="J1673" s="51" t="n"/>
      <c r="K1673" s="51" t="n"/>
      <c r="L1673" s="54">
        <f>IF(OR(A1673="",C1673="",D1673=""),"",IF(COUNTIFS($A$5:$A$3004,A1673,$C$5:$C$3004,"&lt;"&amp;D1673,$D$5:$D$3004,"&gt;"&amp;C1673)&gt;1,"⚠️ пересечение",""))</f>
        <v/>
      </c>
      <c r="M1673" s="54">
        <f>IF(F1673="","",IF(J1673="✅ Сделано","✔ ",IF(J1673="❌ Пропущено","✖ ","⏰ "))&amp;IF(C1673="","",RIGHT("0"&amp;HOUR(C1673),2)&amp;":"&amp;RIGHT("0"&amp;MINUTE(C1673),2)&amp;IF(D1673="","","–"&amp;RIGHT("0"&amp;HOUR(D1673),2)&amp;":"&amp;RIGHT("0"&amp;MINUTE(D1673),2))&amp;" ")&amp;F1673)</f>
        <v/>
      </c>
      <c r="N1673" s="54">
        <f>IF(OR(A1673="",F1673=""),"",A1673&amp;"#"&amp;(COUNTIFS($A$5:$A$3004,A1673,$F$5:$F$3004,"?*",$O$5:$O$3004,"&lt;"&amp;O1673)+COUNTIFS($A$5:A1673,A1673,$F$5:F1673,"?*",$O$5:O1673,O1673)))</f>
        <v/>
      </c>
      <c r="O1673" s="54">
        <f>IF(A1673="","",IF(C1673="",0,C1673))</f>
        <v/>
      </c>
    </row>
    <row r="1674">
      <c r="A1674" s="58" t="n"/>
      <c r="B1674" s="49">
        <f>IF(A1674="","",CHOOSE(WEEKDAY(A1674,2),"Пн","Вт","Ср","Чт","Пт","Сб","Вс"))</f>
        <v/>
      </c>
      <c r="C1674" s="59" t="n"/>
      <c r="D1674" s="59" t="n"/>
      <c r="E1674" s="60">
        <f>IF(OR(C1674="",D1674=""),"",MOD(D1674-C1674,1)*24)</f>
        <v/>
      </c>
      <c r="F1674" s="50" t="n"/>
      <c r="G1674" s="51" t="n"/>
      <c r="H1674" s="51" t="n"/>
      <c r="I1674" s="51" t="n"/>
      <c r="J1674" s="51" t="n"/>
      <c r="K1674" s="51" t="n"/>
      <c r="L1674" s="54">
        <f>IF(OR(A1674="",C1674="",D1674=""),"",IF(COUNTIFS($A$5:$A$3004,A1674,$C$5:$C$3004,"&lt;"&amp;D1674,$D$5:$D$3004,"&gt;"&amp;C1674)&gt;1,"⚠️ пересечение",""))</f>
        <v/>
      </c>
      <c r="M1674" s="54">
        <f>IF(F1674="","",IF(J1674="✅ Сделано","✔ ",IF(J1674="❌ Пропущено","✖ ","⏰ "))&amp;IF(C1674="","",RIGHT("0"&amp;HOUR(C1674),2)&amp;":"&amp;RIGHT("0"&amp;MINUTE(C1674),2)&amp;IF(D1674="","","–"&amp;RIGHT("0"&amp;HOUR(D1674),2)&amp;":"&amp;RIGHT("0"&amp;MINUTE(D1674),2))&amp;" ")&amp;F1674)</f>
        <v/>
      </c>
      <c r="N1674" s="54">
        <f>IF(OR(A1674="",F1674=""),"",A1674&amp;"#"&amp;(COUNTIFS($A$5:$A$3004,A1674,$F$5:$F$3004,"?*",$O$5:$O$3004,"&lt;"&amp;O1674)+COUNTIFS($A$5:A1674,A1674,$F$5:F1674,"?*",$O$5:O1674,O1674)))</f>
        <v/>
      </c>
      <c r="O1674" s="54">
        <f>IF(A1674="","",IF(C1674="",0,C1674))</f>
        <v/>
      </c>
    </row>
    <row r="1675">
      <c r="A1675" s="58" t="n"/>
      <c r="B1675" s="49">
        <f>IF(A1675="","",CHOOSE(WEEKDAY(A1675,2),"Пн","Вт","Ср","Чт","Пт","Сб","Вс"))</f>
        <v/>
      </c>
      <c r="C1675" s="59" t="n"/>
      <c r="D1675" s="59" t="n"/>
      <c r="E1675" s="60">
        <f>IF(OR(C1675="",D1675=""),"",MOD(D1675-C1675,1)*24)</f>
        <v/>
      </c>
      <c r="F1675" s="50" t="n"/>
      <c r="G1675" s="51" t="n"/>
      <c r="H1675" s="51" t="n"/>
      <c r="I1675" s="51" t="n"/>
      <c r="J1675" s="51" t="n"/>
      <c r="K1675" s="51" t="n"/>
      <c r="L1675" s="54">
        <f>IF(OR(A1675="",C1675="",D1675=""),"",IF(COUNTIFS($A$5:$A$3004,A1675,$C$5:$C$3004,"&lt;"&amp;D1675,$D$5:$D$3004,"&gt;"&amp;C1675)&gt;1,"⚠️ пересечение",""))</f>
        <v/>
      </c>
      <c r="M1675" s="54">
        <f>IF(F1675="","",IF(J1675="✅ Сделано","✔ ",IF(J1675="❌ Пропущено","✖ ","⏰ "))&amp;IF(C1675="","",RIGHT("0"&amp;HOUR(C1675),2)&amp;":"&amp;RIGHT("0"&amp;MINUTE(C1675),2)&amp;IF(D1675="","","–"&amp;RIGHT("0"&amp;HOUR(D1675),2)&amp;":"&amp;RIGHT("0"&amp;MINUTE(D1675),2))&amp;" ")&amp;F1675)</f>
        <v/>
      </c>
      <c r="N1675" s="54">
        <f>IF(OR(A1675="",F1675=""),"",A1675&amp;"#"&amp;(COUNTIFS($A$5:$A$3004,A1675,$F$5:$F$3004,"?*",$O$5:$O$3004,"&lt;"&amp;O1675)+COUNTIFS($A$5:A1675,A1675,$F$5:F1675,"?*",$O$5:O1675,O1675)))</f>
        <v/>
      </c>
      <c r="O1675" s="54">
        <f>IF(A1675="","",IF(C1675="",0,C1675))</f>
        <v/>
      </c>
    </row>
    <row r="1676">
      <c r="A1676" s="58" t="n"/>
      <c r="B1676" s="49">
        <f>IF(A1676="","",CHOOSE(WEEKDAY(A1676,2),"Пн","Вт","Ср","Чт","Пт","Сб","Вс"))</f>
        <v/>
      </c>
      <c r="C1676" s="59" t="n"/>
      <c r="D1676" s="59" t="n"/>
      <c r="E1676" s="60">
        <f>IF(OR(C1676="",D1676=""),"",MOD(D1676-C1676,1)*24)</f>
        <v/>
      </c>
      <c r="F1676" s="50" t="n"/>
      <c r="G1676" s="51" t="n"/>
      <c r="H1676" s="51" t="n"/>
      <c r="I1676" s="51" t="n"/>
      <c r="J1676" s="51" t="n"/>
      <c r="K1676" s="51" t="n"/>
      <c r="L1676" s="54">
        <f>IF(OR(A1676="",C1676="",D1676=""),"",IF(COUNTIFS($A$5:$A$3004,A1676,$C$5:$C$3004,"&lt;"&amp;D1676,$D$5:$D$3004,"&gt;"&amp;C1676)&gt;1,"⚠️ пересечение",""))</f>
        <v/>
      </c>
      <c r="M1676" s="54">
        <f>IF(F1676="","",IF(J1676="✅ Сделано","✔ ",IF(J1676="❌ Пропущено","✖ ","⏰ "))&amp;IF(C1676="","",RIGHT("0"&amp;HOUR(C1676),2)&amp;":"&amp;RIGHT("0"&amp;MINUTE(C1676),2)&amp;IF(D1676="","","–"&amp;RIGHT("0"&amp;HOUR(D1676),2)&amp;":"&amp;RIGHT("0"&amp;MINUTE(D1676),2))&amp;" ")&amp;F1676)</f>
        <v/>
      </c>
      <c r="N1676" s="54">
        <f>IF(OR(A1676="",F1676=""),"",A1676&amp;"#"&amp;(COUNTIFS($A$5:$A$3004,A1676,$F$5:$F$3004,"?*",$O$5:$O$3004,"&lt;"&amp;O1676)+COUNTIFS($A$5:A1676,A1676,$F$5:F1676,"?*",$O$5:O1676,O1676)))</f>
        <v/>
      </c>
      <c r="O1676" s="54">
        <f>IF(A1676="","",IF(C1676="",0,C1676))</f>
        <v/>
      </c>
    </row>
    <row r="1677">
      <c r="A1677" s="58" t="n"/>
      <c r="B1677" s="49">
        <f>IF(A1677="","",CHOOSE(WEEKDAY(A1677,2),"Пн","Вт","Ср","Чт","Пт","Сб","Вс"))</f>
        <v/>
      </c>
      <c r="C1677" s="59" t="n"/>
      <c r="D1677" s="59" t="n"/>
      <c r="E1677" s="60">
        <f>IF(OR(C1677="",D1677=""),"",MOD(D1677-C1677,1)*24)</f>
        <v/>
      </c>
      <c r="F1677" s="50" t="n"/>
      <c r="G1677" s="51" t="n"/>
      <c r="H1677" s="51" t="n"/>
      <c r="I1677" s="51" t="n"/>
      <c r="J1677" s="51" t="n"/>
      <c r="K1677" s="51" t="n"/>
      <c r="L1677" s="54">
        <f>IF(OR(A1677="",C1677="",D1677=""),"",IF(COUNTIFS($A$5:$A$3004,A1677,$C$5:$C$3004,"&lt;"&amp;D1677,$D$5:$D$3004,"&gt;"&amp;C1677)&gt;1,"⚠️ пересечение",""))</f>
        <v/>
      </c>
      <c r="M1677" s="54">
        <f>IF(F1677="","",IF(J1677="✅ Сделано","✔ ",IF(J1677="❌ Пропущено","✖ ","⏰ "))&amp;IF(C1677="","",RIGHT("0"&amp;HOUR(C1677),2)&amp;":"&amp;RIGHT("0"&amp;MINUTE(C1677),2)&amp;IF(D1677="","","–"&amp;RIGHT("0"&amp;HOUR(D1677),2)&amp;":"&amp;RIGHT("0"&amp;MINUTE(D1677),2))&amp;" ")&amp;F1677)</f>
        <v/>
      </c>
      <c r="N1677" s="54">
        <f>IF(OR(A1677="",F1677=""),"",A1677&amp;"#"&amp;(COUNTIFS($A$5:$A$3004,A1677,$F$5:$F$3004,"?*",$O$5:$O$3004,"&lt;"&amp;O1677)+COUNTIFS($A$5:A1677,A1677,$F$5:F1677,"?*",$O$5:O1677,O1677)))</f>
        <v/>
      </c>
      <c r="O1677" s="54">
        <f>IF(A1677="","",IF(C1677="",0,C1677))</f>
        <v/>
      </c>
    </row>
    <row r="1678">
      <c r="A1678" s="58" t="n"/>
      <c r="B1678" s="49">
        <f>IF(A1678="","",CHOOSE(WEEKDAY(A1678,2),"Пн","Вт","Ср","Чт","Пт","Сб","Вс"))</f>
        <v/>
      </c>
      <c r="C1678" s="59" t="n"/>
      <c r="D1678" s="59" t="n"/>
      <c r="E1678" s="60">
        <f>IF(OR(C1678="",D1678=""),"",MOD(D1678-C1678,1)*24)</f>
        <v/>
      </c>
      <c r="F1678" s="50" t="n"/>
      <c r="G1678" s="51" t="n"/>
      <c r="H1678" s="51" t="n"/>
      <c r="I1678" s="51" t="n"/>
      <c r="J1678" s="51" t="n"/>
      <c r="K1678" s="51" t="n"/>
      <c r="L1678" s="54">
        <f>IF(OR(A1678="",C1678="",D1678=""),"",IF(COUNTIFS($A$5:$A$3004,A1678,$C$5:$C$3004,"&lt;"&amp;D1678,$D$5:$D$3004,"&gt;"&amp;C1678)&gt;1,"⚠️ пересечение",""))</f>
        <v/>
      </c>
      <c r="M1678" s="54">
        <f>IF(F1678="","",IF(J1678="✅ Сделано","✔ ",IF(J1678="❌ Пропущено","✖ ","⏰ "))&amp;IF(C1678="","",RIGHT("0"&amp;HOUR(C1678),2)&amp;":"&amp;RIGHT("0"&amp;MINUTE(C1678),2)&amp;IF(D1678="","","–"&amp;RIGHT("0"&amp;HOUR(D1678),2)&amp;":"&amp;RIGHT("0"&amp;MINUTE(D1678),2))&amp;" ")&amp;F1678)</f>
        <v/>
      </c>
      <c r="N1678" s="54">
        <f>IF(OR(A1678="",F1678=""),"",A1678&amp;"#"&amp;(COUNTIFS($A$5:$A$3004,A1678,$F$5:$F$3004,"?*",$O$5:$O$3004,"&lt;"&amp;O1678)+COUNTIFS($A$5:A1678,A1678,$F$5:F1678,"?*",$O$5:O1678,O1678)))</f>
        <v/>
      </c>
      <c r="O1678" s="54">
        <f>IF(A1678="","",IF(C1678="",0,C1678))</f>
        <v/>
      </c>
    </row>
    <row r="1679">
      <c r="A1679" s="58" t="n"/>
      <c r="B1679" s="49">
        <f>IF(A1679="","",CHOOSE(WEEKDAY(A1679,2),"Пн","Вт","Ср","Чт","Пт","Сб","Вс"))</f>
        <v/>
      </c>
      <c r="C1679" s="59" t="n"/>
      <c r="D1679" s="59" t="n"/>
      <c r="E1679" s="60">
        <f>IF(OR(C1679="",D1679=""),"",MOD(D1679-C1679,1)*24)</f>
        <v/>
      </c>
      <c r="F1679" s="50" t="n"/>
      <c r="G1679" s="51" t="n"/>
      <c r="H1679" s="51" t="n"/>
      <c r="I1679" s="51" t="n"/>
      <c r="J1679" s="51" t="n"/>
      <c r="K1679" s="51" t="n"/>
      <c r="L1679" s="54">
        <f>IF(OR(A1679="",C1679="",D1679=""),"",IF(COUNTIFS($A$5:$A$3004,A1679,$C$5:$C$3004,"&lt;"&amp;D1679,$D$5:$D$3004,"&gt;"&amp;C1679)&gt;1,"⚠️ пересечение",""))</f>
        <v/>
      </c>
      <c r="M1679" s="54">
        <f>IF(F1679="","",IF(J1679="✅ Сделано","✔ ",IF(J1679="❌ Пропущено","✖ ","⏰ "))&amp;IF(C1679="","",RIGHT("0"&amp;HOUR(C1679),2)&amp;":"&amp;RIGHT("0"&amp;MINUTE(C1679),2)&amp;IF(D1679="","","–"&amp;RIGHT("0"&amp;HOUR(D1679),2)&amp;":"&amp;RIGHT("0"&amp;MINUTE(D1679),2))&amp;" ")&amp;F1679)</f>
        <v/>
      </c>
      <c r="N1679" s="54">
        <f>IF(OR(A1679="",F1679=""),"",A1679&amp;"#"&amp;(COUNTIFS($A$5:$A$3004,A1679,$F$5:$F$3004,"?*",$O$5:$O$3004,"&lt;"&amp;O1679)+COUNTIFS($A$5:A1679,A1679,$F$5:F1679,"?*",$O$5:O1679,O1679)))</f>
        <v/>
      </c>
      <c r="O1679" s="54">
        <f>IF(A1679="","",IF(C1679="",0,C1679))</f>
        <v/>
      </c>
    </row>
    <row r="1680">
      <c r="A1680" s="58" t="n"/>
      <c r="B1680" s="49">
        <f>IF(A1680="","",CHOOSE(WEEKDAY(A1680,2),"Пн","Вт","Ср","Чт","Пт","Сб","Вс"))</f>
        <v/>
      </c>
      <c r="C1680" s="59" t="n"/>
      <c r="D1680" s="59" t="n"/>
      <c r="E1680" s="60">
        <f>IF(OR(C1680="",D1680=""),"",MOD(D1680-C1680,1)*24)</f>
        <v/>
      </c>
      <c r="F1680" s="50" t="n"/>
      <c r="G1680" s="51" t="n"/>
      <c r="H1680" s="51" t="n"/>
      <c r="I1680" s="51" t="n"/>
      <c r="J1680" s="51" t="n"/>
      <c r="K1680" s="51" t="n"/>
      <c r="L1680" s="54">
        <f>IF(OR(A1680="",C1680="",D1680=""),"",IF(COUNTIFS($A$5:$A$3004,A1680,$C$5:$C$3004,"&lt;"&amp;D1680,$D$5:$D$3004,"&gt;"&amp;C1680)&gt;1,"⚠️ пересечение",""))</f>
        <v/>
      </c>
      <c r="M1680" s="54">
        <f>IF(F1680="","",IF(J1680="✅ Сделано","✔ ",IF(J1680="❌ Пропущено","✖ ","⏰ "))&amp;IF(C1680="","",RIGHT("0"&amp;HOUR(C1680),2)&amp;":"&amp;RIGHT("0"&amp;MINUTE(C1680),2)&amp;IF(D1680="","","–"&amp;RIGHT("0"&amp;HOUR(D1680),2)&amp;":"&amp;RIGHT("0"&amp;MINUTE(D1680),2))&amp;" ")&amp;F1680)</f>
        <v/>
      </c>
      <c r="N1680" s="54">
        <f>IF(OR(A1680="",F1680=""),"",A1680&amp;"#"&amp;(COUNTIFS($A$5:$A$3004,A1680,$F$5:$F$3004,"?*",$O$5:$O$3004,"&lt;"&amp;O1680)+COUNTIFS($A$5:A1680,A1680,$F$5:F1680,"?*",$O$5:O1680,O1680)))</f>
        <v/>
      </c>
      <c r="O1680" s="54">
        <f>IF(A1680="","",IF(C1680="",0,C1680))</f>
        <v/>
      </c>
    </row>
    <row r="1681">
      <c r="A1681" s="58" t="n"/>
      <c r="B1681" s="49">
        <f>IF(A1681="","",CHOOSE(WEEKDAY(A1681,2),"Пн","Вт","Ср","Чт","Пт","Сб","Вс"))</f>
        <v/>
      </c>
      <c r="C1681" s="59" t="n"/>
      <c r="D1681" s="59" t="n"/>
      <c r="E1681" s="60">
        <f>IF(OR(C1681="",D1681=""),"",MOD(D1681-C1681,1)*24)</f>
        <v/>
      </c>
      <c r="F1681" s="50" t="n"/>
      <c r="G1681" s="51" t="n"/>
      <c r="H1681" s="51" t="n"/>
      <c r="I1681" s="51" t="n"/>
      <c r="J1681" s="51" t="n"/>
      <c r="K1681" s="51" t="n"/>
      <c r="L1681" s="54">
        <f>IF(OR(A1681="",C1681="",D1681=""),"",IF(COUNTIFS($A$5:$A$3004,A1681,$C$5:$C$3004,"&lt;"&amp;D1681,$D$5:$D$3004,"&gt;"&amp;C1681)&gt;1,"⚠️ пересечение",""))</f>
        <v/>
      </c>
      <c r="M1681" s="54">
        <f>IF(F1681="","",IF(J1681="✅ Сделано","✔ ",IF(J1681="❌ Пропущено","✖ ","⏰ "))&amp;IF(C1681="","",RIGHT("0"&amp;HOUR(C1681),2)&amp;":"&amp;RIGHT("0"&amp;MINUTE(C1681),2)&amp;IF(D1681="","","–"&amp;RIGHT("0"&amp;HOUR(D1681),2)&amp;":"&amp;RIGHT("0"&amp;MINUTE(D1681),2))&amp;" ")&amp;F1681)</f>
        <v/>
      </c>
      <c r="N1681" s="54">
        <f>IF(OR(A1681="",F1681=""),"",A1681&amp;"#"&amp;(COUNTIFS($A$5:$A$3004,A1681,$F$5:$F$3004,"?*",$O$5:$O$3004,"&lt;"&amp;O1681)+COUNTIFS($A$5:A1681,A1681,$F$5:F1681,"?*",$O$5:O1681,O1681)))</f>
        <v/>
      </c>
      <c r="O1681" s="54">
        <f>IF(A1681="","",IF(C1681="",0,C1681))</f>
        <v/>
      </c>
    </row>
    <row r="1682">
      <c r="A1682" s="58" t="n"/>
      <c r="B1682" s="49">
        <f>IF(A1682="","",CHOOSE(WEEKDAY(A1682,2),"Пн","Вт","Ср","Чт","Пт","Сб","Вс"))</f>
        <v/>
      </c>
      <c r="C1682" s="59" t="n"/>
      <c r="D1682" s="59" t="n"/>
      <c r="E1682" s="60">
        <f>IF(OR(C1682="",D1682=""),"",MOD(D1682-C1682,1)*24)</f>
        <v/>
      </c>
      <c r="F1682" s="50" t="n"/>
      <c r="G1682" s="51" t="n"/>
      <c r="H1682" s="51" t="n"/>
      <c r="I1682" s="51" t="n"/>
      <c r="J1682" s="51" t="n"/>
      <c r="K1682" s="51" t="n"/>
      <c r="L1682" s="54">
        <f>IF(OR(A1682="",C1682="",D1682=""),"",IF(COUNTIFS($A$5:$A$3004,A1682,$C$5:$C$3004,"&lt;"&amp;D1682,$D$5:$D$3004,"&gt;"&amp;C1682)&gt;1,"⚠️ пересечение",""))</f>
        <v/>
      </c>
      <c r="M1682" s="54">
        <f>IF(F1682="","",IF(J1682="✅ Сделано","✔ ",IF(J1682="❌ Пропущено","✖ ","⏰ "))&amp;IF(C1682="","",RIGHT("0"&amp;HOUR(C1682),2)&amp;":"&amp;RIGHT("0"&amp;MINUTE(C1682),2)&amp;IF(D1682="","","–"&amp;RIGHT("0"&amp;HOUR(D1682),2)&amp;":"&amp;RIGHT("0"&amp;MINUTE(D1682),2))&amp;" ")&amp;F1682)</f>
        <v/>
      </c>
      <c r="N1682" s="54">
        <f>IF(OR(A1682="",F1682=""),"",A1682&amp;"#"&amp;(COUNTIFS($A$5:$A$3004,A1682,$F$5:$F$3004,"?*",$O$5:$O$3004,"&lt;"&amp;O1682)+COUNTIFS($A$5:A1682,A1682,$F$5:F1682,"?*",$O$5:O1682,O1682)))</f>
        <v/>
      </c>
      <c r="O1682" s="54">
        <f>IF(A1682="","",IF(C1682="",0,C1682))</f>
        <v/>
      </c>
    </row>
    <row r="1683">
      <c r="A1683" s="58" t="n"/>
      <c r="B1683" s="49">
        <f>IF(A1683="","",CHOOSE(WEEKDAY(A1683,2),"Пн","Вт","Ср","Чт","Пт","Сб","Вс"))</f>
        <v/>
      </c>
      <c r="C1683" s="59" t="n"/>
      <c r="D1683" s="59" t="n"/>
      <c r="E1683" s="60">
        <f>IF(OR(C1683="",D1683=""),"",MOD(D1683-C1683,1)*24)</f>
        <v/>
      </c>
      <c r="F1683" s="50" t="n"/>
      <c r="G1683" s="51" t="n"/>
      <c r="H1683" s="51" t="n"/>
      <c r="I1683" s="51" t="n"/>
      <c r="J1683" s="51" t="n"/>
      <c r="K1683" s="51" t="n"/>
      <c r="L1683" s="54">
        <f>IF(OR(A1683="",C1683="",D1683=""),"",IF(COUNTIFS($A$5:$A$3004,A1683,$C$5:$C$3004,"&lt;"&amp;D1683,$D$5:$D$3004,"&gt;"&amp;C1683)&gt;1,"⚠️ пересечение",""))</f>
        <v/>
      </c>
      <c r="M1683" s="54">
        <f>IF(F1683="","",IF(J1683="✅ Сделано","✔ ",IF(J1683="❌ Пропущено","✖ ","⏰ "))&amp;IF(C1683="","",RIGHT("0"&amp;HOUR(C1683),2)&amp;":"&amp;RIGHT("0"&amp;MINUTE(C1683),2)&amp;IF(D1683="","","–"&amp;RIGHT("0"&amp;HOUR(D1683),2)&amp;":"&amp;RIGHT("0"&amp;MINUTE(D1683),2))&amp;" ")&amp;F1683)</f>
        <v/>
      </c>
      <c r="N1683" s="54">
        <f>IF(OR(A1683="",F1683=""),"",A1683&amp;"#"&amp;(COUNTIFS($A$5:$A$3004,A1683,$F$5:$F$3004,"?*",$O$5:$O$3004,"&lt;"&amp;O1683)+COUNTIFS($A$5:A1683,A1683,$F$5:F1683,"?*",$O$5:O1683,O1683)))</f>
        <v/>
      </c>
      <c r="O1683" s="54">
        <f>IF(A1683="","",IF(C1683="",0,C1683))</f>
        <v/>
      </c>
    </row>
    <row r="1684">
      <c r="A1684" s="58" t="n"/>
      <c r="B1684" s="49">
        <f>IF(A1684="","",CHOOSE(WEEKDAY(A1684,2),"Пн","Вт","Ср","Чт","Пт","Сб","Вс"))</f>
        <v/>
      </c>
      <c r="C1684" s="59" t="n"/>
      <c r="D1684" s="59" t="n"/>
      <c r="E1684" s="60">
        <f>IF(OR(C1684="",D1684=""),"",MOD(D1684-C1684,1)*24)</f>
        <v/>
      </c>
      <c r="F1684" s="50" t="n"/>
      <c r="G1684" s="51" t="n"/>
      <c r="H1684" s="51" t="n"/>
      <c r="I1684" s="51" t="n"/>
      <c r="J1684" s="51" t="n"/>
      <c r="K1684" s="51" t="n"/>
      <c r="L1684" s="54">
        <f>IF(OR(A1684="",C1684="",D1684=""),"",IF(COUNTIFS($A$5:$A$3004,A1684,$C$5:$C$3004,"&lt;"&amp;D1684,$D$5:$D$3004,"&gt;"&amp;C1684)&gt;1,"⚠️ пересечение",""))</f>
        <v/>
      </c>
      <c r="M1684" s="54">
        <f>IF(F1684="","",IF(J1684="✅ Сделано","✔ ",IF(J1684="❌ Пропущено","✖ ","⏰ "))&amp;IF(C1684="","",RIGHT("0"&amp;HOUR(C1684),2)&amp;":"&amp;RIGHT("0"&amp;MINUTE(C1684),2)&amp;IF(D1684="","","–"&amp;RIGHT("0"&amp;HOUR(D1684),2)&amp;":"&amp;RIGHT("0"&amp;MINUTE(D1684),2))&amp;" ")&amp;F1684)</f>
        <v/>
      </c>
      <c r="N1684" s="54">
        <f>IF(OR(A1684="",F1684=""),"",A1684&amp;"#"&amp;(COUNTIFS($A$5:$A$3004,A1684,$F$5:$F$3004,"?*",$O$5:$O$3004,"&lt;"&amp;O1684)+COUNTIFS($A$5:A1684,A1684,$F$5:F1684,"?*",$O$5:O1684,O1684)))</f>
        <v/>
      </c>
      <c r="O1684" s="54">
        <f>IF(A1684="","",IF(C1684="",0,C1684))</f>
        <v/>
      </c>
    </row>
    <row r="1685">
      <c r="A1685" s="58" t="n"/>
      <c r="B1685" s="49">
        <f>IF(A1685="","",CHOOSE(WEEKDAY(A1685,2),"Пн","Вт","Ср","Чт","Пт","Сб","Вс"))</f>
        <v/>
      </c>
      <c r="C1685" s="59" t="n"/>
      <c r="D1685" s="59" t="n"/>
      <c r="E1685" s="60">
        <f>IF(OR(C1685="",D1685=""),"",MOD(D1685-C1685,1)*24)</f>
        <v/>
      </c>
      <c r="F1685" s="50" t="n"/>
      <c r="G1685" s="51" t="n"/>
      <c r="H1685" s="51" t="n"/>
      <c r="I1685" s="51" t="n"/>
      <c r="J1685" s="51" t="n"/>
      <c r="K1685" s="51" t="n"/>
      <c r="L1685" s="54">
        <f>IF(OR(A1685="",C1685="",D1685=""),"",IF(COUNTIFS($A$5:$A$3004,A1685,$C$5:$C$3004,"&lt;"&amp;D1685,$D$5:$D$3004,"&gt;"&amp;C1685)&gt;1,"⚠️ пересечение",""))</f>
        <v/>
      </c>
      <c r="M1685" s="54">
        <f>IF(F1685="","",IF(J1685="✅ Сделано","✔ ",IF(J1685="❌ Пропущено","✖ ","⏰ "))&amp;IF(C1685="","",RIGHT("0"&amp;HOUR(C1685),2)&amp;":"&amp;RIGHT("0"&amp;MINUTE(C1685),2)&amp;IF(D1685="","","–"&amp;RIGHT("0"&amp;HOUR(D1685),2)&amp;":"&amp;RIGHT("0"&amp;MINUTE(D1685),2))&amp;" ")&amp;F1685)</f>
        <v/>
      </c>
      <c r="N1685" s="54">
        <f>IF(OR(A1685="",F1685=""),"",A1685&amp;"#"&amp;(COUNTIFS($A$5:$A$3004,A1685,$F$5:$F$3004,"?*",$O$5:$O$3004,"&lt;"&amp;O1685)+COUNTIFS($A$5:A1685,A1685,$F$5:F1685,"?*",$O$5:O1685,O1685)))</f>
        <v/>
      </c>
      <c r="O1685" s="54">
        <f>IF(A1685="","",IF(C1685="",0,C1685))</f>
        <v/>
      </c>
    </row>
    <row r="1686">
      <c r="A1686" s="58" t="n"/>
      <c r="B1686" s="49">
        <f>IF(A1686="","",CHOOSE(WEEKDAY(A1686,2),"Пн","Вт","Ср","Чт","Пт","Сб","Вс"))</f>
        <v/>
      </c>
      <c r="C1686" s="59" t="n"/>
      <c r="D1686" s="59" t="n"/>
      <c r="E1686" s="60">
        <f>IF(OR(C1686="",D1686=""),"",MOD(D1686-C1686,1)*24)</f>
        <v/>
      </c>
      <c r="F1686" s="50" t="n"/>
      <c r="G1686" s="51" t="n"/>
      <c r="H1686" s="51" t="n"/>
      <c r="I1686" s="51" t="n"/>
      <c r="J1686" s="51" t="n"/>
      <c r="K1686" s="51" t="n"/>
      <c r="L1686" s="54">
        <f>IF(OR(A1686="",C1686="",D1686=""),"",IF(COUNTIFS($A$5:$A$3004,A1686,$C$5:$C$3004,"&lt;"&amp;D1686,$D$5:$D$3004,"&gt;"&amp;C1686)&gt;1,"⚠️ пересечение",""))</f>
        <v/>
      </c>
      <c r="M1686" s="54">
        <f>IF(F1686="","",IF(J1686="✅ Сделано","✔ ",IF(J1686="❌ Пропущено","✖ ","⏰ "))&amp;IF(C1686="","",RIGHT("0"&amp;HOUR(C1686),2)&amp;":"&amp;RIGHT("0"&amp;MINUTE(C1686),2)&amp;IF(D1686="","","–"&amp;RIGHT("0"&amp;HOUR(D1686),2)&amp;":"&amp;RIGHT("0"&amp;MINUTE(D1686),2))&amp;" ")&amp;F1686)</f>
        <v/>
      </c>
      <c r="N1686" s="54">
        <f>IF(OR(A1686="",F1686=""),"",A1686&amp;"#"&amp;(COUNTIFS($A$5:$A$3004,A1686,$F$5:$F$3004,"?*",$O$5:$O$3004,"&lt;"&amp;O1686)+COUNTIFS($A$5:A1686,A1686,$F$5:F1686,"?*",$O$5:O1686,O1686)))</f>
        <v/>
      </c>
      <c r="O1686" s="54">
        <f>IF(A1686="","",IF(C1686="",0,C1686))</f>
        <v/>
      </c>
    </row>
    <row r="1687">
      <c r="A1687" s="58" t="n"/>
      <c r="B1687" s="49">
        <f>IF(A1687="","",CHOOSE(WEEKDAY(A1687,2),"Пн","Вт","Ср","Чт","Пт","Сб","Вс"))</f>
        <v/>
      </c>
      <c r="C1687" s="59" t="n"/>
      <c r="D1687" s="59" t="n"/>
      <c r="E1687" s="60">
        <f>IF(OR(C1687="",D1687=""),"",MOD(D1687-C1687,1)*24)</f>
        <v/>
      </c>
      <c r="F1687" s="50" t="n"/>
      <c r="G1687" s="51" t="n"/>
      <c r="H1687" s="51" t="n"/>
      <c r="I1687" s="51" t="n"/>
      <c r="J1687" s="51" t="n"/>
      <c r="K1687" s="51" t="n"/>
      <c r="L1687" s="54">
        <f>IF(OR(A1687="",C1687="",D1687=""),"",IF(COUNTIFS($A$5:$A$3004,A1687,$C$5:$C$3004,"&lt;"&amp;D1687,$D$5:$D$3004,"&gt;"&amp;C1687)&gt;1,"⚠️ пересечение",""))</f>
        <v/>
      </c>
      <c r="M1687" s="54">
        <f>IF(F1687="","",IF(J1687="✅ Сделано","✔ ",IF(J1687="❌ Пропущено","✖ ","⏰ "))&amp;IF(C1687="","",RIGHT("0"&amp;HOUR(C1687),2)&amp;":"&amp;RIGHT("0"&amp;MINUTE(C1687),2)&amp;IF(D1687="","","–"&amp;RIGHT("0"&amp;HOUR(D1687),2)&amp;":"&amp;RIGHT("0"&amp;MINUTE(D1687),2))&amp;" ")&amp;F1687)</f>
        <v/>
      </c>
      <c r="N1687" s="54">
        <f>IF(OR(A1687="",F1687=""),"",A1687&amp;"#"&amp;(COUNTIFS($A$5:$A$3004,A1687,$F$5:$F$3004,"?*",$O$5:$O$3004,"&lt;"&amp;O1687)+COUNTIFS($A$5:A1687,A1687,$F$5:F1687,"?*",$O$5:O1687,O1687)))</f>
        <v/>
      </c>
      <c r="O1687" s="54">
        <f>IF(A1687="","",IF(C1687="",0,C1687))</f>
        <v/>
      </c>
    </row>
    <row r="1688">
      <c r="A1688" s="58" t="n"/>
      <c r="B1688" s="49">
        <f>IF(A1688="","",CHOOSE(WEEKDAY(A1688,2),"Пн","Вт","Ср","Чт","Пт","Сб","Вс"))</f>
        <v/>
      </c>
      <c r="C1688" s="59" t="n"/>
      <c r="D1688" s="59" t="n"/>
      <c r="E1688" s="60">
        <f>IF(OR(C1688="",D1688=""),"",MOD(D1688-C1688,1)*24)</f>
        <v/>
      </c>
      <c r="F1688" s="50" t="n"/>
      <c r="G1688" s="51" t="n"/>
      <c r="H1688" s="51" t="n"/>
      <c r="I1688" s="51" t="n"/>
      <c r="J1688" s="51" t="n"/>
      <c r="K1688" s="51" t="n"/>
      <c r="L1688" s="54">
        <f>IF(OR(A1688="",C1688="",D1688=""),"",IF(COUNTIFS($A$5:$A$3004,A1688,$C$5:$C$3004,"&lt;"&amp;D1688,$D$5:$D$3004,"&gt;"&amp;C1688)&gt;1,"⚠️ пересечение",""))</f>
        <v/>
      </c>
      <c r="M1688" s="54">
        <f>IF(F1688="","",IF(J1688="✅ Сделано","✔ ",IF(J1688="❌ Пропущено","✖ ","⏰ "))&amp;IF(C1688="","",RIGHT("0"&amp;HOUR(C1688),2)&amp;":"&amp;RIGHT("0"&amp;MINUTE(C1688),2)&amp;IF(D1688="","","–"&amp;RIGHT("0"&amp;HOUR(D1688),2)&amp;":"&amp;RIGHT("0"&amp;MINUTE(D1688),2))&amp;" ")&amp;F1688)</f>
        <v/>
      </c>
      <c r="N1688" s="54">
        <f>IF(OR(A1688="",F1688=""),"",A1688&amp;"#"&amp;(COUNTIFS($A$5:$A$3004,A1688,$F$5:$F$3004,"?*",$O$5:$O$3004,"&lt;"&amp;O1688)+COUNTIFS($A$5:A1688,A1688,$F$5:F1688,"?*",$O$5:O1688,O1688)))</f>
        <v/>
      </c>
      <c r="O1688" s="54">
        <f>IF(A1688="","",IF(C1688="",0,C1688))</f>
        <v/>
      </c>
    </row>
    <row r="1689">
      <c r="A1689" s="58" t="n"/>
      <c r="B1689" s="49">
        <f>IF(A1689="","",CHOOSE(WEEKDAY(A1689,2),"Пн","Вт","Ср","Чт","Пт","Сб","Вс"))</f>
        <v/>
      </c>
      <c r="C1689" s="59" t="n"/>
      <c r="D1689" s="59" t="n"/>
      <c r="E1689" s="60">
        <f>IF(OR(C1689="",D1689=""),"",MOD(D1689-C1689,1)*24)</f>
        <v/>
      </c>
      <c r="F1689" s="50" t="n"/>
      <c r="G1689" s="51" t="n"/>
      <c r="H1689" s="51" t="n"/>
      <c r="I1689" s="51" t="n"/>
      <c r="J1689" s="51" t="n"/>
      <c r="K1689" s="51" t="n"/>
      <c r="L1689" s="54">
        <f>IF(OR(A1689="",C1689="",D1689=""),"",IF(COUNTIFS($A$5:$A$3004,A1689,$C$5:$C$3004,"&lt;"&amp;D1689,$D$5:$D$3004,"&gt;"&amp;C1689)&gt;1,"⚠️ пересечение",""))</f>
        <v/>
      </c>
      <c r="M1689" s="54">
        <f>IF(F1689="","",IF(J1689="✅ Сделано","✔ ",IF(J1689="❌ Пропущено","✖ ","⏰ "))&amp;IF(C1689="","",RIGHT("0"&amp;HOUR(C1689),2)&amp;":"&amp;RIGHT("0"&amp;MINUTE(C1689),2)&amp;IF(D1689="","","–"&amp;RIGHT("0"&amp;HOUR(D1689),2)&amp;":"&amp;RIGHT("0"&amp;MINUTE(D1689),2))&amp;" ")&amp;F1689)</f>
        <v/>
      </c>
      <c r="N1689" s="54">
        <f>IF(OR(A1689="",F1689=""),"",A1689&amp;"#"&amp;(COUNTIFS($A$5:$A$3004,A1689,$F$5:$F$3004,"?*",$O$5:$O$3004,"&lt;"&amp;O1689)+COUNTIFS($A$5:A1689,A1689,$F$5:F1689,"?*",$O$5:O1689,O1689)))</f>
        <v/>
      </c>
      <c r="O1689" s="54">
        <f>IF(A1689="","",IF(C1689="",0,C1689))</f>
        <v/>
      </c>
    </row>
    <row r="1690">
      <c r="A1690" s="58" t="n"/>
      <c r="B1690" s="49">
        <f>IF(A1690="","",CHOOSE(WEEKDAY(A1690,2),"Пн","Вт","Ср","Чт","Пт","Сб","Вс"))</f>
        <v/>
      </c>
      <c r="C1690" s="59" t="n"/>
      <c r="D1690" s="59" t="n"/>
      <c r="E1690" s="60">
        <f>IF(OR(C1690="",D1690=""),"",MOD(D1690-C1690,1)*24)</f>
        <v/>
      </c>
      <c r="F1690" s="50" t="n"/>
      <c r="G1690" s="51" t="n"/>
      <c r="H1690" s="51" t="n"/>
      <c r="I1690" s="51" t="n"/>
      <c r="J1690" s="51" t="n"/>
      <c r="K1690" s="51" t="n"/>
      <c r="L1690" s="54">
        <f>IF(OR(A1690="",C1690="",D1690=""),"",IF(COUNTIFS($A$5:$A$3004,A1690,$C$5:$C$3004,"&lt;"&amp;D1690,$D$5:$D$3004,"&gt;"&amp;C1690)&gt;1,"⚠️ пересечение",""))</f>
        <v/>
      </c>
      <c r="M1690" s="54">
        <f>IF(F1690="","",IF(J1690="✅ Сделано","✔ ",IF(J1690="❌ Пропущено","✖ ","⏰ "))&amp;IF(C1690="","",RIGHT("0"&amp;HOUR(C1690),2)&amp;":"&amp;RIGHT("0"&amp;MINUTE(C1690),2)&amp;IF(D1690="","","–"&amp;RIGHT("0"&amp;HOUR(D1690),2)&amp;":"&amp;RIGHT("0"&amp;MINUTE(D1690),2))&amp;" ")&amp;F1690)</f>
        <v/>
      </c>
      <c r="N1690" s="54">
        <f>IF(OR(A1690="",F1690=""),"",A1690&amp;"#"&amp;(COUNTIFS($A$5:$A$3004,A1690,$F$5:$F$3004,"?*",$O$5:$O$3004,"&lt;"&amp;O1690)+COUNTIFS($A$5:A1690,A1690,$F$5:F1690,"?*",$O$5:O1690,O1690)))</f>
        <v/>
      </c>
      <c r="O1690" s="54">
        <f>IF(A1690="","",IF(C1690="",0,C1690))</f>
        <v/>
      </c>
    </row>
    <row r="1691">
      <c r="A1691" s="58" t="n"/>
      <c r="B1691" s="49">
        <f>IF(A1691="","",CHOOSE(WEEKDAY(A1691,2),"Пн","Вт","Ср","Чт","Пт","Сб","Вс"))</f>
        <v/>
      </c>
      <c r="C1691" s="59" t="n"/>
      <c r="D1691" s="59" t="n"/>
      <c r="E1691" s="60">
        <f>IF(OR(C1691="",D1691=""),"",MOD(D1691-C1691,1)*24)</f>
        <v/>
      </c>
      <c r="F1691" s="50" t="n"/>
      <c r="G1691" s="51" t="n"/>
      <c r="H1691" s="51" t="n"/>
      <c r="I1691" s="51" t="n"/>
      <c r="J1691" s="51" t="n"/>
      <c r="K1691" s="51" t="n"/>
      <c r="L1691" s="54">
        <f>IF(OR(A1691="",C1691="",D1691=""),"",IF(COUNTIFS($A$5:$A$3004,A1691,$C$5:$C$3004,"&lt;"&amp;D1691,$D$5:$D$3004,"&gt;"&amp;C1691)&gt;1,"⚠️ пересечение",""))</f>
        <v/>
      </c>
      <c r="M1691" s="54">
        <f>IF(F1691="","",IF(J1691="✅ Сделано","✔ ",IF(J1691="❌ Пропущено","✖ ","⏰ "))&amp;IF(C1691="","",RIGHT("0"&amp;HOUR(C1691),2)&amp;":"&amp;RIGHT("0"&amp;MINUTE(C1691),2)&amp;IF(D1691="","","–"&amp;RIGHT("0"&amp;HOUR(D1691),2)&amp;":"&amp;RIGHT("0"&amp;MINUTE(D1691),2))&amp;" ")&amp;F1691)</f>
        <v/>
      </c>
      <c r="N1691" s="54">
        <f>IF(OR(A1691="",F1691=""),"",A1691&amp;"#"&amp;(COUNTIFS($A$5:$A$3004,A1691,$F$5:$F$3004,"?*",$O$5:$O$3004,"&lt;"&amp;O1691)+COUNTIFS($A$5:A1691,A1691,$F$5:F1691,"?*",$O$5:O1691,O1691)))</f>
        <v/>
      </c>
      <c r="O1691" s="54">
        <f>IF(A1691="","",IF(C1691="",0,C1691))</f>
        <v/>
      </c>
    </row>
    <row r="1692">
      <c r="A1692" s="58" t="n"/>
      <c r="B1692" s="49">
        <f>IF(A1692="","",CHOOSE(WEEKDAY(A1692,2),"Пн","Вт","Ср","Чт","Пт","Сб","Вс"))</f>
        <v/>
      </c>
      <c r="C1692" s="59" t="n"/>
      <c r="D1692" s="59" t="n"/>
      <c r="E1692" s="60">
        <f>IF(OR(C1692="",D1692=""),"",MOD(D1692-C1692,1)*24)</f>
        <v/>
      </c>
      <c r="F1692" s="50" t="n"/>
      <c r="G1692" s="51" t="n"/>
      <c r="H1692" s="51" t="n"/>
      <c r="I1692" s="51" t="n"/>
      <c r="J1692" s="51" t="n"/>
      <c r="K1692" s="51" t="n"/>
      <c r="L1692" s="54">
        <f>IF(OR(A1692="",C1692="",D1692=""),"",IF(COUNTIFS($A$5:$A$3004,A1692,$C$5:$C$3004,"&lt;"&amp;D1692,$D$5:$D$3004,"&gt;"&amp;C1692)&gt;1,"⚠️ пересечение",""))</f>
        <v/>
      </c>
      <c r="M1692" s="54">
        <f>IF(F1692="","",IF(J1692="✅ Сделано","✔ ",IF(J1692="❌ Пропущено","✖ ","⏰ "))&amp;IF(C1692="","",RIGHT("0"&amp;HOUR(C1692),2)&amp;":"&amp;RIGHT("0"&amp;MINUTE(C1692),2)&amp;IF(D1692="","","–"&amp;RIGHT("0"&amp;HOUR(D1692),2)&amp;":"&amp;RIGHT("0"&amp;MINUTE(D1692),2))&amp;" ")&amp;F1692)</f>
        <v/>
      </c>
      <c r="N1692" s="54">
        <f>IF(OR(A1692="",F1692=""),"",A1692&amp;"#"&amp;(COUNTIFS($A$5:$A$3004,A1692,$F$5:$F$3004,"?*",$O$5:$O$3004,"&lt;"&amp;O1692)+COUNTIFS($A$5:A1692,A1692,$F$5:F1692,"?*",$O$5:O1692,O1692)))</f>
        <v/>
      </c>
      <c r="O1692" s="54">
        <f>IF(A1692="","",IF(C1692="",0,C1692))</f>
        <v/>
      </c>
    </row>
    <row r="1693">
      <c r="A1693" s="58" t="n"/>
      <c r="B1693" s="49">
        <f>IF(A1693="","",CHOOSE(WEEKDAY(A1693,2),"Пн","Вт","Ср","Чт","Пт","Сб","Вс"))</f>
        <v/>
      </c>
      <c r="C1693" s="59" t="n"/>
      <c r="D1693" s="59" t="n"/>
      <c r="E1693" s="60">
        <f>IF(OR(C1693="",D1693=""),"",MOD(D1693-C1693,1)*24)</f>
        <v/>
      </c>
      <c r="F1693" s="50" t="n"/>
      <c r="G1693" s="51" t="n"/>
      <c r="H1693" s="51" t="n"/>
      <c r="I1693" s="51" t="n"/>
      <c r="J1693" s="51" t="n"/>
      <c r="K1693" s="51" t="n"/>
      <c r="L1693" s="54">
        <f>IF(OR(A1693="",C1693="",D1693=""),"",IF(COUNTIFS($A$5:$A$3004,A1693,$C$5:$C$3004,"&lt;"&amp;D1693,$D$5:$D$3004,"&gt;"&amp;C1693)&gt;1,"⚠️ пересечение",""))</f>
        <v/>
      </c>
      <c r="M1693" s="54">
        <f>IF(F1693="","",IF(J1693="✅ Сделано","✔ ",IF(J1693="❌ Пропущено","✖ ","⏰ "))&amp;IF(C1693="","",RIGHT("0"&amp;HOUR(C1693),2)&amp;":"&amp;RIGHT("0"&amp;MINUTE(C1693),2)&amp;IF(D1693="","","–"&amp;RIGHT("0"&amp;HOUR(D1693),2)&amp;":"&amp;RIGHT("0"&amp;MINUTE(D1693),2))&amp;" ")&amp;F1693)</f>
        <v/>
      </c>
      <c r="N1693" s="54">
        <f>IF(OR(A1693="",F1693=""),"",A1693&amp;"#"&amp;(COUNTIFS($A$5:$A$3004,A1693,$F$5:$F$3004,"?*",$O$5:$O$3004,"&lt;"&amp;O1693)+COUNTIFS($A$5:A1693,A1693,$F$5:F1693,"?*",$O$5:O1693,O1693)))</f>
        <v/>
      </c>
      <c r="O1693" s="54">
        <f>IF(A1693="","",IF(C1693="",0,C1693))</f>
        <v/>
      </c>
    </row>
    <row r="1694">
      <c r="A1694" s="58" t="n"/>
      <c r="B1694" s="49">
        <f>IF(A1694="","",CHOOSE(WEEKDAY(A1694,2),"Пн","Вт","Ср","Чт","Пт","Сб","Вс"))</f>
        <v/>
      </c>
      <c r="C1694" s="59" t="n"/>
      <c r="D1694" s="59" t="n"/>
      <c r="E1694" s="60">
        <f>IF(OR(C1694="",D1694=""),"",MOD(D1694-C1694,1)*24)</f>
        <v/>
      </c>
      <c r="F1694" s="50" t="n"/>
      <c r="G1694" s="51" t="n"/>
      <c r="H1694" s="51" t="n"/>
      <c r="I1694" s="51" t="n"/>
      <c r="J1694" s="51" t="n"/>
      <c r="K1694" s="51" t="n"/>
      <c r="L1694" s="54">
        <f>IF(OR(A1694="",C1694="",D1694=""),"",IF(COUNTIFS($A$5:$A$3004,A1694,$C$5:$C$3004,"&lt;"&amp;D1694,$D$5:$D$3004,"&gt;"&amp;C1694)&gt;1,"⚠️ пересечение",""))</f>
        <v/>
      </c>
      <c r="M1694" s="54">
        <f>IF(F1694="","",IF(J1694="✅ Сделано","✔ ",IF(J1694="❌ Пропущено","✖ ","⏰ "))&amp;IF(C1694="","",RIGHT("0"&amp;HOUR(C1694),2)&amp;":"&amp;RIGHT("0"&amp;MINUTE(C1694),2)&amp;IF(D1694="","","–"&amp;RIGHT("0"&amp;HOUR(D1694),2)&amp;":"&amp;RIGHT("0"&amp;MINUTE(D1694),2))&amp;" ")&amp;F1694)</f>
        <v/>
      </c>
      <c r="N1694" s="54">
        <f>IF(OR(A1694="",F1694=""),"",A1694&amp;"#"&amp;(COUNTIFS($A$5:$A$3004,A1694,$F$5:$F$3004,"?*",$O$5:$O$3004,"&lt;"&amp;O1694)+COUNTIFS($A$5:A1694,A1694,$F$5:F1694,"?*",$O$5:O1694,O1694)))</f>
        <v/>
      </c>
      <c r="O1694" s="54">
        <f>IF(A1694="","",IF(C1694="",0,C1694))</f>
        <v/>
      </c>
    </row>
    <row r="1695">
      <c r="A1695" s="58" t="n"/>
      <c r="B1695" s="49">
        <f>IF(A1695="","",CHOOSE(WEEKDAY(A1695,2),"Пн","Вт","Ср","Чт","Пт","Сб","Вс"))</f>
        <v/>
      </c>
      <c r="C1695" s="59" t="n"/>
      <c r="D1695" s="59" t="n"/>
      <c r="E1695" s="60">
        <f>IF(OR(C1695="",D1695=""),"",MOD(D1695-C1695,1)*24)</f>
        <v/>
      </c>
      <c r="F1695" s="50" t="n"/>
      <c r="G1695" s="51" t="n"/>
      <c r="H1695" s="51" t="n"/>
      <c r="I1695" s="51" t="n"/>
      <c r="J1695" s="51" t="n"/>
      <c r="K1695" s="51" t="n"/>
      <c r="L1695" s="54">
        <f>IF(OR(A1695="",C1695="",D1695=""),"",IF(COUNTIFS($A$5:$A$3004,A1695,$C$5:$C$3004,"&lt;"&amp;D1695,$D$5:$D$3004,"&gt;"&amp;C1695)&gt;1,"⚠️ пересечение",""))</f>
        <v/>
      </c>
      <c r="M1695" s="54">
        <f>IF(F1695="","",IF(J1695="✅ Сделано","✔ ",IF(J1695="❌ Пропущено","✖ ","⏰ "))&amp;IF(C1695="","",RIGHT("0"&amp;HOUR(C1695),2)&amp;":"&amp;RIGHT("0"&amp;MINUTE(C1695),2)&amp;IF(D1695="","","–"&amp;RIGHT("0"&amp;HOUR(D1695),2)&amp;":"&amp;RIGHT("0"&amp;MINUTE(D1695),2))&amp;" ")&amp;F1695)</f>
        <v/>
      </c>
      <c r="N1695" s="54">
        <f>IF(OR(A1695="",F1695=""),"",A1695&amp;"#"&amp;(COUNTIFS($A$5:$A$3004,A1695,$F$5:$F$3004,"?*",$O$5:$O$3004,"&lt;"&amp;O1695)+COUNTIFS($A$5:A1695,A1695,$F$5:F1695,"?*",$O$5:O1695,O1695)))</f>
        <v/>
      </c>
      <c r="O1695" s="54">
        <f>IF(A1695="","",IF(C1695="",0,C1695))</f>
        <v/>
      </c>
    </row>
    <row r="1696">
      <c r="A1696" s="58" t="n"/>
      <c r="B1696" s="49">
        <f>IF(A1696="","",CHOOSE(WEEKDAY(A1696,2),"Пн","Вт","Ср","Чт","Пт","Сб","Вс"))</f>
        <v/>
      </c>
      <c r="C1696" s="59" t="n"/>
      <c r="D1696" s="59" t="n"/>
      <c r="E1696" s="60">
        <f>IF(OR(C1696="",D1696=""),"",MOD(D1696-C1696,1)*24)</f>
        <v/>
      </c>
      <c r="F1696" s="50" t="n"/>
      <c r="G1696" s="51" t="n"/>
      <c r="H1696" s="51" t="n"/>
      <c r="I1696" s="51" t="n"/>
      <c r="J1696" s="51" t="n"/>
      <c r="K1696" s="51" t="n"/>
      <c r="L1696" s="54">
        <f>IF(OR(A1696="",C1696="",D1696=""),"",IF(COUNTIFS($A$5:$A$3004,A1696,$C$5:$C$3004,"&lt;"&amp;D1696,$D$5:$D$3004,"&gt;"&amp;C1696)&gt;1,"⚠️ пересечение",""))</f>
        <v/>
      </c>
      <c r="M1696" s="54">
        <f>IF(F1696="","",IF(J1696="✅ Сделано","✔ ",IF(J1696="❌ Пропущено","✖ ","⏰ "))&amp;IF(C1696="","",RIGHT("0"&amp;HOUR(C1696),2)&amp;":"&amp;RIGHT("0"&amp;MINUTE(C1696),2)&amp;IF(D1696="","","–"&amp;RIGHT("0"&amp;HOUR(D1696),2)&amp;":"&amp;RIGHT("0"&amp;MINUTE(D1696),2))&amp;" ")&amp;F1696)</f>
        <v/>
      </c>
      <c r="N1696" s="54">
        <f>IF(OR(A1696="",F1696=""),"",A1696&amp;"#"&amp;(COUNTIFS($A$5:$A$3004,A1696,$F$5:$F$3004,"?*",$O$5:$O$3004,"&lt;"&amp;O1696)+COUNTIFS($A$5:A1696,A1696,$F$5:F1696,"?*",$O$5:O1696,O1696)))</f>
        <v/>
      </c>
      <c r="O1696" s="54">
        <f>IF(A1696="","",IF(C1696="",0,C1696))</f>
        <v/>
      </c>
    </row>
    <row r="1697">
      <c r="A1697" s="58" t="n"/>
      <c r="B1697" s="49">
        <f>IF(A1697="","",CHOOSE(WEEKDAY(A1697,2),"Пн","Вт","Ср","Чт","Пт","Сб","Вс"))</f>
        <v/>
      </c>
      <c r="C1697" s="59" t="n"/>
      <c r="D1697" s="59" t="n"/>
      <c r="E1697" s="60">
        <f>IF(OR(C1697="",D1697=""),"",MOD(D1697-C1697,1)*24)</f>
        <v/>
      </c>
      <c r="F1697" s="50" t="n"/>
      <c r="G1697" s="51" t="n"/>
      <c r="H1697" s="51" t="n"/>
      <c r="I1697" s="51" t="n"/>
      <c r="J1697" s="51" t="n"/>
      <c r="K1697" s="51" t="n"/>
      <c r="L1697" s="54">
        <f>IF(OR(A1697="",C1697="",D1697=""),"",IF(COUNTIFS($A$5:$A$3004,A1697,$C$5:$C$3004,"&lt;"&amp;D1697,$D$5:$D$3004,"&gt;"&amp;C1697)&gt;1,"⚠️ пересечение",""))</f>
        <v/>
      </c>
      <c r="M1697" s="54">
        <f>IF(F1697="","",IF(J1697="✅ Сделано","✔ ",IF(J1697="❌ Пропущено","✖ ","⏰ "))&amp;IF(C1697="","",RIGHT("0"&amp;HOUR(C1697),2)&amp;":"&amp;RIGHT("0"&amp;MINUTE(C1697),2)&amp;IF(D1697="","","–"&amp;RIGHT("0"&amp;HOUR(D1697),2)&amp;":"&amp;RIGHT("0"&amp;MINUTE(D1697),2))&amp;" ")&amp;F1697)</f>
        <v/>
      </c>
      <c r="N1697" s="54">
        <f>IF(OR(A1697="",F1697=""),"",A1697&amp;"#"&amp;(COUNTIFS($A$5:$A$3004,A1697,$F$5:$F$3004,"?*",$O$5:$O$3004,"&lt;"&amp;O1697)+COUNTIFS($A$5:A1697,A1697,$F$5:F1697,"?*",$O$5:O1697,O1697)))</f>
        <v/>
      </c>
      <c r="O1697" s="54">
        <f>IF(A1697="","",IF(C1697="",0,C1697))</f>
        <v/>
      </c>
    </row>
    <row r="1698">
      <c r="A1698" s="58" t="n"/>
      <c r="B1698" s="49">
        <f>IF(A1698="","",CHOOSE(WEEKDAY(A1698,2),"Пн","Вт","Ср","Чт","Пт","Сб","Вс"))</f>
        <v/>
      </c>
      <c r="C1698" s="59" t="n"/>
      <c r="D1698" s="59" t="n"/>
      <c r="E1698" s="60">
        <f>IF(OR(C1698="",D1698=""),"",MOD(D1698-C1698,1)*24)</f>
        <v/>
      </c>
      <c r="F1698" s="50" t="n"/>
      <c r="G1698" s="51" t="n"/>
      <c r="H1698" s="51" t="n"/>
      <c r="I1698" s="51" t="n"/>
      <c r="J1698" s="51" t="n"/>
      <c r="K1698" s="51" t="n"/>
      <c r="L1698" s="54">
        <f>IF(OR(A1698="",C1698="",D1698=""),"",IF(COUNTIFS($A$5:$A$3004,A1698,$C$5:$C$3004,"&lt;"&amp;D1698,$D$5:$D$3004,"&gt;"&amp;C1698)&gt;1,"⚠️ пересечение",""))</f>
        <v/>
      </c>
      <c r="M1698" s="54">
        <f>IF(F1698="","",IF(J1698="✅ Сделано","✔ ",IF(J1698="❌ Пропущено","✖ ","⏰ "))&amp;IF(C1698="","",RIGHT("0"&amp;HOUR(C1698),2)&amp;":"&amp;RIGHT("0"&amp;MINUTE(C1698),2)&amp;IF(D1698="","","–"&amp;RIGHT("0"&amp;HOUR(D1698),2)&amp;":"&amp;RIGHT("0"&amp;MINUTE(D1698),2))&amp;" ")&amp;F1698)</f>
        <v/>
      </c>
      <c r="N1698" s="54">
        <f>IF(OR(A1698="",F1698=""),"",A1698&amp;"#"&amp;(COUNTIFS($A$5:$A$3004,A1698,$F$5:$F$3004,"?*",$O$5:$O$3004,"&lt;"&amp;O1698)+COUNTIFS($A$5:A1698,A1698,$F$5:F1698,"?*",$O$5:O1698,O1698)))</f>
        <v/>
      </c>
      <c r="O1698" s="54">
        <f>IF(A1698="","",IF(C1698="",0,C1698))</f>
        <v/>
      </c>
    </row>
    <row r="1699">
      <c r="A1699" s="58" t="n"/>
      <c r="B1699" s="49">
        <f>IF(A1699="","",CHOOSE(WEEKDAY(A1699,2),"Пн","Вт","Ср","Чт","Пт","Сб","Вс"))</f>
        <v/>
      </c>
      <c r="C1699" s="59" t="n"/>
      <c r="D1699" s="59" t="n"/>
      <c r="E1699" s="60">
        <f>IF(OR(C1699="",D1699=""),"",MOD(D1699-C1699,1)*24)</f>
        <v/>
      </c>
      <c r="F1699" s="50" t="n"/>
      <c r="G1699" s="51" t="n"/>
      <c r="H1699" s="51" t="n"/>
      <c r="I1699" s="51" t="n"/>
      <c r="J1699" s="51" t="n"/>
      <c r="K1699" s="51" t="n"/>
      <c r="L1699" s="54">
        <f>IF(OR(A1699="",C1699="",D1699=""),"",IF(COUNTIFS($A$5:$A$3004,A1699,$C$5:$C$3004,"&lt;"&amp;D1699,$D$5:$D$3004,"&gt;"&amp;C1699)&gt;1,"⚠️ пересечение",""))</f>
        <v/>
      </c>
      <c r="M1699" s="54">
        <f>IF(F1699="","",IF(J1699="✅ Сделано","✔ ",IF(J1699="❌ Пропущено","✖ ","⏰ "))&amp;IF(C1699="","",RIGHT("0"&amp;HOUR(C1699),2)&amp;":"&amp;RIGHT("0"&amp;MINUTE(C1699),2)&amp;IF(D1699="","","–"&amp;RIGHT("0"&amp;HOUR(D1699),2)&amp;":"&amp;RIGHT("0"&amp;MINUTE(D1699),2))&amp;" ")&amp;F1699)</f>
        <v/>
      </c>
      <c r="N1699" s="54">
        <f>IF(OR(A1699="",F1699=""),"",A1699&amp;"#"&amp;(COUNTIFS($A$5:$A$3004,A1699,$F$5:$F$3004,"?*",$O$5:$O$3004,"&lt;"&amp;O1699)+COUNTIFS($A$5:A1699,A1699,$F$5:F1699,"?*",$O$5:O1699,O1699)))</f>
        <v/>
      </c>
      <c r="O1699" s="54">
        <f>IF(A1699="","",IF(C1699="",0,C1699))</f>
        <v/>
      </c>
    </row>
    <row r="1700">
      <c r="A1700" s="58" t="n"/>
      <c r="B1700" s="49">
        <f>IF(A1700="","",CHOOSE(WEEKDAY(A1700,2),"Пн","Вт","Ср","Чт","Пт","Сб","Вс"))</f>
        <v/>
      </c>
      <c r="C1700" s="59" t="n"/>
      <c r="D1700" s="59" t="n"/>
      <c r="E1700" s="60">
        <f>IF(OR(C1700="",D1700=""),"",MOD(D1700-C1700,1)*24)</f>
        <v/>
      </c>
      <c r="F1700" s="50" t="n"/>
      <c r="G1700" s="51" t="n"/>
      <c r="H1700" s="51" t="n"/>
      <c r="I1700" s="51" t="n"/>
      <c r="J1700" s="51" t="n"/>
      <c r="K1700" s="51" t="n"/>
      <c r="L1700" s="54">
        <f>IF(OR(A1700="",C1700="",D1700=""),"",IF(COUNTIFS($A$5:$A$3004,A1700,$C$5:$C$3004,"&lt;"&amp;D1700,$D$5:$D$3004,"&gt;"&amp;C1700)&gt;1,"⚠️ пересечение",""))</f>
        <v/>
      </c>
      <c r="M1700" s="54">
        <f>IF(F1700="","",IF(J1700="✅ Сделано","✔ ",IF(J1700="❌ Пропущено","✖ ","⏰ "))&amp;IF(C1700="","",RIGHT("0"&amp;HOUR(C1700),2)&amp;":"&amp;RIGHT("0"&amp;MINUTE(C1700),2)&amp;IF(D1700="","","–"&amp;RIGHT("0"&amp;HOUR(D1700),2)&amp;":"&amp;RIGHT("0"&amp;MINUTE(D1700),2))&amp;" ")&amp;F1700)</f>
        <v/>
      </c>
      <c r="N1700" s="54">
        <f>IF(OR(A1700="",F1700=""),"",A1700&amp;"#"&amp;(COUNTIFS($A$5:$A$3004,A1700,$F$5:$F$3004,"?*",$O$5:$O$3004,"&lt;"&amp;O1700)+COUNTIFS($A$5:A1700,A1700,$F$5:F1700,"?*",$O$5:O1700,O1700)))</f>
        <v/>
      </c>
      <c r="O1700" s="54">
        <f>IF(A1700="","",IF(C1700="",0,C1700))</f>
        <v/>
      </c>
    </row>
    <row r="1701">
      <c r="A1701" s="58" t="n"/>
      <c r="B1701" s="49">
        <f>IF(A1701="","",CHOOSE(WEEKDAY(A1701,2),"Пн","Вт","Ср","Чт","Пт","Сб","Вс"))</f>
        <v/>
      </c>
      <c r="C1701" s="59" t="n"/>
      <c r="D1701" s="59" t="n"/>
      <c r="E1701" s="60">
        <f>IF(OR(C1701="",D1701=""),"",MOD(D1701-C1701,1)*24)</f>
        <v/>
      </c>
      <c r="F1701" s="50" t="n"/>
      <c r="G1701" s="51" t="n"/>
      <c r="H1701" s="51" t="n"/>
      <c r="I1701" s="51" t="n"/>
      <c r="J1701" s="51" t="n"/>
      <c r="K1701" s="51" t="n"/>
      <c r="L1701" s="54">
        <f>IF(OR(A1701="",C1701="",D1701=""),"",IF(COUNTIFS($A$5:$A$3004,A1701,$C$5:$C$3004,"&lt;"&amp;D1701,$D$5:$D$3004,"&gt;"&amp;C1701)&gt;1,"⚠️ пересечение",""))</f>
        <v/>
      </c>
      <c r="M1701" s="54">
        <f>IF(F1701="","",IF(J1701="✅ Сделано","✔ ",IF(J1701="❌ Пропущено","✖ ","⏰ "))&amp;IF(C1701="","",RIGHT("0"&amp;HOUR(C1701),2)&amp;":"&amp;RIGHT("0"&amp;MINUTE(C1701),2)&amp;IF(D1701="","","–"&amp;RIGHT("0"&amp;HOUR(D1701),2)&amp;":"&amp;RIGHT("0"&amp;MINUTE(D1701),2))&amp;" ")&amp;F1701)</f>
        <v/>
      </c>
      <c r="N1701" s="54">
        <f>IF(OR(A1701="",F1701=""),"",A1701&amp;"#"&amp;(COUNTIFS($A$5:$A$3004,A1701,$F$5:$F$3004,"?*",$O$5:$O$3004,"&lt;"&amp;O1701)+COUNTIFS($A$5:A1701,A1701,$F$5:F1701,"?*",$O$5:O1701,O1701)))</f>
        <v/>
      </c>
      <c r="O1701" s="54">
        <f>IF(A1701="","",IF(C1701="",0,C1701))</f>
        <v/>
      </c>
    </row>
    <row r="1702">
      <c r="A1702" s="58" t="n"/>
      <c r="B1702" s="49">
        <f>IF(A1702="","",CHOOSE(WEEKDAY(A1702,2),"Пн","Вт","Ср","Чт","Пт","Сб","Вс"))</f>
        <v/>
      </c>
      <c r="C1702" s="59" t="n"/>
      <c r="D1702" s="59" t="n"/>
      <c r="E1702" s="60">
        <f>IF(OR(C1702="",D1702=""),"",MOD(D1702-C1702,1)*24)</f>
        <v/>
      </c>
      <c r="F1702" s="50" t="n"/>
      <c r="G1702" s="51" t="n"/>
      <c r="H1702" s="51" t="n"/>
      <c r="I1702" s="51" t="n"/>
      <c r="J1702" s="51" t="n"/>
      <c r="K1702" s="51" t="n"/>
      <c r="L1702" s="54">
        <f>IF(OR(A1702="",C1702="",D1702=""),"",IF(COUNTIFS($A$5:$A$3004,A1702,$C$5:$C$3004,"&lt;"&amp;D1702,$D$5:$D$3004,"&gt;"&amp;C1702)&gt;1,"⚠️ пересечение",""))</f>
        <v/>
      </c>
      <c r="M1702" s="54">
        <f>IF(F1702="","",IF(J1702="✅ Сделано","✔ ",IF(J1702="❌ Пропущено","✖ ","⏰ "))&amp;IF(C1702="","",RIGHT("0"&amp;HOUR(C1702),2)&amp;":"&amp;RIGHT("0"&amp;MINUTE(C1702),2)&amp;IF(D1702="","","–"&amp;RIGHT("0"&amp;HOUR(D1702),2)&amp;":"&amp;RIGHT("0"&amp;MINUTE(D1702),2))&amp;" ")&amp;F1702)</f>
        <v/>
      </c>
      <c r="N1702" s="54">
        <f>IF(OR(A1702="",F1702=""),"",A1702&amp;"#"&amp;(COUNTIFS($A$5:$A$3004,A1702,$F$5:$F$3004,"?*",$O$5:$O$3004,"&lt;"&amp;O1702)+COUNTIFS($A$5:A1702,A1702,$F$5:F1702,"?*",$O$5:O1702,O1702)))</f>
        <v/>
      </c>
      <c r="O1702" s="54">
        <f>IF(A1702="","",IF(C1702="",0,C1702))</f>
        <v/>
      </c>
    </row>
    <row r="1703">
      <c r="A1703" s="58" t="n"/>
      <c r="B1703" s="49">
        <f>IF(A1703="","",CHOOSE(WEEKDAY(A1703,2),"Пн","Вт","Ср","Чт","Пт","Сб","Вс"))</f>
        <v/>
      </c>
      <c r="C1703" s="59" t="n"/>
      <c r="D1703" s="59" t="n"/>
      <c r="E1703" s="60">
        <f>IF(OR(C1703="",D1703=""),"",MOD(D1703-C1703,1)*24)</f>
        <v/>
      </c>
      <c r="F1703" s="50" t="n"/>
      <c r="G1703" s="51" t="n"/>
      <c r="H1703" s="51" t="n"/>
      <c r="I1703" s="51" t="n"/>
      <c r="J1703" s="51" t="n"/>
      <c r="K1703" s="51" t="n"/>
      <c r="L1703" s="54">
        <f>IF(OR(A1703="",C1703="",D1703=""),"",IF(COUNTIFS($A$5:$A$3004,A1703,$C$5:$C$3004,"&lt;"&amp;D1703,$D$5:$D$3004,"&gt;"&amp;C1703)&gt;1,"⚠️ пересечение",""))</f>
        <v/>
      </c>
      <c r="M1703" s="54">
        <f>IF(F1703="","",IF(J1703="✅ Сделано","✔ ",IF(J1703="❌ Пропущено","✖ ","⏰ "))&amp;IF(C1703="","",RIGHT("0"&amp;HOUR(C1703),2)&amp;":"&amp;RIGHT("0"&amp;MINUTE(C1703),2)&amp;IF(D1703="","","–"&amp;RIGHT("0"&amp;HOUR(D1703),2)&amp;":"&amp;RIGHT("0"&amp;MINUTE(D1703),2))&amp;" ")&amp;F1703)</f>
        <v/>
      </c>
      <c r="N1703" s="54">
        <f>IF(OR(A1703="",F1703=""),"",A1703&amp;"#"&amp;(COUNTIFS($A$5:$A$3004,A1703,$F$5:$F$3004,"?*",$O$5:$O$3004,"&lt;"&amp;O1703)+COUNTIFS($A$5:A1703,A1703,$F$5:F1703,"?*",$O$5:O1703,O1703)))</f>
        <v/>
      </c>
      <c r="O1703" s="54">
        <f>IF(A1703="","",IF(C1703="",0,C1703))</f>
        <v/>
      </c>
    </row>
    <row r="1704">
      <c r="A1704" s="58" t="n"/>
      <c r="B1704" s="49">
        <f>IF(A1704="","",CHOOSE(WEEKDAY(A1704,2),"Пн","Вт","Ср","Чт","Пт","Сб","Вс"))</f>
        <v/>
      </c>
      <c r="C1704" s="59" t="n"/>
      <c r="D1704" s="59" t="n"/>
      <c r="E1704" s="60">
        <f>IF(OR(C1704="",D1704=""),"",MOD(D1704-C1704,1)*24)</f>
        <v/>
      </c>
      <c r="F1704" s="50" t="n"/>
      <c r="G1704" s="51" t="n"/>
      <c r="H1704" s="51" t="n"/>
      <c r="I1704" s="51" t="n"/>
      <c r="J1704" s="51" t="n"/>
      <c r="K1704" s="51" t="n"/>
      <c r="L1704" s="54">
        <f>IF(OR(A1704="",C1704="",D1704=""),"",IF(COUNTIFS($A$5:$A$3004,A1704,$C$5:$C$3004,"&lt;"&amp;D1704,$D$5:$D$3004,"&gt;"&amp;C1704)&gt;1,"⚠️ пересечение",""))</f>
        <v/>
      </c>
      <c r="M1704" s="54">
        <f>IF(F1704="","",IF(J1704="✅ Сделано","✔ ",IF(J1704="❌ Пропущено","✖ ","⏰ "))&amp;IF(C1704="","",RIGHT("0"&amp;HOUR(C1704),2)&amp;":"&amp;RIGHT("0"&amp;MINUTE(C1704),2)&amp;IF(D1704="","","–"&amp;RIGHT("0"&amp;HOUR(D1704),2)&amp;":"&amp;RIGHT("0"&amp;MINUTE(D1704),2))&amp;" ")&amp;F1704)</f>
        <v/>
      </c>
      <c r="N1704" s="54">
        <f>IF(OR(A1704="",F1704=""),"",A1704&amp;"#"&amp;(COUNTIFS($A$5:$A$3004,A1704,$F$5:$F$3004,"?*",$O$5:$O$3004,"&lt;"&amp;O1704)+COUNTIFS($A$5:A1704,A1704,$F$5:F1704,"?*",$O$5:O1704,O1704)))</f>
        <v/>
      </c>
      <c r="O1704" s="54">
        <f>IF(A1704="","",IF(C1704="",0,C1704))</f>
        <v/>
      </c>
    </row>
    <row r="1705">
      <c r="A1705" s="58" t="n"/>
      <c r="B1705" s="49">
        <f>IF(A1705="","",CHOOSE(WEEKDAY(A1705,2),"Пн","Вт","Ср","Чт","Пт","Сб","Вс"))</f>
        <v/>
      </c>
      <c r="C1705" s="59" t="n"/>
      <c r="D1705" s="59" t="n"/>
      <c r="E1705" s="60">
        <f>IF(OR(C1705="",D1705=""),"",MOD(D1705-C1705,1)*24)</f>
        <v/>
      </c>
      <c r="F1705" s="50" t="n"/>
      <c r="G1705" s="51" t="n"/>
      <c r="H1705" s="51" t="n"/>
      <c r="I1705" s="51" t="n"/>
      <c r="J1705" s="51" t="n"/>
      <c r="K1705" s="51" t="n"/>
      <c r="L1705" s="54">
        <f>IF(OR(A1705="",C1705="",D1705=""),"",IF(COUNTIFS($A$5:$A$3004,A1705,$C$5:$C$3004,"&lt;"&amp;D1705,$D$5:$D$3004,"&gt;"&amp;C1705)&gt;1,"⚠️ пересечение",""))</f>
        <v/>
      </c>
      <c r="M1705" s="54">
        <f>IF(F1705="","",IF(J1705="✅ Сделано","✔ ",IF(J1705="❌ Пропущено","✖ ","⏰ "))&amp;IF(C1705="","",RIGHT("0"&amp;HOUR(C1705),2)&amp;":"&amp;RIGHT("0"&amp;MINUTE(C1705),2)&amp;IF(D1705="","","–"&amp;RIGHT("0"&amp;HOUR(D1705),2)&amp;":"&amp;RIGHT("0"&amp;MINUTE(D1705),2))&amp;" ")&amp;F1705)</f>
        <v/>
      </c>
      <c r="N1705" s="54">
        <f>IF(OR(A1705="",F1705=""),"",A1705&amp;"#"&amp;(COUNTIFS($A$5:$A$3004,A1705,$F$5:$F$3004,"?*",$O$5:$O$3004,"&lt;"&amp;O1705)+COUNTIFS($A$5:A1705,A1705,$F$5:F1705,"?*",$O$5:O1705,O1705)))</f>
        <v/>
      </c>
      <c r="O1705" s="54">
        <f>IF(A1705="","",IF(C1705="",0,C1705))</f>
        <v/>
      </c>
    </row>
    <row r="1706">
      <c r="A1706" s="58" t="n"/>
      <c r="B1706" s="49">
        <f>IF(A1706="","",CHOOSE(WEEKDAY(A1706,2),"Пн","Вт","Ср","Чт","Пт","Сб","Вс"))</f>
        <v/>
      </c>
      <c r="C1706" s="59" t="n"/>
      <c r="D1706" s="59" t="n"/>
      <c r="E1706" s="60">
        <f>IF(OR(C1706="",D1706=""),"",MOD(D1706-C1706,1)*24)</f>
        <v/>
      </c>
      <c r="F1706" s="50" t="n"/>
      <c r="G1706" s="51" t="n"/>
      <c r="H1706" s="51" t="n"/>
      <c r="I1706" s="51" t="n"/>
      <c r="J1706" s="51" t="n"/>
      <c r="K1706" s="51" t="n"/>
      <c r="L1706" s="54">
        <f>IF(OR(A1706="",C1706="",D1706=""),"",IF(COUNTIFS($A$5:$A$3004,A1706,$C$5:$C$3004,"&lt;"&amp;D1706,$D$5:$D$3004,"&gt;"&amp;C1706)&gt;1,"⚠️ пересечение",""))</f>
        <v/>
      </c>
      <c r="M1706" s="54">
        <f>IF(F1706="","",IF(J1706="✅ Сделано","✔ ",IF(J1706="❌ Пропущено","✖ ","⏰ "))&amp;IF(C1706="","",RIGHT("0"&amp;HOUR(C1706),2)&amp;":"&amp;RIGHT("0"&amp;MINUTE(C1706),2)&amp;IF(D1706="","","–"&amp;RIGHT("0"&amp;HOUR(D1706),2)&amp;":"&amp;RIGHT("0"&amp;MINUTE(D1706),2))&amp;" ")&amp;F1706)</f>
        <v/>
      </c>
      <c r="N1706" s="54">
        <f>IF(OR(A1706="",F1706=""),"",A1706&amp;"#"&amp;(COUNTIFS($A$5:$A$3004,A1706,$F$5:$F$3004,"?*",$O$5:$O$3004,"&lt;"&amp;O1706)+COUNTIFS($A$5:A1706,A1706,$F$5:F1706,"?*",$O$5:O1706,O1706)))</f>
        <v/>
      </c>
      <c r="O1706" s="54">
        <f>IF(A1706="","",IF(C1706="",0,C1706))</f>
        <v/>
      </c>
    </row>
    <row r="1707">
      <c r="A1707" s="58" t="n"/>
      <c r="B1707" s="49">
        <f>IF(A1707="","",CHOOSE(WEEKDAY(A1707,2),"Пн","Вт","Ср","Чт","Пт","Сб","Вс"))</f>
        <v/>
      </c>
      <c r="C1707" s="59" t="n"/>
      <c r="D1707" s="59" t="n"/>
      <c r="E1707" s="60">
        <f>IF(OR(C1707="",D1707=""),"",MOD(D1707-C1707,1)*24)</f>
        <v/>
      </c>
      <c r="F1707" s="50" t="n"/>
      <c r="G1707" s="51" t="n"/>
      <c r="H1707" s="51" t="n"/>
      <c r="I1707" s="51" t="n"/>
      <c r="J1707" s="51" t="n"/>
      <c r="K1707" s="51" t="n"/>
      <c r="L1707" s="54">
        <f>IF(OR(A1707="",C1707="",D1707=""),"",IF(COUNTIFS($A$5:$A$3004,A1707,$C$5:$C$3004,"&lt;"&amp;D1707,$D$5:$D$3004,"&gt;"&amp;C1707)&gt;1,"⚠️ пересечение",""))</f>
        <v/>
      </c>
      <c r="M1707" s="54">
        <f>IF(F1707="","",IF(J1707="✅ Сделано","✔ ",IF(J1707="❌ Пропущено","✖ ","⏰ "))&amp;IF(C1707="","",RIGHT("0"&amp;HOUR(C1707),2)&amp;":"&amp;RIGHT("0"&amp;MINUTE(C1707),2)&amp;IF(D1707="","","–"&amp;RIGHT("0"&amp;HOUR(D1707),2)&amp;":"&amp;RIGHT("0"&amp;MINUTE(D1707),2))&amp;" ")&amp;F1707)</f>
        <v/>
      </c>
      <c r="N1707" s="54">
        <f>IF(OR(A1707="",F1707=""),"",A1707&amp;"#"&amp;(COUNTIFS($A$5:$A$3004,A1707,$F$5:$F$3004,"?*",$O$5:$O$3004,"&lt;"&amp;O1707)+COUNTIFS($A$5:A1707,A1707,$F$5:F1707,"?*",$O$5:O1707,O1707)))</f>
        <v/>
      </c>
      <c r="O1707" s="54">
        <f>IF(A1707="","",IF(C1707="",0,C1707))</f>
        <v/>
      </c>
    </row>
    <row r="1708">
      <c r="A1708" s="58" t="n"/>
      <c r="B1708" s="49">
        <f>IF(A1708="","",CHOOSE(WEEKDAY(A1708,2),"Пн","Вт","Ср","Чт","Пт","Сб","Вс"))</f>
        <v/>
      </c>
      <c r="C1708" s="59" t="n"/>
      <c r="D1708" s="59" t="n"/>
      <c r="E1708" s="60">
        <f>IF(OR(C1708="",D1708=""),"",MOD(D1708-C1708,1)*24)</f>
        <v/>
      </c>
      <c r="F1708" s="50" t="n"/>
      <c r="G1708" s="51" t="n"/>
      <c r="H1708" s="51" t="n"/>
      <c r="I1708" s="51" t="n"/>
      <c r="J1708" s="51" t="n"/>
      <c r="K1708" s="51" t="n"/>
      <c r="L1708" s="54">
        <f>IF(OR(A1708="",C1708="",D1708=""),"",IF(COUNTIFS($A$5:$A$3004,A1708,$C$5:$C$3004,"&lt;"&amp;D1708,$D$5:$D$3004,"&gt;"&amp;C1708)&gt;1,"⚠️ пересечение",""))</f>
        <v/>
      </c>
      <c r="M1708" s="54">
        <f>IF(F1708="","",IF(J1708="✅ Сделано","✔ ",IF(J1708="❌ Пропущено","✖ ","⏰ "))&amp;IF(C1708="","",RIGHT("0"&amp;HOUR(C1708),2)&amp;":"&amp;RIGHT("0"&amp;MINUTE(C1708),2)&amp;IF(D1708="","","–"&amp;RIGHT("0"&amp;HOUR(D1708),2)&amp;":"&amp;RIGHT("0"&amp;MINUTE(D1708),2))&amp;" ")&amp;F1708)</f>
        <v/>
      </c>
      <c r="N1708" s="54">
        <f>IF(OR(A1708="",F1708=""),"",A1708&amp;"#"&amp;(COUNTIFS($A$5:$A$3004,A1708,$F$5:$F$3004,"?*",$O$5:$O$3004,"&lt;"&amp;O1708)+COUNTIFS($A$5:A1708,A1708,$F$5:F1708,"?*",$O$5:O1708,O1708)))</f>
        <v/>
      </c>
      <c r="O1708" s="54">
        <f>IF(A1708="","",IF(C1708="",0,C1708))</f>
        <v/>
      </c>
    </row>
    <row r="1709">
      <c r="A1709" s="58" t="n"/>
      <c r="B1709" s="49">
        <f>IF(A1709="","",CHOOSE(WEEKDAY(A1709,2),"Пн","Вт","Ср","Чт","Пт","Сб","Вс"))</f>
        <v/>
      </c>
      <c r="C1709" s="59" t="n"/>
      <c r="D1709" s="59" t="n"/>
      <c r="E1709" s="60">
        <f>IF(OR(C1709="",D1709=""),"",MOD(D1709-C1709,1)*24)</f>
        <v/>
      </c>
      <c r="F1709" s="50" t="n"/>
      <c r="G1709" s="51" t="n"/>
      <c r="H1709" s="51" t="n"/>
      <c r="I1709" s="51" t="n"/>
      <c r="J1709" s="51" t="n"/>
      <c r="K1709" s="51" t="n"/>
      <c r="L1709" s="54">
        <f>IF(OR(A1709="",C1709="",D1709=""),"",IF(COUNTIFS($A$5:$A$3004,A1709,$C$5:$C$3004,"&lt;"&amp;D1709,$D$5:$D$3004,"&gt;"&amp;C1709)&gt;1,"⚠️ пересечение",""))</f>
        <v/>
      </c>
      <c r="M1709" s="54">
        <f>IF(F1709="","",IF(J1709="✅ Сделано","✔ ",IF(J1709="❌ Пропущено","✖ ","⏰ "))&amp;IF(C1709="","",RIGHT("0"&amp;HOUR(C1709),2)&amp;":"&amp;RIGHT("0"&amp;MINUTE(C1709),2)&amp;IF(D1709="","","–"&amp;RIGHT("0"&amp;HOUR(D1709),2)&amp;":"&amp;RIGHT("0"&amp;MINUTE(D1709),2))&amp;" ")&amp;F1709)</f>
        <v/>
      </c>
      <c r="N1709" s="54">
        <f>IF(OR(A1709="",F1709=""),"",A1709&amp;"#"&amp;(COUNTIFS($A$5:$A$3004,A1709,$F$5:$F$3004,"?*",$O$5:$O$3004,"&lt;"&amp;O1709)+COUNTIFS($A$5:A1709,A1709,$F$5:F1709,"?*",$O$5:O1709,O1709)))</f>
        <v/>
      </c>
      <c r="O1709" s="54">
        <f>IF(A1709="","",IF(C1709="",0,C1709))</f>
        <v/>
      </c>
    </row>
    <row r="1710">
      <c r="A1710" s="58" t="n"/>
      <c r="B1710" s="49">
        <f>IF(A1710="","",CHOOSE(WEEKDAY(A1710,2),"Пн","Вт","Ср","Чт","Пт","Сб","Вс"))</f>
        <v/>
      </c>
      <c r="C1710" s="59" t="n"/>
      <c r="D1710" s="59" t="n"/>
      <c r="E1710" s="60">
        <f>IF(OR(C1710="",D1710=""),"",MOD(D1710-C1710,1)*24)</f>
        <v/>
      </c>
      <c r="F1710" s="50" t="n"/>
      <c r="G1710" s="51" t="n"/>
      <c r="H1710" s="51" t="n"/>
      <c r="I1710" s="51" t="n"/>
      <c r="J1710" s="51" t="n"/>
      <c r="K1710" s="51" t="n"/>
      <c r="L1710" s="54">
        <f>IF(OR(A1710="",C1710="",D1710=""),"",IF(COUNTIFS($A$5:$A$3004,A1710,$C$5:$C$3004,"&lt;"&amp;D1710,$D$5:$D$3004,"&gt;"&amp;C1710)&gt;1,"⚠️ пересечение",""))</f>
        <v/>
      </c>
      <c r="M1710" s="54">
        <f>IF(F1710="","",IF(J1710="✅ Сделано","✔ ",IF(J1710="❌ Пропущено","✖ ","⏰ "))&amp;IF(C1710="","",RIGHT("0"&amp;HOUR(C1710),2)&amp;":"&amp;RIGHT("0"&amp;MINUTE(C1710),2)&amp;IF(D1710="","","–"&amp;RIGHT("0"&amp;HOUR(D1710),2)&amp;":"&amp;RIGHT("0"&amp;MINUTE(D1710),2))&amp;" ")&amp;F1710)</f>
        <v/>
      </c>
      <c r="N1710" s="54">
        <f>IF(OR(A1710="",F1710=""),"",A1710&amp;"#"&amp;(COUNTIFS($A$5:$A$3004,A1710,$F$5:$F$3004,"?*",$O$5:$O$3004,"&lt;"&amp;O1710)+COUNTIFS($A$5:A1710,A1710,$F$5:F1710,"?*",$O$5:O1710,O1710)))</f>
        <v/>
      </c>
      <c r="O1710" s="54">
        <f>IF(A1710="","",IF(C1710="",0,C1710))</f>
        <v/>
      </c>
    </row>
    <row r="1711">
      <c r="A1711" s="58" t="n"/>
      <c r="B1711" s="49">
        <f>IF(A1711="","",CHOOSE(WEEKDAY(A1711,2),"Пн","Вт","Ср","Чт","Пт","Сб","Вс"))</f>
        <v/>
      </c>
      <c r="C1711" s="59" t="n"/>
      <c r="D1711" s="59" t="n"/>
      <c r="E1711" s="60">
        <f>IF(OR(C1711="",D1711=""),"",MOD(D1711-C1711,1)*24)</f>
        <v/>
      </c>
      <c r="F1711" s="50" t="n"/>
      <c r="G1711" s="51" t="n"/>
      <c r="H1711" s="51" t="n"/>
      <c r="I1711" s="51" t="n"/>
      <c r="J1711" s="51" t="n"/>
      <c r="K1711" s="51" t="n"/>
      <c r="L1711" s="54">
        <f>IF(OR(A1711="",C1711="",D1711=""),"",IF(COUNTIFS($A$5:$A$3004,A1711,$C$5:$C$3004,"&lt;"&amp;D1711,$D$5:$D$3004,"&gt;"&amp;C1711)&gt;1,"⚠️ пересечение",""))</f>
        <v/>
      </c>
      <c r="M1711" s="54">
        <f>IF(F1711="","",IF(J1711="✅ Сделано","✔ ",IF(J1711="❌ Пропущено","✖ ","⏰ "))&amp;IF(C1711="","",RIGHT("0"&amp;HOUR(C1711),2)&amp;":"&amp;RIGHT("0"&amp;MINUTE(C1711),2)&amp;IF(D1711="","","–"&amp;RIGHT("0"&amp;HOUR(D1711),2)&amp;":"&amp;RIGHT("0"&amp;MINUTE(D1711),2))&amp;" ")&amp;F1711)</f>
        <v/>
      </c>
      <c r="N1711" s="54">
        <f>IF(OR(A1711="",F1711=""),"",A1711&amp;"#"&amp;(COUNTIFS($A$5:$A$3004,A1711,$F$5:$F$3004,"?*",$O$5:$O$3004,"&lt;"&amp;O1711)+COUNTIFS($A$5:A1711,A1711,$F$5:F1711,"?*",$O$5:O1711,O1711)))</f>
        <v/>
      </c>
      <c r="O1711" s="54">
        <f>IF(A1711="","",IF(C1711="",0,C1711))</f>
        <v/>
      </c>
    </row>
    <row r="1712">
      <c r="A1712" s="58" t="n"/>
      <c r="B1712" s="49">
        <f>IF(A1712="","",CHOOSE(WEEKDAY(A1712,2),"Пн","Вт","Ср","Чт","Пт","Сб","Вс"))</f>
        <v/>
      </c>
      <c r="C1712" s="59" t="n"/>
      <c r="D1712" s="59" t="n"/>
      <c r="E1712" s="60">
        <f>IF(OR(C1712="",D1712=""),"",MOD(D1712-C1712,1)*24)</f>
        <v/>
      </c>
      <c r="F1712" s="50" t="n"/>
      <c r="G1712" s="51" t="n"/>
      <c r="H1712" s="51" t="n"/>
      <c r="I1712" s="51" t="n"/>
      <c r="J1712" s="51" t="n"/>
      <c r="K1712" s="51" t="n"/>
      <c r="L1712" s="54">
        <f>IF(OR(A1712="",C1712="",D1712=""),"",IF(COUNTIFS($A$5:$A$3004,A1712,$C$5:$C$3004,"&lt;"&amp;D1712,$D$5:$D$3004,"&gt;"&amp;C1712)&gt;1,"⚠️ пересечение",""))</f>
        <v/>
      </c>
      <c r="M1712" s="54">
        <f>IF(F1712="","",IF(J1712="✅ Сделано","✔ ",IF(J1712="❌ Пропущено","✖ ","⏰ "))&amp;IF(C1712="","",RIGHT("0"&amp;HOUR(C1712),2)&amp;":"&amp;RIGHT("0"&amp;MINUTE(C1712),2)&amp;IF(D1712="","","–"&amp;RIGHT("0"&amp;HOUR(D1712),2)&amp;":"&amp;RIGHT("0"&amp;MINUTE(D1712),2))&amp;" ")&amp;F1712)</f>
        <v/>
      </c>
      <c r="N1712" s="54">
        <f>IF(OR(A1712="",F1712=""),"",A1712&amp;"#"&amp;(COUNTIFS($A$5:$A$3004,A1712,$F$5:$F$3004,"?*",$O$5:$O$3004,"&lt;"&amp;O1712)+COUNTIFS($A$5:A1712,A1712,$F$5:F1712,"?*",$O$5:O1712,O1712)))</f>
        <v/>
      </c>
      <c r="O1712" s="54">
        <f>IF(A1712="","",IF(C1712="",0,C1712))</f>
        <v/>
      </c>
    </row>
    <row r="1713">
      <c r="A1713" s="58" t="n"/>
      <c r="B1713" s="49">
        <f>IF(A1713="","",CHOOSE(WEEKDAY(A1713,2),"Пн","Вт","Ср","Чт","Пт","Сб","Вс"))</f>
        <v/>
      </c>
      <c r="C1713" s="59" t="n"/>
      <c r="D1713" s="59" t="n"/>
      <c r="E1713" s="60">
        <f>IF(OR(C1713="",D1713=""),"",MOD(D1713-C1713,1)*24)</f>
        <v/>
      </c>
      <c r="F1713" s="50" t="n"/>
      <c r="G1713" s="51" t="n"/>
      <c r="H1713" s="51" t="n"/>
      <c r="I1713" s="51" t="n"/>
      <c r="J1713" s="51" t="n"/>
      <c r="K1713" s="51" t="n"/>
      <c r="L1713" s="54">
        <f>IF(OR(A1713="",C1713="",D1713=""),"",IF(COUNTIFS($A$5:$A$3004,A1713,$C$5:$C$3004,"&lt;"&amp;D1713,$D$5:$D$3004,"&gt;"&amp;C1713)&gt;1,"⚠️ пересечение",""))</f>
        <v/>
      </c>
      <c r="M1713" s="54">
        <f>IF(F1713="","",IF(J1713="✅ Сделано","✔ ",IF(J1713="❌ Пропущено","✖ ","⏰ "))&amp;IF(C1713="","",RIGHT("0"&amp;HOUR(C1713),2)&amp;":"&amp;RIGHT("0"&amp;MINUTE(C1713),2)&amp;IF(D1713="","","–"&amp;RIGHT("0"&amp;HOUR(D1713),2)&amp;":"&amp;RIGHT("0"&amp;MINUTE(D1713),2))&amp;" ")&amp;F1713)</f>
        <v/>
      </c>
      <c r="N1713" s="54">
        <f>IF(OR(A1713="",F1713=""),"",A1713&amp;"#"&amp;(COUNTIFS($A$5:$A$3004,A1713,$F$5:$F$3004,"?*",$O$5:$O$3004,"&lt;"&amp;O1713)+COUNTIFS($A$5:A1713,A1713,$F$5:F1713,"?*",$O$5:O1713,O1713)))</f>
        <v/>
      </c>
      <c r="O1713" s="54">
        <f>IF(A1713="","",IF(C1713="",0,C1713))</f>
        <v/>
      </c>
    </row>
    <row r="1714">
      <c r="A1714" s="58" t="n"/>
      <c r="B1714" s="49">
        <f>IF(A1714="","",CHOOSE(WEEKDAY(A1714,2),"Пн","Вт","Ср","Чт","Пт","Сб","Вс"))</f>
        <v/>
      </c>
      <c r="C1714" s="59" t="n"/>
      <c r="D1714" s="59" t="n"/>
      <c r="E1714" s="60">
        <f>IF(OR(C1714="",D1714=""),"",MOD(D1714-C1714,1)*24)</f>
        <v/>
      </c>
      <c r="F1714" s="50" t="n"/>
      <c r="G1714" s="51" t="n"/>
      <c r="H1714" s="51" t="n"/>
      <c r="I1714" s="51" t="n"/>
      <c r="J1714" s="51" t="n"/>
      <c r="K1714" s="51" t="n"/>
      <c r="L1714" s="54">
        <f>IF(OR(A1714="",C1714="",D1714=""),"",IF(COUNTIFS($A$5:$A$3004,A1714,$C$5:$C$3004,"&lt;"&amp;D1714,$D$5:$D$3004,"&gt;"&amp;C1714)&gt;1,"⚠️ пересечение",""))</f>
        <v/>
      </c>
      <c r="M1714" s="54">
        <f>IF(F1714="","",IF(J1714="✅ Сделано","✔ ",IF(J1714="❌ Пропущено","✖ ","⏰ "))&amp;IF(C1714="","",RIGHT("0"&amp;HOUR(C1714),2)&amp;":"&amp;RIGHT("0"&amp;MINUTE(C1714),2)&amp;IF(D1714="","","–"&amp;RIGHT("0"&amp;HOUR(D1714),2)&amp;":"&amp;RIGHT("0"&amp;MINUTE(D1714),2))&amp;" ")&amp;F1714)</f>
        <v/>
      </c>
      <c r="N1714" s="54">
        <f>IF(OR(A1714="",F1714=""),"",A1714&amp;"#"&amp;(COUNTIFS($A$5:$A$3004,A1714,$F$5:$F$3004,"?*",$O$5:$O$3004,"&lt;"&amp;O1714)+COUNTIFS($A$5:A1714,A1714,$F$5:F1714,"?*",$O$5:O1714,O1714)))</f>
        <v/>
      </c>
      <c r="O1714" s="54">
        <f>IF(A1714="","",IF(C1714="",0,C1714))</f>
        <v/>
      </c>
    </row>
    <row r="1715">
      <c r="A1715" s="58" t="n"/>
      <c r="B1715" s="49">
        <f>IF(A1715="","",CHOOSE(WEEKDAY(A1715,2),"Пн","Вт","Ср","Чт","Пт","Сб","Вс"))</f>
        <v/>
      </c>
      <c r="C1715" s="59" t="n"/>
      <c r="D1715" s="59" t="n"/>
      <c r="E1715" s="60">
        <f>IF(OR(C1715="",D1715=""),"",MOD(D1715-C1715,1)*24)</f>
        <v/>
      </c>
      <c r="F1715" s="50" t="n"/>
      <c r="G1715" s="51" t="n"/>
      <c r="H1715" s="51" t="n"/>
      <c r="I1715" s="51" t="n"/>
      <c r="J1715" s="51" t="n"/>
      <c r="K1715" s="51" t="n"/>
      <c r="L1715" s="54">
        <f>IF(OR(A1715="",C1715="",D1715=""),"",IF(COUNTIFS($A$5:$A$3004,A1715,$C$5:$C$3004,"&lt;"&amp;D1715,$D$5:$D$3004,"&gt;"&amp;C1715)&gt;1,"⚠️ пересечение",""))</f>
        <v/>
      </c>
      <c r="M1715" s="54">
        <f>IF(F1715="","",IF(J1715="✅ Сделано","✔ ",IF(J1715="❌ Пропущено","✖ ","⏰ "))&amp;IF(C1715="","",RIGHT("0"&amp;HOUR(C1715),2)&amp;":"&amp;RIGHT("0"&amp;MINUTE(C1715),2)&amp;IF(D1715="","","–"&amp;RIGHT("0"&amp;HOUR(D1715),2)&amp;":"&amp;RIGHT("0"&amp;MINUTE(D1715),2))&amp;" ")&amp;F1715)</f>
        <v/>
      </c>
      <c r="N1715" s="54">
        <f>IF(OR(A1715="",F1715=""),"",A1715&amp;"#"&amp;(COUNTIFS($A$5:$A$3004,A1715,$F$5:$F$3004,"?*",$O$5:$O$3004,"&lt;"&amp;O1715)+COUNTIFS($A$5:A1715,A1715,$F$5:F1715,"?*",$O$5:O1715,O1715)))</f>
        <v/>
      </c>
      <c r="O1715" s="54">
        <f>IF(A1715="","",IF(C1715="",0,C1715))</f>
        <v/>
      </c>
    </row>
    <row r="1716">
      <c r="A1716" s="58" t="n"/>
      <c r="B1716" s="49">
        <f>IF(A1716="","",CHOOSE(WEEKDAY(A1716,2),"Пн","Вт","Ср","Чт","Пт","Сб","Вс"))</f>
        <v/>
      </c>
      <c r="C1716" s="59" t="n"/>
      <c r="D1716" s="59" t="n"/>
      <c r="E1716" s="60">
        <f>IF(OR(C1716="",D1716=""),"",MOD(D1716-C1716,1)*24)</f>
        <v/>
      </c>
      <c r="F1716" s="50" t="n"/>
      <c r="G1716" s="51" t="n"/>
      <c r="H1716" s="51" t="n"/>
      <c r="I1716" s="51" t="n"/>
      <c r="J1716" s="51" t="n"/>
      <c r="K1716" s="51" t="n"/>
      <c r="L1716" s="54">
        <f>IF(OR(A1716="",C1716="",D1716=""),"",IF(COUNTIFS($A$5:$A$3004,A1716,$C$5:$C$3004,"&lt;"&amp;D1716,$D$5:$D$3004,"&gt;"&amp;C1716)&gt;1,"⚠️ пересечение",""))</f>
        <v/>
      </c>
      <c r="M1716" s="54">
        <f>IF(F1716="","",IF(J1716="✅ Сделано","✔ ",IF(J1716="❌ Пропущено","✖ ","⏰ "))&amp;IF(C1716="","",RIGHT("0"&amp;HOUR(C1716),2)&amp;":"&amp;RIGHT("0"&amp;MINUTE(C1716),2)&amp;IF(D1716="","","–"&amp;RIGHT("0"&amp;HOUR(D1716),2)&amp;":"&amp;RIGHT("0"&amp;MINUTE(D1716),2))&amp;" ")&amp;F1716)</f>
        <v/>
      </c>
      <c r="N1716" s="54">
        <f>IF(OR(A1716="",F1716=""),"",A1716&amp;"#"&amp;(COUNTIFS($A$5:$A$3004,A1716,$F$5:$F$3004,"?*",$O$5:$O$3004,"&lt;"&amp;O1716)+COUNTIFS($A$5:A1716,A1716,$F$5:F1716,"?*",$O$5:O1716,O1716)))</f>
        <v/>
      </c>
      <c r="O1716" s="54">
        <f>IF(A1716="","",IF(C1716="",0,C1716))</f>
        <v/>
      </c>
    </row>
    <row r="1717">
      <c r="A1717" s="58" t="n"/>
      <c r="B1717" s="49">
        <f>IF(A1717="","",CHOOSE(WEEKDAY(A1717,2),"Пн","Вт","Ср","Чт","Пт","Сб","Вс"))</f>
        <v/>
      </c>
      <c r="C1717" s="59" t="n"/>
      <c r="D1717" s="59" t="n"/>
      <c r="E1717" s="60">
        <f>IF(OR(C1717="",D1717=""),"",MOD(D1717-C1717,1)*24)</f>
        <v/>
      </c>
      <c r="F1717" s="50" t="n"/>
      <c r="G1717" s="51" t="n"/>
      <c r="H1717" s="51" t="n"/>
      <c r="I1717" s="51" t="n"/>
      <c r="J1717" s="51" t="n"/>
      <c r="K1717" s="51" t="n"/>
      <c r="L1717" s="54">
        <f>IF(OR(A1717="",C1717="",D1717=""),"",IF(COUNTIFS($A$5:$A$3004,A1717,$C$5:$C$3004,"&lt;"&amp;D1717,$D$5:$D$3004,"&gt;"&amp;C1717)&gt;1,"⚠️ пересечение",""))</f>
        <v/>
      </c>
      <c r="M1717" s="54">
        <f>IF(F1717="","",IF(J1717="✅ Сделано","✔ ",IF(J1717="❌ Пропущено","✖ ","⏰ "))&amp;IF(C1717="","",RIGHT("0"&amp;HOUR(C1717),2)&amp;":"&amp;RIGHT("0"&amp;MINUTE(C1717),2)&amp;IF(D1717="","","–"&amp;RIGHT("0"&amp;HOUR(D1717),2)&amp;":"&amp;RIGHT("0"&amp;MINUTE(D1717),2))&amp;" ")&amp;F1717)</f>
        <v/>
      </c>
      <c r="N1717" s="54">
        <f>IF(OR(A1717="",F1717=""),"",A1717&amp;"#"&amp;(COUNTIFS($A$5:$A$3004,A1717,$F$5:$F$3004,"?*",$O$5:$O$3004,"&lt;"&amp;O1717)+COUNTIFS($A$5:A1717,A1717,$F$5:F1717,"?*",$O$5:O1717,O1717)))</f>
        <v/>
      </c>
      <c r="O1717" s="54">
        <f>IF(A1717="","",IF(C1717="",0,C1717))</f>
        <v/>
      </c>
    </row>
    <row r="1718">
      <c r="A1718" s="58" t="n"/>
      <c r="B1718" s="49">
        <f>IF(A1718="","",CHOOSE(WEEKDAY(A1718,2),"Пн","Вт","Ср","Чт","Пт","Сб","Вс"))</f>
        <v/>
      </c>
      <c r="C1718" s="59" t="n"/>
      <c r="D1718" s="59" t="n"/>
      <c r="E1718" s="60">
        <f>IF(OR(C1718="",D1718=""),"",MOD(D1718-C1718,1)*24)</f>
        <v/>
      </c>
      <c r="F1718" s="50" t="n"/>
      <c r="G1718" s="51" t="n"/>
      <c r="H1718" s="51" t="n"/>
      <c r="I1718" s="51" t="n"/>
      <c r="J1718" s="51" t="n"/>
      <c r="K1718" s="51" t="n"/>
      <c r="L1718" s="54">
        <f>IF(OR(A1718="",C1718="",D1718=""),"",IF(COUNTIFS($A$5:$A$3004,A1718,$C$5:$C$3004,"&lt;"&amp;D1718,$D$5:$D$3004,"&gt;"&amp;C1718)&gt;1,"⚠️ пересечение",""))</f>
        <v/>
      </c>
      <c r="M1718" s="54">
        <f>IF(F1718="","",IF(J1718="✅ Сделано","✔ ",IF(J1718="❌ Пропущено","✖ ","⏰ "))&amp;IF(C1718="","",RIGHT("0"&amp;HOUR(C1718),2)&amp;":"&amp;RIGHT("0"&amp;MINUTE(C1718),2)&amp;IF(D1718="","","–"&amp;RIGHT("0"&amp;HOUR(D1718),2)&amp;":"&amp;RIGHT("0"&amp;MINUTE(D1718),2))&amp;" ")&amp;F1718)</f>
        <v/>
      </c>
      <c r="N1718" s="54">
        <f>IF(OR(A1718="",F1718=""),"",A1718&amp;"#"&amp;(COUNTIFS($A$5:$A$3004,A1718,$F$5:$F$3004,"?*",$O$5:$O$3004,"&lt;"&amp;O1718)+COUNTIFS($A$5:A1718,A1718,$F$5:F1718,"?*",$O$5:O1718,O1718)))</f>
        <v/>
      </c>
      <c r="O1718" s="54">
        <f>IF(A1718="","",IF(C1718="",0,C1718))</f>
        <v/>
      </c>
    </row>
    <row r="1719">
      <c r="A1719" s="58" t="n"/>
      <c r="B1719" s="49">
        <f>IF(A1719="","",CHOOSE(WEEKDAY(A1719,2),"Пн","Вт","Ср","Чт","Пт","Сб","Вс"))</f>
        <v/>
      </c>
      <c r="C1719" s="59" t="n"/>
      <c r="D1719" s="59" t="n"/>
      <c r="E1719" s="60">
        <f>IF(OR(C1719="",D1719=""),"",MOD(D1719-C1719,1)*24)</f>
        <v/>
      </c>
      <c r="F1719" s="50" t="n"/>
      <c r="G1719" s="51" t="n"/>
      <c r="H1719" s="51" t="n"/>
      <c r="I1719" s="51" t="n"/>
      <c r="J1719" s="51" t="n"/>
      <c r="K1719" s="51" t="n"/>
      <c r="L1719" s="54">
        <f>IF(OR(A1719="",C1719="",D1719=""),"",IF(COUNTIFS($A$5:$A$3004,A1719,$C$5:$C$3004,"&lt;"&amp;D1719,$D$5:$D$3004,"&gt;"&amp;C1719)&gt;1,"⚠️ пересечение",""))</f>
        <v/>
      </c>
      <c r="M1719" s="54">
        <f>IF(F1719="","",IF(J1719="✅ Сделано","✔ ",IF(J1719="❌ Пропущено","✖ ","⏰ "))&amp;IF(C1719="","",RIGHT("0"&amp;HOUR(C1719),2)&amp;":"&amp;RIGHT("0"&amp;MINUTE(C1719),2)&amp;IF(D1719="","","–"&amp;RIGHT("0"&amp;HOUR(D1719),2)&amp;":"&amp;RIGHT("0"&amp;MINUTE(D1719),2))&amp;" ")&amp;F1719)</f>
        <v/>
      </c>
      <c r="N1719" s="54">
        <f>IF(OR(A1719="",F1719=""),"",A1719&amp;"#"&amp;(COUNTIFS($A$5:$A$3004,A1719,$F$5:$F$3004,"?*",$O$5:$O$3004,"&lt;"&amp;O1719)+COUNTIFS($A$5:A1719,A1719,$F$5:F1719,"?*",$O$5:O1719,O1719)))</f>
        <v/>
      </c>
      <c r="O1719" s="54">
        <f>IF(A1719="","",IF(C1719="",0,C1719))</f>
        <v/>
      </c>
    </row>
    <row r="1720">
      <c r="A1720" s="58" t="n"/>
      <c r="B1720" s="49">
        <f>IF(A1720="","",CHOOSE(WEEKDAY(A1720,2),"Пн","Вт","Ср","Чт","Пт","Сб","Вс"))</f>
        <v/>
      </c>
      <c r="C1720" s="59" t="n"/>
      <c r="D1720" s="59" t="n"/>
      <c r="E1720" s="60">
        <f>IF(OR(C1720="",D1720=""),"",MOD(D1720-C1720,1)*24)</f>
        <v/>
      </c>
      <c r="F1720" s="50" t="n"/>
      <c r="G1720" s="51" t="n"/>
      <c r="H1720" s="51" t="n"/>
      <c r="I1720" s="51" t="n"/>
      <c r="J1720" s="51" t="n"/>
      <c r="K1720" s="51" t="n"/>
      <c r="L1720" s="54">
        <f>IF(OR(A1720="",C1720="",D1720=""),"",IF(COUNTIFS($A$5:$A$3004,A1720,$C$5:$C$3004,"&lt;"&amp;D1720,$D$5:$D$3004,"&gt;"&amp;C1720)&gt;1,"⚠️ пересечение",""))</f>
        <v/>
      </c>
      <c r="M1720" s="54">
        <f>IF(F1720="","",IF(J1720="✅ Сделано","✔ ",IF(J1720="❌ Пропущено","✖ ","⏰ "))&amp;IF(C1720="","",RIGHT("0"&amp;HOUR(C1720),2)&amp;":"&amp;RIGHT("0"&amp;MINUTE(C1720),2)&amp;IF(D1720="","","–"&amp;RIGHT("0"&amp;HOUR(D1720),2)&amp;":"&amp;RIGHT("0"&amp;MINUTE(D1720),2))&amp;" ")&amp;F1720)</f>
        <v/>
      </c>
      <c r="N1720" s="54">
        <f>IF(OR(A1720="",F1720=""),"",A1720&amp;"#"&amp;(COUNTIFS($A$5:$A$3004,A1720,$F$5:$F$3004,"?*",$O$5:$O$3004,"&lt;"&amp;O1720)+COUNTIFS($A$5:A1720,A1720,$F$5:F1720,"?*",$O$5:O1720,O1720)))</f>
        <v/>
      </c>
      <c r="O1720" s="54">
        <f>IF(A1720="","",IF(C1720="",0,C1720))</f>
        <v/>
      </c>
    </row>
    <row r="1721">
      <c r="A1721" s="58" t="n"/>
      <c r="B1721" s="49">
        <f>IF(A1721="","",CHOOSE(WEEKDAY(A1721,2),"Пн","Вт","Ср","Чт","Пт","Сб","Вс"))</f>
        <v/>
      </c>
      <c r="C1721" s="59" t="n"/>
      <c r="D1721" s="59" t="n"/>
      <c r="E1721" s="60">
        <f>IF(OR(C1721="",D1721=""),"",MOD(D1721-C1721,1)*24)</f>
        <v/>
      </c>
      <c r="F1721" s="50" t="n"/>
      <c r="G1721" s="51" t="n"/>
      <c r="H1721" s="51" t="n"/>
      <c r="I1721" s="51" t="n"/>
      <c r="J1721" s="51" t="n"/>
      <c r="K1721" s="51" t="n"/>
      <c r="L1721" s="54">
        <f>IF(OR(A1721="",C1721="",D1721=""),"",IF(COUNTIFS($A$5:$A$3004,A1721,$C$5:$C$3004,"&lt;"&amp;D1721,$D$5:$D$3004,"&gt;"&amp;C1721)&gt;1,"⚠️ пересечение",""))</f>
        <v/>
      </c>
      <c r="M1721" s="54">
        <f>IF(F1721="","",IF(J1721="✅ Сделано","✔ ",IF(J1721="❌ Пропущено","✖ ","⏰ "))&amp;IF(C1721="","",RIGHT("0"&amp;HOUR(C1721),2)&amp;":"&amp;RIGHT("0"&amp;MINUTE(C1721),2)&amp;IF(D1721="","","–"&amp;RIGHT("0"&amp;HOUR(D1721),2)&amp;":"&amp;RIGHT("0"&amp;MINUTE(D1721),2))&amp;" ")&amp;F1721)</f>
        <v/>
      </c>
      <c r="N1721" s="54">
        <f>IF(OR(A1721="",F1721=""),"",A1721&amp;"#"&amp;(COUNTIFS($A$5:$A$3004,A1721,$F$5:$F$3004,"?*",$O$5:$O$3004,"&lt;"&amp;O1721)+COUNTIFS($A$5:A1721,A1721,$F$5:F1721,"?*",$O$5:O1721,O1721)))</f>
        <v/>
      </c>
      <c r="O1721" s="54">
        <f>IF(A1721="","",IF(C1721="",0,C1721))</f>
        <v/>
      </c>
    </row>
    <row r="1722">
      <c r="A1722" s="58" t="n"/>
      <c r="B1722" s="49">
        <f>IF(A1722="","",CHOOSE(WEEKDAY(A1722,2),"Пн","Вт","Ср","Чт","Пт","Сб","Вс"))</f>
        <v/>
      </c>
      <c r="C1722" s="59" t="n"/>
      <c r="D1722" s="59" t="n"/>
      <c r="E1722" s="60">
        <f>IF(OR(C1722="",D1722=""),"",MOD(D1722-C1722,1)*24)</f>
        <v/>
      </c>
      <c r="F1722" s="50" t="n"/>
      <c r="G1722" s="51" t="n"/>
      <c r="H1722" s="51" t="n"/>
      <c r="I1722" s="51" t="n"/>
      <c r="J1722" s="51" t="n"/>
      <c r="K1722" s="51" t="n"/>
      <c r="L1722" s="54">
        <f>IF(OR(A1722="",C1722="",D1722=""),"",IF(COUNTIFS($A$5:$A$3004,A1722,$C$5:$C$3004,"&lt;"&amp;D1722,$D$5:$D$3004,"&gt;"&amp;C1722)&gt;1,"⚠️ пересечение",""))</f>
        <v/>
      </c>
      <c r="M1722" s="54">
        <f>IF(F1722="","",IF(J1722="✅ Сделано","✔ ",IF(J1722="❌ Пропущено","✖ ","⏰ "))&amp;IF(C1722="","",RIGHT("0"&amp;HOUR(C1722),2)&amp;":"&amp;RIGHT("0"&amp;MINUTE(C1722),2)&amp;IF(D1722="","","–"&amp;RIGHT("0"&amp;HOUR(D1722),2)&amp;":"&amp;RIGHT("0"&amp;MINUTE(D1722),2))&amp;" ")&amp;F1722)</f>
        <v/>
      </c>
      <c r="N1722" s="54">
        <f>IF(OR(A1722="",F1722=""),"",A1722&amp;"#"&amp;(COUNTIFS($A$5:$A$3004,A1722,$F$5:$F$3004,"?*",$O$5:$O$3004,"&lt;"&amp;O1722)+COUNTIFS($A$5:A1722,A1722,$F$5:F1722,"?*",$O$5:O1722,O1722)))</f>
        <v/>
      </c>
      <c r="O1722" s="54">
        <f>IF(A1722="","",IF(C1722="",0,C1722))</f>
        <v/>
      </c>
    </row>
    <row r="1723">
      <c r="A1723" s="58" t="n"/>
      <c r="B1723" s="49">
        <f>IF(A1723="","",CHOOSE(WEEKDAY(A1723,2),"Пн","Вт","Ср","Чт","Пт","Сб","Вс"))</f>
        <v/>
      </c>
      <c r="C1723" s="59" t="n"/>
      <c r="D1723" s="59" t="n"/>
      <c r="E1723" s="60">
        <f>IF(OR(C1723="",D1723=""),"",MOD(D1723-C1723,1)*24)</f>
        <v/>
      </c>
      <c r="F1723" s="50" t="n"/>
      <c r="G1723" s="51" t="n"/>
      <c r="H1723" s="51" t="n"/>
      <c r="I1723" s="51" t="n"/>
      <c r="J1723" s="51" t="n"/>
      <c r="K1723" s="51" t="n"/>
      <c r="L1723" s="54">
        <f>IF(OR(A1723="",C1723="",D1723=""),"",IF(COUNTIFS($A$5:$A$3004,A1723,$C$5:$C$3004,"&lt;"&amp;D1723,$D$5:$D$3004,"&gt;"&amp;C1723)&gt;1,"⚠️ пересечение",""))</f>
        <v/>
      </c>
      <c r="M1723" s="54">
        <f>IF(F1723="","",IF(J1723="✅ Сделано","✔ ",IF(J1723="❌ Пропущено","✖ ","⏰ "))&amp;IF(C1723="","",RIGHT("0"&amp;HOUR(C1723),2)&amp;":"&amp;RIGHT("0"&amp;MINUTE(C1723),2)&amp;IF(D1723="","","–"&amp;RIGHT("0"&amp;HOUR(D1723),2)&amp;":"&amp;RIGHT("0"&amp;MINUTE(D1723),2))&amp;" ")&amp;F1723)</f>
        <v/>
      </c>
      <c r="N1723" s="54">
        <f>IF(OR(A1723="",F1723=""),"",A1723&amp;"#"&amp;(COUNTIFS($A$5:$A$3004,A1723,$F$5:$F$3004,"?*",$O$5:$O$3004,"&lt;"&amp;O1723)+COUNTIFS($A$5:A1723,A1723,$F$5:F1723,"?*",$O$5:O1723,O1723)))</f>
        <v/>
      </c>
      <c r="O1723" s="54">
        <f>IF(A1723="","",IF(C1723="",0,C1723))</f>
        <v/>
      </c>
    </row>
    <row r="1724">
      <c r="A1724" s="58" t="n"/>
      <c r="B1724" s="49">
        <f>IF(A1724="","",CHOOSE(WEEKDAY(A1724,2),"Пн","Вт","Ср","Чт","Пт","Сб","Вс"))</f>
        <v/>
      </c>
      <c r="C1724" s="59" t="n"/>
      <c r="D1724" s="59" t="n"/>
      <c r="E1724" s="60">
        <f>IF(OR(C1724="",D1724=""),"",MOD(D1724-C1724,1)*24)</f>
        <v/>
      </c>
      <c r="F1724" s="50" t="n"/>
      <c r="G1724" s="51" t="n"/>
      <c r="H1724" s="51" t="n"/>
      <c r="I1724" s="51" t="n"/>
      <c r="J1724" s="51" t="n"/>
      <c r="K1724" s="51" t="n"/>
      <c r="L1724" s="54">
        <f>IF(OR(A1724="",C1724="",D1724=""),"",IF(COUNTIFS($A$5:$A$3004,A1724,$C$5:$C$3004,"&lt;"&amp;D1724,$D$5:$D$3004,"&gt;"&amp;C1724)&gt;1,"⚠️ пересечение",""))</f>
        <v/>
      </c>
      <c r="M1724" s="54">
        <f>IF(F1724="","",IF(J1724="✅ Сделано","✔ ",IF(J1724="❌ Пропущено","✖ ","⏰ "))&amp;IF(C1724="","",RIGHT("0"&amp;HOUR(C1724),2)&amp;":"&amp;RIGHT("0"&amp;MINUTE(C1724),2)&amp;IF(D1724="","","–"&amp;RIGHT("0"&amp;HOUR(D1724),2)&amp;":"&amp;RIGHT("0"&amp;MINUTE(D1724),2))&amp;" ")&amp;F1724)</f>
        <v/>
      </c>
      <c r="N1724" s="54">
        <f>IF(OR(A1724="",F1724=""),"",A1724&amp;"#"&amp;(COUNTIFS($A$5:$A$3004,A1724,$F$5:$F$3004,"?*",$O$5:$O$3004,"&lt;"&amp;O1724)+COUNTIFS($A$5:A1724,A1724,$F$5:F1724,"?*",$O$5:O1724,O1724)))</f>
        <v/>
      </c>
      <c r="O1724" s="54">
        <f>IF(A1724="","",IF(C1724="",0,C1724))</f>
        <v/>
      </c>
    </row>
    <row r="1725">
      <c r="A1725" s="58" t="n"/>
      <c r="B1725" s="49">
        <f>IF(A1725="","",CHOOSE(WEEKDAY(A1725,2),"Пн","Вт","Ср","Чт","Пт","Сб","Вс"))</f>
        <v/>
      </c>
      <c r="C1725" s="59" t="n"/>
      <c r="D1725" s="59" t="n"/>
      <c r="E1725" s="60">
        <f>IF(OR(C1725="",D1725=""),"",MOD(D1725-C1725,1)*24)</f>
        <v/>
      </c>
      <c r="F1725" s="50" t="n"/>
      <c r="G1725" s="51" t="n"/>
      <c r="H1725" s="51" t="n"/>
      <c r="I1725" s="51" t="n"/>
      <c r="J1725" s="51" t="n"/>
      <c r="K1725" s="51" t="n"/>
      <c r="L1725" s="54">
        <f>IF(OR(A1725="",C1725="",D1725=""),"",IF(COUNTIFS($A$5:$A$3004,A1725,$C$5:$C$3004,"&lt;"&amp;D1725,$D$5:$D$3004,"&gt;"&amp;C1725)&gt;1,"⚠️ пересечение",""))</f>
        <v/>
      </c>
      <c r="M1725" s="54">
        <f>IF(F1725="","",IF(J1725="✅ Сделано","✔ ",IF(J1725="❌ Пропущено","✖ ","⏰ "))&amp;IF(C1725="","",RIGHT("0"&amp;HOUR(C1725),2)&amp;":"&amp;RIGHT("0"&amp;MINUTE(C1725),2)&amp;IF(D1725="","","–"&amp;RIGHT("0"&amp;HOUR(D1725),2)&amp;":"&amp;RIGHT("0"&amp;MINUTE(D1725),2))&amp;" ")&amp;F1725)</f>
        <v/>
      </c>
      <c r="N1725" s="54">
        <f>IF(OR(A1725="",F1725=""),"",A1725&amp;"#"&amp;(COUNTIFS($A$5:$A$3004,A1725,$F$5:$F$3004,"?*",$O$5:$O$3004,"&lt;"&amp;O1725)+COUNTIFS($A$5:A1725,A1725,$F$5:F1725,"?*",$O$5:O1725,O1725)))</f>
        <v/>
      </c>
      <c r="O1725" s="54">
        <f>IF(A1725="","",IF(C1725="",0,C1725))</f>
        <v/>
      </c>
    </row>
    <row r="1726">
      <c r="A1726" s="58" t="n"/>
      <c r="B1726" s="49">
        <f>IF(A1726="","",CHOOSE(WEEKDAY(A1726,2),"Пн","Вт","Ср","Чт","Пт","Сб","Вс"))</f>
        <v/>
      </c>
      <c r="C1726" s="59" t="n"/>
      <c r="D1726" s="59" t="n"/>
      <c r="E1726" s="60">
        <f>IF(OR(C1726="",D1726=""),"",MOD(D1726-C1726,1)*24)</f>
        <v/>
      </c>
      <c r="F1726" s="50" t="n"/>
      <c r="G1726" s="51" t="n"/>
      <c r="H1726" s="51" t="n"/>
      <c r="I1726" s="51" t="n"/>
      <c r="J1726" s="51" t="n"/>
      <c r="K1726" s="51" t="n"/>
      <c r="L1726" s="54">
        <f>IF(OR(A1726="",C1726="",D1726=""),"",IF(COUNTIFS($A$5:$A$3004,A1726,$C$5:$C$3004,"&lt;"&amp;D1726,$D$5:$D$3004,"&gt;"&amp;C1726)&gt;1,"⚠️ пересечение",""))</f>
        <v/>
      </c>
      <c r="M1726" s="54">
        <f>IF(F1726="","",IF(J1726="✅ Сделано","✔ ",IF(J1726="❌ Пропущено","✖ ","⏰ "))&amp;IF(C1726="","",RIGHT("0"&amp;HOUR(C1726),2)&amp;":"&amp;RIGHT("0"&amp;MINUTE(C1726),2)&amp;IF(D1726="","","–"&amp;RIGHT("0"&amp;HOUR(D1726),2)&amp;":"&amp;RIGHT("0"&amp;MINUTE(D1726),2))&amp;" ")&amp;F1726)</f>
        <v/>
      </c>
      <c r="N1726" s="54">
        <f>IF(OR(A1726="",F1726=""),"",A1726&amp;"#"&amp;(COUNTIFS($A$5:$A$3004,A1726,$F$5:$F$3004,"?*",$O$5:$O$3004,"&lt;"&amp;O1726)+COUNTIFS($A$5:A1726,A1726,$F$5:F1726,"?*",$O$5:O1726,O1726)))</f>
        <v/>
      </c>
      <c r="O1726" s="54">
        <f>IF(A1726="","",IF(C1726="",0,C1726))</f>
        <v/>
      </c>
    </row>
    <row r="1727">
      <c r="A1727" s="58" t="n"/>
      <c r="B1727" s="49">
        <f>IF(A1727="","",CHOOSE(WEEKDAY(A1727,2),"Пн","Вт","Ср","Чт","Пт","Сб","Вс"))</f>
        <v/>
      </c>
      <c r="C1727" s="59" t="n"/>
      <c r="D1727" s="59" t="n"/>
      <c r="E1727" s="60">
        <f>IF(OR(C1727="",D1727=""),"",MOD(D1727-C1727,1)*24)</f>
        <v/>
      </c>
      <c r="F1727" s="50" t="n"/>
      <c r="G1727" s="51" t="n"/>
      <c r="H1727" s="51" t="n"/>
      <c r="I1727" s="51" t="n"/>
      <c r="J1727" s="51" t="n"/>
      <c r="K1727" s="51" t="n"/>
      <c r="L1727" s="54">
        <f>IF(OR(A1727="",C1727="",D1727=""),"",IF(COUNTIFS($A$5:$A$3004,A1727,$C$5:$C$3004,"&lt;"&amp;D1727,$D$5:$D$3004,"&gt;"&amp;C1727)&gt;1,"⚠️ пересечение",""))</f>
        <v/>
      </c>
      <c r="M1727" s="54">
        <f>IF(F1727="","",IF(J1727="✅ Сделано","✔ ",IF(J1727="❌ Пропущено","✖ ","⏰ "))&amp;IF(C1727="","",RIGHT("0"&amp;HOUR(C1727),2)&amp;":"&amp;RIGHT("0"&amp;MINUTE(C1727),2)&amp;IF(D1727="","","–"&amp;RIGHT("0"&amp;HOUR(D1727),2)&amp;":"&amp;RIGHT("0"&amp;MINUTE(D1727),2))&amp;" ")&amp;F1727)</f>
        <v/>
      </c>
      <c r="N1727" s="54">
        <f>IF(OR(A1727="",F1727=""),"",A1727&amp;"#"&amp;(COUNTIFS($A$5:$A$3004,A1727,$F$5:$F$3004,"?*",$O$5:$O$3004,"&lt;"&amp;O1727)+COUNTIFS($A$5:A1727,A1727,$F$5:F1727,"?*",$O$5:O1727,O1727)))</f>
        <v/>
      </c>
      <c r="O1727" s="54">
        <f>IF(A1727="","",IF(C1727="",0,C1727))</f>
        <v/>
      </c>
    </row>
    <row r="1728">
      <c r="A1728" s="58" t="n"/>
      <c r="B1728" s="49">
        <f>IF(A1728="","",CHOOSE(WEEKDAY(A1728,2),"Пн","Вт","Ср","Чт","Пт","Сб","Вс"))</f>
        <v/>
      </c>
      <c r="C1728" s="59" t="n"/>
      <c r="D1728" s="59" t="n"/>
      <c r="E1728" s="60">
        <f>IF(OR(C1728="",D1728=""),"",MOD(D1728-C1728,1)*24)</f>
        <v/>
      </c>
      <c r="F1728" s="50" t="n"/>
      <c r="G1728" s="51" t="n"/>
      <c r="H1728" s="51" t="n"/>
      <c r="I1728" s="51" t="n"/>
      <c r="J1728" s="51" t="n"/>
      <c r="K1728" s="51" t="n"/>
      <c r="L1728" s="54">
        <f>IF(OR(A1728="",C1728="",D1728=""),"",IF(COUNTIFS($A$5:$A$3004,A1728,$C$5:$C$3004,"&lt;"&amp;D1728,$D$5:$D$3004,"&gt;"&amp;C1728)&gt;1,"⚠️ пересечение",""))</f>
        <v/>
      </c>
      <c r="M1728" s="54">
        <f>IF(F1728="","",IF(J1728="✅ Сделано","✔ ",IF(J1728="❌ Пропущено","✖ ","⏰ "))&amp;IF(C1728="","",RIGHT("0"&amp;HOUR(C1728),2)&amp;":"&amp;RIGHT("0"&amp;MINUTE(C1728),2)&amp;IF(D1728="","","–"&amp;RIGHT("0"&amp;HOUR(D1728),2)&amp;":"&amp;RIGHT("0"&amp;MINUTE(D1728),2))&amp;" ")&amp;F1728)</f>
        <v/>
      </c>
      <c r="N1728" s="54">
        <f>IF(OR(A1728="",F1728=""),"",A1728&amp;"#"&amp;(COUNTIFS($A$5:$A$3004,A1728,$F$5:$F$3004,"?*",$O$5:$O$3004,"&lt;"&amp;O1728)+COUNTIFS($A$5:A1728,A1728,$F$5:F1728,"?*",$O$5:O1728,O1728)))</f>
        <v/>
      </c>
      <c r="O1728" s="54">
        <f>IF(A1728="","",IF(C1728="",0,C1728))</f>
        <v/>
      </c>
    </row>
    <row r="1729">
      <c r="A1729" s="58" t="n"/>
      <c r="B1729" s="49">
        <f>IF(A1729="","",CHOOSE(WEEKDAY(A1729,2),"Пн","Вт","Ср","Чт","Пт","Сб","Вс"))</f>
        <v/>
      </c>
      <c r="C1729" s="59" t="n"/>
      <c r="D1729" s="59" t="n"/>
      <c r="E1729" s="60">
        <f>IF(OR(C1729="",D1729=""),"",MOD(D1729-C1729,1)*24)</f>
        <v/>
      </c>
      <c r="F1729" s="50" t="n"/>
      <c r="G1729" s="51" t="n"/>
      <c r="H1729" s="51" t="n"/>
      <c r="I1729" s="51" t="n"/>
      <c r="J1729" s="51" t="n"/>
      <c r="K1729" s="51" t="n"/>
      <c r="L1729" s="54">
        <f>IF(OR(A1729="",C1729="",D1729=""),"",IF(COUNTIFS($A$5:$A$3004,A1729,$C$5:$C$3004,"&lt;"&amp;D1729,$D$5:$D$3004,"&gt;"&amp;C1729)&gt;1,"⚠️ пересечение",""))</f>
        <v/>
      </c>
      <c r="M1729" s="54">
        <f>IF(F1729="","",IF(J1729="✅ Сделано","✔ ",IF(J1729="❌ Пропущено","✖ ","⏰ "))&amp;IF(C1729="","",RIGHT("0"&amp;HOUR(C1729),2)&amp;":"&amp;RIGHT("0"&amp;MINUTE(C1729),2)&amp;IF(D1729="","","–"&amp;RIGHT("0"&amp;HOUR(D1729),2)&amp;":"&amp;RIGHT("0"&amp;MINUTE(D1729),2))&amp;" ")&amp;F1729)</f>
        <v/>
      </c>
      <c r="N1729" s="54">
        <f>IF(OR(A1729="",F1729=""),"",A1729&amp;"#"&amp;(COUNTIFS($A$5:$A$3004,A1729,$F$5:$F$3004,"?*",$O$5:$O$3004,"&lt;"&amp;O1729)+COUNTIFS($A$5:A1729,A1729,$F$5:F1729,"?*",$O$5:O1729,O1729)))</f>
        <v/>
      </c>
      <c r="O1729" s="54">
        <f>IF(A1729="","",IF(C1729="",0,C1729))</f>
        <v/>
      </c>
    </row>
    <row r="1730">
      <c r="A1730" s="58" t="n"/>
      <c r="B1730" s="49">
        <f>IF(A1730="","",CHOOSE(WEEKDAY(A1730,2),"Пн","Вт","Ср","Чт","Пт","Сб","Вс"))</f>
        <v/>
      </c>
      <c r="C1730" s="59" t="n"/>
      <c r="D1730" s="59" t="n"/>
      <c r="E1730" s="60">
        <f>IF(OR(C1730="",D1730=""),"",MOD(D1730-C1730,1)*24)</f>
        <v/>
      </c>
      <c r="F1730" s="50" t="n"/>
      <c r="G1730" s="51" t="n"/>
      <c r="H1730" s="51" t="n"/>
      <c r="I1730" s="51" t="n"/>
      <c r="J1730" s="51" t="n"/>
      <c r="K1730" s="51" t="n"/>
      <c r="L1730" s="54">
        <f>IF(OR(A1730="",C1730="",D1730=""),"",IF(COUNTIFS($A$5:$A$3004,A1730,$C$5:$C$3004,"&lt;"&amp;D1730,$D$5:$D$3004,"&gt;"&amp;C1730)&gt;1,"⚠️ пересечение",""))</f>
        <v/>
      </c>
      <c r="M1730" s="54">
        <f>IF(F1730="","",IF(J1730="✅ Сделано","✔ ",IF(J1730="❌ Пропущено","✖ ","⏰ "))&amp;IF(C1730="","",RIGHT("0"&amp;HOUR(C1730),2)&amp;":"&amp;RIGHT("0"&amp;MINUTE(C1730),2)&amp;IF(D1730="","","–"&amp;RIGHT("0"&amp;HOUR(D1730),2)&amp;":"&amp;RIGHT("0"&amp;MINUTE(D1730),2))&amp;" ")&amp;F1730)</f>
        <v/>
      </c>
      <c r="N1730" s="54">
        <f>IF(OR(A1730="",F1730=""),"",A1730&amp;"#"&amp;(COUNTIFS($A$5:$A$3004,A1730,$F$5:$F$3004,"?*",$O$5:$O$3004,"&lt;"&amp;O1730)+COUNTIFS($A$5:A1730,A1730,$F$5:F1730,"?*",$O$5:O1730,O1730)))</f>
        <v/>
      </c>
      <c r="O1730" s="54">
        <f>IF(A1730="","",IF(C1730="",0,C1730))</f>
        <v/>
      </c>
    </row>
    <row r="1731">
      <c r="A1731" s="58" t="n"/>
      <c r="B1731" s="49">
        <f>IF(A1731="","",CHOOSE(WEEKDAY(A1731,2),"Пн","Вт","Ср","Чт","Пт","Сб","Вс"))</f>
        <v/>
      </c>
      <c r="C1731" s="59" t="n"/>
      <c r="D1731" s="59" t="n"/>
      <c r="E1731" s="60">
        <f>IF(OR(C1731="",D1731=""),"",MOD(D1731-C1731,1)*24)</f>
        <v/>
      </c>
      <c r="F1731" s="50" t="n"/>
      <c r="G1731" s="51" t="n"/>
      <c r="H1731" s="51" t="n"/>
      <c r="I1731" s="51" t="n"/>
      <c r="J1731" s="51" t="n"/>
      <c r="K1731" s="51" t="n"/>
      <c r="L1731" s="54">
        <f>IF(OR(A1731="",C1731="",D1731=""),"",IF(COUNTIFS($A$5:$A$3004,A1731,$C$5:$C$3004,"&lt;"&amp;D1731,$D$5:$D$3004,"&gt;"&amp;C1731)&gt;1,"⚠️ пересечение",""))</f>
        <v/>
      </c>
      <c r="M1731" s="54">
        <f>IF(F1731="","",IF(J1731="✅ Сделано","✔ ",IF(J1731="❌ Пропущено","✖ ","⏰ "))&amp;IF(C1731="","",RIGHT("0"&amp;HOUR(C1731),2)&amp;":"&amp;RIGHT("0"&amp;MINUTE(C1731),2)&amp;IF(D1731="","","–"&amp;RIGHT("0"&amp;HOUR(D1731),2)&amp;":"&amp;RIGHT("0"&amp;MINUTE(D1731),2))&amp;" ")&amp;F1731)</f>
        <v/>
      </c>
      <c r="N1731" s="54">
        <f>IF(OR(A1731="",F1731=""),"",A1731&amp;"#"&amp;(COUNTIFS($A$5:$A$3004,A1731,$F$5:$F$3004,"?*",$O$5:$O$3004,"&lt;"&amp;O1731)+COUNTIFS($A$5:A1731,A1731,$F$5:F1731,"?*",$O$5:O1731,O1731)))</f>
        <v/>
      </c>
      <c r="O1731" s="54">
        <f>IF(A1731="","",IF(C1731="",0,C1731))</f>
        <v/>
      </c>
    </row>
    <row r="1732">
      <c r="A1732" s="58" t="n"/>
      <c r="B1732" s="49">
        <f>IF(A1732="","",CHOOSE(WEEKDAY(A1732,2),"Пн","Вт","Ср","Чт","Пт","Сб","Вс"))</f>
        <v/>
      </c>
      <c r="C1732" s="59" t="n"/>
      <c r="D1732" s="59" t="n"/>
      <c r="E1732" s="60">
        <f>IF(OR(C1732="",D1732=""),"",MOD(D1732-C1732,1)*24)</f>
        <v/>
      </c>
      <c r="F1732" s="50" t="n"/>
      <c r="G1732" s="51" t="n"/>
      <c r="H1732" s="51" t="n"/>
      <c r="I1732" s="51" t="n"/>
      <c r="J1732" s="51" t="n"/>
      <c r="K1732" s="51" t="n"/>
      <c r="L1732" s="54">
        <f>IF(OR(A1732="",C1732="",D1732=""),"",IF(COUNTIFS($A$5:$A$3004,A1732,$C$5:$C$3004,"&lt;"&amp;D1732,$D$5:$D$3004,"&gt;"&amp;C1732)&gt;1,"⚠️ пересечение",""))</f>
        <v/>
      </c>
      <c r="M1732" s="54">
        <f>IF(F1732="","",IF(J1732="✅ Сделано","✔ ",IF(J1732="❌ Пропущено","✖ ","⏰ "))&amp;IF(C1732="","",RIGHT("0"&amp;HOUR(C1732),2)&amp;":"&amp;RIGHT("0"&amp;MINUTE(C1732),2)&amp;IF(D1732="","","–"&amp;RIGHT("0"&amp;HOUR(D1732),2)&amp;":"&amp;RIGHT("0"&amp;MINUTE(D1732),2))&amp;" ")&amp;F1732)</f>
        <v/>
      </c>
      <c r="N1732" s="54">
        <f>IF(OR(A1732="",F1732=""),"",A1732&amp;"#"&amp;(COUNTIFS($A$5:$A$3004,A1732,$F$5:$F$3004,"?*",$O$5:$O$3004,"&lt;"&amp;O1732)+COUNTIFS($A$5:A1732,A1732,$F$5:F1732,"?*",$O$5:O1732,O1732)))</f>
        <v/>
      </c>
      <c r="O1732" s="54">
        <f>IF(A1732="","",IF(C1732="",0,C1732))</f>
        <v/>
      </c>
    </row>
    <row r="1733">
      <c r="A1733" s="58" t="n"/>
      <c r="B1733" s="49">
        <f>IF(A1733="","",CHOOSE(WEEKDAY(A1733,2),"Пн","Вт","Ср","Чт","Пт","Сб","Вс"))</f>
        <v/>
      </c>
      <c r="C1733" s="59" t="n"/>
      <c r="D1733" s="59" t="n"/>
      <c r="E1733" s="60">
        <f>IF(OR(C1733="",D1733=""),"",MOD(D1733-C1733,1)*24)</f>
        <v/>
      </c>
      <c r="F1733" s="50" t="n"/>
      <c r="G1733" s="51" t="n"/>
      <c r="H1733" s="51" t="n"/>
      <c r="I1733" s="51" t="n"/>
      <c r="J1733" s="51" t="n"/>
      <c r="K1733" s="51" t="n"/>
      <c r="L1733" s="54">
        <f>IF(OR(A1733="",C1733="",D1733=""),"",IF(COUNTIFS($A$5:$A$3004,A1733,$C$5:$C$3004,"&lt;"&amp;D1733,$D$5:$D$3004,"&gt;"&amp;C1733)&gt;1,"⚠️ пересечение",""))</f>
        <v/>
      </c>
      <c r="M1733" s="54">
        <f>IF(F1733="","",IF(J1733="✅ Сделано","✔ ",IF(J1733="❌ Пропущено","✖ ","⏰ "))&amp;IF(C1733="","",RIGHT("0"&amp;HOUR(C1733),2)&amp;":"&amp;RIGHT("0"&amp;MINUTE(C1733),2)&amp;IF(D1733="","","–"&amp;RIGHT("0"&amp;HOUR(D1733),2)&amp;":"&amp;RIGHT("0"&amp;MINUTE(D1733),2))&amp;" ")&amp;F1733)</f>
        <v/>
      </c>
      <c r="N1733" s="54">
        <f>IF(OR(A1733="",F1733=""),"",A1733&amp;"#"&amp;(COUNTIFS($A$5:$A$3004,A1733,$F$5:$F$3004,"?*",$O$5:$O$3004,"&lt;"&amp;O1733)+COUNTIFS($A$5:A1733,A1733,$F$5:F1733,"?*",$O$5:O1733,O1733)))</f>
        <v/>
      </c>
      <c r="O1733" s="54">
        <f>IF(A1733="","",IF(C1733="",0,C1733))</f>
        <v/>
      </c>
    </row>
    <row r="1734">
      <c r="A1734" s="58" t="n"/>
      <c r="B1734" s="49">
        <f>IF(A1734="","",CHOOSE(WEEKDAY(A1734,2),"Пн","Вт","Ср","Чт","Пт","Сб","Вс"))</f>
        <v/>
      </c>
      <c r="C1734" s="59" t="n"/>
      <c r="D1734" s="59" t="n"/>
      <c r="E1734" s="60">
        <f>IF(OR(C1734="",D1734=""),"",MOD(D1734-C1734,1)*24)</f>
        <v/>
      </c>
      <c r="F1734" s="50" t="n"/>
      <c r="G1734" s="51" t="n"/>
      <c r="H1734" s="51" t="n"/>
      <c r="I1734" s="51" t="n"/>
      <c r="J1734" s="51" t="n"/>
      <c r="K1734" s="51" t="n"/>
      <c r="L1734" s="54">
        <f>IF(OR(A1734="",C1734="",D1734=""),"",IF(COUNTIFS($A$5:$A$3004,A1734,$C$5:$C$3004,"&lt;"&amp;D1734,$D$5:$D$3004,"&gt;"&amp;C1734)&gt;1,"⚠️ пересечение",""))</f>
        <v/>
      </c>
      <c r="M1734" s="54">
        <f>IF(F1734="","",IF(J1734="✅ Сделано","✔ ",IF(J1734="❌ Пропущено","✖ ","⏰ "))&amp;IF(C1734="","",RIGHT("0"&amp;HOUR(C1734),2)&amp;":"&amp;RIGHT("0"&amp;MINUTE(C1734),2)&amp;IF(D1734="","","–"&amp;RIGHT("0"&amp;HOUR(D1734),2)&amp;":"&amp;RIGHT("0"&amp;MINUTE(D1734),2))&amp;" ")&amp;F1734)</f>
        <v/>
      </c>
      <c r="N1734" s="54">
        <f>IF(OR(A1734="",F1734=""),"",A1734&amp;"#"&amp;(COUNTIFS($A$5:$A$3004,A1734,$F$5:$F$3004,"?*",$O$5:$O$3004,"&lt;"&amp;O1734)+COUNTIFS($A$5:A1734,A1734,$F$5:F1734,"?*",$O$5:O1734,O1734)))</f>
        <v/>
      </c>
      <c r="O1734" s="54">
        <f>IF(A1734="","",IF(C1734="",0,C1734))</f>
        <v/>
      </c>
    </row>
    <row r="1735">
      <c r="A1735" s="58" t="n"/>
      <c r="B1735" s="49">
        <f>IF(A1735="","",CHOOSE(WEEKDAY(A1735,2),"Пн","Вт","Ср","Чт","Пт","Сб","Вс"))</f>
        <v/>
      </c>
      <c r="C1735" s="59" t="n"/>
      <c r="D1735" s="59" t="n"/>
      <c r="E1735" s="60">
        <f>IF(OR(C1735="",D1735=""),"",MOD(D1735-C1735,1)*24)</f>
        <v/>
      </c>
      <c r="F1735" s="50" t="n"/>
      <c r="G1735" s="51" t="n"/>
      <c r="H1735" s="51" t="n"/>
      <c r="I1735" s="51" t="n"/>
      <c r="J1735" s="51" t="n"/>
      <c r="K1735" s="51" t="n"/>
      <c r="L1735" s="54">
        <f>IF(OR(A1735="",C1735="",D1735=""),"",IF(COUNTIFS($A$5:$A$3004,A1735,$C$5:$C$3004,"&lt;"&amp;D1735,$D$5:$D$3004,"&gt;"&amp;C1735)&gt;1,"⚠️ пересечение",""))</f>
        <v/>
      </c>
      <c r="M1735" s="54">
        <f>IF(F1735="","",IF(J1735="✅ Сделано","✔ ",IF(J1735="❌ Пропущено","✖ ","⏰ "))&amp;IF(C1735="","",RIGHT("0"&amp;HOUR(C1735),2)&amp;":"&amp;RIGHT("0"&amp;MINUTE(C1735),2)&amp;IF(D1735="","","–"&amp;RIGHT("0"&amp;HOUR(D1735),2)&amp;":"&amp;RIGHT("0"&amp;MINUTE(D1735),2))&amp;" ")&amp;F1735)</f>
        <v/>
      </c>
      <c r="N1735" s="54">
        <f>IF(OR(A1735="",F1735=""),"",A1735&amp;"#"&amp;(COUNTIFS($A$5:$A$3004,A1735,$F$5:$F$3004,"?*",$O$5:$O$3004,"&lt;"&amp;O1735)+COUNTIFS($A$5:A1735,A1735,$F$5:F1735,"?*",$O$5:O1735,O1735)))</f>
        <v/>
      </c>
      <c r="O1735" s="54">
        <f>IF(A1735="","",IF(C1735="",0,C1735))</f>
        <v/>
      </c>
    </row>
    <row r="1736">
      <c r="A1736" s="58" t="n"/>
      <c r="B1736" s="49">
        <f>IF(A1736="","",CHOOSE(WEEKDAY(A1736,2),"Пн","Вт","Ср","Чт","Пт","Сб","Вс"))</f>
        <v/>
      </c>
      <c r="C1736" s="59" t="n"/>
      <c r="D1736" s="59" t="n"/>
      <c r="E1736" s="60">
        <f>IF(OR(C1736="",D1736=""),"",MOD(D1736-C1736,1)*24)</f>
        <v/>
      </c>
      <c r="F1736" s="50" t="n"/>
      <c r="G1736" s="51" t="n"/>
      <c r="H1736" s="51" t="n"/>
      <c r="I1736" s="51" t="n"/>
      <c r="J1736" s="51" t="n"/>
      <c r="K1736" s="51" t="n"/>
      <c r="L1736" s="54">
        <f>IF(OR(A1736="",C1736="",D1736=""),"",IF(COUNTIFS($A$5:$A$3004,A1736,$C$5:$C$3004,"&lt;"&amp;D1736,$D$5:$D$3004,"&gt;"&amp;C1736)&gt;1,"⚠️ пересечение",""))</f>
        <v/>
      </c>
      <c r="M1736" s="54">
        <f>IF(F1736="","",IF(J1736="✅ Сделано","✔ ",IF(J1736="❌ Пропущено","✖ ","⏰ "))&amp;IF(C1736="","",RIGHT("0"&amp;HOUR(C1736),2)&amp;":"&amp;RIGHT("0"&amp;MINUTE(C1736),2)&amp;IF(D1736="","","–"&amp;RIGHT("0"&amp;HOUR(D1736),2)&amp;":"&amp;RIGHT("0"&amp;MINUTE(D1736),2))&amp;" ")&amp;F1736)</f>
        <v/>
      </c>
      <c r="N1736" s="54">
        <f>IF(OR(A1736="",F1736=""),"",A1736&amp;"#"&amp;(COUNTIFS($A$5:$A$3004,A1736,$F$5:$F$3004,"?*",$O$5:$O$3004,"&lt;"&amp;O1736)+COUNTIFS($A$5:A1736,A1736,$F$5:F1736,"?*",$O$5:O1736,O1736)))</f>
        <v/>
      </c>
      <c r="O1736" s="54">
        <f>IF(A1736="","",IF(C1736="",0,C1736))</f>
        <v/>
      </c>
    </row>
    <row r="1737">
      <c r="A1737" s="58" t="n"/>
      <c r="B1737" s="49">
        <f>IF(A1737="","",CHOOSE(WEEKDAY(A1737,2),"Пн","Вт","Ср","Чт","Пт","Сб","Вс"))</f>
        <v/>
      </c>
      <c r="C1737" s="59" t="n"/>
      <c r="D1737" s="59" t="n"/>
      <c r="E1737" s="60">
        <f>IF(OR(C1737="",D1737=""),"",MOD(D1737-C1737,1)*24)</f>
        <v/>
      </c>
      <c r="F1737" s="50" t="n"/>
      <c r="G1737" s="51" t="n"/>
      <c r="H1737" s="51" t="n"/>
      <c r="I1737" s="51" t="n"/>
      <c r="J1737" s="51" t="n"/>
      <c r="K1737" s="51" t="n"/>
      <c r="L1737" s="54">
        <f>IF(OR(A1737="",C1737="",D1737=""),"",IF(COUNTIFS($A$5:$A$3004,A1737,$C$5:$C$3004,"&lt;"&amp;D1737,$D$5:$D$3004,"&gt;"&amp;C1737)&gt;1,"⚠️ пересечение",""))</f>
        <v/>
      </c>
      <c r="M1737" s="54">
        <f>IF(F1737="","",IF(J1737="✅ Сделано","✔ ",IF(J1737="❌ Пропущено","✖ ","⏰ "))&amp;IF(C1737="","",RIGHT("0"&amp;HOUR(C1737),2)&amp;":"&amp;RIGHT("0"&amp;MINUTE(C1737),2)&amp;IF(D1737="","","–"&amp;RIGHT("0"&amp;HOUR(D1737),2)&amp;":"&amp;RIGHT("0"&amp;MINUTE(D1737),2))&amp;" ")&amp;F1737)</f>
        <v/>
      </c>
      <c r="N1737" s="54">
        <f>IF(OR(A1737="",F1737=""),"",A1737&amp;"#"&amp;(COUNTIFS($A$5:$A$3004,A1737,$F$5:$F$3004,"?*",$O$5:$O$3004,"&lt;"&amp;O1737)+COUNTIFS($A$5:A1737,A1737,$F$5:F1737,"?*",$O$5:O1737,O1737)))</f>
        <v/>
      </c>
      <c r="O1737" s="54">
        <f>IF(A1737="","",IF(C1737="",0,C1737))</f>
        <v/>
      </c>
    </row>
    <row r="1738">
      <c r="A1738" s="58" t="n"/>
      <c r="B1738" s="49">
        <f>IF(A1738="","",CHOOSE(WEEKDAY(A1738,2),"Пн","Вт","Ср","Чт","Пт","Сб","Вс"))</f>
        <v/>
      </c>
      <c r="C1738" s="59" t="n"/>
      <c r="D1738" s="59" t="n"/>
      <c r="E1738" s="60">
        <f>IF(OR(C1738="",D1738=""),"",MOD(D1738-C1738,1)*24)</f>
        <v/>
      </c>
      <c r="F1738" s="50" t="n"/>
      <c r="G1738" s="51" t="n"/>
      <c r="H1738" s="51" t="n"/>
      <c r="I1738" s="51" t="n"/>
      <c r="J1738" s="51" t="n"/>
      <c r="K1738" s="51" t="n"/>
      <c r="L1738" s="54">
        <f>IF(OR(A1738="",C1738="",D1738=""),"",IF(COUNTIFS($A$5:$A$3004,A1738,$C$5:$C$3004,"&lt;"&amp;D1738,$D$5:$D$3004,"&gt;"&amp;C1738)&gt;1,"⚠️ пересечение",""))</f>
        <v/>
      </c>
      <c r="M1738" s="54">
        <f>IF(F1738="","",IF(J1738="✅ Сделано","✔ ",IF(J1738="❌ Пропущено","✖ ","⏰ "))&amp;IF(C1738="","",RIGHT("0"&amp;HOUR(C1738),2)&amp;":"&amp;RIGHT("0"&amp;MINUTE(C1738),2)&amp;IF(D1738="","","–"&amp;RIGHT("0"&amp;HOUR(D1738),2)&amp;":"&amp;RIGHT("0"&amp;MINUTE(D1738),2))&amp;" ")&amp;F1738)</f>
        <v/>
      </c>
      <c r="N1738" s="54">
        <f>IF(OR(A1738="",F1738=""),"",A1738&amp;"#"&amp;(COUNTIFS($A$5:$A$3004,A1738,$F$5:$F$3004,"?*",$O$5:$O$3004,"&lt;"&amp;O1738)+COUNTIFS($A$5:A1738,A1738,$F$5:F1738,"?*",$O$5:O1738,O1738)))</f>
        <v/>
      </c>
      <c r="O1738" s="54">
        <f>IF(A1738="","",IF(C1738="",0,C1738))</f>
        <v/>
      </c>
    </row>
    <row r="1739">
      <c r="A1739" s="58" t="n"/>
      <c r="B1739" s="49">
        <f>IF(A1739="","",CHOOSE(WEEKDAY(A1739,2),"Пн","Вт","Ср","Чт","Пт","Сб","Вс"))</f>
        <v/>
      </c>
      <c r="C1739" s="59" t="n"/>
      <c r="D1739" s="59" t="n"/>
      <c r="E1739" s="60">
        <f>IF(OR(C1739="",D1739=""),"",MOD(D1739-C1739,1)*24)</f>
        <v/>
      </c>
      <c r="F1739" s="50" t="n"/>
      <c r="G1739" s="51" t="n"/>
      <c r="H1739" s="51" t="n"/>
      <c r="I1739" s="51" t="n"/>
      <c r="J1739" s="51" t="n"/>
      <c r="K1739" s="51" t="n"/>
      <c r="L1739" s="54">
        <f>IF(OR(A1739="",C1739="",D1739=""),"",IF(COUNTIFS($A$5:$A$3004,A1739,$C$5:$C$3004,"&lt;"&amp;D1739,$D$5:$D$3004,"&gt;"&amp;C1739)&gt;1,"⚠️ пересечение",""))</f>
        <v/>
      </c>
      <c r="M1739" s="54">
        <f>IF(F1739="","",IF(J1739="✅ Сделано","✔ ",IF(J1739="❌ Пропущено","✖ ","⏰ "))&amp;IF(C1739="","",RIGHT("0"&amp;HOUR(C1739),2)&amp;":"&amp;RIGHT("0"&amp;MINUTE(C1739),2)&amp;IF(D1739="","","–"&amp;RIGHT("0"&amp;HOUR(D1739),2)&amp;":"&amp;RIGHT("0"&amp;MINUTE(D1739),2))&amp;" ")&amp;F1739)</f>
        <v/>
      </c>
      <c r="N1739" s="54">
        <f>IF(OR(A1739="",F1739=""),"",A1739&amp;"#"&amp;(COUNTIFS($A$5:$A$3004,A1739,$F$5:$F$3004,"?*",$O$5:$O$3004,"&lt;"&amp;O1739)+COUNTIFS($A$5:A1739,A1739,$F$5:F1739,"?*",$O$5:O1739,O1739)))</f>
        <v/>
      </c>
      <c r="O1739" s="54">
        <f>IF(A1739="","",IF(C1739="",0,C1739))</f>
        <v/>
      </c>
    </row>
    <row r="1740">
      <c r="A1740" s="58" t="n"/>
      <c r="B1740" s="49">
        <f>IF(A1740="","",CHOOSE(WEEKDAY(A1740,2),"Пн","Вт","Ср","Чт","Пт","Сб","Вс"))</f>
        <v/>
      </c>
      <c r="C1740" s="59" t="n"/>
      <c r="D1740" s="59" t="n"/>
      <c r="E1740" s="60">
        <f>IF(OR(C1740="",D1740=""),"",MOD(D1740-C1740,1)*24)</f>
        <v/>
      </c>
      <c r="F1740" s="50" t="n"/>
      <c r="G1740" s="51" t="n"/>
      <c r="H1740" s="51" t="n"/>
      <c r="I1740" s="51" t="n"/>
      <c r="J1740" s="51" t="n"/>
      <c r="K1740" s="51" t="n"/>
      <c r="L1740" s="54">
        <f>IF(OR(A1740="",C1740="",D1740=""),"",IF(COUNTIFS($A$5:$A$3004,A1740,$C$5:$C$3004,"&lt;"&amp;D1740,$D$5:$D$3004,"&gt;"&amp;C1740)&gt;1,"⚠️ пересечение",""))</f>
        <v/>
      </c>
      <c r="M1740" s="54">
        <f>IF(F1740="","",IF(J1740="✅ Сделано","✔ ",IF(J1740="❌ Пропущено","✖ ","⏰ "))&amp;IF(C1740="","",RIGHT("0"&amp;HOUR(C1740),2)&amp;":"&amp;RIGHT("0"&amp;MINUTE(C1740),2)&amp;IF(D1740="","","–"&amp;RIGHT("0"&amp;HOUR(D1740),2)&amp;":"&amp;RIGHT("0"&amp;MINUTE(D1740),2))&amp;" ")&amp;F1740)</f>
        <v/>
      </c>
      <c r="N1740" s="54">
        <f>IF(OR(A1740="",F1740=""),"",A1740&amp;"#"&amp;(COUNTIFS($A$5:$A$3004,A1740,$F$5:$F$3004,"?*",$O$5:$O$3004,"&lt;"&amp;O1740)+COUNTIFS($A$5:A1740,A1740,$F$5:F1740,"?*",$O$5:O1740,O1740)))</f>
        <v/>
      </c>
      <c r="O1740" s="54">
        <f>IF(A1740="","",IF(C1740="",0,C1740))</f>
        <v/>
      </c>
    </row>
    <row r="1741">
      <c r="A1741" s="58" t="n"/>
      <c r="B1741" s="49">
        <f>IF(A1741="","",CHOOSE(WEEKDAY(A1741,2),"Пн","Вт","Ср","Чт","Пт","Сб","Вс"))</f>
        <v/>
      </c>
      <c r="C1741" s="59" t="n"/>
      <c r="D1741" s="59" t="n"/>
      <c r="E1741" s="60">
        <f>IF(OR(C1741="",D1741=""),"",MOD(D1741-C1741,1)*24)</f>
        <v/>
      </c>
      <c r="F1741" s="50" t="n"/>
      <c r="G1741" s="51" t="n"/>
      <c r="H1741" s="51" t="n"/>
      <c r="I1741" s="51" t="n"/>
      <c r="J1741" s="51" t="n"/>
      <c r="K1741" s="51" t="n"/>
      <c r="L1741" s="54">
        <f>IF(OR(A1741="",C1741="",D1741=""),"",IF(COUNTIFS($A$5:$A$3004,A1741,$C$5:$C$3004,"&lt;"&amp;D1741,$D$5:$D$3004,"&gt;"&amp;C1741)&gt;1,"⚠️ пересечение",""))</f>
        <v/>
      </c>
      <c r="M1741" s="54">
        <f>IF(F1741="","",IF(J1741="✅ Сделано","✔ ",IF(J1741="❌ Пропущено","✖ ","⏰ "))&amp;IF(C1741="","",RIGHT("0"&amp;HOUR(C1741),2)&amp;":"&amp;RIGHT("0"&amp;MINUTE(C1741),2)&amp;IF(D1741="","","–"&amp;RIGHT("0"&amp;HOUR(D1741),2)&amp;":"&amp;RIGHT("0"&amp;MINUTE(D1741),2))&amp;" ")&amp;F1741)</f>
        <v/>
      </c>
      <c r="N1741" s="54">
        <f>IF(OR(A1741="",F1741=""),"",A1741&amp;"#"&amp;(COUNTIFS($A$5:$A$3004,A1741,$F$5:$F$3004,"?*",$O$5:$O$3004,"&lt;"&amp;O1741)+COUNTIFS($A$5:A1741,A1741,$F$5:F1741,"?*",$O$5:O1741,O1741)))</f>
        <v/>
      </c>
      <c r="O1741" s="54">
        <f>IF(A1741="","",IF(C1741="",0,C1741))</f>
        <v/>
      </c>
    </row>
    <row r="1742">
      <c r="A1742" s="58" t="n"/>
      <c r="B1742" s="49">
        <f>IF(A1742="","",CHOOSE(WEEKDAY(A1742,2),"Пн","Вт","Ср","Чт","Пт","Сб","Вс"))</f>
        <v/>
      </c>
      <c r="C1742" s="59" t="n"/>
      <c r="D1742" s="59" t="n"/>
      <c r="E1742" s="60">
        <f>IF(OR(C1742="",D1742=""),"",MOD(D1742-C1742,1)*24)</f>
        <v/>
      </c>
      <c r="F1742" s="50" t="n"/>
      <c r="G1742" s="51" t="n"/>
      <c r="H1742" s="51" t="n"/>
      <c r="I1742" s="51" t="n"/>
      <c r="J1742" s="51" t="n"/>
      <c r="K1742" s="51" t="n"/>
      <c r="L1742" s="54">
        <f>IF(OR(A1742="",C1742="",D1742=""),"",IF(COUNTIFS($A$5:$A$3004,A1742,$C$5:$C$3004,"&lt;"&amp;D1742,$D$5:$D$3004,"&gt;"&amp;C1742)&gt;1,"⚠️ пересечение",""))</f>
        <v/>
      </c>
      <c r="M1742" s="54">
        <f>IF(F1742="","",IF(J1742="✅ Сделано","✔ ",IF(J1742="❌ Пропущено","✖ ","⏰ "))&amp;IF(C1742="","",RIGHT("0"&amp;HOUR(C1742),2)&amp;":"&amp;RIGHT("0"&amp;MINUTE(C1742),2)&amp;IF(D1742="","","–"&amp;RIGHT("0"&amp;HOUR(D1742),2)&amp;":"&amp;RIGHT("0"&amp;MINUTE(D1742),2))&amp;" ")&amp;F1742)</f>
        <v/>
      </c>
      <c r="N1742" s="54">
        <f>IF(OR(A1742="",F1742=""),"",A1742&amp;"#"&amp;(COUNTIFS($A$5:$A$3004,A1742,$F$5:$F$3004,"?*",$O$5:$O$3004,"&lt;"&amp;O1742)+COUNTIFS($A$5:A1742,A1742,$F$5:F1742,"?*",$O$5:O1742,O1742)))</f>
        <v/>
      </c>
      <c r="O1742" s="54">
        <f>IF(A1742="","",IF(C1742="",0,C1742))</f>
        <v/>
      </c>
    </row>
    <row r="1743">
      <c r="A1743" s="58" t="n"/>
      <c r="B1743" s="49">
        <f>IF(A1743="","",CHOOSE(WEEKDAY(A1743,2),"Пн","Вт","Ср","Чт","Пт","Сб","Вс"))</f>
        <v/>
      </c>
      <c r="C1743" s="59" t="n"/>
      <c r="D1743" s="59" t="n"/>
      <c r="E1743" s="60">
        <f>IF(OR(C1743="",D1743=""),"",MOD(D1743-C1743,1)*24)</f>
        <v/>
      </c>
      <c r="F1743" s="50" t="n"/>
      <c r="G1743" s="51" t="n"/>
      <c r="H1743" s="51" t="n"/>
      <c r="I1743" s="51" t="n"/>
      <c r="J1743" s="51" t="n"/>
      <c r="K1743" s="51" t="n"/>
      <c r="L1743" s="54">
        <f>IF(OR(A1743="",C1743="",D1743=""),"",IF(COUNTIFS($A$5:$A$3004,A1743,$C$5:$C$3004,"&lt;"&amp;D1743,$D$5:$D$3004,"&gt;"&amp;C1743)&gt;1,"⚠️ пересечение",""))</f>
        <v/>
      </c>
      <c r="M1743" s="54">
        <f>IF(F1743="","",IF(J1743="✅ Сделано","✔ ",IF(J1743="❌ Пропущено","✖ ","⏰ "))&amp;IF(C1743="","",RIGHT("0"&amp;HOUR(C1743),2)&amp;":"&amp;RIGHT("0"&amp;MINUTE(C1743),2)&amp;IF(D1743="","","–"&amp;RIGHT("0"&amp;HOUR(D1743),2)&amp;":"&amp;RIGHT("0"&amp;MINUTE(D1743),2))&amp;" ")&amp;F1743)</f>
        <v/>
      </c>
      <c r="N1743" s="54">
        <f>IF(OR(A1743="",F1743=""),"",A1743&amp;"#"&amp;(COUNTIFS($A$5:$A$3004,A1743,$F$5:$F$3004,"?*",$O$5:$O$3004,"&lt;"&amp;O1743)+COUNTIFS($A$5:A1743,A1743,$F$5:F1743,"?*",$O$5:O1743,O1743)))</f>
        <v/>
      </c>
      <c r="O1743" s="54">
        <f>IF(A1743="","",IF(C1743="",0,C1743))</f>
        <v/>
      </c>
    </row>
    <row r="1744">
      <c r="A1744" s="58" t="n"/>
      <c r="B1744" s="49">
        <f>IF(A1744="","",CHOOSE(WEEKDAY(A1744,2),"Пн","Вт","Ср","Чт","Пт","Сб","Вс"))</f>
        <v/>
      </c>
      <c r="C1744" s="59" t="n"/>
      <c r="D1744" s="59" t="n"/>
      <c r="E1744" s="60">
        <f>IF(OR(C1744="",D1744=""),"",MOD(D1744-C1744,1)*24)</f>
        <v/>
      </c>
      <c r="F1744" s="50" t="n"/>
      <c r="G1744" s="51" t="n"/>
      <c r="H1744" s="51" t="n"/>
      <c r="I1744" s="51" t="n"/>
      <c r="J1744" s="51" t="n"/>
      <c r="K1744" s="51" t="n"/>
      <c r="L1744" s="54">
        <f>IF(OR(A1744="",C1744="",D1744=""),"",IF(COUNTIFS($A$5:$A$3004,A1744,$C$5:$C$3004,"&lt;"&amp;D1744,$D$5:$D$3004,"&gt;"&amp;C1744)&gt;1,"⚠️ пересечение",""))</f>
        <v/>
      </c>
      <c r="M1744" s="54">
        <f>IF(F1744="","",IF(J1744="✅ Сделано","✔ ",IF(J1744="❌ Пропущено","✖ ","⏰ "))&amp;IF(C1744="","",RIGHT("0"&amp;HOUR(C1744),2)&amp;":"&amp;RIGHT("0"&amp;MINUTE(C1744),2)&amp;IF(D1744="","","–"&amp;RIGHT("0"&amp;HOUR(D1744),2)&amp;":"&amp;RIGHT("0"&amp;MINUTE(D1744),2))&amp;" ")&amp;F1744)</f>
        <v/>
      </c>
      <c r="N1744" s="54">
        <f>IF(OR(A1744="",F1744=""),"",A1744&amp;"#"&amp;(COUNTIFS($A$5:$A$3004,A1744,$F$5:$F$3004,"?*",$O$5:$O$3004,"&lt;"&amp;O1744)+COUNTIFS($A$5:A1744,A1744,$F$5:F1744,"?*",$O$5:O1744,O1744)))</f>
        <v/>
      </c>
      <c r="O1744" s="54">
        <f>IF(A1744="","",IF(C1744="",0,C1744))</f>
        <v/>
      </c>
    </row>
    <row r="1745">
      <c r="A1745" s="58" t="n"/>
      <c r="B1745" s="49">
        <f>IF(A1745="","",CHOOSE(WEEKDAY(A1745,2),"Пн","Вт","Ср","Чт","Пт","Сб","Вс"))</f>
        <v/>
      </c>
      <c r="C1745" s="59" t="n"/>
      <c r="D1745" s="59" t="n"/>
      <c r="E1745" s="60">
        <f>IF(OR(C1745="",D1745=""),"",MOD(D1745-C1745,1)*24)</f>
        <v/>
      </c>
      <c r="F1745" s="50" t="n"/>
      <c r="G1745" s="51" t="n"/>
      <c r="H1745" s="51" t="n"/>
      <c r="I1745" s="51" t="n"/>
      <c r="J1745" s="51" t="n"/>
      <c r="K1745" s="51" t="n"/>
      <c r="L1745" s="54">
        <f>IF(OR(A1745="",C1745="",D1745=""),"",IF(COUNTIFS($A$5:$A$3004,A1745,$C$5:$C$3004,"&lt;"&amp;D1745,$D$5:$D$3004,"&gt;"&amp;C1745)&gt;1,"⚠️ пересечение",""))</f>
        <v/>
      </c>
      <c r="M1745" s="54">
        <f>IF(F1745="","",IF(J1745="✅ Сделано","✔ ",IF(J1745="❌ Пропущено","✖ ","⏰ "))&amp;IF(C1745="","",RIGHT("0"&amp;HOUR(C1745),2)&amp;":"&amp;RIGHT("0"&amp;MINUTE(C1745),2)&amp;IF(D1745="","","–"&amp;RIGHT("0"&amp;HOUR(D1745),2)&amp;":"&amp;RIGHT("0"&amp;MINUTE(D1745),2))&amp;" ")&amp;F1745)</f>
        <v/>
      </c>
      <c r="N1745" s="54">
        <f>IF(OR(A1745="",F1745=""),"",A1745&amp;"#"&amp;(COUNTIFS($A$5:$A$3004,A1745,$F$5:$F$3004,"?*",$O$5:$O$3004,"&lt;"&amp;O1745)+COUNTIFS($A$5:A1745,A1745,$F$5:F1745,"?*",$O$5:O1745,O1745)))</f>
        <v/>
      </c>
      <c r="O1745" s="54">
        <f>IF(A1745="","",IF(C1745="",0,C1745))</f>
        <v/>
      </c>
    </row>
    <row r="1746">
      <c r="A1746" s="58" t="n"/>
      <c r="B1746" s="49">
        <f>IF(A1746="","",CHOOSE(WEEKDAY(A1746,2),"Пн","Вт","Ср","Чт","Пт","Сб","Вс"))</f>
        <v/>
      </c>
      <c r="C1746" s="59" t="n"/>
      <c r="D1746" s="59" t="n"/>
      <c r="E1746" s="60">
        <f>IF(OR(C1746="",D1746=""),"",MOD(D1746-C1746,1)*24)</f>
        <v/>
      </c>
      <c r="F1746" s="50" t="n"/>
      <c r="G1746" s="51" t="n"/>
      <c r="H1746" s="51" t="n"/>
      <c r="I1746" s="51" t="n"/>
      <c r="J1746" s="51" t="n"/>
      <c r="K1746" s="51" t="n"/>
      <c r="L1746" s="54">
        <f>IF(OR(A1746="",C1746="",D1746=""),"",IF(COUNTIFS($A$5:$A$3004,A1746,$C$5:$C$3004,"&lt;"&amp;D1746,$D$5:$D$3004,"&gt;"&amp;C1746)&gt;1,"⚠️ пересечение",""))</f>
        <v/>
      </c>
      <c r="M1746" s="54">
        <f>IF(F1746="","",IF(J1746="✅ Сделано","✔ ",IF(J1746="❌ Пропущено","✖ ","⏰ "))&amp;IF(C1746="","",RIGHT("0"&amp;HOUR(C1746),2)&amp;":"&amp;RIGHT("0"&amp;MINUTE(C1746),2)&amp;IF(D1746="","","–"&amp;RIGHT("0"&amp;HOUR(D1746),2)&amp;":"&amp;RIGHT("0"&amp;MINUTE(D1746),2))&amp;" ")&amp;F1746)</f>
        <v/>
      </c>
      <c r="N1746" s="54">
        <f>IF(OR(A1746="",F1746=""),"",A1746&amp;"#"&amp;(COUNTIFS($A$5:$A$3004,A1746,$F$5:$F$3004,"?*",$O$5:$O$3004,"&lt;"&amp;O1746)+COUNTIFS($A$5:A1746,A1746,$F$5:F1746,"?*",$O$5:O1746,O1746)))</f>
        <v/>
      </c>
      <c r="O1746" s="54">
        <f>IF(A1746="","",IF(C1746="",0,C1746))</f>
        <v/>
      </c>
    </row>
    <row r="1747">
      <c r="A1747" s="58" t="n"/>
      <c r="B1747" s="49">
        <f>IF(A1747="","",CHOOSE(WEEKDAY(A1747,2),"Пн","Вт","Ср","Чт","Пт","Сб","Вс"))</f>
        <v/>
      </c>
      <c r="C1747" s="59" t="n"/>
      <c r="D1747" s="59" t="n"/>
      <c r="E1747" s="60">
        <f>IF(OR(C1747="",D1747=""),"",MOD(D1747-C1747,1)*24)</f>
        <v/>
      </c>
      <c r="F1747" s="50" t="n"/>
      <c r="G1747" s="51" t="n"/>
      <c r="H1747" s="51" t="n"/>
      <c r="I1747" s="51" t="n"/>
      <c r="J1747" s="51" t="n"/>
      <c r="K1747" s="51" t="n"/>
      <c r="L1747" s="54">
        <f>IF(OR(A1747="",C1747="",D1747=""),"",IF(COUNTIFS($A$5:$A$3004,A1747,$C$5:$C$3004,"&lt;"&amp;D1747,$D$5:$D$3004,"&gt;"&amp;C1747)&gt;1,"⚠️ пересечение",""))</f>
        <v/>
      </c>
      <c r="M1747" s="54">
        <f>IF(F1747="","",IF(J1747="✅ Сделано","✔ ",IF(J1747="❌ Пропущено","✖ ","⏰ "))&amp;IF(C1747="","",RIGHT("0"&amp;HOUR(C1747),2)&amp;":"&amp;RIGHT("0"&amp;MINUTE(C1747),2)&amp;IF(D1747="","","–"&amp;RIGHT("0"&amp;HOUR(D1747),2)&amp;":"&amp;RIGHT("0"&amp;MINUTE(D1747),2))&amp;" ")&amp;F1747)</f>
        <v/>
      </c>
      <c r="N1747" s="54">
        <f>IF(OR(A1747="",F1747=""),"",A1747&amp;"#"&amp;(COUNTIFS($A$5:$A$3004,A1747,$F$5:$F$3004,"?*",$O$5:$O$3004,"&lt;"&amp;O1747)+COUNTIFS($A$5:A1747,A1747,$F$5:F1747,"?*",$O$5:O1747,O1747)))</f>
        <v/>
      </c>
      <c r="O1747" s="54">
        <f>IF(A1747="","",IF(C1747="",0,C1747))</f>
        <v/>
      </c>
    </row>
    <row r="1748">
      <c r="A1748" s="58" t="n"/>
      <c r="B1748" s="49">
        <f>IF(A1748="","",CHOOSE(WEEKDAY(A1748,2),"Пн","Вт","Ср","Чт","Пт","Сб","Вс"))</f>
        <v/>
      </c>
      <c r="C1748" s="59" t="n"/>
      <c r="D1748" s="59" t="n"/>
      <c r="E1748" s="60">
        <f>IF(OR(C1748="",D1748=""),"",MOD(D1748-C1748,1)*24)</f>
        <v/>
      </c>
      <c r="F1748" s="50" t="n"/>
      <c r="G1748" s="51" t="n"/>
      <c r="H1748" s="51" t="n"/>
      <c r="I1748" s="51" t="n"/>
      <c r="J1748" s="51" t="n"/>
      <c r="K1748" s="51" t="n"/>
      <c r="L1748" s="54">
        <f>IF(OR(A1748="",C1748="",D1748=""),"",IF(COUNTIFS($A$5:$A$3004,A1748,$C$5:$C$3004,"&lt;"&amp;D1748,$D$5:$D$3004,"&gt;"&amp;C1748)&gt;1,"⚠️ пересечение",""))</f>
        <v/>
      </c>
      <c r="M1748" s="54">
        <f>IF(F1748="","",IF(J1748="✅ Сделано","✔ ",IF(J1748="❌ Пропущено","✖ ","⏰ "))&amp;IF(C1748="","",RIGHT("0"&amp;HOUR(C1748),2)&amp;":"&amp;RIGHT("0"&amp;MINUTE(C1748),2)&amp;IF(D1748="","","–"&amp;RIGHT("0"&amp;HOUR(D1748),2)&amp;":"&amp;RIGHT("0"&amp;MINUTE(D1748),2))&amp;" ")&amp;F1748)</f>
        <v/>
      </c>
      <c r="N1748" s="54">
        <f>IF(OR(A1748="",F1748=""),"",A1748&amp;"#"&amp;(COUNTIFS($A$5:$A$3004,A1748,$F$5:$F$3004,"?*",$O$5:$O$3004,"&lt;"&amp;O1748)+COUNTIFS($A$5:A1748,A1748,$F$5:F1748,"?*",$O$5:O1748,O1748)))</f>
        <v/>
      </c>
      <c r="O1748" s="54">
        <f>IF(A1748="","",IF(C1748="",0,C1748))</f>
        <v/>
      </c>
    </row>
    <row r="1749">
      <c r="A1749" s="58" t="n"/>
      <c r="B1749" s="49">
        <f>IF(A1749="","",CHOOSE(WEEKDAY(A1749,2),"Пн","Вт","Ср","Чт","Пт","Сб","Вс"))</f>
        <v/>
      </c>
      <c r="C1749" s="59" t="n"/>
      <c r="D1749" s="59" t="n"/>
      <c r="E1749" s="60">
        <f>IF(OR(C1749="",D1749=""),"",MOD(D1749-C1749,1)*24)</f>
        <v/>
      </c>
      <c r="F1749" s="50" t="n"/>
      <c r="G1749" s="51" t="n"/>
      <c r="H1749" s="51" t="n"/>
      <c r="I1749" s="51" t="n"/>
      <c r="J1749" s="51" t="n"/>
      <c r="K1749" s="51" t="n"/>
      <c r="L1749" s="54">
        <f>IF(OR(A1749="",C1749="",D1749=""),"",IF(COUNTIFS($A$5:$A$3004,A1749,$C$5:$C$3004,"&lt;"&amp;D1749,$D$5:$D$3004,"&gt;"&amp;C1749)&gt;1,"⚠️ пересечение",""))</f>
        <v/>
      </c>
      <c r="M1749" s="54">
        <f>IF(F1749="","",IF(J1749="✅ Сделано","✔ ",IF(J1749="❌ Пропущено","✖ ","⏰ "))&amp;IF(C1749="","",RIGHT("0"&amp;HOUR(C1749),2)&amp;":"&amp;RIGHT("0"&amp;MINUTE(C1749),2)&amp;IF(D1749="","","–"&amp;RIGHT("0"&amp;HOUR(D1749),2)&amp;":"&amp;RIGHT("0"&amp;MINUTE(D1749),2))&amp;" ")&amp;F1749)</f>
        <v/>
      </c>
      <c r="N1749" s="54">
        <f>IF(OR(A1749="",F1749=""),"",A1749&amp;"#"&amp;(COUNTIFS($A$5:$A$3004,A1749,$F$5:$F$3004,"?*",$O$5:$O$3004,"&lt;"&amp;O1749)+COUNTIFS($A$5:A1749,A1749,$F$5:F1749,"?*",$O$5:O1749,O1749)))</f>
        <v/>
      </c>
      <c r="O1749" s="54">
        <f>IF(A1749="","",IF(C1749="",0,C1749))</f>
        <v/>
      </c>
    </row>
    <row r="1750">
      <c r="A1750" s="58" t="n"/>
      <c r="B1750" s="49">
        <f>IF(A1750="","",CHOOSE(WEEKDAY(A1750,2),"Пн","Вт","Ср","Чт","Пт","Сб","Вс"))</f>
        <v/>
      </c>
      <c r="C1750" s="59" t="n"/>
      <c r="D1750" s="59" t="n"/>
      <c r="E1750" s="60">
        <f>IF(OR(C1750="",D1750=""),"",MOD(D1750-C1750,1)*24)</f>
        <v/>
      </c>
      <c r="F1750" s="50" t="n"/>
      <c r="G1750" s="51" t="n"/>
      <c r="H1750" s="51" t="n"/>
      <c r="I1750" s="51" t="n"/>
      <c r="J1750" s="51" t="n"/>
      <c r="K1750" s="51" t="n"/>
      <c r="L1750" s="54">
        <f>IF(OR(A1750="",C1750="",D1750=""),"",IF(COUNTIFS($A$5:$A$3004,A1750,$C$5:$C$3004,"&lt;"&amp;D1750,$D$5:$D$3004,"&gt;"&amp;C1750)&gt;1,"⚠️ пересечение",""))</f>
        <v/>
      </c>
      <c r="M1750" s="54">
        <f>IF(F1750="","",IF(J1750="✅ Сделано","✔ ",IF(J1750="❌ Пропущено","✖ ","⏰ "))&amp;IF(C1750="","",RIGHT("0"&amp;HOUR(C1750),2)&amp;":"&amp;RIGHT("0"&amp;MINUTE(C1750),2)&amp;IF(D1750="","","–"&amp;RIGHT("0"&amp;HOUR(D1750),2)&amp;":"&amp;RIGHT("0"&amp;MINUTE(D1750),2))&amp;" ")&amp;F1750)</f>
        <v/>
      </c>
      <c r="N1750" s="54">
        <f>IF(OR(A1750="",F1750=""),"",A1750&amp;"#"&amp;(COUNTIFS($A$5:$A$3004,A1750,$F$5:$F$3004,"?*",$O$5:$O$3004,"&lt;"&amp;O1750)+COUNTIFS($A$5:A1750,A1750,$F$5:F1750,"?*",$O$5:O1750,O1750)))</f>
        <v/>
      </c>
      <c r="O1750" s="54">
        <f>IF(A1750="","",IF(C1750="",0,C1750))</f>
        <v/>
      </c>
    </row>
    <row r="1751">
      <c r="A1751" s="58" t="n"/>
      <c r="B1751" s="49">
        <f>IF(A1751="","",CHOOSE(WEEKDAY(A1751,2),"Пн","Вт","Ср","Чт","Пт","Сб","Вс"))</f>
        <v/>
      </c>
      <c r="C1751" s="59" t="n"/>
      <c r="D1751" s="59" t="n"/>
      <c r="E1751" s="60">
        <f>IF(OR(C1751="",D1751=""),"",MOD(D1751-C1751,1)*24)</f>
        <v/>
      </c>
      <c r="F1751" s="50" t="n"/>
      <c r="G1751" s="51" t="n"/>
      <c r="H1751" s="51" t="n"/>
      <c r="I1751" s="51" t="n"/>
      <c r="J1751" s="51" t="n"/>
      <c r="K1751" s="51" t="n"/>
      <c r="L1751" s="54">
        <f>IF(OR(A1751="",C1751="",D1751=""),"",IF(COUNTIFS($A$5:$A$3004,A1751,$C$5:$C$3004,"&lt;"&amp;D1751,$D$5:$D$3004,"&gt;"&amp;C1751)&gt;1,"⚠️ пересечение",""))</f>
        <v/>
      </c>
      <c r="M1751" s="54">
        <f>IF(F1751="","",IF(J1751="✅ Сделано","✔ ",IF(J1751="❌ Пропущено","✖ ","⏰ "))&amp;IF(C1751="","",RIGHT("0"&amp;HOUR(C1751),2)&amp;":"&amp;RIGHT("0"&amp;MINUTE(C1751),2)&amp;IF(D1751="","","–"&amp;RIGHT("0"&amp;HOUR(D1751),2)&amp;":"&amp;RIGHT("0"&amp;MINUTE(D1751),2))&amp;" ")&amp;F1751)</f>
        <v/>
      </c>
      <c r="N1751" s="54">
        <f>IF(OR(A1751="",F1751=""),"",A1751&amp;"#"&amp;(COUNTIFS($A$5:$A$3004,A1751,$F$5:$F$3004,"?*",$O$5:$O$3004,"&lt;"&amp;O1751)+COUNTIFS($A$5:A1751,A1751,$F$5:F1751,"?*",$O$5:O1751,O1751)))</f>
        <v/>
      </c>
      <c r="O1751" s="54">
        <f>IF(A1751="","",IF(C1751="",0,C1751))</f>
        <v/>
      </c>
    </row>
    <row r="1752">
      <c r="A1752" s="58" t="n"/>
      <c r="B1752" s="49">
        <f>IF(A1752="","",CHOOSE(WEEKDAY(A1752,2),"Пн","Вт","Ср","Чт","Пт","Сб","Вс"))</f>
        <v/>
      </c>
      <c r="C1752" s="59" t="n"/>
      <c r="D1752" s="59" t="n"/>
      <c r="E1752" s="60">
        <f>IF(OR(C1752="",D1752=""),"",MOD(D1752-C1752,1)*24)</f>
        <v/>
      </c>
      <c r="F1752" s="50" t="n"/>
      <c r="G1752" s="51" t="n"/>
      <c r="H1752" s="51" t="n"/>
      <c r="I1752" s="51" t="n"/>
      <c r="J1752" s="51" t="n"/>
      <c r="K1752" s="51" t="n"/>
      <c r="L1752" s="54">
        <f>IF(OR(A1752="",C1752="",D1752=""),"",IF(COUNTIFS($A$5:$A$3004,A1752,$C$5:$C$3004,"&lt;"&amp;D1752,$D$5:$D$3004,"&gt;"&amp;C1752)&gt;1,"⚠️ пересечение",""))</f>
        <v/>
      </c>
      <c r="M1752" s="54">
        <f>IF(F1752="","",IF(J1752="✅ Сделано","✔ ",IF(J1752="❌ Пропущено","✖ ","⏰ "))&amp;IF(C1752="","",RIGHT("0"&amp;HOUR(C1752),2)&amp;":"&amp;RIGHT("0"&amp;MINUTE(C1752),2)&amp;IF(D1752="","","–"&amp;RIGHT("0"&amp;HOUR(D1752),2)&amp;":"&amp;RIGHT("0"&amp;MINUTE(D1752),2))&amp;" ")&amp;F1752)</f>
        <v/>
      </c>
      <c r="N1752" s="54">
        <f>IF(OR(A1752="",F1752=""),"",A1752&amp;"#"&amp;(COUNTIFS($A$5:$A$3004,A1752,$F$5:$F$3004,"?*",$O$5:$O$3004,"&lt;"&amp;O1752)+COUNTIFS($A$5:A1752,A1752,$F$5:F1752,"?*",$O$5:O1752,O1752)))</f>
        <v/>
      </c>
      <c r="O1752" s="54">
        <f>IF(A1752="","",IF(C1752="",0,C1752))</f>
        <v/>
      </c>
    </row>
    <row r="1753">
      <c r="A1753" s="58" t="n"/>
      <c r="B1753" s="49">
        <f>IF(A1753="","",CHOOSE(WEEKDAY(A1753,2),"Пн","Вт","Ср","Чт","Пт","Сб","Вс"))</f>
        <v/>
      </c>
      <c r="C1753" s="59" t="n"/>
      <c r="D1753" s="59" t="n"/>
      <c r="E1753" s="60">
        <f>IF(OR(C1753="",D1753=""),"",MOD(D1753-C1753,1)*24)</f>
        <v/>
      </c>
      <c r="F1753" s="50" t="n"/>
      <c r="G1753" s="51" t="n"/>
      <c r="H1753" s="51" t="n"/>
      <c r="I1753" s="51" t="n"/>
      <c r="J1753" s="51" t="n"/>
      <c r="K1753" s="51" t="n"/>
      <c r="L1753" s="54">
        <f>IF(OR(A1753="",C1753="",D1753=""),"",IF(COUNTIFS($A$5:$A$3004,A1753,$C$5:$C$3004,"&lt;"&amp;D1753,$D$5:$D$3004,"&gt;"&amp;C1753)&gt;1,"⚠️ пересечение",""))</f>
        <v/>
      </c>
      <c r="M1753" s="54">
        <f>IF(F1753="","",IF(J1753="✅ Сделано","✔ ",IF(J1753="❌ Пропущено","✖ ","⏰ "))&amp;IF(C1753="","",RIGHT("0"&amp;HOUR(C1753),2)&amp;":"&amp;RIGHT("0"&amp;MINUTE(C1753),2)&amp;IF(D1753="","","–"&amp;RIGHT("0"&amp;HOUR(D1753),2)&amp;":"&amp;RIGHT("0"&amp;MINUTE(D1753),2))&amp;" ")&amp;F1753)</f>
        <v/>
      </c>
      <c r="N1753" s="54">
        <f>IF(OR(A1753="",F1753=""),"",A1753&amp;"#"&amp;(COUNTIFS($A$5:$A$3004,A1753,$F$5:$F$3004,"?*",$O$5:$O$3004,"&lt;"&amp;O1753)+COUNTIFS($A$5:A1753,A1753,$F$5:F1753,"?*",$O$5:O1753,O1753)))</f>
        <v/>
      </c>
      <c r="O1753" s="54">
        <f>IF(A1753="","",IF(C1753="",0,C1753))</f>
        <v/>
      </c>
    </row>
    <row r="1754">
      <c r="A1754" s="58" t="n"/>
      <c r="B1754" s="49">
        <f>IF(A1754="","",CHOOSE(WEEKDAY(A1754,2),"Пн","Вт","Ср","Чт","Пт","Сб","Вс"))</f>
        <v/>
      </c>
      <c r="C1754" s="59" t="n"/>
      <c r="D1754" s="59" t="n"/>
      <c r="E1754" s="60">
        <f>IF(OR(C1754="",D1754=""),"",MOD(D1754-C1754,1)*24)</f>
        <v/>
      </c>
      <c r="F1754" s="50" t="n"/>
      <c r="G1754" s="51" t="n"/>
      <c r="H1754" s="51" t="n"/>
      <c r="I1754" s="51" t="n"/>
      <c r="J1754" s="51" t="n"/>
      <c r="K1754" s="51" t="n"/>
      <c r="L1754" s="54">
        <f>IF(OR(A1754="",C1754="",D1754=""),"",IF(COUNTIFS($A$5:$A$3004,A1754,$C$5:$C$3004,"&lt;"&amp;D1754,$D$5:$D$3004,"&gt;"&amp;C1754)&gt;1,"⚠️ пересечение",""))</f>
        <v/>
      </c>
      <c r="M1754" s="54">
        <f>IF(F1754="","",IF(J1754="✅ Сделано","✔ ",IF(J1754="❌ Пропущено","✖ ","⏰ "))&amp;IF(C1754="","",RIGHT("0"&amp;HOUR(C1754),2)&amp;":"&amp;RIGHT("0"&amp;MINUTE(C1754),2)&amp;IF(D1754="","","–"&amp;RIGHT("0"&amp;HOUR(D1754),2)&amp;":"&amp;RIGHT("0"&amp;MINUTE(D1754),2))&amp;" ")&amp;F1754)</f>
        <v/>
      </c>
      <c r="N1754" s="54">
        <f>IF(OR(A1754="",F1754=""),"",A1754&amp;"#"&amp;(COUNTIFS($A$5:$A$3004,A1754,$F$5:$F$3004,"?*",$O$5:$O$3004,"&lt;"&amp;O1754)+COUNTIFS($A$5:A1754,A1754,$F$5:F1754,"?*",$O$5:O1754,O1754)))</f>
        <v/>
      </c>
      <c r="O1754" s="54">
        <f>IF(A1754="","",IF(C1754="",0,C1754))</f>
        <v/>
      </c>
    </row>
    <row r="1755">
      <c r="A1755" s="58" t="n"/>
      <c r="B1755" s="49">
        <f>IF(A1755="","",CHOOSE(WEEKDAY(A1755,2),"Пн","Вт","Ср","Чт","Пт","Сб","Вс"))</f>
        <v/>
      </c>
      <c r="C1755" s="59" t="n"/>
      <c r="D1755" s="59" t="n"/>
      <c r="E1755" s="60">
        <f>IF(OR(C1755="",D1755=""),"",MOD(D1755-C1755,1)*24)</f>
        <v/>
      </c>
      <c r="F1755" s="50" t="n"/>
      <c r="G1755" s="51" t="n"/>
      <c r="H1755" s="51" t="n"/>
      <c r="I1755" s="51" t="n"/>
      <c r="J1755" s="51" t="n"/>
      <c r="K1755" s="51" t="n"/>
      <c r="L1755" s="54">
        <f>IF(OR(A1755="",C1755="",D1755=""),"",IF(COUNTIFS($A$5:$A$3004,A1755,$C$5:$C$3004,"&lt;"&amp;D1755,$D$5:$D$3004,"&gt;"&amp;C1755)&gt;1,"⚠️ пересечение",""))</f>
        <v/>
      </c>
      <c r="M1755" s="54">
        <f>IF(F1755="","",IF(J1755="✅ Сделано","✔ ",IF(J1755="❌ Пропущено","✖ ","⏰ "))&amp;IF(C1755="","",RIGHT("0"&amp;HOUR(C1755),2)&amp;":"&amp;RIGHT("0"&amp;MINUTE(C1755),2)&amp;IF(D1755="","","–"&amp;RIGHT("0"&amp;HOUR(D1755),2)&amp;":"&amp;RIGHT("0"&amp;MINUTE(D1755),2))&amp;" ")&amp;F1755)</f>
        <v/>
      </c>
      <c r="N1755" s="54">
        <f>IF(OR(A1755="",F1755=""),"",A1755&amp;"#"&amp;(COUNTIFS($A$5:$A$3004,A1755,$F$5:$F$3004,"?*",$O$5:$O$3004,"&lt;"&amp;O1755)+COUNTIFS($A$5:A1755,A1755,$F$5:F1755,"?*",$O$5:O1755,O1755)))</f>
        <v/>
      </c>
      <c r="O1755" s="54">
        <f>IF(A1755="","",IF(C1755="",0,C1755))</f>
        <v/>
      </c>
    </row>
    <row r="1756">
      <c r="A1756" s="58" t="n"/>
      <c r="B1756" s="49">
        <f>IF(A1756="","",CHOOSE(WEEKDAY(A1756,2),"Пн","Вт","Ср","Чт","Пт","Сб","Вс"))</f>
        <v/>
      </c>
      <c r="C1756" s="59" t="n"/>
      <c r="D1756" s="59" t="n"/>
      <c r="E1756" s="60">
        <f>IF(OR(C1756="",D1756=""),"",MOD(D1756-C1756,1)*24)</f>
        <v/>
      </c>
      <c r="F1756" s="50" t="n"/>
      <c r="G1756" s="51" t="n"/>
      <c r="H1756" s="51" t="n"/>
      <c r="I1756" s="51" t="n"/>
      <c r="J1756" s="51" t="n"/>
      <c r="K1756" s="51" t="n"/>
      <c r="L1756" s="54">
        <f>IF(OR(A1756="",C1756="",D1756=""),"",IF(COUNTIFS($A$5:$A$3004,A1756,$C$5:$C$3004,"&lt;"&amp;D1756,$D$5:$D$3004,"&gt;"&amp;C1756)&gt;1,"⚠️ пересечение",""))</f>
        <v/>
      </c>
      <c r="M1756" s="54">
        <f>IF(F1756="","",IF(J1756="✅ Сделано","✔ ",IF(J1756="❌ Пропущено","✖ ","⏰ "))&amp;IF(C1756="","",RIGHT("0"&amp;HOUR(C1756),2)&amp;":"&amp;RIGHT("0"&amp;MINUTE(C1756),2)&amp;IF(D1756="","","–"&amp;RIGHT("0"&amp;HOUR(D1756),2)&amp;":"&amp;RIGHT("0"&amp;MINUTE(D1756),2))&amp;" ")&amp;F1756)</f>
        <v/>
      </c>
      <c r="N1756" s="54">
        <f>IF(OR(A1756="",F1756=""),"",A1756&amp;"#"&amp;(COUNTIFS($A$5:$A$3004,A1756,$F$5:$F$3004,"?*",$O$5:$O$3004,"&lt;"&amp;O1756)+COUNTIFS($A$5:A1756,A1756,$F$5:F1756,"?*",$O$5:O1756,O1756)))</f>
        <v/>
      </c>
      <c r="O1756" s="54">
        <f>IF(A1756="","",IF(C1756="",0,C1756))</f>
        <v/>
      </c>
    </row>
    <row r="1757">
      <c r="A1757" s="58" t="n"/>
      <c r="B1757" s="49">
        <f>IF(A1757="","",CHOOSE(WEEKDAY(A1757,2),"Пн","Вт","Ср","Чт","Пт","Сб","Вс"))</f>
        <v/>
      </c>
      <c r="C1757" s="59" t="n"/>
      <c r="D1757" s="59" t="n"/>
      <c r="E1757" s="60">
        <f>IF(OR(C1757="",D1757=""),"",MOD(D1757-C1757,1)*24)</f>
        <v/>
      </c>
      <c r="F1757" s="50" t="n"/>
      <c r="G1757" s="51" t="n"/>
      <c r="H1757" s="51" t="n"/>
      <c r="I1757" s="51" t="n"/>
      <c r="J1757" s="51" t="n"/>
      <c r="K1757" s="51" t="n"/>
      <c r="L1757" s="54">
        <f>IF(OR(A1757="",C1757="",D1757=""),"",IF(COUNTIFS($A$5:$A$3004,A1757,$C$5:$C$3004,"&lt;"&amp;D1757,$D$5:$D$3004,"&gt;"&amp;C1757)&gt;1,"⚠️ пересечение",""))</f>
        <v/>
      </c>
      <c r="M1757" s="54">
        <f>IF(F1757="","",IF(J1757="✅ Сделано","✔ ",IF(J1757="❌ Пропущено","✖ ","⏰ "))&amp;IF(C1757="","",RIGHT("0"&amp;HOUR(C1757),2)&amp;":"&amp;RIGHT("0"&amp;MINUTE(C1757),2)&amp;IF(D1757="","","–"&amp;RIGHT("0"&amp;HOUR(D1757),2)&amp;":"&amp;RIGHT("0"&amp;MINUTE(D1757),2))&amp;" ")&amp;F1757)</f>
        <v/>
      </c>
      <c r="N1757" s="54">
        <f>IF(OR(A1757="",F1757=""),"",A1757&amp;"#"&amp;(COUNTIFS($A$5:$A$3004,A1757,$F$5:$F$3004,"?*",$O$5:$O$3004,"&lt;"&amp;O1757)+COUNTIFS($A$5:A1757,A1757,$F$5:F1757,"?*",$O$5:O1757,O1757)))</f>
        <v/>
      </c>
      <c r="O1757" s="54">
        <f>IF(A1757="","",IF(C1757="",0,C1757))</f>
        <v/>
      </c>
    </row>
    <row r="1758">
      <c r="A1758" s="58" t="n"/>
      <c r="B1758" s="49">
        <f>IF(A1758="","",CHOOSE(WEEKDAY(A1758,2),"Пн","Вт","Ср","Чт","Пт","Сб","Вс"))</f>
        <v/>
      </c>
      <c r="C1758" s="59" t="n"/>
      <c r="D1758" s="59" t="n"/>
      <c r="E1758" s="60">
        <f>IF(OR(C1758="",D1758=""),"",MOD(D1758-C1758,1)*24)</f>
        <v/>
      </c>
      <c r="F1758" s="50" t="n"/>
      <c r="G1758" s="51" t="n"/>
      <c r="H1758" s="51" t="n"/>
      <c r="I1758" s="51" t="n"/>
      <c r="J1758" s="51" t="n"/>
      <c r="K1758" s="51" t="n"/>
      <c r="L1758" s="54">
        <f>IF(OR(A1758="",C1758="",D1758=""),"",IF(COUNTIFS($A$5:$A$3004,A1758,$C$5:$C$3004,"&lt;"&amp;D1758,$D$5:$D$3004,"&gt;"&amp;C1758)&gt;1,"⚠️ пересечение",""))</f>
        <v/>
      </c>
      <c r="M1758" s="54">
        <f>IF(F1758="","",IF(J1758="✅ Сделано","✔ ",IF(J1758="❌ Пропущено","✖ ","⏰ "))&amp;IF(C1758="","",RIGHT("0"&amp;HOUR(C1758),2)&amp;":"&amp;RIGHT("0"&amp;MINUTE(C1758),2)&amp;IF(D1758="","","–"&amp;RIGHT("0"&amp;HOUR(D1758),2)&amp;":"&amp;RIGHT("0"&amp;MINUTE(D1758),2))&amp;" ")&amp;F1758)</f>
        <v/>
      </c>
      <c r="N1758" s="54">
        <f>IF(OR(A1758="",F1758=""),"",A1758&amp;"#"&amp;(COUNTIFS($A$5:$A$3004,A1758,$F$5:$F$3004,"?*",$O$5:$O$3004,"&lt;"&amp;O1758)+COUNTIFS($A$5:A1758,A1758,$F$5:F1758,"?*",$O$5:O1758,O1758)))</f>
        <v/>
      </c>
      <c r="O1758" s="54">
        <f>IF(A1758="","",IF(C1758="",0,C1758))</f>
        <v/>
      </c>
    </row>
    <row r="1759">
      <c r="A1759" s="58" t="n"/>
      <c r="B1759" s="49">
        <f>IF(A1759="","",CHOOSE(WEEKDAY(A1759,2),"Пн","Вт","Ср","Чт","Пт","Сб","Вс"))</f>
        <v/>
      </c>
      <c r="C1759" s="59" t="n"/>
      <c r="D1759" s="59" t="n"/>
      <c r="E1759" s="60">
        <f>IF(OR(C1759="",D1759=""),"",MOD(D1759-C1759,1)*24)</f>
        <v/>
      </c>
      <c r="F1759" s="50" t="n"/>
      <c r="G1759" s="51" t="n"/>
      <c r="H1759" s="51" t="n"/>
      <c r="I1759" s="51" t="n"/>
      <c r="J1759" s="51" t="n"/>
      <c r="K1759" s="51" t="n"/>
      <c r="L1759" s="54">
        <f>IF(OR(A1759="",C1759="",D1759=""),"",IF(COUNTIFS($A$5:$A$3004,A1759,$C$5:$C$3004,"&lt;"&amp;D1759,$D$5:$D$3004,"&gt;"&amp;C1759)&gt;1,"⚠️ пересечение",""))</f>
        <v/>
      </c>
      <c r="M1759" s="54">
        <f>IF(F1759="","",IF(J1759="✅ Сделано","✔ ",IF(J1759="❌ Пропущено","✖ ","⏰ "))&amp;IF(C1759="","",RIGHT("0"&amp;HOUR(C1759),2)&amp;":"&amp;RIGHT("0"&amp;MINUTE(C1759),2)&amp;IF(D1759="","","–"&amp;RIGHT("0"&amp;HOUR(D1759),2)&amp;":"&amp;RIGHT("0"&amp;MINUTE(D1759),2))&amp;" ")&amp;F1759)</f>
        <v/>
      </c>
      <c r="N1759" s="54">
        <f>IF(OR(A1759="",F1759=""),"",A1759&amp;"#"&amp;(COUNTIFS($A$5:$A$3004,A1759,$F$5:$F$3004,"?*",$O$5:$O$3004,"&lt;"&amp;O1759)+COUNTIFS($A$5:A1759,A1759,$F$5:F1759,"?*",$O$5:O1759,O1759)))</f>
        <v/>
      </c>
      <c r="O1759" s="54">
        <f>IF(A1759="","",IF(C1759="",0,C1759))</f>
        <v/>
      </c>
    </row>
    <row r="1760">
      <c r="A1760" s="58" t="n"/>
      <c r="B1760" s="49">
        <f>IF(A1760="","",CHOOSE(WEEKDAY(A1760,2),"Пн","Вт","Ср","Чт","Пт","Сб","Вс"))</f>
        <v/>
      </c>
      <c r="C1760" s="59" t="n"/>
      <c r="D1760" s="59" t="n"/>
      <c r="E1760" s="60">
        <f>IF(OR(C1760="",D1760=""),"",MOD(D1760-C1760,1)*24)</f>
        <v/>
      </c>
      <c r="F1760" s="50" t="n"/>
      <c r="G1760" s="51" t="n"/>
      <c r="H1760" s="51" t="n"/>
      <c r="I1760" s="51" t="n"/>
      <c r="J1760" s="51" t="n"/>
      <c r="K1760" s="51" t="n"/>
      <c r="L1760" s="54">
        <f>IF(OR(A1760="",C1760="",D1760=""),"",IF(COUNTIFS($A$5:$A$3004,A1760,$C$5:$C$3004,"&lt;"&amp;D1760,$D$5:$D$3004,"&gt;"&amp;C1760)&gt;1,"⚠️ пересечение",""))</f>
        <v/>
      </c>
      <c r="M1760" s="54">
        <f>IF(F1760="","",IF(J1760="✅ Сделано","✔ ",IF(J1760="❌ Пропущено","✖ ","⏰ "))&amp;IF(C1760="","",RIGHT("0"&amp;HOUR(C1760),2)&amp;":"&amp;RIGHT("0"&amp;MINUTE(C1760),2)&amp;IF(D1760="","","–"&amp;RIGHT("0"&amp;HOUR(D1760),2)&amp;":"&amp;RIGHT("0"&amp;MINUTE(D1760),2))&amp;" ")&amp;F1760)</f>
        <v/>
      </c>
      <c r="N1760" s="54">
        <f>IF(OR(A1760="",F1760=""),"",A1760&amp;"#"&amp;(COUNTIFS($A$5:$A$3004,A1760,$F$5:$F$3004,"?*",$O$5:$O$3004,"&lt;"&amp;O1760)+COUNTIFS($A$5:A1760,A1760,$F$5:F1760,"?*",$O$5:O1760,O1760)))</f>
        <v/>
      </c>
      <c r="O1760" s="54">
        <f>IF(A1760="","",IF(C1760="",0,C1760))</f>
        <v/>
      </c>
    </row>
    <row r="1761">
      <c r="A1761" s="58" t="n"/>
      <c r="B1761" s="49">
        <f>IF(A1761="","",CHOOSE(WEEKDAY(A1761,2),"Пн","Вт","Ср","Чт","Пт","Сб","Вс"))</f>
        <v/>
      </c>
      <c r="C1761" s="59" t="n"/>
      <c r="D1761" s="59" t="n"/>
      <c r="E1761" s="60">
        <f>IF(OR(C1761="",D1761=""),"",MOD(D1761-C1761,1)*24)</f>
        <v/>
      </c>
      <c r="F1761" s="50" t="n"/>
      <c r="G1761" s="51" t="n"/>
      <c r="H1761" s="51" t="n"/>
      <c r="I1761" s="51" t="n"/>
      <c r="J1761" s="51" t="n"/>
      <c r="K1761" s="51" t="n"/>
      <c r="L1761" s="54">
        <f>IF(OR(A1761="",C1761="",D1761=""),"",IF(COUNTIFS($A$5:$A$3004,A1761,$C$5:$C$3004,"&lt;"&amp;D1761,$D$5:$D$3004,"&gt;"&amp;C1761)&gt;1,"⚠️ пересечение",""))</f>
        <v/>
      </c>
      <c r="M1761" s="54">
        <f>IF(F1761="","",IF(J1761="✅ Сделано","✔ ",IF(J1761="❌ Пропущено","✖ ","⏰ "))&amp;IF(C1761="","",RIGHT("0"&amp;HOUR(C1761),2)&amp;":"&amp;RIGHT("0"&amp;MINUTE(C1761),2)&amp;IF(D1761="","","–"&amp;RIGHT("0"&amp;HOUR(D1761),2)&amp;":"&amp;RIGHT("0"&amp;MINUTE(D1761),2))&amp;" ")&amp;F1761)</f>
        <v/>
      </c>
      <c r="N1761" s="54">
        <f>IF(OR(A1761="",F1761=""),"",A1761&amp;"#"&amp;(COUNTIFS($A$5:$A$3004,A1761,$F$5:$F$3004,"?*",$O$5:$O$3004,"&lt;"&amp;O1761)+COUNTIFS($A$5:A1761,A1761,$F$5:F1761,"?*",$O$5:O1761,O1761)))</f>
        <v/>
      </c>
      <c r="O1761" s="54">
        <f>IF(A1761="","",IF(C1761="",0,C1761))</f>
        <v/>
      </c>
    </row>
    <row r="1762">
      <c r="A1762" s="58" t="n"/>
      <c r="B1762" s="49">
        <f>IF(A1762="","",CHOOSE(WEEKDAY(A1762,2),"Пн","Вт","Ср","Чт","Пт","Сб","Вс"))</f>
        <v/>
      </c>
      <c r="C1762" s="59" t="n"/>
      <c r="D1762" s="59" t="n"/>
      <c r="E1762" s="60">
        <f>IF(OR(C1762="",D1762=""),"",MOD(D1762-C1762,1)*24)</f>
        <v/>
      </c>
      <c r="F1762" s="50" t="n"/>
      <c r="G1762" s="51" t="n"/>
      <c r="H1762" s="51" t="n"/>
      <c r="I1762" s="51" t="n"/>
      <c r="J1762" s="51" t="n"/>
      <c r="K1762" s="51" t="n"/>
      <c r="L1762" s="54">
        <f>IF(OR(A1762="",C1762="",D1762=""),"",IF(COUNTIFS($A$5:$A$3004,A1762,$C$5:$C$3004,"&lt;"&amp;D1762,$D$5:$D$3004,"&gt;"&amp;C1762)&gt;1,"⚠️ пересечение",""))</f>
        <v/>
      </c>
      <c r="M1762" s="54">
        <f>IF(F1762="","",IF(J1762="✅ Сделано","✔ ",IF(J1762="❌ Пропущено","✖ ","⏰ "))&amp;IF(C1762="","",RIGHT("0"&amp;HOUR(C1762),2)&amp;":"&amp;RIGHT("0"&amp;MINUTE(C1762),2)&amp;IF(D1762="","","–"&amp;RIGHT("0"&amp;HOUR(D1762),2)&amp;":"&amp;RIGHT("0"&amp;MINUTE(D1762),2))&amp;" ")&amp;F1762)</f>
        <v/>
      </c>
      <c r="N1762" s="54">
        <f>IF(OR(A1762="",F1762=""),"",A1762&amp;"#"&amp;(COUNTIFS($A$5:$A$3004,A1762,$F$5:$F$3004,"?*",$O$5:$O$3004,"&lt;"&amp;O1762)+COUNTIFS($A$5:A1762,A1762,$F$5:F1762,"?*",$O$5:O1762,O1762)))</f>
        <v/>
      </c>
      <c r="O1762" s="54">
        <f>IF(A1762="","",IF(C1762="",0,C1762))</f>
        <v/>
      </c>
    </row>
    <row r="1763">
      <c r="A1763" s="58" t="n"/>
      <c r="B1763" s="49">
        <f>IF(A1763="","",CHOOSE(WEEKDAY(A1763,2),"Пн","Вт","Ср","Чт","Пт","Сб","Вс"))</f>
        <v/>
      </c>
      <c r="C1763" s="59" t="n"/>
      <c r="D1763" s="59" t="n"/>
      <c r="E1763" s="60">
        <f>IF(OR(C1763="",D1763=""),"",MOD(D1763-C1763,1)*24)</f>
        <v/>
      </c>
      <c r="F1763" s="50" t="n"/>
      <c r="G1763" s="51" t="n"/>
      <c r="H1763" s="51" t="n"/>
      <c r="I1763" s="51" t="n"/>
      <c r="J1763" s="51" t="n"/>
      <c r="K1763" s="51" t="n"/>
      <c r="L1763" s="54">
        <f>IF(OR(A1763="",C1763="",D1763=""),"",IF(COUNTIFS($A$5:$A$3004,A1763,$C$5:$C$3004,"&lt;"&amp;D1763,$D$5:$D$3004,"&gt;"&amp;C1763)&gt;1,"⚠️ пересечение",""))</f>
        <v/>
      </c>
      <c r="M1763" s="54">
        <f>IF(F1763="","",IF(J1763="✅ Сделано","✔ ",IF(J1763="❌ Пропущено","✖ ","⏰ "))&amp;IF(C1763="","",RIGHT("0"&amp;HOUR(C1763),2)&amp;":"&amp;RIGHT("0"&amp;MINUTE(C1763),2)&amp;IF(D1763="","","–"&amp;RIGHT("0"&amp;HOUR(D1763),2)&amp;":"&amp;RIGHT("0"&amp;MINUTE(D1763),2))&amp;" ")&amp;F1763)</f>
        <v/>
      </c>
      <c r="N1763" s="54">
        <f>IF(OR(A1763="",F1763=""),"",A1763&amp;"#"&amp;(COUNTIFS($A$5:$A$3004,A1763,$F$5:$F$3004,"?*",$O$5:$O$3004,"&lt;"&amp;O1763)+COUNTIFS($A$5:A1763,A1763,$F$5:F1763,"?*",$O$5:O1763,O1763)))</f>
        <v/>
      </c>
      <c r="O1763" s="54">
        <f>IF(A1763="","",IF(C1763="",0,C1763))</f>
        <v/>
      </c>
    </row>
    <row r="1764">
      <c r="A1764" s="58" t="n"/>
      <c r="B1764" s="49">
        <f>IF(A1764="","",CHOOSE(WEEKDAY(A1764,2),"Пн","Вт","Ср","Чт","Пт","Сб","Вс"))</f>
        <v/>
      </c>
      <c r="C1764" s="59" t="n"/>
      <c r="D1764" s="59" t="n"/>
      <c r="E1764" s="60">
        <f>IF(OR(C1764="",D1764=""),"",MOD(D1764-C1764,1)*24)</f>
        <v/>
      </c>
      <c r="F1764" s="50" t="n"/>
      <c r="G1764" s="51" t="n"/>
      <c r="H1764" s="51" t="n"/>
      <c r="I1764" s="51" t="n"/>
      <c r="J1764" s="51" t="n"/>
      <c r="K1764" s="51" t="n"/>
      <c r="L1764" s="54">
        <f>IF(OR(A1764="",C1764="",D1764=""),"",IF(COUNTIFS($A$5:$A$3004,A1764,$C$5:$C$3004,"&lt;"&amp;D1764,$D$5:$D$3004,"&gt;"&amp;C1764)&gt;1,"⚠️ пересечение",""))</f>
        <v/>
      </c>
      <c r="M1764" s="54">
        <f>IF(F1764="","",IF(J1764="✅ Сделано","✔ ",IF(J1764="❌ Пропущено","✖ ","⏰ "))&amp;IF(C1764="","",RIGHT("0"&amp;HOUR(C1764),2)&amp;":"&amp;RIGHT("0"&amp;MINUTE(C1764),2)&amp;IF(D1764="","","–"&amp;RIGHT("0"&amp;HOUR(D1764),2)&amp;":"&amp;RIGHT("0"&amp;MINUTE(D1764),2))&amp;" ")&amp;F1764)</f>
        <v/>
      </c>
      <c r="N1764" s="54">
        <f>IF(OR(A1764="",F1764=""),"",A1764&amp;"#"&amp;(COUNTIFS($A$5:$A$3004,A1764,$F$5:$F$3004,"?*",$O$5:$O$3004,"&lt;"&amp;O1764)+COUNTIFS($A$5:A1764,A1764,$F$5:F1764,"?*",$O$5:O1764,O1764)))</f>
        <v/>
      </c>
      <c r="O1764" s="54">
        <f>IF(A1764="","",IF(C1764="",0,C1764))</f>
        <v/>
      </c>
    </row>
    <row r="1765">
      <c r="A1765" s="58" t="n"/>
      <c r="B1765" s="49">
        <f>IF(A1765="","",CHOOSE(WEEKDAY(A1765,2),"Пн","Вт","Ср","Чт","Пт","Сб","Вс"))</f>
        <v/>
      </c>
      <c r="C1765" s="59" t="n"/>
      <c r="D1765" s="59" t="n"/>
      <c r="E1765" s="60">
        <f>IF(OR(C1765="",D1765=""),"",MOD(D1765-C1765,1)*24)</f>
        <v/>
      </c>
      <c r="F1765" s="50" t="n"/>
      <c r="G1765" s="51" t="n"/>
      <c r="H1765" s="51" t="n"/>
      <c r="I1765" s="51" t="n"/>
      <c r="J1765" s="51" t="n"/>
      <c r="K1765" s="51" t="n"/>
      <c r="L1765" s="54">
        <f>IF(OR(A1765="",C1765="",D1765=""),"",IF(COUNTIFS($A$5:$A$3004,A1765,$C$5:$C$3004,"&lt;"&amp;D1765,$D$5:$D$3004,"&gt;"&amp;C1765)&gt;1,"⚠️ пересечение",""))</f>
        <v/>
      </c>
      <c r="M1765" s="54">
        <f>IF(F1765="","",IF(J1765="✅ Сделано","✔ ",IF(J1765="❌ Пропущено","✖ ","⏰ "))&amp;IF(C1765="","",RIGHT("0"&amp;HOUR(C1765),2)&amp;":"&amp;RIGHT("0"&amp;MINUTE(C1765),2)&amp;IF(D1765="","","–"&amp;RIGHT("0"&amp;HOUR(D1765),2)&amp;":"&amp;RIGHT("0"&amp;MINUTE(D1765),2))&amp;" ")&amp;F1765)</f>
        <v/>
      </c>
      <c r="N1765" s="54">
        <f>IF(OR(A1765="",F1765=""),"",A1765&amp;"#"&amp;(COUNTIFS($A$5:$A$3004,A1765,$F$5:$F$3004,"?*",$O$5:$O$3004,"&lt;"&amp;O1765)+COUNTIFS($A$5:A1765,A1765,$F$5:F1765,"?*",$O$5:O1765,O1765)))</f>
        <v/>
      </c>
      <c r="O1765" s="54">
        <f>IF(A1765="","",IF(C1765="",0,C1765))</f>
        <v/>
      </c>
    </row>
    <row r="1766">
      <c r="A1766" s="58" t="n"/>
      <c r="B1766" s="49">
        <f>IF(A1766="","",CHOOSE(WEEKDAY(A1766,2),"Пн","Вт","Ср","Чт","Пт","Сб","Вс"))</f>
        <v/>
      </c>
      <c r="C1766" s="59" t="n"/>
      <c r="D1766" s="59" t="n"/>
      <c r="E1766" s="60">
        <f>IF(OR(C1766="",D1766=""),"",MOD(D1766-C1766,1)*24)</f>
        <v/>
      </c>
      <c r="F1766" s="50" t="n"/>
      <c r="G1766" s="51" t="n"/>
      <c r="H1766" s="51" t="n"/>
      <c r="I1766" s="51" t="n"/>
      <c r="J1766" s="51" t="n"/>
      <c r="K1766" s="51" t="n"/>
      <c r="L1766" s="54">
        <f>IF(OR(A1766="",C1766="",D1766=""),"",IF(COUNTIFS($A$5:$A$3004,A1766,$C$5:$C$3004,"&lt;"&amp;D1766,$D$5:$D$3004,"&gt;"&amp;C1766)&gt;1,"⚠️ пересечение",""))</f>
        <v/>
      </c>
      <c r="M1766" s="54">
        <f>IF(F1766="","",IF(J1766="✅ Сделано","✔ ",IF(J1766="❌ Пропущено","✖ ","⏰ "))&amp;IF(C1766="","",RIGHT("0"&amp;HOUR(C1766),2)&amp;":"&amp;RIGHT("0"&amp;MINUTE(C1766),2)&amp;IF(D1766="","","–"&amp;RIGHT("0"&amp;HOUR(D1766),2)&amp;":"&amp;RIGHT("0"&amp;MINUTE(D1766),2))&amp;" ")&amp;F1766)</f>
        <v/>
      </c>
      <c r="N1766" s="54">
        <f>IF(OR(A1766="",F1766=""),"",A1766&amp;"#"&amp;(COUNTIFS($A$5:$A$3004,A1766,$F$5:$F$3004,"?*",$O$5:$O$3004,"&lt;"&amp;O1766)+COUNTIFS($A$5:A1766,A1766,$F$5:F1766,"?*",$O$5:O1766,O1766)))</f>
        <v/>
      </c>
      <c r="O1766" s="54">
        <f>IF(A1766="","",IF(C1766="",0,C1766))</f>
        <v/>
      </c>
    </row>
    <row r="1767">
      <c r="A1767" s="58" t="n"/>
      <c r="B1767" s="49">
        <f>IF(A1767="","",CHOOSE(WEEKDAY(A1767,2),"Пн","Вт","Ср","Чт","Пт","Сб","Вс"))</f>
        <v/>
      </c>
      <c r="C1767" s="59" t="n"/>
      <c r="D1767" s="59" t="n"/>
      <c r="E1767" s="60">
        <f>IF(OR(C1767="",D1767=""),"",MOD(D1767-C1767,1)*24)</f>
        <v/>
      </c>
      <c r="F1767" s="50" t="n"/>
      <c r="G1767" s="51" t="n"/>
      <c r="H1767" s="51" t="n"/>
      <c r="I1767" s="51" t="n"/>
      <c r="J1767" s="51" t="n"/>
      <c r="K1767" s="51" t="n"/>
      <c r="L1767" s="54">
        <f>IF(OR(A1767="",C1767="",D1767=""),"",IF(COUNTIFS($A$5:$A$3004,A1767,$C$5:$C$3004,"&lt;"&amp;D1767,$D$5:$D$3004,"&gt;"&amp;C1767)&gt;1,"⚠️ пересечение",""))</f>
        <v/>
      </c>
      <c r="M1767" s="54">
        <f>IF(F1767="","",IF(J1767="✅ Сделано","✔ ",IF(J1767="❌ Пропущено","✖ ","⏰ "))&amp;IF(C1767="","",RIGHT("0"&amp;HOUR(C1767),2)&amp;":"&amp;RIGHT("0"&amp;MINUTE(C1767),2)&amp;IF(D1767="","","–"&amp;RIGHT("0"&amp;HOUR(D1767),2)&amp;":"&amp;RIGHT("0"&amp;MINUTE(D1767),2))&amp;" ")&amp;F1767)</f>
        <v/>
      </c>
      <c r="N1767" s="54">
        <f>IF(OR(A1767="",F1767=""),"",A1767&amp;"#"&amp;(COUNTIFS($A$5:$A$3004,A1767,$F$5:$F$3004,"?*",$O$5:$O$3004,"&lt;"&amp;O1767)+COUNTIFS($A$5:A1767,A1767,$F$5:F1767,"?*",$O$5:O1767,O1767)))</f>
        <v/>
      </c>
      <c r="O1767" s="54">
        <f>IF(A1767="","",IF(C1767="",0,C1767))</f>
        <v/>
      </c>
    </row>
    <row r="1768">
      <c r="A1768" s="58" t="n"/>
      <c r="B1768" s="49">
        <f>IF(A1768="","",CHOOSE(WEEKDAY(A1768,2),"Пн","Вт","Ср","Чт","Пт","Сб","Вс"))</f>
        <v/>
      </c>
      <c r="C1768" s="59" t="n"/>
      <c r="D1768" s="59" t="n"/>
      <c r="E1768" s="60">
        <f>IF(OR(C1768="",D1768=""),"",MOD(D1768-C1768,1)*24)</f>
        <v/>
      </c>
      <c r="F1768" s="50" t="n"/>
      <c r="G1768" s="51" t="n"/>
      <c r="H1768" s="51" t="n"/>
      <c r="I1768" s="51" t="n"/>
      <c r="J1768" s="51" t="n"/>
      <c r="K1768" s="51" t="n"/>
      <c r="L1768" s="54">
        <f>IF(OR(A1768="",C1768="",D1768=""),"",IF(COUNTIFS($A$5:$A$3004,A1768,$C$5:$C$3004,"&lt;"&amp;D1768,$D$5:$D$3004,"&gt;"&amp;C1768)&gt;1,"⚠️ пересечение",""))</f>
        <v/>
      </c>
      <c r="M1768" s="54">
        <f>IF(F1768="","",IF(J1768="✅ Сделано","✔ ",IF(J1768="❌ Пропущено","✖ ","⏰ "))&amp;IF(C1768="","",RIGHT("0"&amp;HOUR(C1768),2)&amp;":"&amp;RIGHT("0"&amp;MINUTE(C1768),2)&amp;IF(D1768="","","–"&amp;RIGHT("0"&amp;HOUR(D1768),2)&amp;":"&amp;RIGHT("0"&amp;MINUTE(D1768),2))&amp;" ")&amp;F1768)</f>
        <v/>
      </c>
      <c r="N1768" s="54">
        <f>IF(OR(A1768="",F1768=""),"",A1768&amp;"#"&amp;(COUNTIFS($A$5:$A$3004,A1768,$F$5:$F$3004,"?*",$O$5:$O$3004,"&lt;"&amp;O1768)+COUNTIFS($A$5:A1768,A1768,$F$5:F1768,"?*",$O$5:O1768,O1768)))</f>
        <v/>
      </c>
      <c r="O1768" s="54">
        <f>IF(A1768="","",IF(C1768="",0,C1768))</f>
        <v/>
      </c>
    </row>
    <row r="1769">
      <c r="A1769" s="58" t="n"/>
      <c r="B1769" s="49">
        <f>IF(A1769="","",CHOOSE(WEEKDAY(A1769,2),"Пн","Вт","Ср","Чт","Пт","Сб","Вс"))</f>
        <v/>
      </c>
      <c r="C1769" s="59" t="n"/>
      <c r="D1769" s="59" t="n"/>
      <c r="E1769" s="60">
        <f>IF(OR(C1769="",D1769=""),"",MOD(D1769-C1769,1)*24)</f>
        <v/>
      </c>
      <c r="F1769" s="50" t="n"/>
      <c r="G1769" s="51" t="n"/>
      <c r="H1769" s="51" t="n"/>
      <c r="I1769" s="51" t="n"/>
      <c r="J1769" s="51" t="n"/>
      <c r="K1769" s="51" t="n"/>
      <c r="L1769" s="54">
        <f>IF(OR(A1769="",C1769="",D1769=""),"",IF(COUNTIFS($A$5:$A$3004,A1769,$C$5:$C$3004,"&lt;"&amp;D1769,$D$5:$D$3004,"&gt;"&amp;C1769)&gt;1,"⚠️ пересечение",""))</f>
        <v/>
      </c>
      <c r="M1769" s="54">
        <f>IF(F1769="","",IF(J1769="✅ Сделано","✔ ",IF(J1769="❌ Пропущено","✖ ","⏰ "))&amp;IF(C1769="","",RIGHT("0"&amp;HOUR(C1769),2)&amp;":"&amp;RIGHT("0"&amp;MINUTE(C1769),2)&amp;IF(D1769="","","–"&amp;RIGHT("0"&amp;HOUR(D1769),2)&amp;":"&amp;RIGHT("0"&amp;MINUTE(D1769),2))&amp;" ")&amp;F1769)</f>
        <v/>
      </c>
      <c r="N1769" s="54">
        <f>IF(OR(A1769="",F1769=""),"",A1769&amp;"#"&amp;(COUNTIFS($A$5:$A$3004,A1769,$F$5:$F$3004,"?*",$O$5:$O$3004,"&lt;"&amp;O1769)+COUNTIFS($A$5:A1769,A1769,$F$5:F1769,"?*",$O$5:O1769,O1769)))</f>
        <v/>
      </c>
      <c r="O1769" s="54">
        <f>IF(A1769="","",IF(C1769="",0,C1769))</f>
        <v/>
      </c>
    </row>
    <row r="1770">
      <c r="A1770" s="58" t="n"/>
      <c r="B1770" s="49">
        <f>IF(A1770="","",CHOOSE(WEEKDAY(A1770,2),"Пн","Вт","Ср","Чт","Пт","Сб","Вс"))</f>
        <v/>
      </c>
      <c r="C1770" s="59" t="n"/>
      <c r="D1770" s="59" t="n"/>
      <c r="E1770" s="60">
        <f>IF(OR(C1770="",D1770=""),"",MOD(D1770-C1770,1)*24)</f>
        <v/>
      </c>
      <c r="F1770" s="50" t="n"/>
      <c r="G1770" s="51" t="n"/>
      <c r="H1770" s="51" t="n"/>
      <c r="I1770" s="51" t="n"/>
      <c r="J1770" s="51" t="n"/>
      <c r="K1770" s="51" t="n"/>
      <c r="L1770" s="54">
        <f>IF(OR(A1770="",C1770="",D1770=""),"",IF(COUNTIFS($A$5:$A$3004,A1770,$C$5:$C$3004,"&lt;"&amp;D1770,$D$5:$D$3004,"&gt;"&amp;C1770)&gt;1,"⚠️ пересечение",""))</f>
        <v/>
      </c>
      <c r="M1770" s="54">
        <f>IF(F1770="","",IF(J1770="✅ Сделано","✔ ",IF(J1770="❌ Пропущено","✖ ","⏰ "))&amp;IF(C1770="","",RIGHT("0"&amp;HOUR(C1770),2)&amp;":"&amp;RIGHT("0"&amp;MINUTE(C1770),2)&amp;IF(D1770="","","–"&amp;RIGHT("0"&amp;HOUR(D1770),2)&amp;":"&amp;RIGHT("0"&amp;MINUTE(D1770),2))&amp;" ")&amp;F1770)</f>
        <v/>
      </c>
      <c r="N1770" s="54">
        <f>IF(OR(A1770="",F1770=""),"",A1770&amp;"#"&amp;(COUNTIFS($A$5:$A$3004,A1770,$F$5:$F$3004,"?*",$O$5:$O$3004,"&lt;"&amp;O1770)+COUNTIFS($A$5:A1770,A1770,$F$5:F1770,"?*",$O$5:O1770,O1770)))</f>
        <v/>
      </c>
      <c r="O1770" s="54">
        <f>IF(A1770="","",IF(C1770="",0,C1770))</f>
        <v/>
      </c>
    </row>
    <row r="1771">
      <c r="A1771" s="58" t="n"/>
      <c r="B1771" s="49">
        <f>IF(A1771="","",CHOOSE(WEEKDAY(A1771,2),"Пн","Вт","Ср","Чт","Пт","Сб","Вс"))</f>
        <v/>
      </c>
      <c r="C1771" s="59" t="n"/>
      <c r="D1771" s="59" t="n"/>
      <c r="E1771" s="60">
        <f>IF(OR(C1771="",D1771=""),"",MOD(D1771-C1771,1)*24)</f>
        <v/>
      </c>
      <c r="F1771" s="50" t="n"/>
      <c r="G1771" s="51" t="n"/>
      <c r="H1771" s="51" t="n"/>
      <c r="I1771" s="51" t="n"/>
      <c r="J1771" s="51" t="n"/>
      <c r="K1771" s="51" t="n"/>
      <c r="L1771" s="54">
        <f>IF(OR(A1771="",C1771="",D1771=""),"",IF(COUNTIFS($A$5:$A$3004,A1771,$C$5:$C$3004,"&lt;"&amp;D1771,$D$5:$D$3004,"&gt;"&amp;C1771)&gt;1,"⚠️ пересечение",""))</f>
        <v/>
      </c>
      <c r="M1771" s="54">
        <f>IF(F1771="","",IF(J1771="✅ Сделано","✔ ",IF(J1771="❌ Пропущено","✖ ","⏰ "))&amp;IF(C1771="","",RIGHT("0"&amp;HOUR(C1771),2)&amp;":"&amp;RIGHT("0"&amp;MINUTE(C1771),2)&amp;IF(D1771="","","–"&amp;RIGHT("0"&amp;HOUR(D1771),2)&amp;":"&amp;RIGHT("0"&amp;MINUTE(D1771),2))&amp;" ")&amp;F1771)</f>
        <v/>
      </c>
      <c r="N1771" s="54">
        <f>IF(OR(A1771="",F1771=""),"",A1771&amp;"#"&amp;(COUNTIFS($A$5:$A$3004,A1771,$F$5:$F$3004,"?*",$O$5:$O$3004,"&lt;"&amp;O1771)+COUNTIFS($A$5:A1771,A1771,$F$5:F1771,"?*",$O$5:O1771,O1771)))</f>
        <v/>
      </c>
      <c r="O1771" s="54">
        <f>IF(A1771="","",IF(C1771="",0,C1771))</f>
        <v/>
      </c>
    </row>
    <row r="1772">
      <c r="A1772" s="58" t="n"/>
      <c r="B1772" s="49">
        <f>IF(A1772="","",CHOOSE(WEEKDAY(A1772,2),"Пн","Вт","Ср","Чт","Пт","Сб","Вс"))</f>
        <v/>
      </c>
      <c r="C1772" s="59" t="n"/>
      <c r="D1772" s="59" t="n"/>
      <c r="E1772" s="60">
        <f>IF(OR(C1772="",D1772=""),"",MOD(D1772-C1772,1)*24)</f>
        <v/>
      </c>
      <c r="F1772" s="50" t="n"/>
      <c r="G1772" s="51" t="n"/>
      <c r="H1772" s="51" t="n"/>
      <c r="I1772" s="51" t="n"/>
      <c r="J1772" s="51" t="n"/>
      <c r="K1772" s="51" t="n"/>
      <c r="L1772" s="54">
        <f>IF(OR(A1772="",C1772="",D1772=""),"",IF(COUNTIFS($A$5:$A$3004,A1772,$C$5:$C$3004,"&lt;"&amp;D1772,$D$5:$D$3004,"&gt;"&amp;C1772)&gt;1,"⚠️ пересечение",""))</f>
        <v/>
      </c>
      <c r="M1772" s="54">
        <f>IF(F1772="","",IF(J1772="✅ Сделано","✔ ",IF(J1772="❌ Пропущено","✖ ","⏰ "))&amp;IF(C1772="","",RIGHT("0"&amp;HOUR(C1772),2)&amp;":"&amp;RIGHT("0"&amp;MINUTE(C1772),2)&amp;IF(D1772="","","–"&amp;RIGHT("0"&amp;HOUR(D1772),2)&amp;":"&amp;RIGHT("0"&amp;MINUTE(D1772),2))&amp;" ")&amp;F1772)</f>
        <v/>
      </c>
      <c r="N1772" s="54">
        <f>IF(OR(A1772="",F1772=""),"",A1772&amp;"#"&amp;(COUNTIFS($A$5:$A$3004,A1772,$F$5:$F$3004,"?*",$O$5:$O$3004,"&lt;"&amp;O1772)+COUNTIFS($A$5:A1772,A1772,$F$5:F1772,"?*",$O$5:O1772,O1772)))</f>
        <v/>
      </c>
      <c r="O1772" s="54">
        <f>IF(A1772="","",IF(C1772="",0,C1772))</f>
        <v/>
      </c>
    </row>
    <row r="1773">
      <c r="A1773" s="58" t="n"/>
      <c r="B1773" s="49">
        <f>IF(A1773="","",CHOOSE(WEEKDAY(A1773,2),"Пн","Вт","Ср","Чт","Пт","Сб","Вс"))</f>
        <v/>
      </c>
      <c r="C1773" s="59" t="n"/>
      <c r="D1773" s="59" t="n"/>
      <c r="E1773" s="60">
        <f>IF(OR(C1773="",D1773=""),"",MOD(D1773-C1773,1)*24)</f>
        <v/>
      </c>
      <c r="F1773" s="50" t="n"/>
      <c r="G1773" s="51" t="n"/>
      <c r="H1773" s="51" t="n"/>
      <c r="I1773" s="51" t="n"/>
      <c r="J1773" s="51" t="n"/>
      <c r="K1773" s="51" t="n"/>
      <c r="L1773" s="54">
        <f>IF(OR(A1773="",C1773="",D1773=""),"",IF(COUNTIFS($A$5:$A$3004,A1773,$C$5:$C$3004,"&lt;"&amp;D1773,$D$5:$D$3004,"&gt;"&amp;C1773)&gt;1,"⚠️ пересечение",""))</f>
        <v/>
      </c>
      <c r="M1773" s="54">
        <f>IF(F1773="","",IF(J1773="✅ Сделано","✔ ",IF(J1773="❌ Пропущено","✖ ","⏰ "))&amp;IF(C1773="","",RIGHT("0"&amp;HOUR(C1773),2)&amp;":"&amp;RIGHT("0"&amp;MINUTE(C1773),2)&amp;IF(D1773="","","–"&amp;RIGHT("0"&amp;HOUR(D1773),2)&amp;":"&amp;RIGHT("0"&amp;MINUTE(D1773),2))&amp;" ")&amp;F1773)</f>
        <v/>
      </c>
      <c r="N1773" s="54">
        <f>IF(OR(A1773="",F1773=""),"",A1773&amp;"#"&amp;(COUNTIFS($A$5:$A$3004,A1773,$F$5:$F$3004,"?*",$O$5:$O$3004,"&lt;"&amp;O1773)+COUNTIFS($A$5:A1773,A1773,$F$5:F1773,"?*",$O$5:O1773,O1773)))</f>
        <v/>
      </c>
      <c r="O1773" s="54">
        <f>IF(A1773="","",IF(C1773="",0,C1773))</f>
        <v/>
      </c>
    </row>
    <row r="1774">
      <c r="A1774" s="58" t="n"/>
      <c r="B1774" s="49">
        <f>IF(A1774="","",CHOOSE(WEEKDAY(A1774,2),"Пн","Вт","Ср","Чт","Пт","Сб","Вс"))</f>
        <v/>
      </c>
      <c r="C1774" s="59" t="n"/>
      <c r="D1774" s="59" t="n"/>
      <c r="E1774" s="60">
        <f>IF(OR(C1774="",D1774=""),"",MOD(D1774-C1774,1)*24)</f>
        <v/>
      </c>
      <c r="F1774" s="50" t="n"/>
      <c r="G1774" s="51" t="n"/>
      <c r="H1774" s="51" t="n"/>
      <c r="I1774" s="51" t="n"/>
      <c r="J1774" s="51" t="n"/>
      <c r="K1774" s="51" t="n"/>
      <c r="L1774" s="54">
        <f>IF(OR(A1774="",C1774="",D1774=""),"",IF(COUNTIFS($A$5:$A$3004,A1774,$C$5:$C$3004,"&lt;"&amp;D1774,$D$5:$D$3004,"&gt;"&amp;C1774)&gt;1,"⚠️ пересечение",""))</f>
        <v/>
      </c>
      <c r="M1774" s="54">
        <f>IF(F1774="","",IF(J1774="✅ Сделано","✔ ",IF(J1774="❌ Пропущено","✖ ","⏰ "))&amp;IF(C1774="","",RIGHT("0"&amp;HOUR(C1774),2)&amp;":"&amp;RIGHT("0"&amp;MINUTE(C1774),2)&amp;IF(D1774="","","–"&amp;RIGHT("0"&amp;HOUR(D1774),2)&amp;":"&amp;RIGHT("0"&amp;MINUTE(D1774),2))&amp;" ")&amp;F1774)</f>
        <v/>
      </c>
      <c r="N1774" s="54">
        <f>IF(OR(A1774="",F1774=""),"",A1774&amp;"#"&amp;(COUNTIFS($A$5:$A$3004,A1774,$F$5:$F$3004,"?*",$O$5:$O$3004,"&lt;"&amp;O1774)+COUNTIFS($A$5:A1774,A1774,$F$5:F1774,"?*",$O$5:O1774,O1774)))</f>
        <v/>
      </c>
      <c r="O1774" s="54">
        <f>IF(A1774="","",IF(C1774="",0,C1774))</f>
        <v/>
      </c>
    </row>
    <row r="1775">
      <c r="A1775" s="58" t="n"/>
      <c r="B1775" s="49">
        <f>IF(A1775="","",CHOOSE(WEEKDAY(A1775,2),"Пн","Вт","Ср","Чт","Пт","Сб","Вс"))</f>
        <v/>
      </c>
      <c r="C1775" s="59" t="n"/>
      <c r="D1775" s="59" t="n"/>
      <c r="E1775" s="60">
        <f>IF(OR(C1775="",D1775=""),"",MOD(D1775-C1775,1)*24)</f>
        <v/>
      </c>
      <c r="F1775" s="50" t="n"/>
      <c r="G1775" s="51" t="n"/>
      <c r="H1775" s="51" t="n"/>
      <c r="I1775" s="51" t="n"/>
      <c r="J1775" s="51" t="n"/>
      <c r="K1775" s="51" t="n"/>
      <c r="L1775" s="54">
        <f>IF(OR(A1775="",C1775="",D1775=""),"",IF(COUNTIFS($A$5:$A$3004,A1775,$C$5:$C$3004,"&lt;"&amp;D1775,$D$5:$D$3004,"&gt;"&amp;C1775)&gt;1,"⚠️ пересечение",""))</f>
        <v/>
      </c>
      <c r="M1775" s="54">
        <f>IF(F1775="","",IF(J1775="✅ Сделано","✔ ",IF(J1775="❌ Пропущено","✖ ","⏰ "))&amp;IF(C1775="","",RIGHT("0"&amp;HOUR(C1775),2)&amp;":"&amp;RIGHT("0"&amp;MINUTE(C1775),2)&amp;IF(D1775="","","–"&amp;RIGHT("0"&amp;HOUR(D1775),2)&amp;":"&amp;RIGHT("0"&amp;MINUTE(D1775),2))&amp;" ")&amp;F1775)</f>
        <v/>
      </c>
      <c r="N1775" s="54">
        <f>IF(OR(A1775="",F1775=""),"",A1775&amp;"#"&amp;(COUNTIFS($A$5:$A$3004,A1775,$F$5:$F$3004,"?*",$O$5:$O$3004,"&lt;"&amp;O1775)+COUNTIFS($A$5:A1775,A1775,$F$5:F1775,"?*",$O$5:O1775,O1775)))</f>
        <v/>
      </c>
      <c r="O1775" s="54">
        <f>IF(A1775="","",IF(C1775="",0,C1775))</f>
        <v/>
      </c>
    </row>
    <row r="1776">
      <c r="A1776" s="58" t="n"/>
      <c r="B1776" s="49">
        <f>IF(A1776="","",CHOOSE(WEEKDAY(A1776,2),"Пн","Вт","Ср","Чт","Пт","Сб","Вс"))</f>
        <v/>
      </c>
      <c r="C1776" s="59" t="n"/>
      <c r="D1776" s="59" t="n"/>
      <c r="E1776" s="60">
        <f>IF(OR(C1776="",D1776=""),"",MOD(D1776-C1776,1)*24)</f>
        <v/>
      </c>
      <c r="F1776" s="50" t="n"/>
      <c r="G1776" s="51" t="n"/>
      <c r="H1776" s="51" t="n"/>
      <c r="I1776" s="51" t="n"/>
      <c r="J1776" s="51" t="n"/>
      <c r="K1776" s="51" t="n"/>
      <c r="L1776" s="54">
        <f>IF(OR(A1776="",C1776="",D1776=""),"",IF(COUNTIFS($A$5:$A$3004,A1776,$C$5:$C$3004,"&lt;"&amp;D1776,$D$5:$D$3004,"&gt;"&amp;C1776)&gt;1,"⚠️ пересечение",""))</f>
        <v/>
      </c>
      <c r="M1776" s="54">
        <f>IF(F1776="","",IF(J1776="✅ Сделано","✔ ",IF(J1776="❌ Пропущено","✖ ","⏰ "))&amp;IF(C1776="","",RIGHT("0"&amp;HOUR(C1776),2)&amp;":"&amp;RIGHT("0"&amp;MINUTE(C1776),2)&amp;IF(D1776="","","–"&amp;RIGHT("0"&amp;HOUR(D1776),2)&amp;":"&amp;RIGHT("0"&amp;MINUTE(D1776),2))&amp;" ")&amp;F1776)</f>
        <v/>
      </c>
      <c r="N1776" s="54">
        <f>IF(OR(A1776="",F1776=""),"",A1776&amp;"#"&amp;(COUNTIFS($A$5:$A$3004,A1776,$F$5:$F$3004,"?*",$O$5:$O$3004,"&lt;"&amp;O1776)+COUNTIFS($A$5:A1776,A1776,$F$5:F1776,"?*",$O$5:O1776,O1776)))</f>
        <v/>
      </c>
      <c r="O1776" s="54">
        <f>IF(A1776="","",IF(C1776="",0,C1776))</f>
        <v/>
      </c>
    </row>
    <row r="1777">
      <c r="A1777" s="58" t="n"/>
      <c r="B1777" s="49">
        <f>IF(A1777="","",CHOOSE(WEEKDAY(A1777,2),"Пн","Вт","Ср","Чт","Пт","Сб","Вс"))</f>
        <v/>
      </c>
      <c r="C1777" s="59" t="n"/>
      <c r="D1777" s="59" t="n"/>
      <c r="E1777" s="60">
        <f>IF(OR(C1777="",D1777=""),"",MOD(D1777-C1777,1)*24)</f>
        <v/>
      </c>
      <c r="F1777" s="50" t="n"/>
      <c r="G1777" s="51" t="n"/>
      <c r="H1777" s="51" t="n"/>
      <c r="I1777" s="51" t="n"/>
      <c r="J1777" s="51" t="n"/>
      <c r="K1777" s="51" t="n"/>
      <c r="L1777" s="54">
        <f>IF(OR(A1777="",C1777="",D1777=""),"",IF(COUNTIFS($A$5:$A$3004,A1777,$C$5:$C$3004,"&lt;"&amp;D1777,$D$5:$D$3004,"&gt;"&amp;C1777)&gt;1,"⚠️ пересечение",""))</f>
        <v/>
      </c>
      <c r="M1777" s="54">
        <f>IF(F1777="","",IF(J1777="✅ Сделано","✔ ",IF(J1777="❌ Пропущено","✖ ","⏰ "))&amp;IF(C1777="","",RIGHT("0"&amp;HOUR(C1777),2)&amp;":"&amp;RIGHT("0"&amp;MINUTE(C1777),2)&amp;IF(D1777="","","–"&amp;RIGHT("0"&amp;HOUR(D1777),2)&amp;":"&amp;RIGHT("0"&amp;MINUTE(D1777),2))&amp;" ")&amp;F1777)</f>
        <v/>
      </c>
      <c r="N1777" s="54">
        <f>IF(OR(A1777="",F1777=""),"",A1777&amp;"#"&amp;(COUNTIFS($A$5:$A$3004,A1777,$F$5:$F$3004,"?*",$O$5:$O$3004,"&lt;"&amp;O1777)+COUNTIFS($A$5:A1777,A1777,$F$5:F1777,"?*",$O$5:O1777,O1777)))</f>
        <v/>
      </c>
      <c r="O1777" s="54">
        <f>IF(A1777="","",IF(C1777="",0,C1777))</f>
        <v/>
      </c>
    </row>
    <row r="1778">
      <c r="A1778" s="58" t="n"/>
      <c r="B1778" s="49">
        <f>IF(A1778="","",CHOOSE(WEEKDAY(A1778,2),"Пн","Вт","Ср","Чт","Пт","Сб","Вс"))</f>
        <v/>
      </c>
      <c r="C1778" s="59" t="n"/>
      <c r="D1778" s="59" t="n"/>
      <c r="E1778" s="60">
        <f>IF(OR(C1778="",D1778=""),"",MOD(D1778-C1778,1)*24)</f>
        <v/>
      </c>
      <c r="F1778" s="50" t="n"/>
      <c r="G1778" s="51" t="n"/>
      <c r="H1778" s="51" t="n"/>
      <c r="I1778" s="51" t="n"/>
      <c r="J1778" s="51" t="n"/>
      <c r="K1778" s="51" t="n"/>
      <c r="L1778" s="54">
        <f>IF(OR(A1778="",C1778="",D1778=""),"",IF(COUNTIFS($A$5:$A$3004,A1778,$C$5:$C$3004,"&lt;"&amp;D1778,$D$5:$D$3004,"&gt;"&amp;C1778)&gt;1,"⚠️ пересечение",""))</f>
        <v/>
      </c>
      <c r="M1778" s="54">
        <f>IF(F1778="","",IF(J1778="✅ Сделано","✔ ",IF(J1778="❌ Пропущено","✖ ","⏰ "))&amp;IF(C1778="","",RIGHT("0"&amp;HOUR(C1778),2)&amp;":"&amp;RIGHT("0"&amp;MINUTE(C1778),2)&amp;IF(D1778="","","–"&amp;RIGHT("0"&amp;HOUR(D1778),2)&amp;":"&amp;RIGHT("0"&amp;MINUTE(D1778),2))&amp;" ")&amp;F1778)</f>
        <v/>
      </c>
      <c r="N1778" s="54">
        <f>IF(OR(A1778="",F1778=""),"",A1778&amp;"#"&amp;(COUNTIFS($A$5:$A$3004,A1778,$F$5:$F$3004,"?*",$O$5:$O$3004,"&lt;"&amp;O1778)+COUNTIFS($A$5:A1778,A1778,$F$5:F1778,"?*",$O$5:O1778,O1778)))</f>
        <v/>
      </c>
      <c r="O1778" s="54">
        <f>IF(A1778="","",IF(C1778="",0,C1778))</f>
        <v/>
      </c>
    </row>
    <row r="1779">
      <c r="A1779" s="58" t="n"/>
      <c r="B1779" s="49">
        <f>IF(A1779="","",CHOOSE(WEEKDAY(A1779,2),"Пн","Вт","Ср","Чт","Пт","Сб","Вс"))</f>
        <v/>
      </c>
      <c r="C1779" s="59" t="n"/>
      <c r="D1779" s="59" t="n"/>
      <c r="E1779" s="60">
        <f>IF(OR(C1779="",D1779=""),"",MOD(D1779-C1779,1)*24)</f>
        <v/>
      </c>
      <c r="F1779" s="50" t="n"/>
      <c r="G1779" s="51" t="n"/>
      <c r="H1779" s="51" t="n"/>
      <c r="I1779" s="51" t="n"/>
      <c r="J1779" s="51" t="n"/>
      <c r="K1779" s="51" t="n"/>
      <c r="L1779" s="54">
        <f>IF(OR(A1779="",C1779="",D1779=""),"",IF(COUNTIFS($A$5:$A$3004,A1779,$C$5:$C$3004,"&lt;"&amp;D1779,$D$5:$D$3004,"&gt;"&amp;C1779)&gt;1,"⚠️ пересечение",""))</f>
        <v/>
      </c>
      <c r="M1779" s="54">
        <f>IF(F1779="","",IF(J1779="✅ Сделано","✔ ",IF(J1779="❌ Пропущено","✖ ","⏰ "))&amp;IF(C1779="","",RIGHT("0"&amp;HOUR(C1779),2)&amp;":"&amp;RIGHT("0"&amp;MINUTE(C1779),2)&amp;IF(D1779="","","–"&amp;RIGHT("0"&amp;HOUR(D1779),2)&amp;":"&amp;RIGHT("0"&amp;MINUTE(D1779),2))&amp;" ")&amp;F1779)</f>
        <v/>
      </c>
      <c r="N1779" s="54">
        <f>IF(OR(A1779="",F1779=""),"",A1779&amp;"#"&amp;(COUNTIFS($A$5:$A$3004,A1779,$F$5:$F$3004,"?*",$O$5:$O$3004,"&lt;"&amp;O1779)+COUNTIFS($A$5:A1779,A1779,$F$5:F1779,"?*",$O$5:O1779,O1779)))</f>
        <v/>
      </c>
      <c r="O1779" s="54">
        <f>IF(A1779="","",IF(C1779="",0,C1779))</f>
        <v/>
      </c>
    </row>
    <row r="1780">
      <c r="A1780" s="58" t="n"/>
      <c r="B1780" s="49">
        <f>IF(A1780="","",CHOOSE(WEEKDAY(A1780,2),"Пн","Вт","Ср","Чт","Пт","Сб","Вс"))</f>
        <v/>
      </c>
      <c r="C1780" s="59" t="n"/>
      <c r="D1780" s="59" t="n"/>
      <c r="E1780" s="60">
        <f>IF(OR(C1780="",D1780=""),"",MOD(D1780-C1780,1)*24)</f>
        <v/>
      </c>
      <c r="F1780" s="50" t="n"/>
      <c r="G1780" s="51" t="n"/>
      <c r="H1780" s="51" t="n"/>
      <c r="I1780" s="51" t="n"/>
      <c r="J1780" s="51" t="n"/>
      <c r="K1780" s="51" t="n"/>
      <c r="L1780" s="54">
        <f>IF(OR(A1780="",C1780="",D1780=""),"",IF(COUNTIFS($A$5:$A$3004,A1780,$C$5:$C$3004,"&lt;"&amp;D1780,$D$5:$D$3004,"&gt;"&amp;C1780)&gt;1,"⚠️ пересечение",""))</f>
        <v/>
      </c>
      <c r="M1780" s="54">
        <f>IF(F1780="","",IF(J1780="✅ Сделано","✔ ",IF(J1780="❌ Пропущено","✖ ","⏰ "))&amp;IF(C1780="","",RIGHT("0"&amp;HOUR(C1780),2)&amp;":"&amp;RIGHT("0"&amp;MINUTE(C1780),2)&amp;IF(D1780="","","–"&amp;RIGHT("0"&amp;HOUR(D1780),2)&amp;":"&amp;RIGHT("0"&amp;MINUTE(D1780),2))&amp;" ")&amp;F1780)</f>
        <v/>
      </c>
      <c r="N1780" s="54">
        <f>IF(OR(A1780="",F1780=""),"",A1780&amp;"#"&amp;(COUNTIFS($A$5:$A$3004,A1780,$F$5:$F$3004,"?*",$O$5:$O$3004,"&lt;"&amp;O1780)+COUNTIFS($A$5:A1780,A1780,$F$5:F1780,"?*",$O$5:O1780,O1780)))</f>
        <v/>
      </c>
      <c r="O1780" s="54">
        <f>IF(A1780="","",IF(C1780="",0,C1780))</f>
        <v/>
      </c>
    </row>
    <row r="1781">
      <c r="A1781" s="58" t="n"/>
      <c r="B1781" s="49">
        <f>IF(A1781="","",CHOOSE(WEEKDAY(A1781,2),"Пн","Вт","Ср","Чт","Пт","Сб","Вс"))</f>
        <v/>
      </c>
      <c r="C1781" s="59" t="n"/>
      <c r="D1781" s="59" t="n"/>
      <c r="E1781" s="60">
        <f>IF(OR(C1781="",D1781=""),"",MOD(D1781-C1781,1)*24)</f>
        <v/>
      </c>
      <c r="F1781" s="50" t="n"/>
      <c r="G1781" s="51" t="n"/>
      <c r="H1781" s="51" t="n"/>
      <c r="I1781" s="51" t="n"/>
      <c r="J1781" s="51" t="n"/>
      <c r="K1781" s="51" t="n"/>
      <c r="L1781" s="54">
        <f>IF(OR(A1781="",C1781="",D1781=""),"",IF(COUNTIFS($A$5:$A$3004,A1781,$C$5:$C$3004,"&lt;"&amp;D1781,$D$5:$D$3004,"&gt;"&amp;C1781)&gt;1,"⚠️ пересечение",""))</f>
        <v/>
      </c>
      <c r="M1781" s="54">
        <f>IF(F1781="","",IF(J1781="✅ Сделано","✔ ",IF(J1781="❌ Пропущено","✖ ","⏰ "))&amp;IF(C1781="","",RIGHT("0"&amp;HOUR(C1781),2)&amp;":"&amp;RIGHT("0"&amp;MINUTE(C1781),2)&amp;IF(D1781="","","–"&amp;RIGHT("0"&amp;HOUR(D1781),2)&amp;":"&amp;RIGHT("0"&amp;MINUTE(D1781),2))&amp;" ")&amp;F1781)</f>
        <v/>
      </c>
      <c r="N1781" s="54">
        <f>IF(OR(A1781="",F1781=""),"",A1781&amp;"#"&amp;(COUNTIFS($A$5:$A$3004,A1781,$F$5:$F$3004,"?*",$O$5:$O$3004,"&lt;"&amp;O1781)+COUNTIFS($A$5:A1781,A1781,$F$5:F1781,"?*",$O$5:O1781,O1781)))</f>
        <v/>
      </c>
      <c r="O1781" s="54">
        <f>IF(A1781="","",IF(C1781="",0,C1781))</f>
        <v/>
      </c>
    </row>
    <row r="1782">
      <c r="A1782" s="58" t="n"/>
      <c r="B1782" s="49">
        <f>IF(A1782="","",CHOOSE(WEEKDAY(A1782,2),"Пн","Вт","Ср","Чт","Пт","Сб","Вс"))</f>
        <v/>
      </c>
      <c r="C1782" s="59" t="n"/>
      <c r="D1782" s="59" t="n"/>
      <c r="E1782" s="60">
        <f>IF(OR(C1782="",D1782=""),"",MOD(D1782-C1782,1)*24)</f>
        <v/>
      </c>
      <c r="F1782" s="50" t="n"/>
      <c r="G1782" s="51" t="n"/>
      <c r="H1782" s="51" t="n"/>
      <c r="I1782" s="51" t="n"/>
      <c r="J1782" s="51" t="n"/>
      <c r="K1782" s="51" t="n"/>
      <c r="L1782" s="54">
        <f>IF(OR(A1782="",C1782="",D1782=""),"",IF(COUNTIFS($A$5:$A$3004,A1782,$C$5:$C$3004,"&lt;"&amp;D1782,$D$5:$D$3004,"&gt;"&amp;C1782)&gt;1,"⚠️ пересечение",""))</f>
        <v/>
      </c>
      <c r="M1782" s="54">
        <f>IF(F1782="","",IF(J1782="✅ Сделано","✔ ",IF(J1782="❌ Пропущено","✖ ","⏰ "))&amp;IF(C1782="","",RIGHT("0"&amp;HOUR(C1782),2)&amp;":"&amp;RIGHT("0"&amp;MINUTE(C1782),2)&amp;IF(D1782="","","–"&amp;RIGHT("0"&amp;HOUR(D1782),2)&amp;":"&amp;RIGHT("0"&amp;MINUTE(D1782),2))&amp;" ")&amp;F1782)</f>
        <v/>
      </c>
      <c r="N1782" s="54">
        <f>IF(OR(A1782="",F1782=""),"",A1782&amp;"#"&amp;(COUNTIFS($A$5:$A$3004,A1782,$F$5:$F$3004,"?*",$O$5:$O$3004,"&lt;"&amp;O1782)+COUNTIFS($A$5:A1782,A1782,$F$5:F1782,"?*",$O$5:O1782,O1782)))</f>
        <v/>
      </c>
      <c r="O1782" s="54">
        <f>IF(A1782="","",IF(C1782="",0,C1782))</f>
        <v/>
      </c>
    </row>
    <row r="1783">
      <c r="A1783" s="58" t="n"/>
      <c r="B1783" s="49">
        <f>IF(A1783="","",CHOOSE(WEEKDAY(A1783,2),"Пн","Вт","Ср","Чт","Пт","Сб","Вс"))</f>
        <v/>
      </c>
      <c r="C1783" s="59" t="n"/>
      <c r="D1783" s="59" t="n"/>
      <c r="E1783" s="60">
        <f>IF(OR(C1783="",D1783=""),"",MOD(D1783-C1783,1)*24)</f>
        <v/>
      </c>
      <c r="F1783" s="50" t="n"/>
      <c r="G1783" s="51" t="n"/>
      <c r="H1783" s="51" t="n"/>
      <c r="I1783" s="51" t="n"/>
      <c r="J1783" s="51" t="n"/>
      <c r="K1783" s="51" t="n"/>
      <c r="L1783" s="54">
        <f>IF(OR(A1783="",C1783="",D1783=""),"",IF(COUNTIFS($A$5:$A$3004,A1783,$C$5:$C$3004,"&lt;"&amp;D1783,$D$5:$D$3004,"&gt;"&amp;C1783)&gt;1,"⚠️ пересечение",""))</f>
        <v/>
      </c>
      <c r="M1783" s="54">
        <f>IF(F1783="","",IF(J1783="✅ Сделано","✔ ",IF(J1783="❌ Пропущено","✖ ","⏰ "))&amp;IF(C1783="","",RIGHT("0"&amp;HOUR(C1783),2)&amp;":"&amp;RIGHT("0"&amp;MINUTE(C1783),2)&amp;IF(D1783="","","–"&amp;RIGHT("0"&amp;HOUR(D1783),2)&amp;":"&amp;RIGHT("0"&amp;MINUTE(D1783),2))&amp;" ")&amp;F1783)</f>
        <v/>
      </c>
      <c r="N1783" s="54">
        <f>IF(OR(A1783="",F1783=""),"",A1783&amp;"#"&amp;(COUNTIFS($A$5:$A$3004,A1783,$F$5:$F$3004,"?*",$O$5:$O$3004,"&lt;"&amp;O1783)+COUNTIFS($A$5:A1783,A1783,$F$5:F1783,"?*",$O$5:O1783,O1783)))</f>
        <v/>
      </c>
      <c r="O1783" s="54">
        <f>IF(A1783="","",IF(C1783="",0,C1783))</f>
        <v/>
      </c>
    </row>
    <row r="1784">
      <c r="A1784" s="58" t="n"/>
      <c r="B1784" s="49">
        <f>IF(A1784="","",CHOOSE(WEEKDAY(A1784,2),"Пн","Вт","Ср","Чт","Пт","Сб","Вс"))</f>
        <v/>
      </c>
      <c r="C1784" s="59" t="n"/>
      <c r="D1784" s="59" t="n"/>
      <c r="E1784" s="60">
        <f>IF(OR(C1784="",D1784=""),"",MOD(D1784-C1784,1)*24)</f>
        <v/>
      </c>
      <c r="F1784" s="50" t="n"/>
      <c r="G1784" s="51" t="n"/>
      <c r="H1784" s="51" t="n"/>
      <c r="I1784" s="51" t="n"/>
      <c r="J1784" s="51" t="n"/>
      <c r="K1784" s="51" t="n"/>
      <c r="L1784" s="54">
        <f>IF(OR(A1784="",C1784="",D1784=""),"",IF(COUNTIFS($A$5:$A$3004,A1784,$C$5:$C$3004,"&lt;"&amp;D1784,$D$5:$D$3004,"&gt;"&amp;C1784)&gt;1,"⚠️ пересечение",""))</f>
        <v/>
      </c>
      <c r="M1784" s="54">
        <f>IF(F1784="","",IF(J1784="✅ Сделано","✔ ",IF(J1784="❌ Пропущено","✖ ","⏰ "))&amp;IF(C1784="","",RIGHT("0"&amp;HOUR(C1784),2)&amp;":"&amp;RIGHT("0"&amp;MINUTE(C1784),2)&amp;IF(D1784="","","–"&amp;RIGHT("0"&amp;HOUR(D1784),2)&amp;":"&amp;RIGHT("0"&amp;MINUTE(D1784),2))&amp;" ")&amp;F1784)</f>
        <v/>
      </c>
      <c r="N1784" s="54">
        <f>IF(OR(A1784="",F1784=""),"",A1784&amp;"#"&amp;(COUNTIFS($A$5:$A$3004,A1784,$F$5:$F$3004,"?*",$O$5:$O$3004,"&lt;"&amp;O1784)+COUNTIFS($A$5:A1784,A1784,$F$5:F1784,"?*",$O$5:O1784,O1784)))</f>
        <v/>
      </c>
      <c r="O1784" s="54">
        <f>IF(A1784="","",IF(C1784="",0,C1784))</f>
        <v/>
      </c>
    </row>
    <row r="1785">
      <c r="A1785" s="58" t="n"/>
      <c r="B1785" s="49">
        <f>IF(A1785="","",CHOOSE(WEEKDAY(A1785,2),"Пн","Вт","Ср","Чт","Пт","Сб","Вс"))</f>
        <v/>
      </c>
      <c r="C1785" s="59" t="n"/>
      <c r="D1785" s="59" t="n"/>
      <c r="E1785" s="60">
        <f>IF(OR(C1785="",D1785=""),"",MOD(D1785-C1785,1)*24)</f>
        <v/>
      </c>
      <c r="F1785" s="50" t="n"/>
      <c r="G1785" s="51" t="n"/>
      <c r="H1785" s="51" t="n"/>
      <c r="I1785" s="51" t="n"/>
      <c r="J1785" s="51" t="n"/>
      <c r="K1785" s="51" t="n"/>
      <c r="L1785" s="54">
        <f>IF(OR(A1785="",C1785="",D1785=""),"",IF(COUNTIFS($A$5:$A$3004,A1785,$C$5:$C$3004,"&lt;"&amp;D1785,$D$5:$D$3004,"&gt;"&amp;C1785)&gt;1,"⚠️ пересечение",""))</f>
        <v/>
      </c>
      <c r="M1785" s="54">
        <f>IF(F1785="","",IF(J1785="✅ Сделано","✔ ",IF(J1785="❌ Пропущено","✖ ","⏰ "))&amp;IF(C1785="","",RIGHT("0"&amp;HOUR(C1785),2)&amp;":"&amp;RIGHT("0"&amp;MINUTE(C1785),2)&amp;IF(D1785="","","–"&amp;RIGHT("0"&amp;HOUR(D1785),2)&amp;":"&amp;RIGHT("0"&amp;MINUTE(D1785),2))&amp;" ")&amp;F1785)</f>
        <v/>
      </c>
      <c r="N1785" s="54">
        <f>IF(OR(A1785="",F1785=""),"",A1785&amp;"#"&amp;(COUNTIFS($A$5:$A$3004,A1785,$F$5:$F$3004,"?*",$O$5:$O$3004,"&lt;"&amp;O1785)+COUNTIFS($A$5:A1785,A1785,$F$5:F1785,"?*",$O$5:O1785,O1785)))</f>
        <v/>
      </c>
      <c r="O1785" s="54">
        <f>IF(A1785="","",IF(C1785="",0,C1785))</f>
        <v/>
      </c>
    </row>
    <row r="1786">
      <c r="A1786" s="58" t="n"/>
      <c r="B1786" s="49">
        <f>IF(A1786="","",CHOOSE(WEEKDAY(A1786,2),"Пн","Вт","Ср","Чт","Пт","Сб","Вс"))</f>
        <v/>
      </c>
      <c r="C1786" s="59" t="n"/>
      <c r="D1786" s="59" t="n"/>
      <c r="E1786" s="60">
        <f>IF(OR(C1786="",D1786=""),"",MOD(D1786-C1786,1)*24)</f>
        <v/>
      </c>
      <c r="F1786" s="50" t="n"/>
      <c r="G1786" s="51" t="n"/>
      <c r="H1786" s="51" t="n"/>
      <c r="I1786" s="51" t="n"/>
      <c r="J1786" s="51" t="n"/>
      <c r="K1786" s="51" t="n"/>
      <c r="L1786" s="54">
        <f>IF(OR(A1786="",C1786="",D1786=""),"",IF(COUNTIFS($A$5:$A$3004,A1786,$C$5:$C$3004,"&lt;"&amp;D1786,$D$5:$D$3004,"&gt;"&amp;C1786)&gt;1,"⚠️ пересечение",""))</f>
        <v/>
      </c>
      <c r="M1786" s="54">
        <f>IF(F1786="","",IF(J1786="✅ Сделано","✔ ",IF(J1786="❌ Пропущено","✖ ","⏰ "))&amp;IF(C1786="","",RIGHT("0"&amp;HOUR(C1786),2)&amp;":"&amp;RIGHT("0"&amp;MINUTE(C1786),2)&amp;IF(D1786="","","–"&amp;RIGHT("0"&amp;HOUR(D1786),2)&amp;":"&amp;RIGHT("0"&amp;MINUTE(D1786),2))&amp;" ")&amp;F1786)</f>
        <v/>
      </c>
      <c r="N1786" s="54">
        <f>IF(OR(A1786="",F1786=""),"",A1786&amp;"#"&amp;(COUNTIFS($A$5:$A$3004,A1786,$F$5:$F$3004,"?*",$O$5:$O$3004,"&lt;"&amp;O1786)+COUNTIFS($A$5:A1786,A1786,$F$5:F1786,"?*",$O$5:O1786,O1786)))</f>
        <v/>
      </c>
      <c r="O1786" s="54">
        <f>IF(A1786="","",IF(C1786="",0,C1786))</f>
        <v/>
      </c>
    </row>
    <row r="1787">
      <c r="A1787" s="58" t="n"/>
      <c r="B1787" s="49">
        <f>IF(A1787="","",CHOOSE(WEEKDAY(A1787,2),"Пн","Вт","Ср","Чт","Пт","Сб","Вс"))</f>
        <v/>
      </c>
      <c r="C1787" s="59" t="n"/>
      <c r="D1787" s="59" t="n"/>
      <c r="E1787" s="60">
        <f>IF(OR(C1787="",D1787=""),"",MOD(D1787-C1787,1)*24)</f>
        <v/>
      </c>
      <c r="F1787" s="50" t="n"/>
      <c r="G1787" s="51" t="n"/>
      <c r="H1787" s="51" t="n"/>
      <c r="I1787" s="51" t="n"/>
      <c r="J1787" s="51" t="n"/>
      <c r="K1787" s="51" t="n"/>
      <c r="L1787" s="54">
        <f>IF(OR(A1787="",C1787="",D1787=""),"",IF(COUNTIFS($A$5:$A$3004,A1787,$C$5:$C$3004,"&lt;"&amp;D1787,$D$5:$D$3004,"&gt;"&amp;C1787)&gt;1,"⚠️ пересечение",""))</f>
        <v/>
      </c>
      <c r="M1787" s="54">
        <f>IF(F1787="","",IF(J1787="✅ Сделано","✔ ",IF(J1787="❌ Пропущено","✖ ","⏰ "))&amp;IF(C1787="","",RIGHT("0"&amp;HOUR(C1787),2)&amp;":"&amp;RIGHT("0"&amp;MINUTE(C1787),2)&amp;IF(D1787="","","–"&amp;RIGHT("0"&amp;HOUR(D1787),2)&amp;":"&amp;RIGHT("0"&amp;MINUTE(D1787),2))&amp;" ")&amp;F1787)</f>
        <v/>
      </c>
      <c r="N1787" s="54">
        <f>IF(OR(A1787="",F1787=""),"",A1787&amp;"#"&amp;(COUNTIFS($A$5:$A$3004,A1787,$F$5:$F$3004,"?*",$O$5:$O$3004,"&lt;"&amp;O1787)+COUNTIFS($A$5:A1787,A1787,$F$5:F1787,"?*",$O$5:O1787,O1787)))</f>
        <v/>
      </c>
      <c r="O1787" s="54">
        <f>IF(A1787="","",IF(C1787="",0,C1787))</f>
        <v/>
      </c>
    </row>
    <row r="1788">
      <c r="A1788" s="58" t="n"/>
      <c r="B1788" s="49">
        <f>IF(A1788="","",CHOOSE(WEEKDAY(A1788,2),"Пн","Вт","Ср","Чт","Пт","Сб","Вс"))</f>
        <v/>
      </c>
      <c r="C1788" s="59" t="n"/>
      <c r="D1788" s="59" t="n"/>
      <c r="E1788" s="60">
        <f>IF(OR(C1788="",D1788=""),"",MOD(D1788-C1788,1)*24)</f>
        <v/>
      </c>
      <c r="F1788" s="50" t="n"/>
      <c r="G1788" s="51" t="n"/>
      <c r="H1788" s="51" t="n"/>
      <c r="I1788" s="51" t="n"/>
      <c r="J1788" s="51" t="n"/>
      <c r="K1788" s="51" t="n"/>
      <c r="L1788" s="54">
        <f>IF(OR(A1788="",C1788="",D1788=""),"",IF(COUNTIFS($A$5:$A$3004,A1788,$C$5:$C$3004,"&lt;"&amp;D1788,$D$5:$D$3004,"&gt;"&amp;C1788)&gt;1,"⚠️ пересечение",""))</f>
        <v/>
      </c>
      <c r="M1788" s="54">
        <f>IF(F1788="","",IF(J1788="✅ Сделано","✔ ",IF(J1788="❌ Пропущено","✖ ","⏰ "))&amp;IF(C1788="","",RIGHT("0"&amp;HOUR(C1788),2)&amp;":"&amp;RIGHT("0"&amp;MINUTE(C1788),2)&amp;IF(D1788="","","–"&amp;RIGHT("0"&amp;HOUR(D1788),2)&amp;":"&amp;RIGHT("0"&amp;MINUTE(D1788),2))&amp;" ")&amp;F1788)</f>
        <v/>
      </c>
      <c r="N1788" s="54">
        <f>IF(OR(A1788="",F1788=""),"",A1788&amp;"#"&amp;(COUNTIFS($A$5:$A$3004,A1788,$F$5:$F$3004,"?*",$O$5:$O$3004,"&lt;"&amp;O1788)+COUNTIFS($A$5:A1788,A1788,$F$5:F1788,"?*",$O$5:O1788,O1788)))</f>
        <v/>
      </c>
      <c r="O1788" s="54">
        <f>IF(A1788="","",IF(C1788="",0,C1788))</f>
        <v/>
      </c>
    </row>
    <row r="1789">
      <c r="A1789" s="58" t="n"/>
      <c r="B1789" s="49">
        <f>IF(A1789="","",CHOOSE(WEEKDAY(A1789,2),"Пн","Вт","Ср","Чт","Пт","Сб","Вс"))</f>
        <v/>
      </c>
      <c r="C1789" s="59" t="n"/>
      <c r="D1789" s="59" t="n"/>
      <c r="E1789" s="60">
        <f>IF(OR(C1789="",D1789=""),"",MOD(D1789-C1789,1)*24)</f>
        <v/>
      </c>
      <c r="F1789" s="50" t="n"/>
      <c r="G1789" s="51" t="n"/>
      <c r="H1789" s="51" t="n"/>
      <c r="I1789" s="51" t="n"/>
      <c r="J1789" s="51" t="n"/>
      <c r="K1789" s="51" t="n"/>
      <c r="L1789" s="54">
        <f>IF(OR(A1789="",C1789="",D1789=""),"",IF(COUNTIFS($A$5:$A$3004,A1789,$C$5:$C$3004,"&lt;"&amp;D1789,$D$5:$D$3004,"&gt;"&amp;C1789)&gt;1,"⚠️ пересечение",""))</f>
        <v/>
      </c>
      <c r="M1789" s="54">
        <f>IF(F1789="","",IF(J1789="✅ Сделано","✔ ",IF(J1789="❌ Пропущено","✖ ","⏰ "))&amp;IF(C1789="","",RIGHT("0"&amp;HOUR(C1789),2)&amp;":"&amp;RIGHT("0"&amp;MINUTE(C1789),2)&amp;IF(D1789="","","–"&amp;RIGHT("0"&amp;HOUR(D1789),2)&amp;":"&amp;RIGHT("0"&amp;MINUTE(D1789),2))&amp;" ")&amp;F1789)</f>
        <v/>
      </c>
      <c r="N1789" s="54">
        <f>IF(OR(A1789="",F1789=""),"",A1789&amp;"#"&amp;(COUNTIFS($A$5:$A$3004,A1789,$F$5:$F$3004,"?*",$O$5:$O$3004,"&lt;"&amp;O1789)+COUNTIFS($A$5:A1789,A1789,$F$5:F1789,"?*",$O$5:O1789,O1789)))</f>
        <v/>
      </c>
      <c r="O1789" s="54">
        <f>IF(A1789="","",IF(C1789="",0,C1789))</f>
        <v/>
      </c>
    </row>
    <row r="1790">
      <c r="A1790" s="58" t="n"/>
      <c r="B1790" s="49">
        <f>IF(A1790="","",CHOOSE(WEEKDAY(A1790,2),"Пн","Вт","Ср","Чт","Пт","Сб","Вс"))</f>
        <v/>
      </c>
      <c r="C1790" s="59" t="n"/>
      <c r="D1790" s="59" t="n"/>
      <c r="E1790" s="60">
        <f>IF(OR(C1790="",D1790=""),"",MOD(D1790-C1790,1)*24)</f>
        <v/>
      </c>
      <c r="F1790" s="50" t="n"/>
      <c r="G1790" s="51" t="n"/>
      <c r="H1790" s="51" t="n"/>
      <c r="I1790" s="51" t="n"/>
      <c r="J1790" s="51" t="n"/>
      <c r="K1790" s="51" t="n"/>
      <c r="L1790" s="54">
        <f>IF(OR(A1790="",C1790="",D1790=""),"",IF(COUNTIFS($A$5:$A$3004,A1790,$C$5:$C$3004,"&lt;"&amp;D1790,$D$5:$D$3004,"&gt;"&amp;C1790)&gt;1,"⚠️ пересечение",""))</f>
        <v/>
      </c>
      <c r="M1790" s="54">
        <f>IF(F1790="","",IF(J1790="✅ Сделано","✔ ",IF(J1790="❌ Пропущено","✖ ","⏰ "))&amp;IF(C1790="","",RIGHT("0"&amp;HOUR(C1790),2)&amp;":"&amp;RIGHT("0"&amp;MINUTE(C1790),2)&amp;IF(D1790="","","–"&amp;RIGHT("0"&amp;HOUR(D1790),2)&amp;":"&amp;RIGHT("0"&amp;MINUTE(D1790),2))&amp;" ")&amp;F1790)</f>
        <v/>
      </c>
      <c r="N1790" s="54">
        <f>IF(OR(A1790="",F1790=""),"",A1790&amp;"#"&amp;(COUNTIFS($A$5:$A$3004,A1790,$F$5:$F$3004,"?*",$O$5:$O$3004,"&lt;"&amp;O1790)+COUNTIFS($A$5:A1790,A1790,$F$5:F1790,"?*",$O$5:O1790,O1790)))</f>
        <v/>
      </c>
      <c r="O1790" s="54">
        <f>IF(A1790="","",IF(C1790="",0,C1790))</f>
        <v/>
      </c>
    </row>
    <row r="1791">
      <c r="A1791" s="58" t="n"/>
      <c r="B1791" s="49">
        <f>IF(A1791="","",CHOOSE(WEEKDAY(A1791,2),"Пн","Вт","Ср","Чт","Пт","Сб","Вс"))</f>
        <v/>
      </c>
      <c r="C1791" s="59" t="n"/>
      <c r="D1791" s="59" t="n"/>
      <c r="E1791" s="60">
        <f>IF(OR(C1791="",D1791=""),"",MOD(D1791-C1791,1)*24)</f>
        <v/>
      </c>
      <c r="F1791" s="50" t="n"/>
      <c r="G1791" s="51" t="n"/>
      <c r="H1791" s="51" t="n"/>
      <c r="I1791" s="51" t="n"/>
      <c r="J1791" s="51" t="n"/>
      <c r="K1791" s="51" t="n"/>
      <c r="L1791" s="54">
        <f>IF(OR(A1791="",C1791="",D1791=""),"",IF(COUNTIFS($A$5:$A$3004,A1791,$C$5:$C$3004,"&lt;"&amp;D1791,$D$5:$D$3004,"&gt;"&amp;C1791)&gt;1,"⚠️ пересечение",""))</f>
        <v/>
      </c>
      <c r="M1791" s="54">
        <f>IF(F1791="","",IF(J1791="✅ Сделано","✔ ",IF(J1791="❌ Пропущено","✖ ","⏰ "))&amp;IF(C1791="","",RIGHT("0"&amp;HOUR(C1791),2)&amp;":"&amp;RIGHT("0"&amp;MINUTE(C1791),2)&amp;IF(D1791="","","–"&amp;RIGHT("0"&amp;HOUR(D1791),2)&amp;":"&amp;RIGHT("0"&amp;MINUTE(D1791),2))&amp;" ")&amp;F1791)</f>
        <v/>
      </c>
      <c r="N1791" s="54">
        <f>IF(OR(A1791="",F1791=""),"",A1791&amp;"#"&amp;(COUNTIFS($A$5:$A$3004,A1791,$F$5:$F$3004,"?*",$O$5:$O$3004,"&lt;"&amp;O1791)+COUNTIFS($A$5:A1791,A1791,$F$5:F1791,"?*",$O$5:O1791,O1791)))</f>
        <v/>
      </c>
      <c r="O1791" s="54">
        <f>IF(A1791="","",IF(C1791="",0,C1791))</f>
        <v/>
      </c>
    </row>
    <row r="1792">
      <c r="A1792" s="58" t="n"/>
      <c r="B1792" s="49">
        <f>IF(A1792="","",CHOOSE(WEEKDAY(A1792,2),"Пн","Вт","Ср","Чт","Пт","Сб","Вс"))</f>
        <v/>
      </c>
      <c r="C1792" s="59" t="n"/>
      <c r="D1792" s="59" t="n"/>
      <c r="E1792" s="60">
        <f>IF(OR(C1792="",D1792=""),"",MOD(D1792-C1792,1)*24)</f>
        <v/>
      </c>
      <c r="F1792" s="50" t="n"/>
      <c r="G1792" s="51" t="n"/>
      <c r="H1792" s="51" t="n"/>
      <c r="I1792" s="51" t="n"/>
      <c r="J1792" s="51" t="n"/>
      <c r="K1792" s="51" t="n"/>
      <c r="L1792" s="54">
        <f>IF(OR(A1792="",C1792="",D1792=""),"",IF(COUNTIFS($A$5:$A$3004,A1792,$C$5:$C$3004,"&lt;"&amp;D1792,$D$5:$D$3004,"&gt;"&amp;C1792)&gt;1,"⚠️ пересечение",""))</f>
        <v/>
      </c>
      <c r="M1792" s="54">
        <f>IF(F1792="","",IF(J1792="✅ Сделано","✔ ",IF(J1792="❌ Пропущено","✖ ","⏰ "))&amp;IF(C1792="","",RIGHT("0"&amp;HOUR(C1792),2)&amp;":"&amp;RIGHT("0"&amp;MINUTE(C1792),2)&amp;IF(D1792="","","–"&amp;RIGHT("0"&amp;HOUR(D1792),2)&amp;":"&amp;RIGHT("0"&amp;MINUTE(D1792),2))&amp;" ")&amp;F1792)</f>
        <v/>
      </c>
      <c r="N1792" s="54">
        <f>IF(OR(A1792="",F1792=""),"",A1792&amp;"#"&amp;(COUNTIFS($A$5:$A$3004,A1792,$F$5:$F$3004,"?*",$O$5:$O$3004,"&lt;"&amp;O1792)+COUNTIFS($A$5:A1792,A1792,$F$5:F1792,"?*",$O$5:O1792,O1792)))</f>
        <v/>
      </c>
      <c r="O1792" s="54">
        <f>IF(A1792="","",IF(C1792="",0,C1792))</f>
        <v/>
      </c>
    </row>
    <row r="1793">
      <c r="A1793" s="58" t="n"/>
      <c r="B1793" s="49">
        <f>IF(A1793="","",CHOOSE(WEEKDAY(A1793,2),"Пн","Вт","Ср","Чт","Пт","Сб","Вс"))</f>
        <v/>
      </c>
      <c r="C1793" s="59" t="n"/>
      <c r="D1793" s="59" t="n"/>
      <c r="E1793" s="60">
        <f>IF(OR(C1793="",D1793=""),"",MOD(D1793-C1793,1)*24)</f>
        <v/>
      </c>
      <c r="F1793" s="50" t="n"/>
      <c r="G1793" s="51" t="n"/>
      <c r="H1793" s="51" t="n"/>
      <c r="I1793" s="51" t="n"/>
      <c r="J1793" s="51" t="n"/>
      <c r="K1793" s="51" t="n"/>
      <c r="L1793" s="54">
        <f>IF(OR(A1793="",C1793="",D1793=""),"",IF(COUNTIFS($A$5:$A$3004,A1793,$C$5:$C$3004,"&lt;"&amp;D1793,$D$5:$D$3004,"&gt;"&amp;C1793)&gt;1,"⚠️ пересечение",""))</f>
        <v/>
      </c>
      <c r="M1793" s="54">
        <f>IF(F1793="","",IF(J1793="✅ Сделано","✔ ",IF(J1793="❌ Пропущено","✖ ","⏰ "))&amp;IF(C1793="","",RIGHT("0"&amp;HOUR(C1793),2)&amp;":"&amp;RIGHT("0"&amp;MINUTE(C1793),2)&amp;IF(D1793="","","–"&amp;RIGHT("0"&amp;HOUR(D1793),2)&amp;":"&amp;RIGHT("0"&amp;MINUTE(D1793),2))&amp;" ")&amp;F1793)</f>
        <v/>
      </c>
      <c r="N1793" s="54">
        <f>IF(OR(A1793="",F1793=""),"",A1793&amp;"#"&amp;(COUNTIFS($A$5:$A$3004,A1793,$F$5:$F$3004,"?*",$O$5:$O$3004,"&lt;"&amp;O1793)+COUNTIFS($A$5:A1793,A1793,$F$5:F1793,"?*",$O$5:O1793,O1793)))</f>
        <v/>
      </c>
      <c r="O1793" s="54">
        <f>IF(A1793="","",IF(C1793="",0,C1793))</f>
        <v/>
      </c>
    </row>
    <row r="1794">
      <c r="A1794" s="58" t="n"/>
      <c r="B1794" s="49">
        <f>IF(A1794="","",CHOOSE(WEEKDAY(A1794,2),"Пн","Вт","Ср","Чт","Пт","Сб","Вс"))</f>
        <v/>
      </c>
      <c r="C1794" s="59" t="n"/>
      <c r="D1794" s="59" t="n"/>
      <c r="E1794" s="60">
        <f>IF(OR(C1794="",D1794=""),"",MOD(D1794-C1794,1)*24)</f>
        <v/>
      </c>
      <c r="F1794" s="50" t="n"/>
      <c r="G1794" s="51" t="n"/>
      <c r="H1794" s="51" t="n"/>
      <c r="I1794" s="51" t="n"/>
      <c r="J1794" s="51" t="n"/>
      <c r="K1794" s="51" t="n"/>
      <c r="L1794" s="54">
        <f>IF(OR(A1794="",C1794="",D1794=""),"",IF(COUNTIFS($A$5:$A$3004,A1794,$C$5:$C$3004,"&lt;"&amp;D1794,$D$5:$D$3004,"&gt;"&amp;C1794)&gt;1,"⚠️ пересечение",""))</f>
        <v/>
      </c>
      <c r="M1794" s="54">
        <f>IF(F1794="","",IF(J1794="✅ Сделано","✔ ",IF(J1794="❌ Пропущено","✖ ","⏰ "))&amp;IF(C1794="","",RIGHT("0"&amp;HOUR(C1794),2)&amp;":"&amp;RIGHT("0"&amp;MINUTE(C1794),2)&amp;IF(D1794="","","–"&amp;RIGHT("0"&amp;HOUR(D1794),2)&amp;":"&amp;RIGHT("0"&amp;MINUTE(D1794),2))&amp;" ")&amp;F1794)</f>
        <v/>
      </c>
      <c r="N1794" s="54">
        <f>IF(OR(A1794="",F1794=""),"",A1794&amp;"#"&amp;(COUNTIFS($A$5:$A$3004,A1794,$F$5:$F$3004,"?*",$O$5:$O$3004,"&lt;"&amp;O1794)+COUNTIFS($A$5:A1794,A1794,$F$5:F1794,"?*",$O$5:O1794,O1794)))</f>
        <v/>
      </c>
      <c r="O1794" s="54">
        <f>IF(A1794="","",IF(C1794="",0,C1794))</f>
        <v/>
      </c>
    </row>
    <row r="1795">
      <c r="A1795" s="58" t="n"/>
      <c r="B1795" s="49">
        <f>IF(A1795="","",CHOOSE(WEEKDAY(A1795,2),"Пн","Вт","Ср","Чт","Пт","Сб","Вс"))</f>
        <v/>
      </c>
      <c r="C1795" s="59" t="n"/>
      <c r="D1795" s="59" t="n"/>
      <c r="E1795" s="60">
        <f>IF(OR(C1795="",D1795=""),"",MOD(D1795-C1795,1)*24)</f>
        <v/>
      </c>
      <c r="F1795" s="50" t="n"/>
      <c r="G1795" s="51" t="n"/>
      <c r="H1795" s="51" t="n"/>
      <c r="I1795" s="51" t="n"/>
      <c r="J1795" s="51" t="n"/>
      <c r="K1795" s="51" t="n"/>
      <c r="L1795" s="54">
        <f>IF(OR(A1795="",C1795="",D1795=""),"",IF(COUNTIFS($A$5:$A$3004,A1795,$C$5:$C$3004,"&lt;"&amp;D1795,$D$5:$D$3004,"&gt;"&amp;C1795)&gt;1,"⚠️ пересечение",""))</f>
        <v/>
      </c>
      <c r="M1795" s="54">
        <f>IF(F1795="","",IF(J1795="✅ Сделано","✔ ",IF(J1795="❌ Пропущено","✖ ","⏰ "))&amp;IF(C1795="","",RIGHT("0"&amp;HOUR(C1795),2)&amp;":"&amp;RIGHT("0"&amp;MINUTE(C1795),2)&amp;IF(D1795="","","–"&amp;RIGHT("0"&amp;HOUR(D1795),2)&amp;":"&amp;RIGHT("0"&amp;MINUTE(D1795),2))&amp;" ")&amp;F1795)</f>
        <v/>
      </c>
      <c r="N1795" s="54">
        <f>IF(OR(A1795="",F1795=""),"",A1795&amp;"#"&amp;(COUNTIFS($A$5:$A$3004,A1795,$F$5:$F$3004,"?*",$O$5:$O$3004,"&lt;"&amp;O1795)+COUNTIFS($A$5:A1795,A1795,$F$5:F1795,"?*",$O$5:O1795,O1795)))</f>
        <v/>
      </c>
      <c r="O1795" s="54">
        <f>IF(A1795="","",IF(C1795="",0,C1795))</f>
        <v/>
      </c>
    </row>
    <row r="1796">
      <c r="A1796" s="58" t="n"/>
      <c r="B1796" s="49">
        <f>IF(A1796="","",CHOOSE(WEEKDAY(A1796,2),"Пн","Вт","Ср","Чт","Пт","Сб","Вс"))</f>
        <v/>
      </c>
      <c r="C1796" s="59" t="n"/>
      <c r="D1796" s="59" t="n"/>
      <c r="E1796" s="60">
        <f>IF(OR(C1796="",D1796=""),"",MOD(D1796-C1796,1)*24)</f>
        <v/>
      </c>
      <c r="F1796" s="50" t="n"/>
      <c r="G1796" s="51" t="n"/>
      <c r="H1796" s="51" t="n"/>
      <c r="I1796" s="51" t="n"/>
      <c r="J1796" s="51" t="n"/>
      <c r="K1796" s="51" t="n"/>
      <c r="L1796" s="54">
        <f>IF(OR(A1796="",C1796="",D1796=""),"",IF(COUNTIFS($A$5:$A$3004,A1796,$C$5:$C$3004,"&lt;"&amp;D1796,$D$5:$D$3004,"&gt;"&amp;C1796)&gt;1,"⚠️ пересечение",""))</f>
        <v/>
      </c>
      <c r="M1796" s="54">
        <f>IF(F1796="","",IF(J1796="✅ Сделано","✔ ",IF(J1796="❌ Пропущено","✖ ","⏰ "))&amp;IF(C1796="","",RIGHT("0"&amp;HOUR(C1796),2)&amp;":"&amp;RIGHT("0"&amp;MINUTE(C1796),2)&amp;IF(D1796="","","–"&amp;RIGHT("0"&amp;HOUR(D1796),2)&amp;":"&amp;RIGHT("0"&amp;MINUTE(D1796),2))&amp;" ")&amp;F1796)</f>
        <v/>
      </c>
      <c r="N1796" s="54">
        <f>IF(OR(A1796="",F1796=""),"",A1796&amp;"#"&amp;(COUNTIFS($A$5:$A$3004,A1796,$F$5:$F$3004,"?*",$O$5:$O$3004,"&lt;"&amp;O1796)+COUNTIFS($A$5:A1796,A1796,$F$5:F1796,"?*",$O$5:O1796,O1796)))</f>
        <v/>
      </c>
      <c r="O1796" s="54">
        <f>IF(A1796="","",IF(C1796="",0,C1796))</f>
        <v/>
      </c>
    </row>
    <row r="1797">
      <c r="A1797" s="58" t="n"/>
      <c r="B1797" s="49">
        <f>IF(A1797="","",CHOOSE(WEEKDAY(A1797,2),"Пн","Вт","Ср","Чт","Пт","Сб","Вс"))</f>
        <v/>
      </c>
      <c r="C1797" s="59" t="n"/>
      <c r="D1797" s="59" t="n"/>
      <c r="E1797" s="60">
        <f>IF(OR(C1797="",D1797=""),"",MOD(D1797-C1797,1)*24)</f>
        <v/>
      </c>
      <c r="F1797" s="50" t="n"/>
      <c r="G1797" s="51" t="n"/>
      <c r="H1797" s="51" t="n"/>
      <c r="I1797" s="51" t="n"/>
      <c r="J1797" s="51" t="n"/>
      <c r="K1797" s="51" t="n"/>
      <c r="L1797" s="54">
        <f>IF(OR(A1797="",C1797="",D1797=""),"",IF(COUNTIFS($A$5:$A$3004,A1797,$C$5:$C$3004,"&lt;"&amp;D1797,$D$5:$D$3004,"&gt;"&amp;C1797)&gt;1,"⚠️ пересечение",""))</f>
        <v/>
      </c>
      <c r="M1797" s="54">
        <f>IF(F1797="","",IF(J1797="✅ Сделано","✔ ",IF(J1797="❌ Пропущено","✖ ","⏰ "))&amp;IF(C1797="","",RIGHT("0"&amp;HOUR(C1797),2)&amp;":"&amp;RIGHT("0"&amp;MINUTE(C1797),2)&amp;IF(D1797="","","–"&amp;RIGHT("0"&amp;HOUR(D1797),2)&amp;":"&amp;RIGHT("0"&amp;MINUTE(D1797),2))&amp;" ")&amp;F1797)</f>
        <v/>
      </c>
      <c r="N1797" s="54">
        <f>IF(OR(A1797="",F1797=""),"",A1797&amp;"#"&amp;(COUNTIFS($A$5:$A$3004,A1797,$F$5:$F$3004,"?*",$O$5:$O$3004,"&lt;"&amp;O1797)+COUNTIFS($A$5:A1797,A1797,$F$5:F1797,"?*",$O$5:O1797,O1797)))</f>
        <v/>
      </c>
      <c r="O1797" s="54">
        <f>IF(A1797="","",IF(C1797="",0,C1797))</f>
        <v/>
      </c>
    </row>
    <row r="1798">
      <c r="A1798" s="58" t="n"/>
      <c r="B1798" s="49">
        <f>IF(A1798="","",CHOOSE(WEEKDAY(A1798,2),"Пн","Вт","Ср","Чт","Пт","Сб","Вс"))</f>
        <v/>
      </c>
      <c r="C1798" s="59" t="n"/>
      <c r="D1798" s="59" t="n"/>
      <c r="E1798" s="60">
        <f>IF(OR(C1798="",D1798=""),"",MOD(D1798-C1798,1)*24)</f>
        <v/>
      </c>
      <c r="F1798" s="50" t="n"/>
      <c r="G1798" s="51" t="n"/>
      <c r="H1798" s="51" t="n"/>
      <c r="I1798" s="51" t="n"/>
      <c r="J1798" s="51" t="n"/>
      <c r="K1798" s="51" t="n"/>
      <c r="L1798" s="54">
        <f>IF(OR(A1798="",C1798="",D1798=""),"",IF(COUNTIFS($A$5:$A$3004,A1798,$C$5:$C$3004,"&lt;"&amp;D1798,$D$5:$D$3004,"&gt;"&amp;C1798)&gt;1,"⚠️ пересечение",""))</f>
        <v/>
      </c>
      <c r="M1798" s="54">
        <f>IF(F1798="","",IF(J1798="✅ Сделано","✔ ",IF(J1798="❌ Пропущено","✖ ","⏰ "))&amp;IF(C1798="","",RIGHT("0"&amp;HOUR(C1798),2)&amp;":"&amp;RIGHT("0"&amp;MINUTE(C1798),2)&amp;IF(D1798="","","–"&amp;RIGHT("0"&amp;HOUR(D1798),2)&amp;":"&amp;RIGHT("0"&amp;MINUTE(D1798),2))&amp;" ")&amp;F1798)</f>
        <v/>
      </c>
      <c r="N1798" s="54">
        <f>IF(OR(A1798="",F1798=""),"",A1798&amp;"#"&amp;(COUNTIFS($A$5:$A$3004,A1798,$F$5:$F$3004,"?*",$O$5:$O$3004,"&lt;"&amp;O1798)+COUNTIFS($A$5:A1798,A1798,$F$5:F1798,"?*",$O$5:O1798,O1798)))</f>
        <v/>
      </c>
      <c r="O1798" s="54">
        <f>IF(A1798="","",IF(C1798="",0,C1798))</f>
        <v/>
      </c>
    </row>
    <row r="1799">
      <c r="A1799" s="58" t="n"/>
      <c r="B1799" s="49">
        <f>IF(A1799="","",CHOOSE(WEEKDAY(A1799,2),"Пн","Вт","Ср","Чт","Пт","Сб","Вс"))</f>
        <v/>
      </c>
      <c r="C1799" s="59" t="n"/>
      <c r="D1799" s="59" t="n"/>
      <c r="E1799" s="60">
        <f>IF(OR(C1799="",D1799=""),"",MOD(D1799-C1799,1)*24)</f>
        <v/>
      </c>
      <c r="F1799" s="50" t="n"/>
      <c r="G1799" s="51" t="n"/>
      <c r="H1799" s="51" t="n"/>
      <c r="I1799" s="51" t="n"/>
      <c r="J1799" s="51" t="n"/>
      <c r="K1799" s="51" t="n"/>
      <c r="L1799" s="54">
        <f>IF(OR(A1799="",C1799="",D1799=""),"",IF(COUNTIFS($A$5:$A$3004,A1799,$C$5:$C$3004,"&lt;"&amp;D1799,$D$5:$D$3004,"&gt;"&amp;C1799)&gt;1,"⚠️ пересечение",""))</f>
        <v/>
      </c>
      <c r="M1799" s="54">
        <f>IF(F1799="","",IF(J1799="✅ Сделано","✔ ",IF(J1799="❌ Пропущено","✖ ","⏰ "))&amp;IF(C1799="","",RIGHT("0"&amp;HOUR(C1799),2)&amp;":"&amp;RIGHT("0"&amp;MINUTE(C1799),2)&amp;IF(D1799="","","–"&amp;RIGHT("0"&amp;HOUR(D1799),2)&amp;":"&amp;RIGHT("0"&amp;MINUTE(D1799),2))&amp;" ")&amp;F1799)</f>
        <v/>
      </c>
      <c r="N1799" s="54">
        <f>IF(OR(A1799="",F1799=""),"",A1799&amp;"#"&amp;(COUNTIFS($A$5:$A$3004,A1799,$F$5:$F$3004,"?*",$O$5:$O$3004,"&lt;"&amp;O1799)+COUNTIFS($A$5:A1799,A1799,$F$5:F1799,"?*",$O$5:O1799,O1799)))</f>
        <v/>
      </c>
      <c r="O1799" s="54">
        <f>IF(A1799="","",IF(C1799="",0,C1799))</f>
        <v/>
      </c>
    </row>
    <row r="1800">
      <c r="A1800" s="58" t="n"/>
      <c r="B1800" s="49">
        <f>IF(A1800="","",CHOOSE(WEEKDAY(A1800,2),"Пн","Вт","Ср","Чт","Пт","Сб","Вс"))</f>
        <v/>
      </c>
      <c r="C1800" s="59" t="n"/>
      <c r="D1800" s="59" t="n"/>
      <c r="E1800" s="60">
        <f>IF(OR(C1800="",D1800=""),"",MOD(D1800-C1800,1)*24)</f>
        <v/>
      </c>
      <c r="F1800" s="50" t="n"/>
      <c r="G1800" s="51" t="n"/>
      <c r="H1800" s="51" t="n"/>
      <c r="I1800" s="51" t="n"/>
      <c r="J1800" s="51" t="n"/>
      <c r="K1800" s="51" t="n"/>
      <c r="L1800" s="54">
        <f>IF(OR(A1800="",C1800="",D1800=""),"",IF(COUNTIFS($A$5:$A$3004,A1800,$C$5:$C$3004,"&lt;"&amp;D1800,$D$5:$D$3004,"&gt;"&amp;C1800)&gt;1,"⚠️ пересечение",""))</f>
        <v/>
      </c>
      <c r="M1800" s="54">
        <f>IF(F1800="","",IF(J1800="✅ Сделано","✔ ",IF(J1800="❌ Пропущено","✖ ","⏰ "))&amp;IF(C1800="","",RIGHT("0"&amp;HOUR(C1800),2)&amp;":"&amp;RIGHT("0"&amp;MINUTE(C1800),2)&amp;IF(D1800="","","–"&amp;RIGHT("0"&amp;HOUR(D1800),2)&amp;":"&amp;RIGHT("0"&amp;MINUTE(D1800),2))&amp;" ")&amp;F1800)</f>
        <v/>
      </c>
      <c r="N1800" s="54">
        <f>IF(OR(A1800="",F1800=""),"",A1800&amp;"#"&amp;(COUNTIFS($A$5:$A$3004,A1800,$F$5:$F$3004,"?*",$O$5:$O$3004,"&lt;"&amp;O1800)+COUNTIFS($A$5:A1800,A1800,$F$5:F1800,"?*",$O$5:O1800,O1800)))</f>
        <v/>
      </c>
      <c r="O1800" s="54">
        <f>IF(A1800="","",IF(C1800="",0,C1800))</f>
        <v/>
      </c>
    </row>
    <row r="1801">
      <c r="A1801" s="58" t="n"/>
      <c r="B1801" s="49">
        <f>IF(A1801="","",CHOOSE(WEEKDAY(A1801,2),"Пн","Вт","Ср","Чт","Пт","Сб","Вс"))</f>
        <v/>
      </c>
      <c r="C1801" s="59" t="n"/>
      <c r="D1801" s="59" t="n"/>
      <c r="E1801" s="60">
        <f>IF(OR(C1801="",D1801=""),"",MOD(D1801-C1801,1)*24)</f>
        <v/>
      </c>
      <c r="F1801" s="50" t="n"/>
      <c r="G1801" s="51" t="n"/>
      <c r="H1801" s="51" t="n"/>
      <c r="I1801" s="51" t="n"/>
      <c r="J1801" s="51" t="n"/>
      <c r="K1801" s="51" t="n"/>
      <c r="L1801" s="54">
        <f>IF(OR(A1801="",C1801="",D1801=""),"",IF(COUNTIFS($A$5:$A$3004,A1801,$C$5:$C$3004,"&lt;"&amp;D1801,$D$5:$D$3004,"&gt;"&amp;C1801)&gt;1,"⚠️ пересечение",""))</f>
        <v/>
      </c>
      <c r="M1801" s="54">
        <f>IF(F1801="","",IF(J1801="✅ Сделано","✔ ",IF(J1801="❌ Пропущено","✖ ","⏰ "))&amp;IF(C1801="","",RIGHT("0"&amp;HOUR(C1801),2)&amp;":"&amp;RIGHT("0"&amp;MINUTE(C1801),2)&amp;IF(D1801="","","–"&amp;RIGHT("0"&amp;HOUR(D1801),2)&amp;":"&amp;RIGHT("0"&amp;MINUTE(D1801),2))&amp;" ")&amp;F1801)</f>
        <v/>
      </c>
      <c r="N1801" s="54">
        <f>IF(OR(A1801="",F1801=""),"",A1801&amp;"#"&amp;(COUNTIFS($A$5:$A$3004,A1801,$F$5:$F$3004,"?*",$O$5:$O$3004,"&lt;"&amp;O1801)+COUNTIFS($A$5:A1801,A1801,$F$5:F1801,"?*",$O$5:O1801,O1801)))</f>
        <v/>
      </c>
      <c r="O1801" s="54">
        <f>IF(A1801="","",IF(C1801="",0,C1801))</f>
        <v/>
      </c>
    </row>
    <row r="1802">
      <c r="A1802" s="58" t="n"/>
      <c r="B1802" s="49">
        <f>IF(A1802="","",CHOOSE(WEEKDAY(A1802,2),"Пн","Вт","Ср","Чт","Пт","Сб","Вс"))</f>
        <v/>
      </c>
      <c r="C1802" s="59" t="n"/>
      <c r="D1802" s="59" t="n"/>
      <c r="E1802" s="60">
        <f>IF(OR(C1802="",D1802=""),"",MOD(D1802-C1802,1)*24)</f>
        <v/>
      </c>
      <c r="F1802" s="50" t="n"/>
      <c r="G1802" s="51" t="n"/>
      <c r="H1802" s="51" t="n"/>
      <c r="I1802" s="51" t="n"/>
      <c r="J1802" s="51" t="n"/>
      <c r="K1802" s="51" t="n"/>
      <c r="L1802" s="54">
        <f>IF(OR(A1802="",C1802="",D1802=""),"",IF(COUNTIFS($A$5:$A$3004,A1802,$C$5:$C$3004,"&lt;"&amp;D1802,$D$5:$D$3004,"&gt;"&amp;C1802)&gt;1,"⚠️ пересечение",""))</f>
        <v/>
      </c>
      <c r="M1802" s="54">
        <f>IF(F1802="","",IF(J1802="✅ Сделано","✔ ",IF(J1802="❌ Пропущено","✖ ","⏰ "))&amp;IF(C1802="","",RIGHT("0"&amp;HOUR(C1802),2)&amp;":"&amp;RIGHT("0"&amp;MINUTE(C1802),2)&amp;IF(D1802="","","–"&amp;RIGHT("0"&amp;HOUR(D1802),2)&amp;":"&amp;RIGHT("0"&amp;MINUTE(D1802),2))&amp;" ")&amp;F1802)</f>
        <v/>
      </c>
      <c r="N1802" s="54">
        <f>IF(OR(A1802="",F1802=""),"",A1802&amp;"#"&amp;(COUNTIFS($A$5:$A$3004,A1802,$F$5:$F$3004,"?*",$O$5:$O$3004,"&lt;"&amp;O1802)+COUNTIFS($A$5:A1802,A1802,$F$5:F1802,"?*",$O$5:O1802,O1802)))</f>
        <v/>
      </c>
      <c r="O1802" s="54">
        <f>IF(A1802="","",IF(C1802="",0,C1802))</f>
        <v/>
      </c>
    </row>
    <row r="1803">
      <c r="A1803" s="58" t="n"/>
      <c r="B1803" s="49">
        <f>IF(A1803="","",CHOOSE(WEEKDAY(A1803,2),"Пн","Вт","Ср","Чт","Пт","Сб","Вс"))</f>
        <v/>
      </c>
      <c r="C1803" s="59" t="n"/>
      <c r="D1803" s="59" t="n"/>
      <c r="E1803" s="60">
        <f>IF(OR(C1803="",D1803=""),"",MOD(D1803-C1803,1)*24)</f>
        <v/>
      </c>
      <c r="F1803" s="50" t="n"/>
      <c r="G1803" s="51" t="n"/>
      <c r="H1803" s="51" t="n"/>
      <c r="I1803" s="51" t="n"/>
      <c r="J1803" s="51" t="n"/>
      <c r="K1803" s="51" t="n"/>
      <c r="L1803" s="54">
        <f>IF(OR(A1803="",C1803="",D1803=""),"",IF(COUNTIFS($A$5:$A$3004,A1803,$C$5:$C$3004,"&lt;"&amp;D1803,$D$5:$D$3004,"&gt;"&amp;C1803)&gt;1,"⚠️ пересечение",""))</f>
        <v/>
      </c>
      <c r="M1803" s="54">
        <f>IF(F1803="","",IF(J1803="✅ Сделано","✔ ",IF(J1803="❌ Пропущено","✖ ","⏰ "))&amp;IF(C1803="","",RIGHT("0"&amp;HOUR(C1803),2)&amp;":"&amp;RIGHT("0"&amp;MINUTE(C1803),2)&amp;IF(D1803="","","–"&amp;RIGHT("0"&amp;HOUR(D1803),2)&amp;":"&amp;RIGHT("0"&amp;MINUTE(D1803),2))&amp;" ")&amp;F1803)</f>
        <v/>
      </c>
      <c r="N1803" s="54">
        <f>IF(OR(A1803="",F1803=""),"",A1803&amp;"#"&amp;(COUNTIFS($A$5:$A$3004,A1803,$F$5:$F$3004,"?*",$O$5:$O$3004,"&lt;"&amp;O1803)+COUNTIFS($A$5:A1803,A1803,$F$5:F1803,"?*",$O$5:O1803,O1803)))</f>
        <v/>
      </c>
      <c r="O1803" s="54">
        <f>IF(A1803="","",IF(C1803="",0,C1803))</f>
        <v/>
      </c>
    </row>
    <row r="1804">
      <c r="A1804" s="58" t="n"/>
      <c r="B1804" s="49">
        <f>IF(A1804="","",CHOOSE(WEEKDAY(A1804,2),"Пн","Вт","Ср","Чт","Пт","Сб","Вс"))</f>
        <v/>
      </c>
      <c r="C1804" s="59" t="n"/>
      <c r="D1804" s="59" t="n"/>
      <c r="E1804" s="60">
        <f>IF(OR(C1804="",D1804=""),"",MOD(D1804-C1804,1)*24)</f>
        <v/>
      </c>
      <c r="F1804" s="50" t="n"/>
      <c r="G1804" s="51" t="n"/>
      <c r="H1804" s="51" t="n"/>
      <c r="I1804" s="51" t="n"/>
      <c r="J1804" s="51" t="n"/>
      <c r="K1804" s="51" t="n"/>
      <c r="L1804" s="54">
        <f>IF(OR(A1804="",C1804="",D1804=""),"",IF(COUNTIFS($A$5:$A$3004,A1804,$C$5:$C$3004,"&lt;"&amp;D1804,$D$5:$D$3004,"&gt;"&amp;C1804)&gt;1,"⚠️ пересечение",""))</f>
        <v/>
      </c>
      <c r="M1804" s="54">
        <f>IF(F1804="","",IF(J1804="✅ Сделано","✔ ",IF(J1804="❌ Пропущено","✖ ","⏰ "))&amp;IF(C1804="","",RIGHT("0"&amp;HOUR(C1804),2)&amp;":"&amp;RIGHT("0"&amp;MINUTE(C1804),2)&amp;IF(D1804="","","–"&amp;RIGHT("0"&amp;HOUR(D1804),2)&amp;":"&amp;RIGHT("0"&amp;MINUTE(D1804),2))&amp;" ")&amp;F1804)</f>
        <v/>
      </c>
      <c r="N1804" s="54">
        <f>IF(OR(A1804="",F1804=""),"",A1804&amp;"#"&amp;(COUNTIFS($A$5:$A$3004,A1804,$F$5:$F$3004,"?*",$O$5:$O$3004,"&lt;"&amp;O1804)+COUNTIFS($A$5:A1804,A1804,$F$5:F1804,"?*",$O$5:O1804,O1804)))</f>
        <v/>
      </c>
      <c r="O1804" s="54">
        <f>IF(A1804="","",IF(C1804="",0,C1804))</f>
        <v/>
      </c>
    </row>
    <row r="1805">
      <c r="A1805" s="58" t="n"/>
      <c r="B1805" s="49">
        <f>IF(A1805="","",CHOOSE(WEEKDAY(A1805,2),"Пн","Вт","Ср","Чт","Пт","Сб","Вс"))</f>
        <v/>
      </c>
      <c r="C1805" s="59" t="n"/>
      <c r="D1805" s="59" t="n"/>
      <c r="E1805" s="60">
        <f>IF(OR(C1805="",D1805=""),"",MOD(D1805-C1805,1)*24)</f>
        <v/>
      </c>
      <c r="F1805" s="50" t="n"/>
      <c r="G1805" s="51" t="n"/>
      <c r="H1805" s="51" t="n"/>
      <c r="I1805" s="51" t="n"/>
      <c r="J1805" s="51" t="n"/>
      <c r="K1805" s="51" t="n"/>
      <c r="L1805" s="54">
        <f>IF(OR(A1805="",C1805="",D1805=""),"",IF(COUNTIFS($A$5:$A$3004,A1805,$C$5:$C$3004,"&lt;"&amp;D1805,$D$5:$D$3004,"&gt;"&amp;C1805)&gt;1,"⚠️ пересечение",""))</f>
        <v/>
      </c>
      <c r="M1805" s="54">
        <f>IF(F1805="","",IF(J1805="✅ Сделано","✔ ",IF(J1805="❌ Пропущено","✖ ","⏰ "))&amp;IF(C1805="","",RIGHT("0"&amp;HOUR(C1805),2)&amp;":"&amp;RIGHT("0"&amp;MINUTE(C1805),2)&amp;IF(D1805="","","–"&amp;RIGHT("0"&amp;HOUR(D1805),2)&amp;":"&amp;RIGHT("0"&amp;MINUTE(D1805),2))&amp;" ")&amp;F1805)</f>
        <v/>
      </c>
      <c r="N1805" s="54">
        <f>IF(OR(A1805="",F1805=""),"",A1805&amp;"#"&amp;(COUNTIFS($A$5:$A$3004,A1805,$F$5:$F$3004,"?*",$O$5:$O$3004,"&lt;"&amp;O1805)+COUNTIFS($A$5:A1805,A1805,$F$5:F1805,"?*",$O$5:O1805,O1805)))</f>
        <v/>
      </c>
      <c r="O1805" s="54">
        <f>IF(A1805="","",IF(C1805="",0,C1805))</f>
        <v/>
      </c>
    </row>
    <row r="1806">
      <c r="A1806" s="58" t="n"/>
      <c r="B1806" s="49">
        <f>IF(A1806="","",CHOOSE(WEEKDAY(A1806,2),"Пн","Вт","Ср","Чт","Пт","Сб","Вс"))</f>
        <v/>
      </c>
      <c r="C1806" s="59" t="n"/>
      <c r="D1806" s="59" t="n"/>
      <c r="E1806" s="60">
        <f>IF(OR(C1806="",D1806=""),"",MOD(D1806-C1806,1)*24)</f>
        <v/>
      </c>
      <c r="F1806" s="50" t="n"/>
      <c r="G1806" s="51" t="n"/>
      <c r="H1806" s="51" t="n"/>
      <c r="I1806" s="51" t="n"/>
      <c r="J1806" s="51" t="n"/>
      <c r="K1806" s="51" t="n"/>
      <c r="L1806" s="54">
        <f>IF(OR(A1806="",C1806="",D1806=""),"",IF(COUNTIFS($A$5:$A$3004,A1806,$C$5:$C$3004,"&lt;"&amp;D1806,$D$5:$D$3004,"&gt;"&amp;C1806)&gt;1,"⚠️ пересечение",""))</f>
        <v/>
      </c>
      <c r="M1806" s="54">
        <f>IF(F1806="","",IF(J1806="✅ Сделано","✔ ",IF(J1806="❌ Пропущено","✖ ","⏰ "))&amp;IF(C1806="","",RIGHT("0"&amp;HOUR(C1806),2)&amp;":"&amp;RIGHT("0"&amp;MINUTE(C1806),2)&amp;IF(D1806="","","–"&amp;RIGHT("0"&amp;HOUR(D1806),2)&amp;":"&amp;RIGHT("0"&amp;MINUTE(D1806),2))&amp;" ")&amp;F1806)</f>
        <v/>
      </c>
      <c r="N1806" s="54">
        <f>IF(OR(A1806="",F1806=""),"",A1806&amp;"#"&amp;(COUNTIFS($A$5:$A$3004,A1806,$F$5:$F$3004,"?*",$O$5:$O$3004,"&lt;"&amp;O1806)+COUNTIFS($A$5:A1806,A1806,$F$5:F1806,"?*",$O$5:O1806,O1806)))</f>
        <v/>
      </c>
      <c r="O1806" s="54">
        <f>IF(A1806="","",IF(C1806="",0,C1806))</f>
        <v/>
      </c>
    </row>
    <row r="1807">
      <c r="A1807" s="58" t="n"/>
      <c r="B1807" s="49">
        <f>IF(A1807="","",CHOOSE(WEEKDAY(A1807,2),"Пн","Вт","Ср","Чт","Пт","Сб","Вс"))</f>
        <v/>
      </c>
      <c r="C1807" s="59" t="n"/>
      <c r="D1807" s="59" t="n"/>
      <c r="E1807" s="60">
        <f>IF(OR(C1807="",D1807=""),"",MOD(D1807-C1807,1)*24)</f>
        <v/>
      </c>
      <c r="F1807" s="50" t="n"/>
      <c r="G1807" s="51" t="n"/>
      <c r="H1807" s="51" t="n"/>
      <c r="I1807" s="51" t="n"/>
      <c r="J1807" s="51" t="n"/>
      <c r="K1807" s="51" t="n"/>
      <c r="L1807" s="54">
        <f>IF(OR(A1807="",C1807="",D1807=""),"",IF(COUNTIFS($A$5:$A$3004,A1807,$C$5:$C$3004,"&lt;"&amp;D1807,$D$5:$D$3004,"&gt;"&amp;C1807)&gt;1,"⚠️ пересечение",""))</f>
        <v/>
      </c>
      <c r="M1807" s="54">
        <f>IF(F1807="","",IF(J1807="✅ Сделано","✔ ",IF(J1807="❌ Пропущено","✖ ","⏰ "))&amp;IF(C1807="","",RIGHT("0"&amp;HOUR(C1807),2)&amp;":"&amp;RIGHT("0"&amp;MINUTE(C1807),2)&amp;IF(D1807="","","–"&amp;RIGHT("0"&amp;HOUR(D1807),2)&amp;":"&amp;RIGHT("0"&amp;MINUTE(D1807),2))&amp;" ")&amp;F1807)</f>
        <v/>
      </c>
      <c r="N1807" s="54">
        <f>IF(OR(A1807="",F1807=""),"",A1807&amp;"#"&amp;(COUNTIFS($A$5:$A$3004,A1807,$F$5:$F$3004,"?*",$O$5:$O$3004,"&lt;"&amp;O1807)+COUNTIFS($A$5:A1807,A1807,$F$5:F1807,"?*",$O$5:O1807,O1807)))</f>
        <v/>
      </c>
      <c r="O1807" s="54">
        <f>IF(A1807="","",IF(C1807="",0,C1807))</f>
        <v/>
      </c>
    </row>
    <row r="1808">
      <c r="A1808" s="58" t="n"/>
      <c r="B1808" s="49">
        <f>IF(A1808="","",CHOOSE(WEEKDAY(A1808,2),"Пн","Вт","Ср","Чт","Пт","Сб","Вс"))</f>
        <v/>
      </c>
      <c r="C1808" s="59" t="n"/>
      <c r="D1808" s="59" t="n"/>
      <c r="E1808" s="60">
        <f>IF(OR(C1808="",D1808=""),"",MOD(D1808-C1808,1)*24)</f>
        <v/>
      </c>
      <c r="F1808" s="50" t="n"/>
      <c r="G1808" s="51" t="n"/>
      <c r="H1808" s="51" t="n"/>
      <c r="I1808" s="51" t="n"/>
      <c r="J1808" s="51" t="n"/>
      <c r="K1808" s="51" t="n"/>
      <c r="L1808" s="54">
        <f>IF(OR(A1808="",C1808="",D1808=""),"",IF(COUNTIFS($A$5:$A$3004,A1808,$C$5:$C$3004,"&lt;"&amp;D1808,$D$5:$D$3004,"&gt;"&amp;C1808)&gt;1,"⚠️ пересечение",""))</f>
        <v/>
      </c>
      <c r="M1808" s="54">
        <f>IF(F1808="","",IF(J1808="✅ Сделано","✔ ",IF(J1808="❌ Пропущено","✖ ","⏰ "))&amp;IF(C1808="","",RIGHT("0"&amp;HOUR(C1808),2)&amp;":"&amp;RIGHT("0"&amp;MINUTE(C1808),2)&amp;IF(D1808="","","–"&amp;RIGHT("0"&amp;HOUR(D1808),2)&amp;":"&amp;RIGHT("0"&amp;MINUTE(D1808),2))&amp;" ")&amp;F1808)</f>
        <v/>
      </c>
      <c r="N1808" s="54">
        <f>IF(OR(A1808="",F1808=""),"",A1808&amp;"#"&amp;(COUNTIFS($A$5:$A$3004,A1808,$F$5:$F$3004,"?*",$O$5:$O$3004,"&lt;"&amp;O1808)+COUNTIFS($A$5:A1808,A1808,$F$5:F1808,"?*",$O$5:O1808,O1808)))</f>
        <v/>
      </c>
      <c r="O1808" s="54">
        <f>IF(A1808="","",IF(C1808="",0,C1808))</f>
        <v/>
      </c>
    </row>
    <row r="1809">
      <c r="A1809" s="58" t="n"/>
      <c r="B1809" s="49">
        <f>IF(A1809="","",CHOOSE(WEEKDAY(A1809,2),"Пн","Вт","Ср","Чт","Пт","Сб","Вс"))</f>
        <v/>
      </c>
      <c r="C1809" s="59" t="n"/>
      <c r="D1809" s="59" t="n"/>
      <c r="E1809" s="60">
        <f>IF(OR(C1809="",D1809=""),"",MOD(D1809-C1809,1)*24)</f>
        <v/>
      </c>
      <c r="F1809" s="50" t="n"/>
      <c r="G1809" s="51" t="n"/>
      <c r="H1809" s="51" t="n"/>
      <c r="I1809" s="51" t="n"/>
      <c r="J1809" s="51" t="n"/>
      <c r="K1809" s="51" t="n"/>
      <c r="L1809" s="54">
        <f>IF(OR(A1809="",C1809="",D1809=""),"",IF(COUNTIFS($A$5:$A$3004,A1809,$C$5:$C$3004,"&lt;"&amp;D1809,$D$5:$D$3004,"&gt;"&amp;C1809)&gt;1,"⚠️ пересечение",""))</f>
        <v/>
      </c>
      <c r="M1809" s="54">
        <f>IF(F1809="","",IF(J1809="✅ Сделано","✔ ",IF(J1809="❌ Пропущено","✖ ","⏰ "))&amp;IF(C1809="","",RIGHT("0"&amp;HOUR(C1809),2)&amp;":"&amp;RIGHT("0"&amp;MINUTE(C1809),2)&amp;IF(D1809="","","–"&amp;RIGHT("0"&amp;HOUR(D1809),2)&amp;":"&amp;RIGHT("0"&amp;MINUTE(D1809),2))&amp;" ")&amp;F1809)</f>
        <v/>
      </c>
      <c r="N1809" s="54">
        <f>IF(OR(A1809="",F1809=""),"",A1809&amp;"#"&amp;(COUNTIFS($A$5:$A$3004,A1809,$F$5:$F$3004,"?*",$O$5:$O$3004,"&lt;"&amp;O1809)+COUNTIFS($A$5:A1809,A1809,$F$5:F1809,"?*",$O$5:O1809,O1809)))</f>
        <v/>
      </c>
      <c r="O1809" s="54">
        <f>IF(A1809="","",IF(C1809="",0,C1809))</f>
        <v/>
      </c>
    </row>
    <row r="1810">
      <c r="A1810" s="58" t="n"/>
      <c r="B1810" s="49">
        <f>IF(A1810="","",CHOOSE(WEEKDAY(A1810,2),"Пн","Вт","Ср","Чт","Пт","Сб","Вс"))</f>
        <v/>
      </c>
      <c r="C1810" s="59" t="n"/>
      <c r="D1810" s="59" t="n"/>
      <c r="E1810" s="60">
        <f>IF(OR(C1810="",D1810=""),"",MOD(D1810-C1810,1)*24)</f>
        <v/>
      </c>
      <c r="F1810" s="50" t="n"/>
      <c r="G1810" s="51" t="n"/>
      <c r="H1810" s="51" t="n"/>
      <c r="I1810" s="51" t="n"/>
      <c r="J1810" s="51" t="n"/>
      <c r="K1810" s="51" t="n"/>
      <c r="L1810" s="54">
        <f>IF(OR(A1810="",C1810="",D1810=""),"",IF(COUNTIFS($A$5:$A$3004,A1810,$C$5:$C$3004,"&lt;"&amp;D1810,$D$5:$D$3004,"&gt;"&amp;C1810)&gt;1,"⚠️ пересечение",""))</f>
        <v/>
      </c>
      <c r="M1810" s="54">
        <f>IF(F1810="","",IF(J1810="✅ Сделано","✔ ",IF(J1810="❌ Пропущено","✖ ","⏰ "))&amp;IF(C1810="","",RIGHT("0"&amp;HOUR(C1810),2)&amp;":"&amp;RIGHT("0"&amp;MINUTE(C1810),2)&amp;IF(D1810="","","–"&amp;RIGHT("0"&amp;HOUR(D1810),2)&amp;":"&amp;RIGHT("0"&amp;MINUTE(D1810),2))&amp;" ")&amp;F1810)</f>
        <v/>
      </c>
      <c r="N1810" s="54">
        <f>IF(OR(A1810="",F1810=""),"",A1810&amp;"#"&amp;(COUNTIFS($A$5:$A$3004,A1810,$F$5:$F$3004,"?*",$O$5:$O$3004,"&lt;"&amp;O1810)+COUNTIFS($A$5:A1810,A1810,$F$5:F1810,"?*",$O$5:O1810,O1810)))</f>
        <v/>
      </c>
      <c r="O1810" s="54">
        <f>IF(A1810="","",IF(C1810="",0,C1810))</f>
        <v/>
      </c>
    </row>
    <row r="1811">
      <c r="A1811" s="58" t="n"/>
      <c r="B1811" s="49">
        <f>IF(A1811="","",CHOOSE(WEEKDAY(A1811,2),"Пн","Вт","Ср","Чт","Пт","Сб","Вс"))</f>
        <v/>
      </c>
      <c r="C1811" s="59" t="n"/>
      <c r="D1811" s="59" t="n"/>
      <c r="E1811" s="60">
        <f>IF(OR(C1811="",D1811=""),"",MOD(D1811-C1811,1)*24)</f>
        <v/>
      </c>
      <c r="F1811" s="50" t="n"/>
      <c r="G1811" s="51" t="n"/>
      <c r="H1811" s="51" t="n"/>
      <c r="I1811" s="51" t="n"/>
      <c r="J1811" s="51" t="n"/>
      <c r="K1811" s="51" t="n"/>
      <c r="L1811" s="54">
        <f>IF(OR(A1811="",C1811="",D1811=""),"",IF(COUNTIFS($A$5:$A$3004,A1811,$C$5:$C$3004,"&lt;"&amp;D1811,$D$5:$D$3004,"&gt;"&amp;C1811)&gt;1,"⚠️ пересечение",""))</f>
        <v/>
      </c>
      <c r="M1811" s="54">
        <f>IF(F1811="","",IF(J1811="✅ Сделано","✔ ",IF(J1811="❌ Пропущено","✖ ","⏰ "))&amp;IF(C1811="","",RIGHT("0"&amp;HOUR(C1811),2)&amp;":"&amp;RIGHT("0"&amp;MINUTE(C1811),2)&amp;IF(D1811="","","–"&amp;RIGHT("0"&amp;HOUR(D1811),2)&amp;":"&amp;RIGHT("0"&amp;MINUTE(D1811),2))&amp;" ")&amp;F1811)</f>
        <v/>
      </c>
      <c r="N1811" s="54">
        <f>IF(OR(A1811="",F1811=""),"",A1811&amp;"#"&amp;(COUNTIFS($A$5:$A$3004,A1811,$F$5:$F$3004,"?*",$O$5:$O$3004,"&lt;"&amp;O1811)+COUNTIFS($A$5:A1811,A1811,$F$5:F1811,"?*",$O$5:O1811,O1811)))</f>
        <v/>
      </c>
      <c r="O1811" s="54">
        <f>IF(A1811="","",IF(C1811="",0,C1811))</f>
        <v/>
      </c>
    </row>
    <row r="1812">
      <c r="A1812" s="58" t="n"/>
      <c r="B1812" s="49">
        <f>IF(A1812="","",CHOOSE(WEEKDAY(A1812,2),"Пн","Вт","Ср","Чт","Пт","Сб","Вс"))</f>
        <v/>
      </c>
      <c r="C1812" s="59" t="n"/>
      <c r="D1812" s="59" t="n"/>
      <c r="E1812" s="60">
        <f>IF(OR(C1812="",D1812=""),"",MOD(D1812-C1812,1)*24)</f>
        <v/>
      </c>
      <c r="F1812" s="50" t="n"/>
      <c r="G1812" s="51" t="n"/>
      <c r="H1812" s="51" t="n"/>
      <c r="I1812" s="51" t="n"/>
      <c r="J1812" s="51" t="n"/>
      <c r="K1812" s="51" t="n"/>
      <c r="L1812" s="54">
        <f>IF(OR(A1812="",C1812="",D1812=""),"",IF(COUNTIFS($A$5:$A$3004,A1812,$C$5:$C$3004,"&lt;"&amp;D1812,$D$5:$D$3004,"&gt;"&amp;C1812)&gt;1,"⚠️ пересечение",""))</f>
        <v/>
      </c>
      <c r="M1812" s="54">
        <f>IF(F1812="","",IF(J1812="✅ Сделано","✔ ",IF(J1812="❌ Пропущено","✖ ","⏰ "))&amp;IF(C1812="","",RIGHT("0"&amp;HOUR(C1812),2)&amp;":"&amp;RIGHT("0"&amp;MINUTE(C1812),2)&amp;IF(D1812="","","–"&amp;RIGHT("0"&amp;HOUR(D1812),2)&amp;":"&amp;RIGHT("0"&amp;MINUTE(D1812),2))&amp;" ")&amp;F1812)</f>
        <v/>
      </c>
      <c r="N1812" s="54">
        <f>IF(OR(A1812="",F1812=""),"",A1812&amp;"#"&amp;(COUNTIFS($A$5:$A$3004,A1812,$F$5:$F$3004,"?*",$O$5:$O$3004,"&lt;"&amp;O1812)+COUNTIFS($A$5:A1812,A1812,$F$5:F1812,"?*",$O$5:O1812,O1812)))</f>
        <v/>
      </c>
      <c r="O1812" s="54">
        <f>IF(A1812="","",IF(C1812="",0,C1812))</f>
        <v/>
      </c>
    </row>
    <row r="1813">
      <c r="A1813" s="58" t="n"/>
      <c r="B1813" s="49">
        <f>IF(A1813="","",CHOOSE(WEEKDAY(A1813,2),"Пн","Вт","Ср","Чт","Пт","Сб","Вс"))</f>
        <v/>
      </c>
      <c r="C1813" s="59" t="n"/>
      <c r="D1813" s="59" t="n"/>
      <c r="E1813" s="60">
        <f>IF(OR(C1813="",D1813=""),"",MOD(D1813-C1813,1)*24)</f>
        <v/>
      </c>
      <c r="F1813" s="50" t="n"/>
      <c r="G1813" s="51" t="n"/>
      <c r="H1813" s="51" t="n"/>
      <c r="I1813" s="51" t="n"/>
      <c r="J1813" s="51" t="n"/>
      <c r="K1813" s="51" t="n"/>
      <c r="L1813" s="54">
        <f>IF(OR(A1813="",C1813="",D1813=""),"",IF(COUNTIFS($A$5:$A$3004,A1813,$C$5:$C$3004,"&lt;"&amp;D1813,$D$5:$D$3004,"&gt;"&amp;C1813)&gt;1,"⚠️ пересечение",""))</f>
        <v/>
      </c>
      <c r="M1813" s="54">
        <f>IF(F1813="","",IF(J1813="✅ Сделано","✔ ",IF(J1813="❌ Пропущено","✖ ","⏰ "))&amp;IF(C1813="","",RIGHT("0"&amp;HOUR(C1813),2)&amp;":"&amp;RIGHT("0"&amp;MINUTE(C1813),2)&amp;IF(D1813="","","–"&amp;RIGHT("0"&amp;HOUR(D1813),2)&amp;":"&amp;RIGHT("0"&amp;MINUTE(D1813),2))&amp;" ")&amp;F1813)</f>
        <v/>
      </c>
      <c r="N1813" s="54">
        <f>IF(OR(A1813="",F1813=""),"",A1813&amp;"#"&amp;(COUNTIFS($A$5:$A$3004,A1813,$F$5:$F$3004,"?*",$O$5:$O$3004,"&lt;"&amp;O1813)+COUNTIFS($A$5:A1813,A1813,$F$5:F1813,"?*",$O$5:O1813,O1813)))</f>
        <v/>
      </c>
      <c r="O1813" s="54">
        <f>IF(A1813="","",IF(C1813="",0,C1813))</f>
        <v/>
      </c>
    </row>
    <row r="1814">
      <c r="A1814" s="58" t="n"/>
      <c r="B1814" s="49">
        <f>IF(A1814="","",CHOOSE(WEEKDAY(A1814,2),"Пн","Вт","Ср","Чт","Пт","Сб","Вс"))</f>
        <v/>
      </c>
      <c r="C1814" s="59" t="n"/>
      <c r="D1814" s="59" t="n"/>
      <c r="E1814" s="60">
        <f>IF(OR(C1814="",D1814=""),"",MOD(D1814-C1814,1)*24)</f>
        <v/>
      </c>
      <c r="F1814" s="50" t="n"/>
      <c r="G1814" s="51" t="n"/>
      <c r="H1814" s="51" t="n"/>
      <c r="I1814" s="51" t="n"/>
      <c r="J1814" s="51" t="n"/>
      <c r="K1814" s="51" t="n"/>
      <c r="L1814" s="54">
        <f>IF(OR(A1814="",C1814="",D1814=""),"",IF(COUNTIFS($A$5:$A$3004,A1814,$C$5:$C$3004,"&lt;"&amp;D1814,$D$5:$D$3004,"&gt;"&amp;C1814)&gt;1,"⚠️ пересечение",""))</f>
        <v/>
      </c>
      <c r="M1814" s="54">
        <f>IF(F1814="","",IF(J1814="✅ Сделано","✔ ",IF(J1814="❌ Пропущено","✖ ","⏰ "))&amp;IF(C1814="","",RIGHT("0"&amp;HOUR(C1814),2)&amp;":"&amp;RIGHT("0"&amp;MINUTE(C1814),2)&amp;IF(D1814="","","–"&amp;RIGHT("0"&amp;HOUR(D1814),2)&amp;":"&amp;RIGHT("0"&amp;MINUTE(D1814),2))&amp;" ")&amp;F1814)</f>
        <v/>
      </c>
      <c r="N1814" s="54">
        <f>IF(OR(A1814="",F1814=""),"",A1814&amp;"#"&amp;(COUNTIFS($A$5:$A$3004,A1814,$F$5:$F$3004,"?*",$O$5:$O$3004,"&lt;"&amp;O1814)+COUNTIFS($A$5:A1814,A1814,$F$5:F1814,"?*",$O$5:O1814,O1814)))</f>
        <v/>
      </c>
      <c r="O1814" s="54">
        <f>IF(A1814="","",IF(C1814="",0,C1814))</f>
        <v/>
      </c>
    </row>
    <row r="1815">
      <c r="A1815" s="58" t="n"/>
      <c r="B1815" s="49">
        <f>IF(A1815="","",CHOOSE(WEEKDAY(A1815,2),"Пн","Вт","Ср","Чт","Пт","Сб","Вс"))</f>
        <v/>
      </c>
      <c r="C1815" s="59" t="n"/>
      <c r="D1815" s="59" t="n"/>
      <c r="E1815" s="60">
        <f>IF(OR(C1815="",D1815=""),"",MOD(D1815-C1815,1)*24)</f>
        <v/>
      </c>
      <c r="F1815" s="50" t="n"/>
      <c r="G1815" s="51" t="n"/>
      <c r="H1815" s="51" t="n"/>
      <c r="I1815" s="51" t="n"/>
      <c r="J1815" s="51" t="n"/>
      <c r="K1815" s="51" t="n"/>
      <c r="L1815" s="54">
        <f>IF(OR(A1815="",C1815="",D1815=""),"",IF(COUNTIFS($A$5:$A$3004,A1815,$C$5:$C$3004,"&lt;"&amp;D1815,$D$5:$D$3004,"&gt;"&amp;C1815)&gt;1,"⚠️ пересечение",""))</f>
        <v/>
      </c>
      <c r="M1815" s="54">
        <f>IF(F1815="","",IF(J1815="✅ Сделано","✔ ",IF(J1815="❌ Пропущено","✖ ","⏰ "))&amp;IF(C1815="","",RIGHT("0"&amp;HOUR(C1815),2)&amp;":"&amp;RIGHT("0"&amp;MINUTE(C1815),2)&amp;IF(D1815="","","–"&amp;RIGHT("0"&amp;HOUR(D1815),2)&amp;":"&amp;RIGHT("0"&amp;MINUTE(D1815),2))&amp;" ")&amp;F1815)</f>
        <v/>
      </c>
      <c r="N1815" s="54">
        <f>IF(OR(A1815="",F1815=""),"",A1815&amp;"#"&amp;(COUNTIFS($A$5:$A$3004,A1815,$F$5:$F$3004,"?*",$O$5:$O$3004,"&lt;"&amp;O1815)+COUNTIFS($A$5:A1815,A1815,$F$5:F1815,"?*",$O$5:O1815,O1815)))</f>
        <v/>
      </c>
      <c r="O1815" s="54">
        <f>IF(A1815="","",IF(C1815="",0,C1815))</f>
        <v/>
      </c>
    </row>
    <row r="1816">
      <c r="A1816" s="58" t="n"/>
      <c r="B1816" s="49">
        <f>IF(A1816="","",CHOOSE(WEEKDAY(A1816,2),"Пн","Вт","Ср","Чт","Пт","Сб","Вс"))</f>
        <v/>
      </c>
      <c r="C1816" s="59" t="n"/>
      <c r="D1816" s="59" t="n"/>
      <c r="E1816" s="60">
        <f>IF(OR(C1816="",D1816=""),"",MOD(D1816-C1816,1)*24)</f>
        <v/>
      </c>
      <c r="F1816" s="50" t="n"/>
      <c r="G1816" s="51" t="n"/>
      <c r="H1816" s="51" t="n"/>
      <c r="I1816" s="51" t="n"/>
      <c r="J1816" s="51" t="n"/>
      <c r="K1816" s="51" t="n"/>
      <c r="L1816" s="54">
        <f>IF(OR(A1816="",C1816="",D1816=""),"",IF(COUNTIFS($A$5:$A$3004,A1816,$C$5:$C$3004,"&lt;"&amp;D1816,$D$5:$D$3004,"&gt;"&amp;C1816)&gt;1,"⚠️ пересечение",""))</f>
        <v/>
      </c>
      <c r="M1816" s="54">
        <f>IF(F1816="","",IF(J1816="✅ Сделано","✔ ",IF(J1816="❌ Пропущено","✖ ","⏰ "))&amp;IF(C1816="","",RIGHT("0"&amp;HOUR(C1816),2)&amp;":"&amp;RIGHT("0"&amp;MINUTE(C1816),2)&amp;IF(D1816="","","–"&amp;RIGHT("0"&amp;HOUR(D1816),2)&amp;":"&amp;RIGHT("0"&amp;MINUTE(D1816),2))&amp;" ")&amp;F1816)</f>
        <v/>
      </c>
      <c r="N1816" s="54">
        <f>IF(OR(A1816="",F1816=""),"",A1816&amp;"#"&amp;(COUNTIFS($A$5:$A$3004,A1816,$F$5:$F$3004,"?*",$O$5:$O$3004,"&lt;"&amp;O1816)+COUNTIFS($A$5:A1816,A1816,$F$5:F1816,"?*",$O$5:O1816,O1816)))</f>
        <v/>
      </c>
      <c r="O1816" s="54">
        <f>IF(A1816="","",IF(C1816="",0,C1816))</f>
        <v/>
      </c>
    </row>
    <row r="1817">
      <c r="A1817" s="58" t="n"/>
      <c r="B1817" s="49">
        <f>IF(A1817="","",CHOOSE(WEEKDAY(A1817,2),"Пн","Вт","Ср","Чт","Пт","Сб","Вс"))</f>
        <v/>
      </c>
      <c r="C1817" s="59" t="n"/>
      <c r="D1817" s="59" t="n"/>
      <c r="E1817" s="60">
        <f>IF(OR(C1817="",D1817=""),"",MOD(D1817-C1817,1)*24)</f>
        <v/>
      </c>
      <c r="F1817" s="50" t="n"/>
      <c r="G1817" s="51" t="n"/>
      <c r="H1817" s="51" t="n"/>
      <c r="I1817" s="51" t="n"/>
      <c r="J1817" s="51" t="n"/>
      <c r="K1817" s="51" t="n"/>
      <c r="L1817" s="54">
        <f>IF(OR(A1817="",C1817="",D1817=""),"",IF(COUNTIFS($A$5:$A$3004,A1817,$C$5:$C$3004,"&lt;"&amp;D1817,$D$5:$D$3004,"&gt;"&amp;C1817)&gt;1,"⚠️ пересечение",""))</f>
        <v/>
      </c>
      <c r="M1817" s="54">
        <f>IF(F1817="","",IF(J1817="✅ Сделано","✔ ",IF(J1817="❌ Пропущено","✖ ","⏰ "))&amp;IF(C1817="","",RIGHT("0"&amp;HOUR(C1817),2)&amp;":"&amp;RIGHT("0"&amp;MINUTE(C1817),2)&amp;IF(D1817="","","–"&amp;RIGHT("0"&amp;HOUR(D1817),2)&amp;":"&amp;RIGHT("0"&amp;MINUTE(D1817),2))&amp;" ")&amp;F1817)</f>
        <v/>
      </c>
      <c r="N1817" s="54">
        <f>IF(OR(A1817="",F1817=""),"",A1817&amp;"#"&amp;(COUNTIFS($A$5:$A$3004,A1817,$F$5:$F$3004,"?*",$O$5:$O$3004,"&lt;"&amp;O1817)+COUNTIFS($A$5:A1817,A1817,$F$5:F1817,"?*",$O$5:O1817,O1817)))</f>
        <v/>
      </c>
      <c r="O1817" s="54">
        <f>IF(A1817="","",IF(C1817="",0,C1817))</f>
        <v/>
      </c>
    </row>
    <row r="1818">
      <c r="A1818" s="58" t="n"/>
      <c r="B1818" s="49">
        <f>IF(A1818="","",CHOOSE(WEEKDAY(A1818,2),"Пн","Вт","Ср","Чт","Пт","Сб","Вс"))</f>
        <v/>
      </c>
      <c r="C1818" s="59" t="n"/>
      <c r="D1818" s="59" t="n"/>
      <c r="E1818" s="60">
        <f>IF(OR(C1818="",D1818=""),"",MOD(D1818-C1818,1)*24)</f>
        <v/>
      </c>
      <c r="F1818" s="50" t="n"/>
      <c r="G1818" s="51" t="n"/>
      <c r="H1818" s="51" t="n"/>
      <c r="I1818" s="51" t="n"/>
      <c r="J1818" s="51" t="n"/>
      <c r="K1818" s="51" t="n"/>
      <c r="L1818" s="54">
        <f>IF(OR(A1818="",C1818="",D1818=""),"",IF(COUNTIFS($A$5:$A$3004,A1818,$C$5:$C$3004,"&lt;"&amp;D1818,$D$5:$D$3004,"&gt;"&amp;C1818)&gt;1,"⚠️ пересечение",""))</f>
        <v/>
      </c>
      <c r="M1818" s="54">
        <f>IF(F1818="","",IF(J1818="✅ Сделано","✔ ",IF(J1818="❌ Пропущено","✖ ","⏰ "))&amp;IF(C1818="","",RIGHT("0"&amp;HOUR(C1818),2)&amp;":"&amp;RIGHT("0"&amp;MINUTE(C1818),2)&amp;IF(D1818="","","–"&amp;RIGHT("0"&amp;HOUR(D1818),2)&amp;":"&amp;RIGHT("0"&amp;MINUTE(D1818),2))&amp;" ")&amp;F1818)</f>
        <v/>
      </c>
      <c r="N1818" s="54">
        <f>IF(OR(A1818="",F1818=""),"",A1818&amp;"#"&amp;(COUNTIFS($A$5:$A$3004,A1818,$F$5:$F$3004,"?*",$O$5:$O$3004,"&lt;"&amp;O1818)+COUNTIFS($A$5:A1818,A1818,$F$5:F1818,"?*",$O$5:O1818,O1818)))</f>
        <v/>
      </c>
      <c r="O1818" s="54">
        <f>IF(A1818="","",IF(C1818="",0,C1818))</f>
        <v/>
      </c>
    </row>
    <row r="1819">
      <c r="A1819" s="58" t="n"/>
      <c r="B1819" s="49">
        <f>IF(A1819="","",CHOOSE(WEEKDAY(A1819,2),"Пн","Вт","Ср","Чт","Пт","Сб","Вс"))</f>
        <v/>
      </c>
      <c r="C1819" s="59" t="n"/>
      <c r="D1819" s="59" t="n"/>
      <c r="E1819" s="60">
        <f>IF(OR(C1819="",D1819=""),"",MOD(D1819-C1819,1)*24)</f>
        <v/>
      </c>
      <c r="F1819" s="50" t="n"/>
      <c r="G1819" s="51" t="n"/>
      <c r="H1819" s="51" t="n"/>
      <c r="I1819" s="51" t="n"/>
      <c r="J1819" s="51" t="n"/>
      <c r="K1819" s="51" t="n"/>
      <c r="L1819" s="54">
        <f>IF(OR(A1819="",C1819="",D1819=""),"",IF(COUNTIFS($A$5:$A$3004,A1819,$C$5:$C$3004,"&lt;"&amp;D1819,$D$5:$D$3004,"&gt;"&amp;C1819)&gt;1,"⚠️ пересечение",""))</f>
        <v/>
      </c>
      <c r="M1819" s="54">
        <f>IF(F1819="","",IF(J1819="✅ Сделано","✔ ",IF(J1819="❌ Пропущено","✖ ","⏰ "))&amp;IF(C1819="","",RIGHT("0"&amp;HOUR(C1819),2)&amp;":"&amp;RIGHT("0"&amp;MINUTE(C1819),2)&amp;IF(D1819="","","–"&amp;RIGHT("0"&amp;HOUR(D1819),2)&amp;":"&amp;RIGHT("0"&amp;MINUTE(D1819),2))&amp;" ")&amp;F1819)</f>
        <v/>
      </c>
      <c r="N1819" s="54">
        <f>IF(OR(A1819="",F1819=""),"",A1819&amp;"#"&amp;(COUNTIFS($A$5:$A$3004,A1819,$F$5:$F$3004,"?*",$O$5:$O$3004,"&lt;"&amp;O1819)+COUNTIFS($A$5:A1819,A1819,$F$5:F1819,"?*",$O$5:O1819,O1819)))</f>
        <v/>
      </c>
      <c r="O1819" s="54">
        <f>IF(A1819="","",IF(C1819="",0,C1819))</f>
        <v/>
      </c>
    </row>
    <row r="1820">
      <c r="A1820" s="58" t="n"/>
      <c r="B1820" s="49">
        <f>IF(A1820="","",CHOOSE(WEEKDAY(A1820,2),"Пн","Вт","Ср","Чт","Пт","Сб","Вс"))</f>
        <v/>
      </c>
      <c r="C1820" s="59" t="n"/>
      <c r="D1820" s="59" t="n"/>
      <c r="E1820" s="60">
        <f>IF(OR(C1820="",D1820=""),"",MOD(D1820-C1820,1)*24)</f>
        <v/>
      </c>
      <c r="F1820" s="50" t="n"/>
      <c r="G1820" s="51" t="n"/>
      <c r="H1820" s="51" t="n"/>
      <c r="I1820" s="51" t="n"/>
      <c r="J1820" s="51" t="n"/>
      <c r="K1820" s="51" t="n"/>
      <c r="L1820" s="54">
        <f>IF(OR(A1820="",C1820="",D1820=""),"",IF(COUNTIFS($A$5:$A$3004,A1820,$C$5:$C$3004,"&lt;"&amp;D1820,$D$5:$D$3004,"&gt;"&amp;C1820)&gt;1,"⚠️ пересечение",""))</f>
        <v/>
      </c>
      <c r="M1820" s="54">
        <f>IF(F1820="","",IF(J1820="✅ Сделано","✔ ",IF(J1820="❌ Пропущено","✖ ","⏰ "))&amp;IF(C1820="","",RIGHT("0"&amp;HOUR(C1820),2)&amp;":"&amp;RIGHT("0"&amp;MINUTE(C1820),2)&amp;IF(D1820="","","–"&amp;RIGHT("0"&amp;HOUR(D1820),2)&amp;":"&amp;RIGHT("0"&amp;MINUTE(D1820),2))&amp;" ")&amp;F1820)</f>
        <v/>
      </c>
      <c r="N1820" s="54">
        <f>IF(OR(A1820="",F1820=""),"",A1820&amp;"#"&amp;(COUNTIFS($A$5:$A$3004,A1820,$F$5:$F$3004,"?*",$O$5:$O$3004,"&lt;"&amp;O1820)+COUNTIFS($A$5:A1820,A1820,$F$5:F1820,"?*",$O$5:O1820,O1820)))</f>
        <v/>
      </c>
      <c r="O1820" s="54">
        <f>IF(A1820="","",IF(C1820="",0,C1820))</f>
        <v/>
      </c>
    </row>
    <row r="1821">
      <c r="A1821" s="58" t="n"/>
      <c r="B1821" s="49">
        <f>IF(A1821="","",CHOOSE(WEEKDAY(A1821,2),"Пн","Вт","Ср","Чт","Пт","Сб","Вс"))</f>
        <v/>
      </c>
      <c r="C1821" s="59" t="n"/>
      <c r="D1821" s="59" t="n"/>
      <c r="E1821" s="60">
        <f>IF(OR(C1821="",D1821=""),"",MOD(D1821-C1821,1)*24)</f>
        <v/>
      </c>
      <c r="F1821" s="50" t="n"/>
      <c r="G1821" s="51" t="n"/>
      <c r="H1821" s="51" t="n"/>
      <c r="I1821" s="51" t="n"/>
      <c r="J1821" s="51" t="n"/>
      <c r="K1821" s="51" t="n"/>
      <c r="L1821" s="54">
        <f>IF(OR(A1821="",C1821="",D1821=""),"",IF(COUNTIFS($A$5:$A$3004,A1821,$C$5:$C$3004,"&lt;"&amp;D1821,$D$5:$D$3004,"&gt;"&amp;C1821)&gt;1,"⚠️ пересечение",""))</f>
        <v/>
      </c>
      <c r="M1821" s="54">
        <f>IF(F1821="","",IF(J1821="✅ Сделано","✔ ",IF(J1821="❌ Пропущено","✖ ","⏰ "))&amp;IF(C1821="","",RIGHT("0"&amp;HOUR(C1821),2)&amp;":"&amp;RIGHT("0"&amp;MINUTE(C1821),2)&amp;IF(D1821="","","–"&amp;RIGHT("0"&amp;HOUR(D1821),2)&amp;":"&amp;RIGHT("0"&amp;MINUTE(D1821),2))&amp;" ")&amp;F1821)</f>
        <v/>
      </c>
      <c r="N1821" s="54">
        <f>IF(OR(A1821="",F1821=""),"",A1821&amp;"#"&amp;(COUNTIFS($A$5:$A$3004,A1821,$F$5:$F$3004,"?*",$O$5:$O$3004,"&lt;"&amp;O1821)+COUNTIFS($A$5:A1821,A1821,$F$5:F1821,"?*",$O$5:O1821,O1821)))</f>
        <v/>
      </c>
      <c r="O1821" s="54">
        <f>IF(A1821="","",IF(C1821="",0,C1821))</f>
        <v/>
      </c>
    </row>
    <row r="1822">
      <c r="A1822" s="58" t="n"/>
      <c r="B1822" s="49">
        <f>IF(A1822="","",CHOOSE(WEEKDAY(A1822,2),"Пн","Вт","Ср","Чт","Пт","Сб","Вс"))</f>
        <v/>
      </c>
      <c r="C1822" s="59" t="n"/>
      <c r="D1822" s="59" t="n"/>
      <c r="E1822" s="60">
        <f>IF(OR(C1822="",D1822=""),"",MOD(D1822-C1822,1)*24)</f>
        <v/>
      </c>
      <c r="F1822" s="50" t="n"/>
      <c r="G1822" s="51" t="n"/>
      <c r="H1822" s="51" t="n"/>
      <c r="I1822" s="51" t="n"/>
      <c r="J1822" s="51" t="n"/>
      <c r="K1822" s="51" t="n"/>
      <c r="L1822" s="54">
        <f>IF(OR(A1822="",C1822="",D1822=""),"",IF(COUNTIFS($A$5:$A$3004,A1822,$C$5:$C$3004,"&lt;"&amp;D1822,$D$5:$D$3004,"&gt;"&amp;C1822)&gt;1,"⚠️ пересечение",""))</f>
        <v/>
      </c>
      <c r="M1822" s="54">
        <f>IF(F1822="","",IF(J1822="✅ Сделано","✔ ",IF(J1822="❌ Пропущено","✖ ","⏰ "))&amp;IF(C1822="","",RIGHT("0"&amp;HOUR(C1822),2)&amp;":"&amp;RIGHT("0"&amp;MINUTE(C1822),2)&amp;IF(D1822="","","–"&amp;RIGHT("0"&amp;HOUR(D1822),2)&amp;":"&amp;RIGHT("0"&amp;MINUTE(D1822),2))&amp;" ")&amp;F1822)</f>
        <v/>
      </c>
      <c r="N1822" s="54">
        <f>IF(OR(A1822="",F1822=""),"",A1822&amp;"#"&amp;(COUNTIFS($A$5:$A$3004,A1822,$F$5:$F$3004,"?*",$O$5:$O$3004,"&lt;"&amp;O1822)+COUNTIFS($A$5:A1822,A1822,$F$5:F1822,"?*",$O$5:O1822,O1822)))</f>
        <v/>
      </c>
      <c r="O1822" s="54">
        <f>IF(A1822="","",IF(C1822="",0,C1822))</f>
        <v/>
      </c>
    </row>
    <row r="1823">
      <c r="A1823" s="58" t="n"/>
      <c r="B1823" s="49">
        <f>IF(A1823="","",CHOOSE(WEEKDAY(A1823,2),"Пн","Вт","Ср","Чт","Пт","Сб","Вс"))</f>
        <v/>
      </c>
      <c r="C1823" s="59" t="n"/>
      <c r="D1823" s="59" t="n"/>
      <c r="E1823" s="60">
        <f>IF(OR(C1823="",D1823=""),"",MOD(D1823-C1823,1)*24)</f>
        <v/>
      </c>
      <c r="F1823" s="50" t="n"/>
      <c r="G1823" s="51" t="n"/>
      <c r="H1823" s="51" t="n"/>
      <c r="I1823" s="51" t="n"/>
      <c r="J1823" s="51" t="n"/>
      <c r="K1823" s="51" t="n"/>
      <c r="L1823" s="54">
        <f>IF(OR(A1823="",C1823="",D1823=""),"",IF(COUNTIFS($A$5:$A$3004,A1823,$C$5:$C$3004,"&lt;"&amp;D1823,$D$5:$D$3004,"&gt;"&amp;C1823)&gt;1,"⚠️ пересечение",""))</f>
        <v/>
      </c>
      <c r="M1823" s="54">
        <f>IF(F1823="","",IF(J1823="✅ Сделано","✔ ",IF(J1823="❌ Пропущено","✖ ","⏰ "))&amp;IF(C1823="","",RIGHT("0"&amp;HOUR(C1823),2)&amp;":"&amp;RIGHT("0"&amp;MINUTE(C1823),2)&amp;IF(D1823="","","–"&amp;RIGHT("0"&amp;HOUR(D1823),2)&amp;":"&amp;RIGHT("0"&amp;MINUTE(D1823),2))&amp;" ")&amp;F1823)</f>
        <v/>
      </c>
      <c r="N1823" s="54">
        <f>IF(OR(A1823="",F1823=""),"",A1823&amp;"#"&amp;(COUNTIFS($A$5:$A$3004,A1823,$F$5:$F$3004,"?*",$O$5:$O$3004,"&lt;"&amp;O1823)+COUNTIFS($A$5:A1823,A1823,$F$5:F1823,"?*",$O$5:O1823,O1823)))</f>
        <v/>
      </c>
      <c r="O1823" s="54">
        <f>IF(A1823="","",IF(C1823="",0,C1823))</f>
        <v/>
      </c>
    </row>
    <row r="1824">
      <c r="A1824" s="58" t="n"/>
      <c r="B1824" s="49">
        <f>IF(A1824="","",CHOOSE(WEEKDAY(A1824,2),"Пн","Вт","Ср","Чт","Пт","Сб","Вс"))</f>
        <v/>
      </c>
      <c r="C1824" s="59" t="n"/>
      <c r="D1824" s="59" t="n"/>
      <c r="E1824" s="60">
        <f>IF(OR(C1824="",D1824=""),"",MOD(D1824-C1824,1)*24)</f>
        <v/>
      </c>
      <c r="F1824" s="50" t="n"/>
      <c r="G1824" s="51" t="n"/>
      <c r="H1824" s="51" t="n"/>
      <c r="I1824" s="51" t="n"/>
      <c r="J1824" s="51" t="n"/>
      <c r="K1824" s="51" t="n"/>
      <c r="L1824" s="54">
        <f>IF(OR(A1824="",C1824="",D1824=""),"",IF(COUNTIFS($A$5:$A$3004,A1824,$C$5:$C$3004,"&lt;"&amp;D1824,$D$5:$D$3004,"&gt;"&amp;C1824)&gt;1,"⚠️ пересечение",""))</f>
        <v/>
      </c>
      <c r="M1824" s="54">
        <f>IF(F1824="","",IF(J1824="✅ Сделано","✔ ",IF(J1824="❌ Пропущено","✖ ","⏰ "))&amp;IF(C1824="","",RIGHT("0"&amp;HOUR(C1824),2)&amp;":"&amp;RIGHT("0"&amp;MINUTE(C1824),2)&amp;IF(D1824="","","–"&amp;RIGHT("0"&amp;HOUR(D1824),2)&amp;":"&amp;RIGHT("0"&amp;MINUTE(D1824),2))&amp;" ")&amp;F1824)</f>
        <v/>
      </c>
      <c r="N1824" s="54">
        <f>IF(OR(A1824="",F1824=""),"",A1824&amp;"#"&amp;(COUNTIFS($A$5:$A$3004,A1824,$F$5:$F$3004,"?*",$O$5:$O$3004,"&lt;"&amp;O1824)+COUNTIFS($A$5:A1824,A1824,$F$5:F1824,"?*",$O$5:O1824,O1824)))</f>
        <v/>
      </c>
      <c r="O1824" s="54">
        <f>IF(A1824="","",IF(C1824="",0,C1824))</f>
        <v/>
      </c>
    </row>
    <row r="1825">
      <c r="A1825" s="58" t="n"/>
      <c r="B1825" s="49">
        <f>IF(A1825="","",CHOOSE(WEEKDAY(A1825,2),"Пн","Вт","Ср","Чт","Пт","Сб","Вс"))</f>
        <v/>
      </c>
      <c r="C1825" s="59" t="n"/>
      <c r="D1825" s="59" t="n"/>
      <c r="E1825" s="60">
        <f>IF(OR(C1825="",D1825=""),"",MOD(D1825-C1825,1)*24)</f>
        <v/>
      </c>
      <c r="F1825" s="50" t="n"/>
      <c r="G1825" s="51" t="n"/>
      <c r="H1825" s="51" t="n"/>
      <c r="I1825" s="51" t="n"/>
      <c r="J1825" s="51" t="n"/>
      <c r="K1825" s="51" t="n"/>
      <c r="L1825" s="54">
        <f>IF(OR(A1825="",C1825="",D1825=""),"",IF(COUNTIFS($A$5:$A$3004,A1825,$C$5:$C$3004,"&lt;"&amp;D1825,$D$5:$D$3004,"&gt;"&amp;C1825)&gt;1,"⚠️ пересечение",""))</f>
        <v/>
      </c>
      <c r="M1825" s="54">
        <f>IF(F1825="","",IF(J1825="✅ Сделано","✔ ",IF(J1825="❌ Пропущено","✖ ","⏰ "))&amp;IF(C1825="","",RIGHT("0"&amp;HOUR(C1825),2)&amp;":"&amp;RIGHT("0"&amp;MINUTE(C1825),2)&amp;IF(D1825="","","–"&amp;RIGHT("0"&amp;HOUR(D1825),2)&amp;":"&amp;RIGHT("0"&amp;MINUTE(D1825),2))&amp;" ")&amp;F1825)</f>
        <v/>
      </c>
      <c r="N1825" s="54">
        <f>IF(OR(A1825="",F1825=""),"",A1825&amp;"#"&amp;(COUNTIFS($A$5:$A$3004,A1825,$F$5:$F$3004,"?*",$O$5:$O$3004,"&lt;"&amp;O1825)+COUNTIFS($A$5:A1825,A1825,$F$5:F1825,"?*",$O$5:O1825,O1825)))</f>
        <v/>
      </c>
      <c r="O1825" s="54">
        <f>IF(A1825="","",IF(C1825="",0,C1825))</f>
        <v/>
      </c>
    </row>
    <row r="1826">
      <c r="A1826" s="58" t="n"/>
      <c r="B1826" s="49">
        <f>IF(A1826="","",CHOOSE(WEEKDAY(A1826,2),"Пн","Вт","Ср","Чт","Пт","Сб","Вс"))</f>
        <v/>
      </c>
      <c r="C1826" s="59" t="n"/>
      <c r="D1826" s="59" t="n"/>
      <c r="E1826" s="60">
        <f>IF(OR(C1826="",D1826=""),"",MOD(D1826-C1826,1)*24)</f>
        <v/>
      </c>
      <c r="F1826" s="50" t="n"/>
      <c r="G1826" s="51" t="n"/>
      <c r="H1826" s="51" t="n"/>
      <c r="I1826" s="51" t="n"/>
      <c r="J1826" s="51" t="n"/>
      <c r="K1826" s="51" t="n"/>
      <c r="L1826" s="54">
        <f>IF(OR(A1826="",C1826="",D1826=""),"",IF(COUNTIFS($A$5:$A$3004,A1826,$C$5:$C$3004,"&lt;"&amp;D1826,$D$5:$D$3004,"&gt;"&amp;C1826)&gt;1,"⚠️ пересечение",""))</f>
        <v/>
      </c>
      <c r="M1826" s="54">
        <f>IF(F1826="","",IF(J1826="✅ Сделано","✔ ",IF(J1826="❌ Пропущено","✖ ","⏰ "))&amp;IF(C1826="","",RIGHT("0"&amp;HOUR(C1826),2)&amp;":"&amp;RIGHT("0"&amp;MINUTE(C1826),2)&amp;IF(D1826="","","–"&amp;RIGHT("0"&amp;HOUR(D1826),2)&amp;":"&amp;RIGHT("0"&amp;MINUTE(D1826),2))&amp;" ")&amp;F1826)</f>
        <v/>
      </c>
      <c r="N1826" s="54">
        <f>IF(OR(A1826="",F1826=""),"",A1826&amp;"#"&amp;(COUNTIFS($A$5:$A$3004,A1826,$F$5:$F$3004,"?*",$O$5:$O$3004,"&lt;"&amp;O1826)+COUNTIFS($A$5:A1826,A1826,$F$5:F1826,"?*",$O$5:O1826,O1826)))</f>
        <v/>
      </c>
      <c r="O1826" s="54">
        <f>IF(A1826="","",IF(C1826="",0,C1826))</f>
        <v/>
      </c>
    </row>
    <row r="1827">
      <c r="A1827" s="58" t="n"/>
      <c r="B1827" s="49">
        <f>IF(A1827="","",CHOOSE(WEEKDAY(A1827,2),"Пн","Вт","Ср","Чт","Пт","Сб","Вс"))</f>
        <v/>
      </c>
      <c r="C1827" s="59" t="n"/>
      <c r="D1827" s="59" t="n"/>
      <c r="E1827" s="60">
        <f>IF(OR(C1827="",D1827=""),"",MOD(D1827-C1827,1)*24)</f>
        <v/>
      </c>
      <c r="F1827" s="50" t="n"/>
      <c r="G1827" s="51" t="n"/>
      <c r="H1827" s="51" t="n"/>
      <c r="I1827" s="51" t="n"/>
      <c r="J1827" s="51" t="n"/>
      <c r="K1827" s="51" t="n"/>
      <c r="L1827" s="54">
        <f>IF(OR(A1827="",C1827="",D1827=""),"",IF(COUNTIFS($A$5:$A$3004,A1827,$C$5:$C$3004,"&lt;"&amp;D1827,$D$5:$D$3004,"&gt;"&amp;C1827)&gt;1,"⚠️ пересечение",""))</f>
        <v/>
      </c>
      <c r="M1827" s="54">
        <f>IF(F1827="","",IF(J1827="✅ Сделано","✔ ",IF(J1827="❌ Пропущено","✖ ","⏰ "))&amp;IF(C1827="","",RIGHT("0"&amp;HOUR(C1827),2)&amp;":"&amp;RIGHT("0"&amp;MINUTE(C1827),2)&amp;IF(D1827="","","–"&amp;RIGHT("0"&amp;HOUR(D1827),2)&amp;":"&amp;RIGHT("0"&amp;MINUTE(D1827),2))&amp;" ")&amp;F1827)</f>
        <v/>
      </c>
      <c r="N1827" s="54">
        <f>IF(OR(A1827="",F1827=""),"",A1827&amp;"#"&amp;(COUNTIFS($A$5:$A$3004,A1827,$F$5:$F$3004,"?*",$O$5:$O$3004,"&lt;"&amp;O1827)+COUNTIFS($A$5:A1827,A1827,$F$5:F1827,"?*",$O$5:O1827,O1827)))</f>
        <v/>
      </c>
      <c r="O1827" s="54">
        <f>IF(A1827="","",IF(C1827="",0,C1827))</f>
        <v/>
      </c>
    </row>
    <row r="1828">
      <c r="A1828" s="58" t="n"/>
      <c r="B1828" s="49">
        <f>IF(A1828="","",CHOOSE(WEEKDAY(A1828,2),"Пн","Вт","Ср","Чт","Пт","Сб","Вс"))</f>
        <v/>
      </c>
      <c r="C1828" s="59" t="n"/>
      <c r="D1828" s="59" t="n"/>
      <c r="E1828" s="60">
        <f>IF(OR(C1828="",D1828=""),"",MOD(D1828-C1828,1)*24)</f>
        <v/>
      </c>
      <c r="F1828" s="50" t="n"/>
      <c r="G1828" s="51" t="n"/>
      <c r="H1828" s="51" t="n"/>
      <c r="I1828" s="51" t="n"/>
      <c r="J1828" s="51" t="n"/>
      <c r="K1828" s="51" t="n"/>
      <c r="L1828" s="54">
        <f>IF(OR(A1828="",C1828="",D1828=""),"",IF(COUNTIFS($A$5:$A$3004,A1828,$C$5:$C$3004,"&lt;"&amp;D1828,$D$5:$D$3004,"&gt;"&amp;C1828)&gt;1,"⚠️ пересечение",""))</f>
        <v/>
      </c>
      <c r="M1828" s="54">
        <f>IF(F1828="","",IF(J1828="✅ Сделано","✔ ",IF(J1828="❌ Пропущено","✖ ","⏰ "))&amp;IF(C1828="","",RIGHT("0"&amp;HOUR(C1828),2)&amp;":"&amp;RIGHT("0"&amp;MINUTE(C1828),2)&amp;IF(D1828="","","–"&amp;RIGHT("0"&amp;HOUR(D1828),2)&amp;":"&amp;RIGHT("0"&amp;MINUTE(D1828),2))&amp;" ")&amp;F1828)</f>
        <v/>
      </c>
      <c r="N1828" s="54">
        <f>IF(OR(A1828="",F1828=""),"",A1828&amp;"#"&amp;(COUNTIFS($A$5:$A$3004,A1828,$F$5:$F$3004,"?*",$O$5:$O$3004,"&lt;"&amp;O1828)+COUNTIFS($A$5:A1828,A1828,$F$5:F1828,"?*",$O$5:O1828,O1828)))</f>
        <v/>
      </c>
      <c r="O1828" s="54">
        <f>IF(A1828="","",IF(C1828="",0,C1828))</f>
        <v/>
      </c>
    </row>
    <row r="1829">
      <c r="A1829" s="58" t="n"/>
      <c r="B1829" s="49">
        <f>IF(A1829="","",CHOOSE(WEEKDAY(A1829,2),"Пн","Вт","Ср","Чт","Пт","Сб","Вс"))</f>
        <v/>
      </c>
      <c r="C1829" s="59" t="n"/>
      <c r="D1829" s="59" t="n"/>
      <c r="E1829" s="60">
        <f>IF(OR(C1829="",D1829=""),"",MOD(D1829-C1829,1)*24)</f>
        <v/>
      </c>
      <c r="F1829" s="50" t="n"/>
      <c r="G1829" s="51" t="n"/>
      <c r="H1829" s="51" t="n"/>
      <c r="I1829" s="51" t="n"/>
      <c r="J1829" s="51" t="n"/>
      <c r="K1829" s="51" t="n"/>
      <c r="L1829" s="54">
        <f>IF(OR(A1829="",C1829="",D1829=""),"",IF(COUNTIFS($A$5:$A$3004,A1829,$C$5:$C$3004,"&lt;"&amp;D1829,$D$5:$D$3004,"&gt;"&amp;C1829)&gt;1,"⚠️ пересечение",""))</f>
        <v/>
      </c>
      <c r="M1829" s="54">
        <f>IF(F1829="","",IF(J1829="✅ Сделано","✔ ",IF(J1829="❌ Пропущено","✖ ","⏰ "))&amp;IF(C1829="","",RIGHT("0"&amp;HOUR(C1829),2)&amp;":"&amp;RIGHT("0"&amp;MINUTE(C1829),2)&amp;IF(D1829="","","–"&amp;RIGHT("0"&amp;HOUR(D1829),2)&amp;":"&amp;RIGHT("0"&amp;MINUTE(D1829),2))&amp;" ")&amp;F1829)</f>
        <v/>
      </c>
      <c r="N1829" s="54">
        <f>IF(OR(A1829="",F1829=""),"",A1829&amp;"#"&amp;(COUNTIFS($A$5:$A$3004,A1829,$F$5:$F$3004,"?*",$O$5:$O$3004,"&lt;"&amp;O1829)+COUNTIFS($A$5:A1829,A1829,$F$5:F1829,"?*",$O$5:O1829,O1829)))</f>
        <v/>
      </c>
      <c r="O1829" s="54">
        <f>IF(A1829="","",IF(C1829="",0,C1829))</f>
        <v/>
      </c>
    </row>
    <row r="1830">
      <c r="A1830" s="58" t="n"/>
      <c r="B1830" s="49">
        <f>IF(A1830="","",CHOOSE(WEEKDAY(A1830,2),"Пн","Вт","Ср","Чт","Пт","Сб","Вс"))</f>
        <v/>
      </c>
      <c r="C1830" s="59" t="n"/>
      <c r="D1830" s="59" t="n"/>
      <c r="E1830" s="60">
        <f>IF(OR(C1830="",D1830=""),"",MOD(D1830-C1830,1)*24)</f>
        <v/>
      </c>
      <c r="F1830" s="50" t="n"/>
      <c r="G1830" s="51" t="n"/>
      <c r="H1830" s="51" t="n"/>
      <c r="I1830" s="51" t="n"/>
      <c r="J1830" s="51" t="n"/>
      <c r="K1830" s="51" t="n"/>
      <c r="L1830" s="54">
        <f>IF(OR(A1830="",C1830="",D1830=""),"",IF(COUNTIFS($A$5:$A$3004,A1830,$C$5:$C$3004,"&lt;"&amp;D1830,$D$5:$D$3004,"&gt;"&amp;C1830)&gt;1,"⚠️ пересечение",""))</f>
        <v/>
      </c>
      <c r="M1830" s="54">
        <f>IF(F1830="","",IF(J1830="✅ Сделано","✔ ",IF(J1830="❌ Пропущено","✖ ","⏰ "))&amp;IF(C1830="","",RIGHT("0"&amp;HOUR(C1830),2)&amp;":"&amp;RIGHT("0"&amp;MINUTE(C1830),2)&amp;IF(D1830="","","–"&amp;RIGHT("0"&amp;HOUR(D1830),2)&amp;":"&amp;RIGHT("0"&amp;MINUTE(D1830),2))&amp;" ")&amp;F1830)</f>
        <v/>
      </c>
      <c r="N1830" s="54">
        <f>IF(OR(A1830="",F1830=""),"",A1830&amp;"#"&amp;(COUNTIFS($A$5:$A$3004,A1830,$F$5:$F$3004,"?*",$O$5:$O$3004,"&lt;"&amp;O1830)+COUNTIFS($A$5:A1830,A1830,$F$5:F1830,"?*",$O$5:O1830,O1830)))</f>
        <v/>
      </c>
      <c r="O1830" s="54">
        <f>IF(A1830="","",IF(C1830="",0,C1830))</f>
        <v/>
      </c>
    </row>
    <row r="1831">
      <c r="A1831" s="58" t="n"/>
      <c r="B1831" s="49">
        <f>IF(A1831="","",CHOOSE(WEEKDAY(A1831,2),"Пн","Вт","Ср","Чт","Пт","Сб","Вс"))</f>
        <v/>
      </c>
      <c r="C1831" s="59" t="n"/>
      <c r="D1831" s="59" t="n"/>
      <c r="E1831" s="60">
        <f>IF(OR(C1831="",D1831=""),"",MOD(D1831-C1831,1)*24)</f>
        <v/>
      </c>
      <c r="F1831" s="50" t="n"/>
      <c r="G1831" s="51" t="n"/>
      <c r="H1831" s="51" t="n"/>
      <c r="I1831" s="51" t="n"/>
      <c r="J1831" s="51" t="n"/>
      <c r="K1831" s="51" t="n"/>
      <c r="L1831" s="54">
        <f>IF(OR(A1831="",C1831="",D1831=""),"",IF(COUNTIFS($A$5:$A$3004,A1831,$C$5:$C$3004,"&lt;"&amp;D1831,$D$5:$D$3004,"&gt;"&amp;C1831)&gt;1,"⚠️ пересечение",""))</f>
        <v/>
      </c>
      <c r="M1831" s="54">
        <f>IF(F1831="","",IF(J1831="✅ Сделано","✔ ",IF(J1831="❌ Пропущено","✖ ","⏰ "))&amp;IF(C1831="","",RIGHT("0"&amp;HOUR(C1831),2)&amp;":"&amp;RIGHT("0"&amp;MINUTE(C1831),2)&amp;IF(D1831="","","–"&amp;RIGHT("0"&amp;HOUR(D1831),2)&amp;":"&amp;RIGHT("0"&amp;MINUTE(D1831),2))&amp;" ")&amp;F1831)</f>
        <v/>
      </c>
      <c r="N1831" s="54">
        <f>IF(OR(A1831="",F1831=""),"",A1831&amp;"#"&amp;(COUNTIFS($A$5:$A$3004,A1831,$F$5:$F$3004,"?*",$O$5:$O$3004,"&lt;"&amp;O1831)+COUNTIFS($A$5:A1831,A1831,$F$5:F1831,"?*",$O$5:O1831,O1831)))</f>
        <v/>
      </c>
      <c r="O1831" s="54">
        <f>IF(A1831="","",IF(C1831="",0,C1831))</f>
        <v/>
      </c>
    </row>
    <row r="1832">
      <c r="A1832" s="58" t="n"/>
      <c r="B1832" s="49">
        <f>IF(A1832="","",CHOOSE(WEEKDAY(A1832,2),"Пн","Вт","Ср","Чт","Пт","Сб","Вс"))</f>
        <v/>
      </c>
      <c r="C1832" s="59" t="n"/>
      <c r="D1832" s="59" t="n"/>
      <c r="E1832" s="60">
        <f>IF(OR(C1832="",D1832=""),"",MOD(D1832-C1832,1)*24)</f>
        <v/>
      </c>
      <c r="F1832" s="50" t="n"/>
      <c r="G1832" s="51" t="n"/>
      <c r="H1832" s="51" t="n"/>
      <c r="I1832" s="51" t="n"/>
      <c r="J1832" s="51" t="n"/>
      <c r="K1832" s="51" t="n"/>
      <c r="L1832" s="54">
        <f>IF(OR(A1832="",C1832="",D1832=""),"",IF(COUNTIFS($A$5:$A$3004,A1832,$C$5:$C$3004,"&lt;"&amp;D1832,$D$5:$D$3004,"&gt;"&amp;C1832)&gt;1,"⚠️ пересечение",""))</f>
        <v/>
      </c>
      <c r="M1832" s="54">
        <f>IF(F1832="","",IF(J1832="✅ Сделано","✔ ",IF(J1832="❌ Пропущено","✖ ","⏰ "))&amp;IF(C1832="","",RIGHT("0"&amp;HOUR(C1832),2)&amp;":"&amp;RIGHT("0"&amp;MINUTE(C1832),2)&amp;IF(D1832="","","–"&amp;RIGHT("0"&amp;HOUR(D1832),2)&amp;":"&amp;RIGHT("0"&amp;MINUTE(D1832),2))&amp;" ")&amp;F1832)</f>
        <v/>
      </c>
      <c r="N1832" s="54">
        <f>IF(OR(A1832="",F1832=""),"",A1832&amp;"#"&amp;(COUNTIFS($A$5:$A$3004,A1832,$F$5:$F$3004,"?*",$O$5:$O$3004,"&lt;"&amp;O1832)+COUNTIFS($A$5:A1832,A1832,$F$5:F1832,"?*",$O$5:O1832,O1832)))</f>
        <v/>
      </c>
      <c r="O1832" s="54">
        <f>IF(A1832="","",IF(C1832="",0,C1832))</f>
        <v/>
      </c>
    </row>
    <row r="1833">
      <c r="A1833" s="58" t="n"/>
      <c r="B1833" s="49">
        <f>IF(A1833="","",CHOOSE(WEEKDAY(A1833,2),"Пн","Вт","Ср","Чт","Пт","Сб","Вс"))</f>
        <v/>
      </c>
      <c r="C1833" s="59" t="n"/>
      <c r="D1833" s="59" t="n"/>
      <c r="E1833" s="60">
        <f>IF(OR(C1833="",D1833=""),"",MOD(D1833-C1833,1)*24)</f>
        <v/>
      </c>
      <c r="F1833" s="50" t="n"/>
      <c r="G1833" s="51" t="n"/>
      <c r="H1833" s="51" t="n"/>
      <c r="I1833" s="51" t="n"/>
      <c r="J1833" s="51" t="n"/>
      <c r="K1833" s="51" t="n"/>
      <c r="L1833" s="54">
        <f>IF(OR(A1833="",C1833="",D1833=""),"",IF(COUNTIFS($A$5:$A$3004,A1833,$C$5:$C$3004,"&lt;"&amp;D1833,$D$5:$D$3004,"&gt;"&amp;C1833)&gt;1,"⚠️ пересечение",""))</f>
        <v/>
      </c>
      <c r="M1833" s="54">
        <f>IF(F1833="","",IF(J1833="✅ Сделано","✔ ",IF(J1833="❌ Пропущено","✖ ","⏰ "))&amp;IF(C1833="","",RIGHT("0"&amp;HOUR(C1833),2)&amp;":"&amp;RIGHT("0"&amp;MINUTE(C1833),2)&amp;IF(D1833="","","–"&amp;RIGHT("0"&amp;HOUR(D1833),2)&amp;":"&amp;RIGHT("0"&amp;MINUTE(D1833),2))&amp;" ")&amp;F1833)</f>
        <v/>
      </c>
      <c r="N1833" s="54">
        <f>IF(OR(A1833="",F1833=""),"",A1833&amp;"#"&amp;(COUNTIFS($A$5:$A$3004,A1833,$F$5:$F$3004,"?*",$O$5:$O$3004,"&lt;"&amp;O1833)+COUNTIFS($A$5:A1833,A1833,$F$5:F1833,"?*",$O$5:O1833,O1833)))</f>
        <v/>
      </c>
      <c r="O1833" s="54">
        <f>IF(A1833="","",IF(C1833="",0,C1833))</f>
        <v/>
      </c>
    </row>
    <row r="1834">
      <c r="A1834" s="58" t="n"/>
      <c r="B1834" s="49">
        <f>IF(A1834="","",CHOOSE(WEEKDAY(A1834,2),"Пн","Вт","Ср","Чт","Пт","Сб","Вс"))</f>
        <v/>
      </c>
      <c r="C1834" s="59" t="n"/>
      <c r="D1834" s="59" t="n"/>
      <c r="E1834" s="60">
        <f>IF(OR(C1834="",D1834=""),"",MOD(D1834-C1834,1)*24)</f>
        <v/>
      </c>
      <c r="F1834" s="50" t="n"/>
      <c r="G1834" s="51" t="n"/>
      <c r="H1834" s="51" t="n"/>
      <c r="I1834" s="51" t="n"/>
      <c r="J1834" s="51" t="n"/>
      <c r="K1834" s="51" t="n"/>
      <c r="L1834" s="54">
        <f>IF(OR(A1834="",C1834="",D1834=""),"",IF(COUNTIFS($A$5:$A$3004,A1834,$C$5:$C$3004,"&lt;"&amp;D1834,$D$5:$D$3004,"&gt;"&amp;C1834)&gt;1,"⚠️ пересечение",""))</f>
        <v/>
      </c>
      <c r="M1834" s="54">
        <f>IF(F1834="","",IF(J1834="✅ Сделано","✔ ",IF(J1834="❌ Пропущено","✖ ","⏰ "))&amp;IF(C1834="","",RIGHT("0"&amp;HOUR(C1834),2)&amp;":"&amp;RIGHT("0"&amp;MINUTE(C1834),2)&amp;IF(D1834="","","–"&amp;RIGHT("0"&amp;HOUR(D1834),2)&amp;":"&amp;RIGHT("0"&amp;MINUTE(D1834),2))&amp;" ")&amp;F1834)</f>
        <v/>
      </c>
      <c r="N1834" s="54">
        <f>IF(OR(A1834="",F1834=""),"",A1834&amp;"#"&amp;(COUNTIFS($A$5:$A$3004,A1834,$F$5:$F$3004,"?*",$O$5:$O$3004,"&lt;"&amp;O1834)+COUNTIFS($A$5:A1834,A1834,$F$5:F1834,"?*",$O$5:O1834,O1834)))</f>
        <v/>
      </c>
      <c r="O1834" s="54">
        <f>IF(A1834="","",IF(C1834="",0,C1834))</f>
        <v/>
      </c>
    </row>
    <row r="1835">
      <c r="A1835" s="58" t="n"/>
      <c r="B1835" s="49">
        <f>IF(A1835="","",CHOOSE(WEEKDAY(A1835,2),"Пн","Вт","Ср","Чт","Пт","Сб","Вс"))</f>
        <v/>
      </c>
      <c r="C1835" s="59" t="n"/>
      <c r="D1835" s="59" t="n"/>
      <c r="E1835" s="60">
        <f>IF(OR(C1835="",D1835=""),"",MOD(D1835-C1835,1)*24)</f>
        <v/>
      </c>
      <c r="F1835" s="50" t="n"/>
      <c r="G1835" s="51" t="n"/>
      <c r="H1835" s="51" t="n"/>
      <c r="I1835" s="51" t="n"/>
      <c r="J1835" s="51" t="n"/>
      <c r="K1835" s="51" t="n"/>
      <c r="L1835" s="54">
        <f>IF(OR(A1835="",C1835="",D1835=""),"",IF(COUNTIFS($A$5:$A$3004,A1835,$C$5:$C$3004,"&lt;"&amp;D1835,$D$5:$D$3004,"&gt;"&amp;C1835)&gt;1,"⚠️ пересечение",""))</f>
        <v/>
      </c>
      <c r="M1835" s="54">
        <f>IF(F1835="","",IF(J1835="✅ Сделано","✔ ",IF(J1835="❌ Пропущено","✖ ","⏰ "))&amp;IF(C1835="","",RIGHT("0"&amp;HOUR(C1835),2)&amp;":"&amp;RIGHT("0"&amp;MINUTE(C1835),2)&amp;IF(D1835="","","–"&amp;RIGHT("0"&amp;HOUR(D1835),2)&amp;":"&amp;RIGHT("0"&amp;MINUTE(D1835),2))&amp;" ")&amp;F1835)</f>
        <v/>
      </c>
      <c r="N1835" s="54">
        <f>IF(OR(A1835="",F1835=""),"",A1835&amp;"#"&amp;(COUNTIFS($A$5:$A$3004,A1835,$F$5:$F$3004,"?*",$O$5:$O$3004,"&lt;"&amp;O1835)+COUNTIFS($A$5:A1835,A1835,$F$5:F1835,"?*",$O$5:O1835,O1835)))</f>
        <v/>
      </c>
      <c r="O1835" s="54">
        <f>IF(A1835="","",IF(C1835="",0,C1835))</f>
        <v/>
      </c>
    </row>
    <row r="1836">
      <c r="A1836" s="58" t="n"/>
      <c r="B1836" s="49">
        <f>IF(A1836="","",CHOOSE(WEEKDAY(A1836,2),"Пн","Вт","Ср","Чт","Пт","Сб","Вс"))</f>
        <v/>
      </c>
      <c r="C1836" s="59" t="n"/>
      <c r="D1836" s="59" t="n"/>
      <c r="E1836" s="60">
        <f>IF(OR(C1836="",D1836=""),"",MOD(D1836-C1836,1)*24)</f>
        <v/>
      </c>
      <c r="F1836" s="50" t="n"/>
      <c r="G1836" s="51" t="n"/>
      <c r="H1836" s="51" t="n"/>
      <c r="I1836" s="51" t="n"/>
      <c r="J1836" s="51" t="n"/>
      <c r="K1836" s="51" t="n"/>
      <c r="L1836" s="54">
        <f>IF(OR(A1836="",C1836="",D1836=""),"",IF(COUNTIFS($A$5:$A$3004,A1836,$C$5:$C$3004,"&lt;"&amp;D1836,$D$5:$D$3004,"&gt;"&amp;C1836)&gt;1,"⚠️ пересечение",""))</f>
        <v/>
      </c>
      <c r="M1836" s="54">
        <f>IF(F1836="","",IF(J1836="✅ Сделано","✔ ",IF(J1836="❌ Пропущено","✖ ","⏰ "))&amp;IF(C1836="","",RIGHT("0"&amp;HOUR(C1836),2)&amp;":"&amp;RIGHT("0"&amp;MINUTE(C1836),2)&amp;IF(D1836="","","–"&amp;RIGHT("0"&amp;HOUR(D1836),2)&amp;":"&amp;RIGHT("0"&amp;MINUTE(D1836),2))&amp;" ")&amp;F1836)</f>
        <v/>
      </c>
      <c r="N1836" s="54">
        <f>IF(OR(A1836="",F1836=""),"",A1836&amp;"#"&amp;(COUNTIFS($A$5:$A$3004,A1836,$F$5:$F$3004,"?*",$O$5:$O$3004,"&lt;"&amp;O1836)+COUNTIFS($A$5:A1836,A1836,$F$5:F1836,"?*",$O$5:O1836,O1836)))</f>
        <v/>
      </c>
      <c r="O1836" s="54">
        <f>IF(A1836="","",IF(C1836="",0,C1836))</f>
        <v/>
      </c>
    </row>
    <row r="1837">
      <c r="A1837" s="58" t="n"/>
      <c r="B1837" s="49">
        <f>IF(A1837="","",CHOOSE(WEEKDAY(A1837,2),"Пн","Вт","Ср","Чт","Пт","Сб","Вс"))</f>
        <v/>
      </c>
      <c r="C1837" s="59" t="n"/>
      <c r="D1837" s="59" t="n"/>
      <c r="E1837" s="60">
        <f>IF(OR(C1837="",D1837=""),"",MOD(D1837-C1837,1)*24)</f>
        <v/>
      </c>
      <c r="F1837" s="50" t="n"/>
      <c r="G1837" s="51" t="n"/>
      <c r="H1837" s="51" t="n"/>
      <c r="I1837" s="51" t="n"/>
      <c r="J1837" s="51" t="n"/>
      <c r="K1837" s="51" t="n"/>
      <c r="L1837" s="54">
        <f>IF(OR(A1837="",C1837="",D1837=""),"",IF(COUNTIFS($A$5:$A$3004,A1837,$C$5:$C$3004,"&lt;"&amp;D1837,$D$5:$D$3004,"&gt;"&amp;C1837)&gt;1,"⚠️ пересечение",""))</f>
        <v/>
      </c>
      <c r="M1837" s="54">
        <f>IF(F1837="","",IF(J1837="✅ Сделано","✔ ",IF(J1837="❌ Пропущено","✖ ","⏰ "))&amp;IF(C1837="","",RIGHT("0"&amp;HOUR(C1837),2)&amp;":"&amp;RIGHT("0"&amp;MINUTE(C1837),2)&amp;IF(D1837="","","–"&amp;RIGHT("0"&amp;HOUR(D1837),2)&amp;":"&amp;RIGHT("0"&amp;MINUTE(D1837),2))&amp;" ")&amp;F1837)</f>
        <v/>
      </c>
      <c r="N1837" s="54">
        <f>IF(OR(A1837="",F1837=""),"",A1837&amp;"#"&amp;(COUNTIFS($A$5:$A$3004,A1837,$F$5:$F$3004,"?*",$O$5:$O$3004,"&lt;"&amp;O1837)+COUNTIFS($A$5:A1837,A1837,$F$5:F1837,"?*",$O$5:O1837,O1837)))</f>
        <v/>
      </c>
      <c r="O1837" s="54">
        <f>IF(A1837="","",IF(C1837="",0,C1837))</f>
        <v/>
      </c>
    </row>
    <row r="1838">
      <c r="A1838" s="58" t="n"/>
      <c r="B1838" s="49">
        <f>IF(A1838="","",CHOOSE(WEEKDAY(A1838,2),"Пн","Вт","Ср","Чт","Пт","Сб","Вс"))</f>
        <v/>
      </c>
      <c r="C1838" s="59" t="n"/>
      <c r="D1838" s="59" t="n"/>
      <c r="E1838" s="60">
        <f>IF(OR(C1838="",D1838=""),"",MOD(D1838-C1838,1)*24)</f>
        <v/>
      </c>
      <c r="F1838" s="50" t="n"/>
      <c r="G1838" s="51" t="n"/>
      <c r="H1838" s="51" t="n"/>
      <c r="I1838" s="51" t="n"/>
      <c r="J1838" s="51" t="n"/>
      <c r="K1838" s="51" t="n"/>
      <c r="L1838" s="54">
        <f>IF(OR(A1838="",C1838="",D1838=""),"",IF(COUNTIFS($A$5:$A$3004,A1838,$C$5:$C$3004,"&lt;"&amp;D1838,$D$5:$D$3004,"&gt;"&amp;C1838)&gt;1,"⚠️ пересечение",""))</f>
        <v/>
      </c>
      <c r="M1838" s="54">
        <f>IF(F1838="","",IF(J1838="✅ Сделано","✔ ",IF(J1838="❌ Пропущено","✖ ","⏰ "))&amp;IF(C1838="","",RIGHT("0"&amp;HOUR(C1838),2)&amp;":"&amp;RIGHT("0"&amp;MINUTE(C1838),2)&amp;IF(D1838="","","–"&amp;RIGHT("0"&amp;HOUR(D1838),2)&amp;":"&amp;RIGHT("0"&amp;MINUTE(D1838),2))&amp;" ")&amp;F1838)</f>
        <v/>
      </c>
      <c r="N1838" s="54">
        <f>IF(OR(A1838="",F1838=""),"",A1838&amp;"#"&amp;(COUNTIFS($A$5:$A$3004,A1838,$F$5:$F$3004,"?*",$O$5:$O$3004,"&lt;"&amp;O1838)+COUNTIFS($A$5:A1838,A1838,$F$5:F1838,"?*",$O$5:O1838,O1838)))</f>
        <v/>
      </c>
      <c r="O1838" s="54">
        <f>IF(A1838="","",IF(C1838="",0,C1838))</f>
        <v/>
      </c>
    </row>
    <row r="1839">
      <c r="A1839" s="58" t="n"/>
      <c r="B1839" s="49">
        <f>IF(A1839="","",CHOOSE(WEEKDAY(A1839,2),"Пн","Вт","Ср","Чт","Пт","Сб","Вс"))</f>
        <v/>
      </c>
      <c r="C1839" s="59" t="n"/>
      <c r="D1839" s="59" t="n"/>
      <c r="E1839" s="60">
        <f>IF(OR(C1839="",D1839=""),"",MOD(D1839-C1839,1)*24)</f>
        <v/>
      </c>
      <c r="F1839" s="50" t="n"/>
      <c r="G1839" s="51" t="n"/>
      <c r="H1839" s="51" t="n"/>
      <c r="I1839" s="51" t="n"/>
      <c r="J1839" s="51" t="n"/>
      <c r="K1839" s="51" t="n"/>
      <c r="L1839" s="54">
        <f>IF(OR(A1839="",C1839="",D1839=""),"",IF(COUNTIFS($A$5:$A$3004,A1839,$C$5:$C$3004,"&lt;"&amp;D1839,$D$5:$D$3004,"&gt;"&amp;C1839)&gt;1,"⚠️ пересечение",""))</f>
        <v/>
      </c>
      <c r="M1839" s="54">
        <f>IF(F1839="","",IF(J1839="✅ Сделано","✔ ",IF(J1839="❌ Пропущено","✖ ","⏰ "))&amp;IF(C1839="","",RIGHT("0"&amp;HOUR(C1839),2)&amp;":"&amp;RIGHT("0"&amp;MINUTE(C1839),2)&amp;IF(D1839="","","–"&amp;RIGHT("0"&amp;HOUR(D1839),2)&amp;":"&amp;RIGHT("0"&amp;MINUTE(D1839),2))&amp;" ")&amp;F1839)</f>
        <v/>
      </c>
      <c r="N1839" s="54">
        <f>IF(OR(A1839="",F1839=""),"",A1839&amp;"#"&amp;(COUNTIFS($A$5:$A$3004,A1839,$F$5:$F$3004,"?*",$O$5:$O$3004,"&lt;"&amp;O1839)+COUNTIFS($A$5:A1839,A1839,$F$5:F1839,"?*",$O$5:O1839,O1839)))</f>
        <v/>
      </c>
      <c r="O1839" s="54">
        <f>IF(A1839="","",IF(C1839="",0,C1839))</f>
        <v/>
      </c>
    </row>
    <row r="1840">
      <c r="A1840" s="58" t="n"/>
      <c r="B1840" s="49">
        <f>IF(A1840="","",CHOOSE(WEEKDAY(A1840,2),"Пн","Вт","Ср","Чт","Пт","Сб","Вс"))</f>
        <v/>
      </c>
      <c r="C1840" s="59" t="n"/>
      <c r="D1840" s="59" t="n"/>
      <c r="E1840" s="60">
        <f>IF(OR(C1840="",D1840=""),"",MOD(D1840-C1840,1)*24)</f>
        <v/>
      </c>
      <c r="F1840" s="50" t="n"/>
      <c r="G1840" s="51" t="n"/>
      <c r="H1840" s="51" t="n"/>
      <c r="I1840" s="51" t="n"/>
      <c r="J1840" s="51" t="n"/>
      <c r="K1840" s="51" t="n"/>
      <c r="L1840" s="54">
        <f>IF(OR(A1840="",C1840="",D1840=""),"",IF(COUNTIFS($A$5:$A$3004,A1840,$C$5:$C$3004,"&lt;"&amp;D1840,$D$5:$D$3004,"&gt;"&amp;C1840)&gt;1,"⚠️ пересечение",""))</f>
        <v/>
      </c>
      <c r="M1840" s="54">
        <f>IF(F1840="","",IF(J1840="✅ Сделано","✔ ",IF(J1840="❌ Пропущено","✖ ","⏰ "))&amp;IF(C1840="","",RIGHT("0"&amp;HOUR(C1840),2)&amp;":"&amp;RIGHT("0"&amp;MINUTE(C1840),2)&amp;IF(D1840="","","–"&amp;RIGHT("0"&amp;HOUR(D1840),2)&amp;":"&amp;RIGHT("0"&amp;MINUTE(D1840),2))&amp;" ")&amp;F1840)</f>
        <v/>
      </c>
      <c r="N1840" s="54">
        <f>IF(OR(A1840="",F1840=""),"",A1840&amp;"#"&amp;(COUNTIFS($A$5:$A$3004,A1840,$F$5:$F$3004,"?*",$O$5:$O$3004,"&lt;"&amp;O1840)+COUNTIFS($A$5:A1840,A1840,$F$5:F1840,"?*",$O$5:O1840,O1840)))</f>
        <v/>
      </c>
      <c r="O1840" s="54">
        <f>IF(A1840="","",IF(C1840="",0,C1840))</f>
        <v/>
      </c>
    </row>
    <row r="1841">
      <c r="A1841" s="58" t="n"/>
      <c r="B1841" s="49">
        <f>IF(A1841="","",CHOOSE(WEEKDAY(A1841,2),"Пн","Вт","Ср","Чт","Пт","Сб","Вс"))</f>
        <v/>
      </c>
      <c r="C1841" s="59" t="n"/>
      <c r="D1841" s="59" t="n"/>
      <c r="E1841" s="60">
        <f>IF(OR(C1841="",D1841=""),"",MOD(D1841-C1841,1)*24)</f>
        <v/>
      </c>
      <c r="F1841" s="50" t="n"/>
      <c r="G1841" s="51" t="n"/>
      <c r="H1841" s="51" t="n"/>
      <c r="I1841" s="51" t="n"/>
      <c r="J1841" s="51" t="n"/>
      <c r="K1841" s="51" t="n"/>
      <c r="L1841" s="54">
        <f>IF(OR(A1841="",C1841="",D1841=""),"",IF(COUNTIFS($A$5:$A$3004,A1841,$C$5:$C$3004,"&lt;"&amp;D1841,$D$5:$D$3004,"&gt;"&amp;C1841)&gt;1,"⚠️ пересечение",""))</f>
        <v/>
      </c>
      <c r="M1841" s="54">
        <f>IF(F1841="","",IF(J1841="✅ Сделано","✔ ",IF(J1841="❌ Пропущено","✖ ","⏰ "))&amp;IF(C1841="","",RIGHT("0"&amp;HOUR(C1841),2)&amp;":"&amp;RIGHT("0"&amp;MINUTE(C1841),2)&amp;IF(D1841="","","–"&amp;RIGHT("0"&amp;HOUR(D1841),2)&amp;":"&amp;RIGHT("0"&amp;MINUTE(D1841),2))&amp;" ")&amp;F1841)</f>
        <v/>
      </c>
      <c r="N1841" s="54">
        <f>IF(OR(A1841="",F1841=""),"",A1841&amp;"#"&amp;(COUNTIFS($A$5:$A$3004,A1841,$F$5:$F$3004,"?*",$O$5:$O$3004,"&lt;"&amp;O1841)+COUNTIFS($A$5:A1841,A1841,$F$5:F1841,"?*",$O$5:O1841,O1841)))</f>
        <v/>
      </c>
      <c r="O1841" s="54">
        <f>IF(A1841="","",IF(C1841="",0,C1841))</f>
        <v/>
      </c>
    </row>
    <row r="1842">
      <c r="A1842" s="58" t="n"/>
      <c r="B1842" s="49">
        <f>IF(A1842="","",CHOOSE(WEEKDAY(A1842,2),"Пн","Вт","Ср","Чт","Пт","Сб","Вс"))</f>
        <v/>
      </c>
      <c r="C1842" s="59" t="n"/>
      <c r="D1842" s="59" t="n"/>
      <c r="E1842" s="60">
        <f>IF(OR(C1842="",D1842=""),"",MOD(D1842-C1842,1)*24)</f>
        <v/>
      </c>
      <c r="F1842" s="50" t="n"/>
      <c r="G1842" s="51" t="n"/>
      <c r="H1842" s="51" t="n"/>
      <c r="I1842" s="51" t="n"/>
      <c r="J1842" s="51" t="n"/>
      <c r="K1842" s="51" t="n"/>
      <c r="L1842" s="54">
        <f>IF(OR(A1842="",C1842="",D1842=""),"",IF(COUNTIFS($A$5:$A$3004,A1842,$C$5:$C$3004,"&lt;"&amp;D1842,$D$5:$D$3004,"&gt;"&amp;C1842)&gt;1,"⚠️ пересечение",""))</f>
        <v/>
      </c>
      <c r="M1842" s="54">
        <f>IF(F1842="","",IF(J1842="✅ Сделано","✔ ",IF(J1842="❌ Пропущено","✖ ","⏰ "))&amp;IF(C1842="","",RIGHT("0"&amp;HOUR(C1842),2)&amp;":"&amp;RIGHT("0"&amp;MINUTE(C1842),2)&amp;IF(D1842="","","–"&amp;RIGHT("0"&amp;HOUR(D1842),2)&amp;":"&amp;RIGHT("0"&amp;MINUTE(D1842),2))&amp;" ")&amp;F1842)</f>
        <v/>
      </c>
      <c r="N1842" s="54">
        <f>IF(OR(A1842="",F1842=""),"",A1842&amp;"#"&amp;(COUNTIFS($A$5:$A$3004,A1842,$F$5:$F$3004,"?*",$O$5:$O$3004,"&lt;"&amp;O1842)+COUNTIFS($A$5:A1842,A1842,$F$5:F1842,"?*",$O$5:O1842,O1842)))</f>
        <v/>
      </c>
      <c r="O1842" s="54">
        <f>IF(A1842="","",IF(C1842="",0,C1842))</f>
        <v/>
      </c>
    </row>
    <row r="1843">
      <c r="A1843" s="58" t="n"/>
      <c r="B1843" s="49">
        <f>IF(A1843="","",CHOOSE(WEEKDAY(A1843,2),"Пн","Вт","Ср","Чт","Пт","Сб","Вс"))</f>
        <v/>
      </c>
      <c r="C1843" s="59" t="n"/>
      <c r="D1843" s="59" t="n"/>
      <c r="E1843" s="60">
        <f>IF(OR(C1843="",D1843=""),"",MOD(D1843-C1843,1)*24)</f>
        <v/>
      </c>
      <c r="F1843" s="50" t="n"/>
      <c r="G1843" s="51" t="n"/>
      <c r="H1843" s="51" t="n"/>
      <c r="I1843" s="51" t="n"/>
      <c r="J1843" s="51" t="n"/>
      <c r="K1843" s="51" t="n"/>
      <c r="L1843" s="54">
        <f>IF(OR(A1843="",C1843="",D1843=""),"",IF(COUNTIFS($A$5:$A$3004,A1843,$C$5:$C$3004,"&lt;"&amp;D1843,$D$5:$D$3004,"&gt;"&amp;C1843)&gt;1,"⚠️ пересечение",""))</f>
        <v/>
      </c>
      <c r="M1843" s="54">
        <f>IF(F1843="","",IF(J1843="✅ Сделано","✔ ",IF(J1843="❌ Пропущено","✖ ","⏰ "))&amp;IF(C1843="","",RIGHT("0"&amp;HOUR(C1843),2)&amp;":"&amp;RIGHT("0"&amp;MINUTE(C1843),2)&amp;IF(D1843="","","–"&amp;RIGHT("0"&amp;HOUR(D1843),2)&amp;":"&amp;RIGHT("0"&amp;MINUTE(D1843),2))&amp;" ")&amp;F1843)</f>
        <v/>
      </c>
      <c r="N1843" s="54">
        <f>IF(OR(A1843="",F1843=""),"",A1843&amp;"#"&amp;(COUNTIFS($A$5:$A$3004,A1843,$F$5:$F$3004,"?*",$O$5:$O$3004,"&lt;"&amp;O1843)+COUNTIFS($A$5:A1843,A1843,$F$5:F1843,"?*",$O$5:O1843,O1843)))</f>
        <v/>
      </c>
      <c r="O1843" s="54">
        <f>IF(A1843="","",IF(C1843="",0,C1843))</f>
        <v/>
      </c>
    </row>
    <row r="1844">
      <c r="A1844" s="58" t="n"/>
      <c r="B1844" s="49">
        <f>IF(A1844="","",CHOOSE(WEEKDAY(A1844,2),"Пн","Вт","Ср","Чт","Пт","Сб","Вс"))</f>
        <v/>
      </c>
      <c r="C1844" s="59" t="n"/>
      <c r="D1844" s="59" t="n"/>
      <c r="E1844" s="60">
        <f>IF(OR(C1844="",D1844=""),"",MOD(D1844-C1844,1)*24)</f>
        <v/>
      </c>
      <c r="F1844" s="50" t="n"/>
      <c r="G1844" s="51" t="n"/>
      <c r="H1844" s="51" t="n"/>
      <c r="I1844" s="51" t="n"/>
      <c r="J1844" s="51" t="n"/>
      <c r="K1844" s="51" t="n"/>
      <c r="L1844" s="54">
        <f>IF(OR(A1844="",C1844="",D1844=""),"",IF(COUNTIFS($A$5:$A$3004,A1844,$C$5:$C$3004,"&lt;"&amp;D1844,$D$5:$D$3004,"&gt;"&amp;C1844)&gt;1,"⚠️ пересечение",""))</f>
        <v/>
      </c>
      <c r="M1844" s="54">
        <f>IF(F1844="","",IF(J1844="✅ Сделано","✔ ",IF(J1844="❌ Пропущено","✖ ","⏰ "))&amp;IF(C1844="","",RIGHT("0"&amp;HOUR(C1844),2)&amp;":"&amp;RIGHT("0"&amp;MINUTE(C1844),2)&amp;IF(D1844="","","–"&amp;RIGHT("0"&amp;HOUR(D1844),2)&amp;":"&amp;RIGHT("0"&amp;MINUTE(D1844),2))&amp;" ")&amp;F1844)</f>
        <v/>
      </c>
      <c r="N1844" s="54">
        <f>IF(OR(A1844="",F1844=""),"",A1844&amp;"#"&amp;(COUNTIFS($A$5:$A$3004,A1844,$F$5:$F$3004,"?*",$O$5:$O$3004,"&lt;"&amp;O1844)+COUNTIFS($A$5:A1844,A1844,$F$5:F1844,"?*",$O$5:O1844,O1844)))</f>
        <v/>
      </c>
      <c r="O1844" s="54">
        <f>IF(A1844="","",IF(C1844="",0,C1844))</f>
        <v/>
      </c>
    </row>
    <row r="1845">
      <c r="A1845" s="58" t="n"/>
      <c r="B1845" s="49">
        <f>IF(A1845="","",CHOOSE(WEEKDAY(A1845,2),"Пн","Вт","Ср","Чт","Пт","Сб","Вс"))</f>
        <v/>
      </c>
      <c r="C1845" s="59" t="n"/>
      <c r="D1845" s="59" t="n"/>
      <c r="E1845" s="60">
        <f>IF(OR(C1845="",D1845=""),"",MOD(D1845-C1845,1)*24)</f>
        <v/>
      </c>
      <c r="F1845" s="50" t="n"/>
      <c r="G1845" s="51" t="n"/>
      <c r="H1845" s="51" t="n"/>
      <c r="I1845" s="51" t="n"/>
      <c r="J1845" s="51" t="n"/>
      <c r="K1845" s="51" t="n"/>
      <c r="L1845" s="54">
        <f>IF(OR(A1845="",C1845="",D1845=""),"",IF(COUNTIFS($A$5:$A$3004,A1845,$C$5:$C$3004,"&lt;"&amp;D1845,$D$5:$D$3004,"&gt;"&amp;C1845)&gt;1,"⚠️ пересечение",""))</f>
        <v/>
      </c>
      <c r="M1845" s="54">
        <f>IF(F1845="","",IF(J1845="✅ Сделано","✔ ",IF(J1845="❌ Пропущено","✖ ","⏰ "))&amp;IF(C1845="","",RIGHT("0"&amp;HOUR(C1845),2)&amp;":"&amp;RIGHT("0"&amp;MINUTE(C1845),2)&amp;IF(D1845="","","–"&amp;RIGHT("0"&amp;HOUR(D1845),2)&amp;":"&amp;RIGHT("0"&amp;MINUTE(D1845),2))&amp;" ")&amp;F1845)</f>
        <v/>
      </c>
      <c r="N1845" s="54">
        <f>IF(OR(A1845="",F1845=""),"",A1845&amp;"#"&amp;(COUNTIFS($A$5:$A$3004,A1845,$F$5:$F$3004,"?*",$O$5:$O$3004,"&lt;"&amp;O1845)+COUNTIFS($A$5:A1845,A1845,$F$5:F1845,"?*",$O$5:O1845,O1845)))</f>
        <v/>
      </c>
      <c r="O1845" s="54">
        <f>IF(A1845="","",IF(C1845="",0,C1845))</f>
        <v/>
      </c>
    </row>
    <row r="1846">
      <c r="A1846" s="58" t="n"/>
      <c r="B1846" s="49">
        <f>IF(A1846="","",CHOOSE(WEEKDAY(A1846,2),"Пн","Вт","Ср","Чт","Пт","Сб","Вс"))</f>
        <v/>
      </c>
      <c r="C1846" s="59" t="n"/>
      <c r="D1846" s="59" t="n"/>
      <c r="E1846" s="60">
        <f>IF(OR(C1846="",D1846=""),"",MOD(D1846-C1846,1)*24)</f>
        <v/>
      </c>
      <c r="F1846" s="50" t="n"/>
      <c r="G1846" s="51" t="n"/>
      <c r="H1846" s="51" t="n"/>
      <c r="I1846" s="51" t="n"/>
      <c r="J1846" s="51" t="n"/>
      <c r="K1846" s="51" t="n"/>
      <c r="L1846" s="54">
        <f>IF(OR(A1846="",C1846="",D1846=""),"",IF(COUNTIFS($A$5:$A$3004,A1846,$C$5:$C$3004,"&lt;"&amp;D1846,$D$5:$D$3004,"&gt;"&amp;C1846)&gt;1,"⚠️ пересечение",""))</f>
        <v/>
      </c>
      <c r="M1846" s="54">
        <f>IF(F1846="","",IF(J1846="✅ Сделано","✔ ",IF(J1846="❌ Пропущено","✖ ","⏰ "))&amp;IF(C1846="","",RIGHT("0"&amp;HOUR(C1846),2)&amp;":"&amp;RIGHT("0"&amp;MINUTE(C1846),2)&amp;IF(D1846="","","–"&amp;RIGHT("0"&amp;HOUR(D1846),2)&amp;":"&amp;RIGHT("0"&amp;MINUTE(D1846),2))&amp;" ")&amp;F1846)</f>
        <v/>
      </c>
      <c r="N1846" s="54">
        <f>IF(OR(A1846="",F1846=""),"",A1846&amp;"#"&amp;(COUNTIFS($A$5:$A$3004,A1846,$F$5:$F$3004,"?*",$O$5:$O$3004,"&lt;"&amp;O1846)+COUNTIFS($A$5:A1846,A1846,$F$5:F1846,"?*",$O$5:O1846,O1846)))</f>
        <v/>
      </c>
      <c r="O1846" s="54">
        <f>IF(A1846="","",IF(C1846="",0,C1846))</f>
        <v/>
      </c>
    </row>
    <row r="1847">
      <c r="A1847" s="58" t="n"/>
      <c r="B1847" s="49">
        <f>IF(A1847="","",CHOOSE(WEEKDAY(A1847,2),"Пн","Вт","Ср","Чт","Пт","Сб","Вс"))</f>
        <v/>
      </c>
      <c r="C1847" s="59" t="n"/>
      <c r="D1847" s="59" t="n"/>
      <c r="E1847" s="60">
        <f>IF(OR(C1847="",D1847=""),"",MOD(D1847-C1847,1)*24)</f>
        <v/>
      </c>
      <c r="F1847" s="50" t="n"/>
      <c r="G1847" s="51" t="n"/>
      <c r="H1847" s="51" t="n"/>
      <c r="I1847" s="51" t="n"/>
      <c r="J1847" s="51" t="n"/>
      <c r="K1847" s="51" t="n"/>
      <c r="L1847" s="54">
        <f>IF(OR(A1847="",C1847="",D1847=""),"",IF(COUNTIFS($A$5:$A$3004,A1847,$C$5:$C$3004,"&lt;"&amp;D1847,$D$5:$D$3004,"&gt;"&amp;C1847)&gt;1,"⚠️ пересечение",""))</f>
        <v/>
      </c>
      <c r="M1847" s="54">
        <f>IF(F1847="","",IF(J1847="✅ Сделано","✔ ",IF(J1847="❌ Пропущено","✖ ","⏰ "))&amp;IF(C1847="","",RIGHT("0"&amp;HOUR(C1847),2)&amp;":"&amp;RIGHT("0"&amp;MINUTE(C1847),2)&amp;IF(D1847="","","–"&amp;RIGHT("0"&amp;HOUR(D1847),2)&amp;":"&amp;RIGHT("0"&amp;MINUTE(D1847),2))&amp;" ")&amp;F1847)</f>
        <v/>
      </c>
      <c r="N1847" s="54">
        <f>IF(OR(A1847="",F1847=""),"",A1847&amp;"#"&amp;(COUNTIFS($A$5:$A$3004,A1847,$F$5:$F$3004,"?*",$O$5:$O$3004,"&lt;"&amp;O1847)+COUNTIFS($A$5:A1847,A1847,$F$5:F1847,"?*",$O$5:O1847,O1847)))</f>
        <v/>
      </c>
      <c r="O1847" s="54">
        <f>IF(A1847="","",IF(C1847="",0,C1847))</f>
        <v/>
      </c>
    </row>
    <row r="1848">
      <c r="A1848" s="58" t="n"/>
      <c r="B1848" s="49">
        <f>IF(A1848="","",CHOOSE(WEEKDAY(A1848,2),"Пн","Вт","Ср","Чт","Пт","Сб","Вс"))</f>
        <v/>
      </c>
      <c r="C1848" s="59" t="n"/>
      <c r="D1848" s="59" t="n"/>
      <c r="E1848" s="60">
        <f>IF(OR(C1848="",D1848=""),"",MOD(D1848-C1848,1)*24)</f>
        <v/>
      </c>
      <c r="F1848" s="50" t="n"/>
      <c r="G1848" s="51" t="n"/>
      <c r="H1848" s="51" t="n"/>
      <c r="I1848" s="51" t="n"/>
      <c r="J1848" s="51" t="n"/>
      <c r="K1848" s="51" t="n"/>
      <c r="L1848" s="54">
        <f>IF(OR(A1848="",C1848="",D1848=""),"",IF(COUNTIFS($A$5:$A$3004,A1848,$C$5:$C$3004,"&lt;"&amp;D1848,$D$5:$D$3004,"&gt;"&amp;C1848)&gt;1,"⚠️ пересечение",""))</f>
        <v/>
      </c>
      <c r="M1848" s="54">
        <f>IF(F1848="","",IF(J1848="✅ Сделано","✔ ",IF(J1848="❌ Пропущено","✖ ","⏰ "))&amp;IF(C1848="","",RIGHT("0"&amp;HOUR(C1848),2)&amp;":"&amp;RIGHT("0"&amp;MINUTE(C1848),2)&amp;IF(D1848="","","–"&amp;RIGHT("0"&amp;HOUR(D1848),2)&amp;":"&amp;RIGHT("0"&amp;MINUTE(D1848),2))&amp;" ")&amp;F1848)</f>
        <v/>
      </c>
      <c r="N1848" s="54">
        <f>IF(OR(A1848="",F1848=""),"",A1848&amp;"#"&amp;(COUNTIFS($A$5:$A$3004,A1848,$F$5:$F$3004,"?*",$O$5:$O$3004,"&lt;"&amp;O1848)+COUNTIFS($A$5:A1848,A1848,$F$5:F1848,"?*",$O$5:O1848,O1848)))</f>
        <v/>
      </c>
      <c r="O1848" s="54">
        <f>IF(A1848="","",IF(C1848="",0,C1848))</f>
        <v/>
      </c>
    </row>
    <row r="1849">
      <c r="A1849" s="58" t="n"/>
      <c r="B1849" s="49">
        <f>IF(A1849="","",CHOOSE(WEEKDAY(A1849,2),"Пн","Вт","Ср","Чт","Пт","Сб","Вс"))</f>
        <v/>
      </c>
      <c r="C1849" s="59" t="n"/>
      <c r="D1849" s="59" t="n"/>
      <c r="E1849" s="60">
        <f>IF(OR(C1849="",D1849=""),"",MOD(D1849-C1849,1)*24)</f>
        <v/>
      </c>
      <c r="F1849" s="50" t="n"/>
      <c r="G1849" s="51" t="n"/>
      <c r="H1849" s="51" t="n"/>
      <c r="I1849" s="51" t="n"/>
      <c r="J1849" s="51" t="n"/>
      <c r="K1849" s="51" t="n"/>
      <c r="L1849" s="54">
        <f>IF(OR(A1849="",C1849="",D1849=""),"",IF(COUNTIFS($A$5:$A$3004,A1849,$C$5:$C$3004,"&lt;"&amp;D1849,$D$5:$D$3004,"&gt;"&amp;C1849)&gt;1,"⚠️ пересечение",""))</f>
        <v/>
      </c>
      <c r="M1849" s="54">
        <f>IF(F1849="","",IF(J1849="✅ Сделано","✔ ",IF(J1849="❌ Пропущено","✖ ","⏰ "))&amp;IF(C1849="","",RIGHT("0"&amp;HOUR(C1849),2)&amp;":"&amp;RIGHT("0"&amp;MINUTE(C1849),2)&amp;IF(D1849="","","–"&amp;RIGHT("0"&amp;HOUR(D1849),2)&amp;":"&amp;RIGHT("0"&amp;MINUTE(D1849),2))&amp;" ")&amp;F1849)</f>
        <v/>
      </c>
      <c r="N1849" s="54">
        <f>IF(OR(A1849="",F1849=""),"",A1849&amp;"#"&amp;(COUNTIFS($A$5:$A$3004,A1849,$F$5:$F$3004,"?*",$O$5:$O$3004,"&lt;"&amp;O1849)+COUNTIFS($A$5:A1849,A1849,$F$5:F1849,"?*",$O$5:O1849,O1849)))</f>
        <v/>
      </c>
      <c r="O1849" s="54">
        <f>IF(A1849="","",IF(C1849="",0,C1849))</f>
        <v/>
      </c>
    </row>
    <row r="1850">
      <c r="A1850" s="58" t="n"/>
      <c r="B1850" s="49">
        <f>IF(A1850="","",CHOOSE(WEEKDAY(A1850,2),"Пн","Вт","Ср","Чт","Пт","Сб","Вс"))</f>
        <v/>
      </c>
      <c r="C1850" s="59" t="n"/>
      <c r="D1850" s="59" t="n"/>
      <c r="E1850" s="60">
        <f>IF(OR(C1850="",D1850=""),"",MOD(D1850-C1850,1)*24)</f>
        <v/>
      </c>
      <c r="F1850" s="50" t="n"/>
      <c r="G1850" s="51" t="n"/>
      <c r="H1850" s="51" t="n"/>
      <c r="I1850" s="51" t="n"/>
      <c r="J1850" s="51" t="n"/>
      <c r="K1850" s="51" t="n"/>
      <c r="L1850" s="54">
        <f>IF(OR(A1850="",C1850="",D1850=""),"",IF(COUNTIFS($A$5:$A$3004,A1850,$C$5:$C$3004,"&lt;"&amp;D1850,$D$5:$D$3004,"&gt;"&amp;C1850)&gt;1,"⚠️ пересечение",""))</f>
        <v/>
      </c>
      <c r="M1850" s="54">
        <f>IF(F1850="","",IF(J1850="✅ Сделано","✔ ",IF(J1850="❌ Пропущено","✖ ","⏰ "))&amp;IF(C1850="","",RIGHT("0"&amp;HOUR(C1850),2)&amp;":"&amp;RIGHT("0"&amp;MINUTE(C1850),2)&amp;IF(D1850="","","–"&amp;RIGHT("0"&amp;HOUR(D1850),2)&amp;":"&amp;RIGHT("0"&amp;MINUTE(D1850),2))&amp;" ")&amp;F1850)</f>
        <v/>
      </c>
      <c r="N1850" s="54">
        <f>IF(OR(A1850="",F1850=""),"",A1850&amp;"#"&amp;(COUNTIFS($A$5:$A$3004,A1850,$F$5:$F$3004,"?*",$O$5:$O$3004,"&lt;"&amp;O1850)+COUNTIFS($A$5:A1850,A1850,$F$5:F1850,"?*",$O$5:O1850,O1850)))</f>
        <v/>
      </c>
      <c r="O1850" s="54">
        <f>IF(A1850="","",IF(C1850="",0,C1850))</f>
        <v/>
      </c>
    </row>
    <row r="1851">
      <c r="A1851" s="58" t="n"/>
      <c r="B1851" s="49">
        <f>IF(A1851="","",CHOOSE(WEEKDAY(A1851,2),"Пн","Вт","Ср","Чт","Пт","Сб","Вс"))</f>
        <v/>
      </c>
      <c r="C1851" s="59" t="n"/>
      <c r="D1851" s="59" t="n"/>
      <c r="E1851" s="60">
        <f>IF(OR(C1851="",D1851=""),"",MOD(D1851-C1851,1)*24)</f>
        <v/>
      </c>
      <c r="F1851" s="50" t="n"/>
      <c r="G1851" s="51" t="n"/>
      <c r="H1851" s="51" t="n"/>
      <c r="I1851" s="51" t="n"/>
      <c r="J1851" s="51" t="n"/>
      <c r="K1851" s="51" t="n"/>
      <c r="L1851" s="54">
        <f>IF(OR(A1851="",C1851="",D1851=""),"",IF(COUNTIFS($A$5:$A$3004,A1851,$C$5:$C$3004,"&lt;"&amp;D1851,$D$5:$D$3004,"&gt;"&amp;C1851)&gt;1,"⚠️ пересечение",""))</f>
        <v/>
      </c>
      <c r="M1851" s="54">
        <f>IF(F1851="","",IF(J1851="✅ Сделано","✔ ",IF(J1851="❌ Пропущено","✖ ","⏰ "))&amp;IF(C1851="","",RIGHT("0"&amp;HOUR(C1851),2)&amp;":"&amp;RIGHT("0"&amp;MINUTE(C1851),2)&amp;IF(D1851="","","–"&amp;RIGHT("0"&amp;HOUR(D1851),2)&amp;":"&amp;RIGHT("0"&amp;MINUTE(D1851),2))&amp;" ")&amp;F1851)</f>
        <v/>
      </c>
      <c r="N1851" s="54">
        <f>IF(OR(A1851="",F1851=""),"",A1851&amp;"#"&amp;(COUNTIFS($A$5:$A$3004,A1851,$F$5:$F$3004,"?*",$O$5:$O$3004,"&lt;"&amp;O1851)+COUNTIFS($A$5:A1851,A1851,$F$5:F1851,"?*",$O$5:O1851,O1851)))</f>
        <v/>
      </c>
      <c r="O1851" s="54">
        <f>IF(A1851="","",IF(C1851="",0,C1851))</f>
        <v/>
      </c>
    </row>
    <row r="1852">
      <c r="A1852" s="58" t="n"/>
      <c r="B1852" s="49">
        <f>IF(A1852="","",CHOOSE(WEEKDAY(A1852,2),"Пн","Вт","Ср","Чт","Пт","Сб","Вс"))</f>
        <v/>
      </c>
      <c r="C1852" s="59" t="n"/>
      <c r="D1852" s="59" t="n"/>
      <c r="E1852" s="60">
        <f>IF(OR(C1852="",D1852=""),"",MOD(D1852-C1852,1)*24)</f>
        <v/>
      </c>
      <c r="F1852" s="50" t="n"/>
      <c r="G1852" s="51" t="n"/>
      <c r="H1852" s="51" t="n"/>
      <c r="I1852" s="51" t="n"/>
      <c r="J1852" s="51" t="n"/>
      <c r="K1852" s="51" t="n"/>
      <c r="L1852" s="54">
        <f>IF(OR(A1852="",C1852="",D1852=""),"",IF(COUNTIFS($A$5:$A$3004,A1852,$C$5:$C$3004,"&lt;"&amp;D1852,$D$5:$D$3004,"&gt;"&amp;C1852)&gt;1,"⚠️ пересечение",""))</f>
        <v/>
      </c>
      <c r="M1852" s="54">
        <f>IF(F1852="","",IF(J1852="✅ Сделано","✔ ",IF(J1852="❌ Пропущено","✖ ","⏰ "))&amp;IF(C1852="","",RIGHT("0"&amp;HOUR(C1852),2)&amp;":"&amp;RIGHT("0"&amp;MINUTE(C1852),2)&amp;IF(D1852="","","–"&amp;RIGHT("0"&amp;HOUR(D1852),2)&amp;":"&amp;RIGHT("0"&amp;MINUTE(D1852),2))&amp;" ")&amp;F1852)</f>
        <v/>
      </c>
      <c r="N1852" s="54">
        <f>IF(OR(A1852="",F1852=""),"",A1852&amp;"#"&amp;(COUNTIFS($A$5:$A$3004,A1852,$F$5:$F$3004,"?*",$O$5:$O$3004,"&lt;"&amp;O1852)+COUNTIFS($A$5:A1852,A1852,$F$5:F1852,"?*",$O$5:O1852,O1852)))</f>
        <v/>
      </c>
      <c r="O1852" s="54">
        <f>IF(A1852="","",IF(C1852="",0,C1852))</f>
        <v/>
      </c>
    </row>
    <row r="1853">
      <c r="A1853" s="58" t="n"/>
      <c r="B1853" s="49">
        <f>IF(A1853="","",CHOOSE(WEEKDAY(A1853,2),"Пн","Вт","Ср","Чт","Пт","Сб","Вс"))</f>
        <v/>
      </c>
      <c r="C1853" s="59" t="n"/>
      <c r="D1853" s="59" t="n"/>
      <c r="E1853" s="60">
        <f>IF(OR(C1853="",D1853=""),"",MOD(D1853-C1853,1)*24)</f>
        <v/>
      </c>
      <c r="F1853" s="50" t="n"/>
      <c r="G1853" s="51" t="n"/>
      <c r="H1853" s="51" t="n"/>
      <c r="I1853" s="51" t="n"/>
      <c r="J1853" s="51" t="n"/>
      <c r="K1853" s="51" t="n"/>
      <c r="L1853" s="54">
        <f>IF(OR(A1853="",C1853="",D1853=""),"",IF(COUNTIFS($A$5:$A$3004,A1853,$C$5:$C$3004,"&lt;"&amp;D1853,$D$5:$D$3004,"&gt;"&amp;C1853)&gt;1,"⚠️ пересечение",""))</f>
        <v/>
      </c>
      <c r="M1853" s="54">
        <f>IF(F1853="","",IF(J1853="✅ Сделано","✔ ",IF(J1853="❌ Пропущено","✖ ","⏰ "))&amp;IF(C1853="","",RIGHT("0"&amp;HOUR(C1853),2)&amp;":"&amp;RIGHT("0"&amp;MINUTE(C1853),2)&amp;IF(D1853="","","–"&amp;RIGHT("0"&amp;HOUR(D1853),2)&amp;":"&amp;RIGHT("0"&amp;MINUTE(D1853),2))&amp;" ")&amp;F1853)</f>
        <v/>
      </c>
      <c r="N1853" s="54">
        <f>IF(OR(A1853="",F1853=""),"",A1853&amp;"#"&amp;(COUNTIFS($A$5:$A$3004,A1853,$F$5:$F$3004,"?*",$O$5:$O$3004,"&lt;"&amp;O1853)+COUNTIFS($A$5:A1853,A1853,$F$5:F1853,"?*",$O$5:O1853,O1853)))</f>
        <v/>
      </c>
      <c r="O1853" s="54">
        <f>IF(A1853="","",IF(C1853="",0,C1853))</f>
        <v/>
      </c>
    </row>
    <row r="1854">
      <c r="A1854" s="58" t="n"/>
      <c r="B1854" s="49">
        <f>IF(A1854="","",CHOOSE(WEEKDAY(A1854,2),"Пн","Вт","Ср","Чт","Пт","Сб","Вс"))</f>
        <v/>
      </c>
      <c r="C1854" s="59" t="n"/>
      <c r="D1854" s="59" t="n"/>
      <c r="E1854" s="60">
        <f>IF(OR(C1854="",D1854=""),"",MOD(D1854-C1854,1)*24)</f>
        <v/>
      </c>
      <c r="F1854" s="50" t="n"/>
      <c r="G1854" s="51" t="n"/>
      <c r="H1854" s="51" t="n"/>
      <c r="I1854" s="51" t="n"/>
      <c r="J1854" s="51" t="n"/>
      <c r="K1854" s="51" t="n"/>
      <c r="L1854" s="54">
        <f>IF(OR(A1854="",C1854="",D1854=""),"",IF(COUNTIFS($A$5:$A$3004,A1854,$C$5:$C$3004,"&lt;"&amp;D1854,$D$5:$D$3004,"&gt;"&amp;C1854)&gt;1,"⚠️ пересечение",""))</f>
        <v/>
      </c>
      <c r="M1854" s="54">
        <f>IF(F1854="","",IF(J1854="✅ Сделано","✔ ",IF(J1854="❌ Пропущено","✖ ","⏰ "))&amp;IF(C1854="","",RIGHT("0"&amp;HOUR(C1854),2)&amp;":"&amp;RIGHT("0"&amp;MINUTE(C1854),2)&amp;IF(D1854="","","–"&amp;RIGHT("0"&amp;HOUR(D1854),2)&amp;":"&amp;RIGHT("0"&amp;MINUTE(D1854),2))&amp;" ")&amp;F1854)</f>
        <v/>
      </c>
      <c r="N1854" s="54">
        <f>IF(OR(A1854="",F1854=""),"",A1854&amp;"#"&amp;(COUNTIFS($A$5:$A$3004,A1854,$F$5:$F$3004,"?*",$O$5:$O$3004,"&lt;"&amp;O1854)+COUNTIFS($A$5:A1854,A1854,$F$5:F1854,"?*",$O$5:O1854,O1854)))</f>
        <v/>
      </c>
      <c r="O1854" s="54">
        <f>IF(A1854="","",IF(C1854="",0,C1854))</f>
        <v/>
      </c>
    </row>
    <row r="1855">
      <c r="A1855" s="58" t="n"/>
      <c r="B1855" s="49">
        <f>IF(A1855="","",CHOOSE(WEEKDAY(A1855,2),"Пн","Вт","Ср","Чт","Пт","Сб","Вс"))</f>
        <v/>
      </c>
      <c r="C1855" s="59" t="n"/>
      <c r="D1855" s="59" t="n"/>
      <c r="E1855" s="60">
        <f>IF(OR(C1855="",D1855=""),"",MOD(D1855-C1855,1)*24)</f>
        <v/>
      </c>
      <c r="F1855" s="50" t="n"/>
      <c r="G1855" s="51" t="n"/>
      <c r="H1855" s="51" t="n"/>
      <c r="I1855" s="51" t="n"/>
      <c r="J1855" s="51" t="n"/>
      <c r="K1855" s="51" t="n"/>
      <c r="L1855" s="54">
        <f>IF(OR(A1855="",C1855="",D1855=""),"",IF(COUNTIFS($A$5:$A$3004,A1855,$C$5:$C$3004,"&lt;"&amp;D1855,$D$5:$D$3004,"&gt;"&amp;C1855)&gt;1,"⚠️ пересечение",""))</f>
        <v/>
      </c>
      <c r="M1855" s="54">
        <f>IF(F1855="","",IF(J1855="✅ Сделано","✔ ",IF(J1855="❌ Пропущено","✖ ","⏰ "))&amp;IF(C1855="","",RIGHT("0"&amp;HOUR(C1855),2)&amp;":"&amp;RIGHT("0"&amp;MINUTE(C1855),2)&amp;IF(D1855="","","–"&amp;RIGHT("0"&amp;HOUR(D1855),2)&amp;":"&amp;RIGHT("0"&amp;MINUTE(D1855),2))&amp;" ")&amp;F1855)</f>
        <v/>
      </c>
      <c r="N1855" s="54">
        <f>IF(OR(A1855="",F1855=""),"",A1855&amp;"#"&amp;(COUNTIFS($A$5:$A$3004,A1855,$F$5:$F$3004,"?*",$O$5:$O$3004,"&lt;"&amp;O1855)+COUNTIFS($A$5:A1855,A1855,$F$5:F1855,"?*",$O$5:O1855,O1855)))</f>
        <v/>
      </c>
      <c r="O1855" s="54">
        <f>IF(A1855="","",IF(C1855="",0,C1855))</f>
        <v/>
      </c>
    </row>
    <row r="1856">
      <c r="A1856" s="58" t="n"/>
      <c r="B1856" s="49">
        <f>IF(A1856="","",CHOOSE(WEEKDAY(A1856,2),"Пн","Вт","Ср","Чт","Пт","Сб","Вс"))</f>
        <v/>
      </c>
      <c r="C1856" s="59" t="n"/>
      <c r="D1856" s="59" t="n"/>
      <c r="E1856" s="60">
        <f>IF(OR(C1856="",D1856=""),"",MOD(D1856-C1856,1)*24)</f>
        <v/>
      </c>
      <c r="F1856" s="50" t="n"/>
      <c r="G1856" s="51" t="n"/>
      <c r="H1856" s="51" t="n"/>
      <c r="I1856" s="51" t="n"/>
      <c r="J1856" s="51" t="n"/>
      <c r="K1856" s="51" t="n"/>
      <c r="L1856" s="54">
        <f>IF(OR(A1856="",C1856="",D1856=""),"",IF(COUNTIFS($A$5:$A$3004,A1856,$C$5:$C$3004,"&lt;"&amp;D1856,$D$5:$D$3004,"&gt;"&amp;C1856)&gt;1,"⚠️ пересечение",""))</f>
        <v/>
      </c>
      <c r="M1856" s="54">
        <f>IF(F1856="","",IF(J1856="✅ Сделано","✔ ",IF(J1856="❌ Пропущено","✖ ","⏰ "))&amp;IF(C1856="","",RIGHT("0"&amp;HOUR(C1856),2)&amp;":"&amp;RIGHT("0"&amp;MINUTE(C1856),2)&amp;IF(D1856="","","–"&amp;RIGHT("0"&amp;HOUR(D1856),2)&amp;":"&amp;RIGHT("0"&amp;MINUTE(D1856),2))&amp;" ")&amp;F1856)</f>
        <v/>
      </c>
      <c r="N1856" s="54">
        <f>IF(OR(A1856="",F1856=""),"",A1856&amp;"#"&amp;(COUNTIFS($A$5:$A$3004,A1856,$F$5:$F$3004,"?*",$O$5:$O$3004,"&lt;"&amp;O1856)+COUNTIFS($A$5:A1856,A1856,$F$5:F1856,"?*",$O$5:O1856,O1856)))</f>
        <v/>
      </c>
      <c r="O1856" s="54">
        <f>IF(A1856="","",IF(C1856="",0,C1856))</f>
        <v/>
      </c>
    </row>
    <row r="1857">
      <c r="A1857" s="58" t="n"/>
      <c r="B1857" s="49">
        <f>IF(A1857="","",CHOOSE(WEEKDAY(A1857,2),"Пн","Вт","Ср","Чт","Пт","Сб","Вс"))</f>
        <v/>
      </c>
      <c r="C1857" s="59" t="n"/>
      <c r="D1857" s="59" t="n"/>
      <c r="E1857" s="60">
        <f>IF(OR(C1857="",D1857=""),"",MOD(D1857-C1857,1)*24)</f>
        <v/>
      </c>
      <c r="F1857" s="50" t="n"/>
      <c r="G1857" s="51" t="n"/>
      <c r="H1857" s="51" t="n"/>
      <c r="I1857" s="51" t="n"/>
      <c r="J1857" s="51" t="n"/>
      <c r="K1857" s="51" t="n"/>
      <c r="L1857" s="54">
        <f>IF(OR(A1857="",C1857="",D1857=""),"",IF(COUNTIFS($A$5:$A$3004,A1857,$C$5:$C$3004,"&lt;"&amp;D1857,$D$5:$D$3004,"&gt;"&amp;C1857)&gt;1,"⚠️ пересечение",""))</f>
        <v/>
      </c>
      <c r="M1857" s="54">
        <f>IF(F1857="","",IF(J1857="✅ Сделано","✔ ",IF(J1857="❌ Пропущено","✖ ","⏰ "))&amp;IF(C1857="","",RIGHT("0"&amp;HOUR(C1857),2)&amp;":"&amp;RIGHT("0"&amp;MINUTE(C1857),2)&amp;IF(D1857="","","–"&amp;RIGHT("0"&amp;HOUR(D1857),2)&amp;":"&amp;RIGHT("0"&amp;MINUTE(D1857),2))&amp;" ")&amp;F1857)</f>
        <v/>
      </c>
      <c r="N1857" s="54">
        <f>IF(OR(A1857="",F1857=""),"",A1857&amp;"#"&amp;(COUNTIFS($A$5:$A$3004,A1857,$F$5:$F$3004,"?*",$O$5:$O$3004,"&lt;"&amp;O1857)+COUNTIFS($A$5:A1857,A1857,$F$5:F1857,"?*",$O$5:O1857,O1857)))</f>
        <v/>
      </c>
      <c r="O1857" s="54">
        <f>IF(A1857="","",IF(C1857="",0,C1857))</f>
        <v/>
      </c>
    </row>
    <row r="1858">
      <c r="A1858" s="58" t="n"/>
      <c r="B1858" s="49">
        <f>IF(A1858="","",CHOOSE(WEEKDAY(A1858,2),"Пн","Вт","Ср","Чт","Пт","Сб","Вс"))</f>
        <v/>
      </c>
      <c r="C1858" s="59" t="n"/>
      <c r="D1858" s="59" t="n"/>
      <c r="E1858" s="60">
        <f>IF(OR(C1858="",D1858=""),"",MOD(D1858-C1858,1)*24)</f>
        <v/>
      </c>
      <c r="F1858" s="50" t="n"/>
      <c r="G1858" s="51" t="n"/>
      <c r="H1858" s="51" t="n"/>
      <c r="I1858" s="51" t="n"/>
      <c r="J1858" s="51" t="n"/>
      <c r="K1858" s="51" t="n"/>
      <c r="L1858" s="54">
        <f>IF(OR(A1858="",C1858="",D1858=""),"",IF(COUNTIFS($A$5:$A$3004,A1858,$C$5:$C$3004,"&lt;"&amp;D1858,$D$5:$D$3004,"&gt;"&amp;C1858)&gt;1,"⚠️ пересечение",""))</f>
        <v/>
      </c>
      <c r="M1858" s="54">
        <f>IF(F1858="","",IF(J1858="✅ Сделано","✔ ",IF(J1858="❌ Пропущено","✖ ","⏰ "))&amp;IF(C1858="","",RIGHT("0"&amp;HOUR(C1858),2)&amp;":"&amp;RIGHT("0"&amp;MINUTE(C1858),2)&amp;IF(D1858="","","–"&amp;RIGHT("0"&amp;HOUR(D1858),2)&amp;":"&amp;RIGHT("0"&amp;MINUTE(D1858),2))&amp;" ")&amp;F1858)</f>
        <v/>
      </c>
      <c r="N1858" s="54">
        <f>IF(OR(A1858="",F1858=""),"",A1858&amp;"#"&amp;(COUNTIFS($A$5:$A$3004,A1858,$F$5:$F$3004,"?*",$O$5:$O$3004,"&lt;"&amp;O1858)+COUNTIFS($A$5:A1858,A1858,$F$5:F1858,"?*",$O$5:O1858,O1858)))</f>
        <v/>
      </c>
      <c r="O1858" s="54">
        <f>IF(A1858="","",IF(C1858="",0,C1858))</f>
        <v/>
      </c>
    </row>
    <row r="1859">
      <c r="A1859" s="58" t="n"/>
      <c r="B1859" s="49">
        <f>IF(A1859="","",CHOOSE(WEEKDAY(A1859,2),"Пн","Вт","Ср","Чт","Пт","Сб","Вс"))</f>
        <v/>
      </c>
      <c r="C1859" s="59" t="n"/>
      <c r="D1859" s="59" t="n"/>
      <c r="E1859" s="60">
        <f>IF(OR(C1859="",D1859=""),"",MOD(D1859-C1859,1)*24)</f>
        <v/>
      </c>
      <c r="F1859" s="50" t="n"/>
      <c r="G1859" s="51" t="n"/>
      <c r="H1859" s="51" t="n"/>
      <c r="I1859" s="51" t="n"/>
      <c r="J1859" s="51" t="n"/>
      <c r="K1859" s="51" t="n"/>
      <c r="L1859" s="54">
        <f>IF(OR(A1859="",C1859="",D1859=""),"",IF(COUNTIFS($A$5:$A$3004,A1859,$C$5:$C$3004,"&lt;"&amp;D1859,$D$5:$D$3004,"&gt;"&amp;C1859)&gt;1,"⚠️ пересечение",""))</f>
        <v/>
      </c>
      <c r="M1859" s="54">
        <f>IF(F1859="","",IF(J1859="✅ Сделано","✔ ",IF(J1859="❌ Пропущено","✖ ","⏰ "))&amp;IF(C1859="","",RIGHT("0"&amp;HOUR(C1859),2)&amp;":"&amp;RIGHT("0"&amp;MINUTE(C1859),2)&amp;IF(D1859="","","–"&amp;RIGHT("0"&amp;HOUR(D1859),2)&amp;":"&amp;RIGHT("0"&amp;MINUTE(D1859),2))&amp;" ")&amp;F1859)</f>
        <v/>
      </c>
      <c r="N1859" s="54">
        <f>IF(OR(A1859="",F1859=""),"",A1859&amp;"#"&amp;(COUNTIFS($A$5:$A$3004,A1859,$F$5:$F$3004,"?*",$O$5:$O$3004,"&lt;"&amp;O1859)+COUNTIFS($A$5:A1859,A1859,$F$5:F1859,"?*",$O$5:O1859,O1859)))</f>
        <v/>
      </c>
      <c r="O1859" s="54">
        <f>IF(A1859="","",IF(C1859="",0,C1859))</f>
        <v/>
      </c>
    </row>
    <row r="1860">
      <c r="A1860" s="58" t="n"/>
      <c r="B1860" s="49">
        <f>IF(A1860="","",CHOOSE(WEEKDAY(A1860,2),"Пн","Вт","Ср","Чт","Пт","Сб","Вс"))</f>
        <v/>
      </c>
      <c r="C1860" s="59" t="n"/>
      <c r="D1860" s="59" t="n"/>
      <c r="E1860" s="60">
        <f>IF(OR(C1860="",D1860=""),"",MOD(D1860-C1860,1)*24)</f>
        <v/>
      </c>
      <c r="F1860" s="50" t="n"/>
      <c r="G1860" s="51" t="n"/>
      <c r="H1860" s="51" t="n"/>
      <c r="I1860" s="51" t="n"/>
      <c r="J1860" s="51" t="n"/>
      <c r="K1860" s="51" t="n"/>
      <c r="L1860" s="54">
        <f>IF(OR(A1860="",C1860="",D1860=""),"",IF(COUNTIFS($A$5:$A$3004,A1860,$C$5:$C$3004,"&lt;"&amp;D1860,$D$5:$D$3004,"&gt;"&amp;C1860)&gt;1,"⚠️ пересечение",""))</f>
        <v/>
      </c>
      <c r="M1860" s="54">
        <f>IF(F1860="","",IF(J1860="✅ Сделано","✔ ",IF(J1860="❌ Пропущено","✖ ","⏰ "))&amp;IF(C1860="","",RIGHT("0"&amp;HOUR(C1860),2)&amp;":"&amp;RIGHT("0"&amp;MINUTE(C1860),2)&amp;IF(D1860="","","–"&amp;RIGHT("0"&amp;HOUR(D1860),2)&amp;":"&amp;RIGHT("0"&amp;MINUTE(D1860),2))&amp;" ")&amp;F1860)</f>
        <v/>
      </c>
      <c r="N1860" s="54">
        <f>IF(OR(A1860="",F1860=""),"",A1860&amp;"#"&amp;(COUNTIFS($A$5:$A$3004,A1860,$F$5:$F$3004,"?*",$O$5:$O$3004,"&lt;"&amp;O1860)+COUNTIFS($A$5:A1860,A1860,$F$5:F1860,"?*",$O$5:O1860,O1860)))</f>
        <v/>
      </c>
      <c r="O1860" s="54">
        <f>IF(A1860="","",IF(C1860="",0,C1860))</f>
        <v/>
      </c>
    </row>
    <row r="1861">
      <c r="A1861" s="58" t="n"/>
      <c r="B1861" s="49">
        <f>IF(A1861="","",CHOOSE(WEEKDAY(A1861,2),"Пн","Вт","Ср","Чт","Пт","Сб","Вс"))</f>
        <v/>
      </c>
      <c r="C1861" s="59" t="n"/>
      <c r="D1861" s="59" t="n"/>
      <c r="E1861" s="60">
        <f>IF(OR(C1861="",D1861=""),"",MOD(D1861-C1861,1)*24)</f>
        <v/>
      </c>
      <c r="F1861" s="50" t="n"/>
      <c r="G1861" s="51" t="n"/>
      <c r="H1861" s="51" t="n"/>
      <c r="I1861" s="51" t="n"/>
      <c r="J1861" s="51" t="n"/>
      <c r="K1861" s="51" t="n"/>
      <c r="L1861" s="54">
        <f>IF(OR(A1861="",C1861="",D1861=""),"",IF(COUNTIFS($A$5:$A$3004,A1861,$C$5:$C$3004,"&lt;"&amp;D1861,$D$5:$D$3004,"&gt;"&amp;C1861)&gt;1,"⚠️ пересечение",""))</f>
        <v/>
      </c>
      <c r="M1861" s="54">
        <f>IF(F1861="","",IF(J1861="✅ Сделано","✔ ",IF(J1861="❌ Пропущено","✖ ","⏰ "))&amp;IF(C1861="","",RIGHT("0"&amp;HOUR(C1861),2)&amp;":"&amp;RIGHT("0"&amp;MINUTE(C1861),2)&amp;IF(D1861="","","–"&amp;RIGHT("0"&amp;HOUR(D1861),2)&amp;":"&amp;RIGHT("0"&amp;MINUTE(D1861),2))&amp;" ")&amp;F1861)</f>
        <v/>
      </c>
      <c r="N1861" s="54">
        <f>IF(OR(A1861="",F1861=""),"",A1861&amp;"#"&amp;(COUNTIFS($A$5:$A$3004,A1861,$F$5:$F$3004,"?*",$O$5:$O$3004,"&lt;"&amp;O1861)+COUNTIFS($A$5:A1861,A1861,$F$5:F1861,"?*",$O$5:O1861,O1861)))</f>
        <v/>
      </c>
      <c r="O1861" s="54">
        <f>IF(A1861="","",IF(C1861="",0,C1861))</f>
        <v/>
      </c>
    </row>
    <row r="1862">
      <c r="A1862" s="58" t="n"/>
      <c r="B1862" s="49">
        <f>IF(A1862="","",CHOOSE(WEEKDAY(A1862,2),"Пн","Вт","Ср","Чт","Пт","Сб","Вс"))</f>
        <v/>
      </c>
      <c r="C1862" s="59" t="n"/>
      <c r="D1862" s="59" t="n"/>
      <c r="E1862" s="60">
        <f>IF(OR(C1862="",D1862=""),"",MOD(D1862-C1862,1)*24)</f>
        <v/>
      </c>
      <c r="F1862" s="50" t="n"/>
      <c r="G1862" s="51" t="n"/>
      <c r="H1862" s="51" t="n"/>
      <c r="I1862" s="51" t="n"/>
      <c r="J1862" s="51" t="n"/>
      <c r="K1862" s="51" t="n"/>
      <c r="L1862" s="54">
        <f>IF(OR(A1862="",C1862="",D1862=""),"",IF(COUNTIFS($A$5:$A$3004,A1862,$C$5:$C$3004,"&lt;"&amp;D1862,$D$5:$D$3004,"&gt;"&amp;C1862)&gt;1,"⚠️ пересечение",""))</f>
        <v/>
      </c>
      <c r="M1862" s="54">
        <f>IF(F1862="","",IF(J1862="✅ Сделано","✔ ",IF(J1862="❌ Пропущено","✖ ","⏰ "))&amp;IF(C1862="","",RIGHT("0"&amp;HOUR(C1862),2)&amp;":"&amp;RIGHT("0"&amp;MINUTE(C1862),2)&amp;IF(D1862="","","–"&amp;RIGHT("0"&amp;HOUR(D1862),2)&amp;":"&amp;RIGHT("0"&amp;MINUTE(D1862),2))&amp;" ")&amp;F1862)</f>
        <v/>
      </c>
      <c r="N1862" s="54">
        <f>IF(OR(A1862="",F1862=""),"",A1862&amp;"#"&amp;(COUNTIFS($A$5:$A$3004,A1862,$F$5:$F$3004,"?*",$O$5:$O$3004,"&lt;"&amp;O1862)+COUNTIFS($A$5:A1862,A1862,$F$5:F1862,"?*",$O$5:O1862,O1862)))</f>
        <v/>
      </c>
      <c r="O1862" s="54">
        <f>IF(A1862="","",IF(C1862="",0,C1862))</f>
        <v/>
      </c>
    </row>
    <row r="1863">
      <c r="A1863" s="58" t="n"/>
      <c r="B1863" s="49">
        <f>IF(A1863="","",CHOOSE(WEEKDAY(A1863,2),"Пн","Вт","Ср","Чт","Пт","Сб","Вс"))</f>
        <v/>
      </c>
      <c r="C1863" s="59" t="n"/>
      <c r="D1863" s="59" t="n"/>
      <c r="E1863" s="60">
        <f>IF(OR(C1863="",D1863=""),"",MOD(D1863-C1863,1)*24)</f>
        <v/>
      </c>
      <c r="F1863" s="50" t="n"/>
      <c r="G1863" s="51" t="n"/>
      <c r="H1863" s="51" t="n"/>
      <c r="I1863" s="51" t="n"/>
      <c r="J1863" s="51" t="n"/>
      <c r="K1863" s="51" t="n"/>
      <c r="L1863" s="54">
        <f>IF(OR(A1863="",C1863="",D1863=""),"",IF(COUNTIFS($A$5:$A$3004,A1863,$C$5:$C$3004,"&lt;"&amp;D1863,$D$5:$D$3004,"&gt;"&amp;C1863)&gt;1,"⚠️ пересечение",""))</f>
        <v/>
      </c>
      <c r="M1863" s="54">
        <f>IF(F1863="","",IF(J1863="✅ Сделано","✔ ",IF(J1863="❌ Пропущено","✖ ","⏰ "))&amp;IF(C1863="","",RIGHT("0"&amp;HOUR(C1863),2)&amp;":"&amp;RIGHT("0"&amp;MINUTE(C1863),2)&amp;IF(D1863="","","–"&amp;RIGHT("0"&amp;HOUR(D1863),2)&amp;":"&amp;RIGHT("0"&amp;MINUTE(D1863),2))&amp;" ")&amp;F1863)</f>
        <v/>
      </c>
      <c r="N1863" s="54">
        <f>IF(OR(A1863="",F1863=""),"",A1863&amp;"#"&amp;(COUNTIFS($A$5:$A$3004,A1863,$F$5:$F$3004,"?*",$O$5:$O$3004,"&lt;"&amp;O1863)+COUNTIFS($A$5:A1863,A1863,$F$5:F1863,"?*",$O$5:O1863,O1863)))</f>
        <v/>
      </c>
      <c r="O1863" s="54">
        <f>IF(A1863="","",IF(C1863="",0,C1863))</f>
        <v/>
      </c>
    </row>
    <row r="1864">
      <c r="A1864" s="58" t="n"/>
      <c r="B1864" s="49">
        <f>IF(A1864="","",CHOOSE(WEEKDAY(A1864,2),"Пн","Вт","Ср","Чт","Пт","Сб","Вс"))</f>
        <v/>
      </c>
      <c r="C1864" s="59" t="n"/>
      <c r="D1864" s="59" t="n"/>
      <c r="E1864" s="60">
        <f>IF(OR(C1864="",D1864=""),"",MOD(D1864-C1864,1)*24)</f>
        <v/>
      </c>
      <c r="F1864" s="50" t="n"/>
      <c r="G1864" s="51" t="n"/>
      <c r="H1864" s="51" t="n"/>
      <c r="I1864" s="51" t="n"/>
      <c r="J1864" s="51" t="n"/>
      <c r="K1864" s="51" t="n"/>
      <c r="L1864" s="54">
        <f>IF(OR(A1864="",C1864="",D1864=""),"",IF(COUNTIFS($A$5:$A$3004,A1864,$C$5:$C$3004,"&lt;"&amp;D1864,$D$5:$D$3004,"&gt;"&amp;C1864)&gt;1,"⚠️ пересечение",""))</f>
        <v/>
      </c>
      <c r="M1864" s="54">
        <f>IF(F1864="","",IF(J1864="✅ Сделано","✔ ",IF(J1864="❌ Пропущено","✖ ","⏰ "))&amp;IF(C1864="","",RIGHT("0"&amp;HOUR(C1864),2)&amp;":"&amp;RIGHT("0"&amp;MINUTE(C1864),2)&amp;IF(D1864="","","–"&amp;RIGHT("0"&amp;HOUR(D1864),2)&amp;":"&amp;RIGHT("0"&amp;MINUTE(D1864),2))&amp;" ")&amp;F1864)</f>
        <v/>
      </c>
      <c r="N1864" s="54">
        <f>IF(OR(A1864="",F1864=""),"",A1864&amp;"#"&amp;(COUNTIFS($A$5:$A$3004,A1864,$F$5:$F$3004,"?*",$O$5:$O$3004,"&lt;"&amp;O1864)+COUNTIFS($A$5:A1864,A1864,$F$5:F1864,"?*",$O$5:O1864,O1864)))</f>
        <v/>
      </c>
      <c r="O1864" s="54">
        <f>IF(A1864="","",IF(C1864="",0,C1864))</f>
        <v/>
      </c>
    </row>
    <row r="1865">
      <c r="A1865" s="58" t="n"/>
      <c r="B1865" s="49">
        <f>IF(A1865="","",CHOOSE(WEEKDAY(A1865,2),"Пн","Вт","Ср","Чт","Пт","Сб","Вс"))</f>
        <v/>
      </c>
      <c r="C1865" s="59" t="n"/>
      <c r="D1865" s="59" t="n"/>
      <c r="E1865" s="60">
        <f>IF(OR(C1865="",D1865=""),"",MOD(D1865-C1865,1)*24)</f>
        <v/>
      </c>
      <c r="F1865" s="50" t="n"/>
      <c r="G1865" s="51" t="n"/>
      <c r="H1865" s="51" t="n"/>
      <c r="I1865" s="51" t="n"/>
      <c r="J1865" s="51" t="n"/>
      <c r="K1865" s="51" t="n"/>
      <c r="L1865" s="54">
        <f>IF(OR(A1865="",C1865="",D1865=""),"",IF(COUNTIFS($A$5:$A$3004,A1865,$C$5:$C$3004,"&lt;"&amp;D1865,$D$5:$D$3004,"&gt;"&amp;C1865)&gt;1,"⚠️ пересечение",""))</f>
        <v/>
      </c>
      <c r="M1865" s="54">
        <f>IF(F1865="","",IF(J1865="✅ Сделано","✔ ",IF(J1865="❌ Пропущено","✖ ","⏰ "))&amp;IF(C1865="","",RIGHT("0"&amp;HOUR(C1865),2)&amp;":"&amp;RIGHT("0"&amp;MINUTE(C1865),2)&amp;IF(D1865="","","–"&amp;RIGHT("0"&amp;HOUR(D1865),2)&amp;":"&amp;RIGHT("0"&amp;MINUTE(D1865),2))&amp;" ")&amp;F1865)</f>
        <v/>
      </c>
      <c r="N1865" s="54">
        <f>IF(OR(A1865="",F1865=""),"",A1865&amp;"#"&amp;(COUNTIFS($A$5:$A$3004,A1865,$F$5:$F$3004,"?*",$O$5:$O$3004,"&lt;"&amp;O1865)+COUNTIFS($A$5:A1865,A1865,$F$5:F1865,"?*",$O$5:O1865,O1865)))</f>
        <v/>
      </c>
      <c r="O1865" s="54">
        <f>IF(A1865="","",IF(C1865="",0,C1865))</f>
        <v/>
      </c>
    </row>
    <row r="1866">
      <c r="A1866" s="58" t="n"/>
      <c r="B1866" s="49">
        <f>IF(A1866="","",CHOOSE(WEEKDAY(A1866,2),"Пн","Вт","Ср","Чт","Пт","Сб","Вс"))</f>
        <v/>
      </c>
      <c r="C1866" s="59" t="n"/>
      <c r="D1866" s="59" t="n"/>
      <c r="E1866" s="60">
        <f>IF(OR(C1866="",D1866=""),"",MOD(D1866-C1866,1)*24)</f>
        <v/>
      </c>
      <c r="F1866" s="50" t="n"/>
      <c r="G1866" s="51" t="n"/>
      <c r="H1866" s="51" t="n"/>
      <c r="I1866" s="51" t="n"/>
      <c r="J1866" s="51" t="n"/>
      <c r="K1866" s="51" t="n"/>
      <c r="L1866" s="54">
        <f>IF(OR(A1866="",C1866="",D1866=""),"",IF(COUNTIFS($A$5:$A$3004,A1866,$C$5:$C$3004,"&lt;"&amp;D1866,$D$5:$D$3004,"&gt;"&amp;C1866)&gt;1,"⚠️ пересечение",""))</f>
        <v/>
      </c>
      <c r="M1866" s="54">
        <f>IF(F1866="","",IF(J1866="✅ Сделано","✔ ",IF(J1866="❌ Пропущено","✖ ","⏰ "))&amp;IF(C1866="","",RIGHT("0"&amp;HOUR(C1866),2)&amp;":"&amp;RIGHT("0"&amp;MINUTE(C1866),2)&amp;IF(D1866="","","–"&amp;RIGHT("0"&amp;HOUR(D1866),2)&amp;":"&amp;RIGHT("0"&amp;MINUTE(D1866),2))&amp;" ")&amp;F1866)</f>
        <v/>
      </c>
      <c r="N1866" s="54">
        <f>IF(OR(A1866="",F1866=""),"",A1866&amp;"#"&amp;(COUNTIFS($A$5:$A$3004,A1866,$F$5:$F$3004,"?*",$O$5:$O$3004,"&lt;"&amp;O1866)+COUNTIFS($A$5:A1866,A1866,$F$5:F1866,"?*",$O$5:O1866,O1866)))</f>
        <v/>
      </c>
      <c r="O1866" s="54">
        <f>IF(A1866="","",IF(C1866="",0,C1866))</f>
        <v/>
      </c>
    </row>
    <row r="1867">
      <c r="A1867" s="58" t="n"/>
      <c r="B1867" s="49">
        <f>IF(A1867="","",CHOOSE(WEEKDAY(A1867,2),"Пн","Вт","Ср","Чт","Пт","Сб","Вс"))</f>
        <v/>
      </c>
      <c r="C1867" s="59" t="n"/>
      <c r="D1867" s="59" t="n"/>
      <c r="E1867" s="60">
        <f>IF(OR(C1867="",D1867=""),"",MOD(D1867-C1867,1)*24)</f>
        <v/>
      </c>
      <c r="F1867" s="50" t="n"/>
      <c r="G1867" s="51" t="n"/>
      <c r="H1867" s="51" t="n"/>
      <c r="I1867" s="51" t="n"/>
      <c r="J1867" s="51" t="n"/>
      <c r="K1867" s="51" t="n"/>
      <c r="L1867" s="54">
        <f>IF(OR(A1867="",C1867="",D1867=""),"",IF(COUNTIFS($A$5:$A$3004,A1867,$C$5:$C$3004,"&lt;"&amp;D1867,$D$5:$D$3004,"&gt;"&amp;C1867)&gt;1,"⚠️ пересечение",""))</f>
        <v/>
      </c>
      <c r="M1867" s="54">
        <f>IF(F1867="","",IF(J1867="✅ Сделано","✔ ",IF(J1867="❌ Пропущено","✖ ","⏰ "))&amp;IF(C1867="","",RIGHT("0"&amp;HOUR(C1867),2)&amp;":"&amp;RIGHT("0"&amp;MINUTE(C1867),2)&amp;IF(D1867="","","–"&amp;RIGHT("0"&amp;HOUR(D1867),2)&amp;":"&amp;RIGHT("0"&amp;MINUTE(D1867),2))&amp;" ")&amp;F1867)</f>
        <v/>
      </c>
      <c r="N1867" s="54">
        <f>IF(OR(A1867="",F1867=""),"",A1867&amp;"#"&amp;(COUNTIFS($A$5:$A$3004,A1867,$F$5:$F$3004,"?*",$O$5:$O$3004,"&lt;"&amp;O1867)+COUNTIFS($A$5:A1867,A1867,$F$5:F1867,"?*",$O$5:O1867,O1867)))</f>
        <v/>
      </c>
      <c r="O1867" s="54">
        <f>IF(A1867="","",IF(C1867="",0,C1867))</f>
        <v/>
      </c>
    </row>
    <row r="1868">
      <c r="A1868" s="58" t="n"/>
      <c r="B1868" s="49">
        <f>IF(A1868="","",CHOOSE(WEEKDAY(A1868,2),"Пн","Вт","Ср","Чт","Пт","Сб","Вс"))</f>
        <v/>
      </c>
      <c r="C1868" s="59" t="n"/>
      <c r="D1868" s="59" t="n"/>
      <c r="E1868" s="60">
        <f>IF(OR(C1868="",D1868=""),"",MOD(D1868-C1868,1)*24)</f>
        <v/>
      </c>
      <c r="F1868" s="50" t="n"/>
      <c r="G1868" s="51" t="n"/>
      <c r="H1868" s="51" t="n"/>
      <c r="I1868" s="51" t="n"/>
      <c r="J1868" s="51" t="n"/>
      <c r="K1868" s="51" t="n"/>
      <c r="L1868" s="54">
        <f>IF(OR(A1868="",C1868="",D1868=""),"",IF(COUNTIFS($A$5:$A$3004,A1868,$C$5:$C$3004,"&lt;"&amp;D1868,$D$5:$D$3004,"&gt;"&amp;C1868)&gt;1,"⚠️ пересечение",""))</f>
        <v/>
      </c>
      <c r="M1868" s="54">
        <f>IF(F1868="","",IF(J1868="✅ Сделано","✔ ",IF(J1868="❌ Пропущено","✖ ","⏰ "))&amp;IF(C1868="","",RIGHT("0"&amp;HOUR(C1868),2)&amp;":"&amp;RIGHT("0"&amp;MINUTE(C1868),2)&amp;IF(D1868="","","–"&amp;RIGHT("0"&amp;HOUR(D1868),2)&amp;":"&amp;RIGHT("0"&amp;MINUTE(D1868),2))&amp;" ")&amp;F1868)</f>
        <v/>
      </c>
      <c r="N1868" s="54">
        <f>IF(OR(A1868="",F1868=""),"",A1868&amp;"#"&amp;(COUNTIFS($A$5:$A$3004,A1868,$F$5:$F$3004,"?*",$O$5:$O$3004,"&lt;"&amp;O1868)+COUNTIFS($A$5:A1868,A1868,$F$5:F1868,"?*",$O$5:O1868,O1868)))</f>
        <v/>
      </c>
      <c r="O1868" s="54">
        <f>IF(A1868="","",IF(C1868="",0,C1868))</f>
        <v/>
      </c>
    </row>
    <row r="1869">
      <c r="A1869" s="58" t="n"/>
      <c r="B1869" s="49">
        <f>IF(A1869="","",CHOOSE(WEEKDAY(A1869,2),"Пн","Вт","Ср","Чт","Пт","Сб","Вс"))</f>
        <v/>
      </c>
      <c r="C1869" s="59" t="n"/>
      <c r="D1869" s="59" t="n"/>
      <c r="E1869" s="60">
        <f>IF(OR(C1869="",D1869=""),"",MOD(D1869-C1869,1)*24)</f>
        <v/>
      </c>
      <c r="F1869" s="50" t="n"/>
      <c r="G1869" s="51" t="n"/>
      <c r="H1869" s="51" t="n"/>
      <c r="I1869" s="51" t="n"/>
      <c r="J1869" s="51" t="n"/>
      <c r="K1869" s="51" t="n"/>
      <c r="L1869" s="54">
        <f>IF(OR(A1869="",C1869="",D1869=""),"",IF(COUNTIFS($A$5:$A$3004,A1869,$C$5:$C$3004,"&lt;"&amp;D1869,$D$5:$D$3004,"&gt;"&amp;C1869)&gt;1,"⚠️ пересечение",""))</f>
        <v/>
      </c>
      <c r="M1869" s="54">
        <f>IF(F1869="","",IF(J1869="✅ Сделано","✔ ",IF(J1869="❌ Пропущено","✖ ","⏰ "))&amp;IF(C1869="","",RIGHT("0"&amp;HOUR(C1869),2)&amp;":"&amp;RIGHT("0"&amp;MINUTE(C1869),2)&amp;IF(D1869="","","–"&amp;RIGHT("0"&amp;HOUR(D1869),2)&amp;":"&amp;RIGHT("0"&amp;MINUTE(D1869),2))&amp;" ")&amp;F1869)</f>
        <v/>
      </c>
      <c r="N1869" s="54">
        <f>IF(OR(A1869="",F1869=""),"",A1869&amp;"#"&amp;(COUNTIFS($A$5:$A$3004,A1869,$F$5:$F$3004,"?*",$O$5:$O$3004,"&lt;"&amp;O1869)+COUNTIFS($A$5:A1869,A1869,$F$5:F1869,"?*",$O$5:O1869,O1869)))</f>
        <v/>
      </c>
      <c r="O1869" s="54">
        <f>IF(A1869="","",IF(C1869="",0,C1869))</f>
        <v/>
      </c>
    </row>
    <row r="1870">
      <c r="A1870" s="58" t="n"/>
      <c r="B1870" s="49">
        <f>IF(A1870="","",CHOOSE(WEEKDAY(A1870,2),"Пн","Вт","Ср","Чт","Пт","Сб","Вс"))</f>
        <v/>
      </c>
      <c r="C1870" s="59" t="n"/>
      <c r="D1870" s="59" t="n"/>
      <c r="E1870" s="60">
        <f>IF(OR(C1870="",D1870=""),"",MOD(D1870-C1870,1)*24)</f>
        <v/>
      </c>
      <c r="F1870" s="50" t="n"/>
      <c r="G1870" s="51" t="n"/>
      <c r="H1870" s="51" t="n"/>
      <c r="I1870" s="51" t="n"/>
      <c r="J1870" s="51" t="n"/>
      <c r="K1870" s="51" t="n"/>
      <c r="L1870" s="54">
        <f>IF(OR(A1870="",C1870="",D1870=""),"",IF(COUNTIFS($A$5:$A$3004,A1870,$C$5:$C$3004,"&lt;"&amp;D1870,$D$5:$D$3004,"&gt;"&amp;C1870)&gt;1,"⚠️ пересечение",""))</f>
        <v/>
      </c>
      <c r="M1870" s="54">
        <f>IF(F1870="","",IF(J1870="✅ Сделано","✔ ",IF(J1870="❌ Пропущено","✖ ","⏰ "))&amp;IF(C1870="","",RIGHT("0"&amp;HOUR(C1870),2)&amp;":"&amp;RIGHT("0"&amp;MINUTE(C1870),2)&amp;IF(D1870="","","–"&amp;RIGHT("0"&amp;HOUR(D1870),2)&amp;":"&amp;RIGHT("0"&amp;MINUTE(D1870),2))&amp;" ")&amp;F1870)</f>
        <v/>
      </c>
      <c r="N1870" s="54">
        <f>IF(OR(A1870="",F1870=""),"",A1870&amp;"#"&amp;(COUNTIFS($A$5:$A$3004,A1870,$F$5:$F$3004,"?*",$O$5:$O$3004,"&lt;"&amp;O1870)+COUNTIFS($A$5:A1870,A1870,$F$5:F1870,"?*",$O$5:O1870,O1870)))</f>
        <v/>
      </c>
      <c r="O1870" s="54">
        <f>IF(A1870="","",IF(C1870="",0,C1870))</f>
        <v/>
      </c>
    </row>
    <row r="1871">
      <c r="A1871" s="58" t="n"/>
      <c r="B1871" s="49">
        <f>IF(A1871="","",CHOOSE(WEEKDAY(A1871,2),"Пн","Вт","Ср","Чт","Пт","Сб","Вс"))</f>
        <v/>
      </c>
      <c r="C1871" s="59" t="n"/>
      <c r="D1871" s="59" t="n"/>
      <c r="E1871" s="60">
        <f>IF(OR(C1871="",D1871=""),"",MOD(D1871-C1871,1)*24)</f>
        <v/>
      </c>
      <c r="F1871" s="50" t="n"/>
      <c r="G1871" s="51" t="n"/>
      <c r="H1871" s="51" t="n"/>
      <c r="I1871" s="51" t="n"/>
      <c r="J1871" s="51" t="n"/>
      <c r="K1871" s="51" t="n"/>
      <c r="L1871" s="54">
        <f>IF(OR(A1871="",C1871="",D1871=""),"",IF(COUNTIFS($A$5:$A$3004,A1871,$C$5:$C$3004,"&lt;"&amp;D1871,$D$5:$D$3004,"&gt;"&amp;C1871)&gt;1,"⚠️ пересечение",""))</f>
        <v/>
      </c>
      <c r="M1871" s="54">
        <f>IF(F1871="","",IF(J1871="✅ Сделано","✔ ",IF(J1871="❌ Пропущено","✖ ","⏰ "))&amp;IF(C1871="","",RIGHT("0"&amp;HOUR(C1871),2)&amp;":"&amp;RIGHT("0"&amp;MINUTE(C1871),2)&amp;IF(D1871="","","–"&amp;RIGHT("0"&amp;HOUR(D1871),2)&amp;":"&amp;RIGHT("0"&amp;MINUTE(D1871),2))&amp;" ")&amp;F1871)</f>
        <v/>
      </c>
      <c r="N1871" s="54">
        <f>IF(OR(A1871="",F1871=""),"",A1871&amp;"#"&amp;(COUNTIFS($A$5:$A$3004,A1871,$F$5:$F$3004,"?*",$O$5:$O$3004,"&lt;"&amp;O1871)+COUNTIFS($A$5:A1871,A1871,$F$5:F1871,"?*",$O$5:O1871,O1871)))</f>
        <v/>
      </c>
      <c r="O1871" s="54">
        <f>IF(A1871="","",IF(C1871="",0,C1871))</f>
        <v/>
      </c>
    </row>
    <row r="1872">
      <c r="A1872" s="58" t="n"/>
      <c r="B1872" s="49">
        <f>IF(A1872="","",CHOOSE(WEEKDAY(A1872,2),"Пн","Вт","Ср","Чт","Пт","Сб","Вс"))</f>
        <v/>
      </c>
      <c r="C1872" s="59" t="n"/>
      <c r="D1872" s="59" t="n"/>
      <c r="E1872" s="60">
        <f>IF(OR(C1872="",D1872=""),"",MOD(D1872-C1872,1)*24)</f>
        <v/>
      </c>
      <c r="F1872" s="50" t="n"/>
      <c r="G1872" s="51" t="n"/>
      <c r="H1872" s="51" t="n"/>
      <c r="I1872" s="51" t="n"/>
      <c r="J1872" s="51" t="n"/>
      <c r="K1872" s="51" t="n"/>
      <c r="L1872" s="54">
        <f>IF(OR(A1872="",C1872="",D1872=""),"",IF(COUNTIFS($A$5:$A$3004,A1872,$C$5:$C$3004,"&lt;"&amp;D1872,$D$5:$D$3004,"&gt;"&amp;C1872)&gt;1,"⚠️ пересечение",""))</f>
        <v/>
      </c>
      <c r="M1872" s="54">
        <f>IF(F1872="","",IF(J1872="✅ Сделано","✔ ",IF(J1872="❌ Пропущено","✖ ","⏰ "))&amp;IF(C1872="","",RIGHT("0"&amp;HOUR(C1872),2)&amp;":"&amp;RIGHT("0"&amp;MINUTE(C1872),2)&amp;IF(D1872="","","–"&amp;RIGHT("0"&amp;HOUR(D1872),2)&amp;":"&amp;RIGHT("0"&amp;MINUTE(D1872),2))&amp;" ")&amp;F1872)</f>
        <v/>
      </c>
      <c r="N1872" s="54">
        <f>IF(OR(A1872="",F1872=""),"",A1872&amp;"#"&amp;(COUNTIFS($A$5:$A$3004,A1872,$F$5:$F$3004,"?*",$O$5:$O$3004,"&lt;"&amp;O1872)+COUNTIFS($A$5:A1872,A1872,$F$5:F1872,"?*",$O$5:O1872,O1872)))</f>
        <v/>
      </c>
      <c r="O1872" s="54">
        <f>IF(A1872="","",IF(C1872="",0,C1872))</f>
        <v/>
      </c>
    </row>
    <row r="1873">
      <c r="A1873" s="58" t="n"/>
      <c r="B1873" s="49">
        <f>IF(A1873="","",CHOOSE(WEEKDAY(A1873,2),"Пн","Вт","Ср","Чт","Пт","Сб","Вс"))</f>
        <v/>
      </c>
      <c r="C1873" s="59" t="n"/>
      <c r="D1873" s="59" t="n"/>
      <c r="E1873" s="60">
        <f>IF(OR(C1873="",D1873=""),"",MOD(D1873-C1873,1)*24)</f>
        <v/>
      </c>
      <c r="F1873" s="50" t="n"/>
      <c r="G1873" s="51" t="n"/>
      <c r="H1873" s="51" t="n"/>
      <c r="I1873" s="51" t="n"/>
      <c r="J1873" s="51" t="n"/>
      <c r="K1873" s="51" t="n"/>
      <c r="L1873" s="54">
        <f>IF(OR(A1873="",C1873="",D1873=""),"",IF(COUNTIFS($A$5:$A$3004,A1873,$C$5:$C$3004,"&lt;"&amp;D1873,$D$5:$D$3004,"&gt;"&amp;C1873)&gt;1,"⚠️ пересечение",""))</f>
        <v/>
      </c>
      <c r="M1873" s="54">
        <f>IF(F1873="","",IF(J1873="✅ Сделано","✔ ",IF(J1873="❌ Пропущено","✖ ","⏰ "))&amp;IF(C1873="","",RIGHT("0"&amp;HOUR(C1873),2)&amp;":"&amp;RIGHT("0"&amp;MINUTE(C1873),2)&amp;IF(D1873="","","–"&amp;RIGHT("0"&amp;HOUR(D1873),2)&amp;":"&amp;RIGHT("0"&amp;MINUTE(D1873),2))&amp;" ")&amp;F1873)</f>
        <v/>
      </c>
      <c r="N1873" s="54">
        <f>IF(OR(A1873="",F1873=""),"",A1873&amp;"#"&amp;(COUNTIFS($A$5:$A$3004,A1873,$F$5:$F$3004,"?*",$O$5:$O$3004,"&lt;"&amp;O1873)+COUNTIFS($A$5:A1873,A1873,$F$5:F1873,"?*",$O$5:O1873,O1873)))</f>
        <v/>
      </c>
      <c r="O1873" s="54">
        <f>IF(A1873="","",IF(C1873="",0,C1873))</f>
        <v/>
      </c>
    </row>
    <row r="1874">
      <c r="A1874" s="58" t="n"/>
      <c r="B1874" s="49">
        <f>IF(A1874="","",CHOOSE(WEEKDAY(A1874,2),"Пн","Вт","Ср","Чт","Пт","Сб","Вс"))</f>
        <v/>
      </c>
      <c r="C1874" s="59" t="n"/>
      <c r="D1874" s="59" t="n"/>
      <c r="E1874" s="60">
        <f>IF(OR(C1874="",D1874=""),"",MOD(D1874-C1874,1)*24)</f>
        <v/>
      </c>
      <c r="F1874" s="50" t="n"/>
      <c r="G1874" s="51" t="n"/>
      <c r="H1874" s="51" t="n"/>
      <c r="I1874" s="51" t="n"/>
      <c r="J1874" s="51" t="n"/>
      <c r="K1874" s="51" t="n"/>
      <c r="L1874" s="54">
        <f>IF(OR(A1874="",C1874="",D1874=""),"",IF(COUNTIFS($A$5:$A$3004,A1874,$C$5:$C$3004,"&lt;"&amp;D1874,$D$5:$D$3004,"&gt;"&amp;C1874)&gt;1,"⚠️ пересечение",""))</f>
        <v/>
      </c>
      <c r="M1874" s="54">
        <f>IF(F1874="","",IF(J1874="✅ Сделано","✔ ",IF(J1874="❌ Пропущено","✖ ","⏰ "))&amp;IF(C1874="","",RIGHT("0"&amp;HOUR(C1874),2)&amp;":"&amp;RIGHT("0"&amp;MINUTE(C1874),2)&amp;IF(D1874="","","–"&amp;RIGHT("0"&amp;HOUR(D1874),2)&amp;":"&amp;RIGHT("0"&amp;MINUTE(D1874),2))&amp;" ")&amp;F1874)</f>
        <v/>
      </c>
      <c r="N1874" s="54">
        <f>IF(OR(A1874="",F1874=""),"",A1874&amp;"#"&amp;(COUNTIFS($A$5:$A$3004,A1874,$F$5:$F$3004,"?*",$O$5:$O$3004,"&lt;"&amp;O1874)+COUNTIFS($A$5:A1874,A1874,$F$5:F1874,"?*",$O$5:O1874,O1874)))</f>
        <v/>
      </c>
      <c r="O1874" s="54">
        <f>IF(A1874="","",IF(C1874="",0,C1874))</f>
        <v/>
      </c>
    </row>
    <row r="1875">
      <c r="A1875" s="58" t="n"/>
      <c r="B1875" s="49">
        <f>IF(A1875="","",CHOOSE(WEEKDAY(A1875,2),"Пн","Вт","Ср","Чт","Пт","Сб","Вс"))</f>
        <v/>
      </c>
      <c r="C1875" s="59" t="n"/>
      <c r="D1875" s="59" t="n"/>
      <c r="E1875" s="60">
        <f>IF(OR(C1875="",D1875=""),"",MOD(D1875-C1875,1)*24)</f>
        <v/>
      </c>
      <c r="F1875" s="50" t="n"/>
      <c r="G1875" s="51" t="n"/>
      <c r="H1875" s="51" t="n"/>
      <c r="I1875" s="51" t="n"/>
      <c r="J1875" s="51" t="n"/>
      <c r="K1875" s="51" t="n"/>
      <c r="L1875" s="54">
        <f>IF(OR(A1875="",C1875="",D1875=""),"",IF(COUNTIFS($A$5:$A$3004,A1875,$C$5:$C$3004,"&lt;"&amp;D1875,$D$5:$D$3004,"&gt;"&amp;C1875)&gt;1,"⚠️ пересечение",""))</f>
        <v/>
      </c>
      <c r="M1875" s="54">
        <f>IF(F1875="","",IF(J1875="✅ Сделано","✔ ",IF(J1875="❌ Пропущено","✖ ","⏰ "))&amp;IF(C1875="","",RIGHT("0"&amp;HOUR(C1875),2)&amp;":"&amp;RIGHT("0"&amp;MINUTE(C1875),2)&amp;IF(D1875="","","–"&amp;RIGHT("0"&amp;HOUR(D1875),2)&amp;":"&amp;RIGHT("0"&amp;MINUTE(D1875),2))&amp;" ")&amp;F1875)</f>
        <v/>
      </c>
      <c r="N1875" s="54">
        <f>IF(OR(A1875="",F1875=""),"",A1875&amp;"#"&amp;(COUNTIFS($A$5:$A$3004,A1875,$F$5:$F$3004,"?*",$O$5:$O$3004,"&lt;"&amp;O1875)+COUNTIFS($A$5:A1875,A1875,$F$5:F1875,"?*",$O$5:O1875,O1875)))</f>
        <v/>
      </c>
      <c r="O1875" s="54">
        <f>IF(A1875="","",IF(C1875="",0,C1875))</f>
        <v/>
      </c>
    </row>
    <row r="1876">
      <c r="A1876" s="58" t="n"/>
      <c r="B1876" s="49">
        <f>IF(A1876="","",CHOOSE(WEEKDAY(A1876,2),"Пн","Вт","Ср","Чт","Пт","Сб","Вс"))</f>
        <v/>
      </c>
      <c r="C1876" s="59" t="n"/>
      <c r="D1876" s="59" t="n"/>
      <c r="E1876" s="60">
        <f>IF(OR(C1876="",D1876=""),"",MOD(D1876-C1876,1)*24)</f>
        <v/>
      </c>
      <c r="F1876" s="50" t="n"/>
      <c r="G1876" s="51" t="n"/>
      <c r="H1876" s="51" t="n"/>
      <c r="I1876" s="51" t="n"/>
      <c r="J1876" s="51" t="n"/>
      <c r="K1876" s="51" t="n"/>
      <c r="L1876" s="54">
        <f>IF(OR(A1876="",C1876="",D1876=""),"",IF(COUNTIFS($A$5:$A$3004,A1876,$C$5:$C$3004,"&lt;"&amp;D1876,$D$5:$D$3004,"&gt;"&amp;C1876)&gt;1,"⚠️ пересечение",""))</f>
        <v/>
      </c>
      <c r="M1876" s="54">
        <f>IF(F1876="","",IF(J1876="✅ Сделано","✔ ",IF(J1876="❌ Пропущено","✖ ","⏰ "))&amp;IF(C1876="","",RIGHT("0"&amp;HOUR(C1876),2)&amp;":"&amp;RIGHT("0"&amp;MINUTE(C1876),2)&amp;IF(D1876="","","–"&amp;RIGHT("0"&amp;HOUR(D1876),2)&amp;":"&amp;RIGHT("0"&amp;MINUTE(D1876),2))&amp;" ")&amp;F1876)</f>
        <v/>
      </c>
      <c r="N1876" s="54">
        <f>IF(OR(A1876="",F1876=""),"",A1876&amp;"#"&amp;(COUNTIFS($A$5:$A$3004,A1876,$F$5:$F$3004,"?*",$O$5:$O$3004,"&lt;"&amp;O1876)+COUNTIFS($A$5:A1876,A1876,$F$5:F1876,"?*",$O$5:O1876,O1876)))</f>
        <v/>
      </c>
      <c r="O1876" s="54">
        <f>IF(A1876="","",IF(C1876="",0,C1876))</f>
        <v/>
      </c>
    </row>
    <row r="1877">
      <c r="A1877" s="58" t="n"/>
      <c r="B1877" s="49">
        <f>IF(A1877="","",CHOOSE(WEEKDAY(A1877,2),"Пн","Вт","Ср","Чт","Пт","Сб","Вс"))</f>
        <v/>
      </c>
      <c r="C1877" s="59" t="n"/>
      <c r="D1877" s="59" t="n"/>
      <c r="E1877" s="60">
        <f>IF(OR(C1877="",D1877=""),"",MOD(D1877-C1877,1)*24)</f>
        <v/>
      </c>
      <c r="F1877" s="50" t="n"/>
      <c r="G1877" s="51" t="n"/>
      <c r="H1877" s="51" t="n"/>
      <c r="I1877" s="51" t="n"/>
      <c r="J1877" s="51" t="n"/>
      <c r="K1877" s="51" t="n"/>
      <c r="L1877" s="54">
        <f>IF(OR(A1877="",C1877="",D1877=""),"",IF(COUNTIFS($A$5:$A$3004,A1877,$C$5:$C$3004,"&lt;"&amp;D1877,$D$5:$D$3004,"&gt;"&amp;C1877)&gt;1,"⚠️ пересечение",""))</f>
        <v/>
      </c>
      <c r="M1877" s="54">
        <f>IF(F1877="","",IF(J1877="✅ Сделано","✔ ",IF(J1877="❌ Пропущено","✖ ","⏰ "))&amp;IF(C1877="","",RIGHT("0"&amp;HOUR(C1877),2)&amp;":"&amp;RIGHT("0"&amp;MINUTE(C1877),2)&amp;IF(D1877="","","–"&amp;RIGHT("0"&amp;HOUR(D1877),2)&amp;":"&amp;RIGHT("0"&amp;MINUTE(D1877),2))&amp;" ")&amp;F1877)</f>
        <v/>
      </c>
      <c r="N1877" s="54">
        <f>IF(OR(A1877="",F1877=""),"",A1877&amp;"#"&amp;(COUNTIFS($A$5:$A$3004,A1877,$F$5:$F$3004,"?*",$O$5:$O$3004,"&lt;"&amp;O1877)+COUNTIFS($A$5:A1877,A1877,$F$5:F1877,"?*",$O$5:O1877,O1877)))</f>
        <v/>
      </c>
      <c r="O1877" s="54">
        <f>IF(A1877="","",IF(C1877="",0,C1877))</f>
        <v/>
      </c>
    </row>
    <row r="1878">
      <c r="A1878" s="58" t="n"/>
      <c r="B1878" s="49">
        <f>IF(A1878="","",CHOOSE(WEEKDAY(A1878,2),"Пн","Вт","Ср","Чт","Пт","Сб","Вс"))</f>
        <v/>
      </c>
      <c r="C1878" s="59" t="n"/>
      <c r="D1878" s="59" t="n"/>
      <c r="E1878" s="60">
        <f>IF(OR(C1878="",D1878=""),"",MOD(D1878-C1878,1)*24)</f>
        <v/>
      </c>
      <c r="F1878" s="50" t="n"/>
      <c r="G1878" s="51" t="n"/>
      <c r="H1878" s="51" t="n"/>
      <c r="I1878" s="51" t="n"/>
      <c r="J1878" s="51" t="n"/>
      <c r="K1878" s="51" t="n"/>
      <c r="L1878" s="54">
        <f>IF(OR(A1878="",C1878="",D1878=""),"",IF(COUNTIFS($A$5:$A$3004,A1878,$C$5:$C$3004,"&lt;"&amp;D1878,$D$5:$D$3004,"&gt;"&amp;C1878)&gt;1,"⚠️ пересечение",""))</f>
        <v/>
      </c>
      <c r="M1878" s="54">
        <f>IF(F1878="","",IF(J1878="✅ Сделано","✔ ",IF(J1878="❌ Пропущено","✖ ","⏰ "))&amp;IF(C1878="","",RIGHT("0"&amp;HOUR(C1878),2)&amp;":"&amp;RIGHT("0"&amp;MINUTE(C1878),2)&amp;IF(D1878="","","–"&amp;RIGHT("0"&amp;HOUR(D1878),2)&amp;":"&amp;RIGHT("0"&amp;MINUTE(D1878),2))&amp;" ")&amp;F1878)</f>
        <v/>
      </c>
      <c r="N1878" s="54">
        <f>IF(OR(A1878="",F1878=""),"",A1878&amp;"#"&amp;(COUNTIFS($A$5:$A$3004,A1878,$F$5:$F$3004,"?*",$O$5:$O$3004,"&lt;"&amp;O1878)+COUNTIFS($A$5:A1878,A1878,$F$5:F1878,"?*",$O$5:O1878,O1878)))</f>
        <v/>
      </c>
      <c r="O1878" s="54">
        <f>IF(A1878="","",IF(C1878="",0,C1878))</f>
        <v/>
      </c>
    </row>
    <row r="1879">
      <c r="A1879" s="58" t="n"/>
      <c r="B1879" s="49">
        <f>IF(A1879="","",CHOOSE(WEEKDAY(A1879,2),"Пн","Вт","Ср","Чт","Пт","Сб","Вс"))</f>
        <v/>
      </c>
      <c r="C1879" s="59" t="n"/>
      <c r="D1879" s="59" t="n"/>
      <c r="E1879" s="60">
        <f>IF(OR(C1879="",D1879=""),"",MOD(D1879-C1879,1)*24)</f>
        <v/>
      </c>
      <c r="F1879" s="50" t="n"/>
      <c r="G1879" s="51" t="n"/>
      <c r="H1879" s="51" t="n"/>
      <c r="I1879" s="51" t="n"/>
      <c r="J1879" s="51" t="n"/>
      <c r="K1879" s="51" t="n"/>
      <c r="L1879" s="54">
        <f>IF(OR(A1879="",C1879="",D1879=""),"",IF(COUNTIFS($A$5:$A$3004,A1879,$C$5:$C$3004,"&lt;"&amp;D1879,$D$5:$D$3004,"&gt;"&amp;C1879)&gt;1,"⚠️ пересечение",""))</f>
        <v/>
      </c>
      <c r="M1879" s="54">
        <f>IF(F1879="","",IF(J1879="✅ Сделано","✔ ",IF(J1879="❌ Пропущено","✖ ","⏰ "))&amp;IF(C1879="","",RIGHT("0"&amp;HOUR(C1879),2)&amp;":"&amp;RIGHT("0"&amp;MINUTE(C1879),2)&amp;IF(D1879="","","–"&amp;RIGHT("0"&amp;HOUR(D1879),2)&amp;":"&amp;RIGHT("0"&amp;MINUTE(D1879),2))&amp;" ")&amp;F1879)</f>
        <v/>
      </c>
      <c r="N1879" s="54">
        <f>IF(OR(A1879="",F1879=""),"",A1879&amp;"#"&amp;(COUNTIFS($A$5:$A$3004,A1879,$F$5:$F$3004,"?*",$O$5:$O$3004,"&lt;"&amp;O1879)+COUNTIFS($A$5:A1879,A1879,$F$5:F1879,"?*",$O$5:O1879,O1879)))</f>
        <v/>
      </c>
      <c r="O1879" s="54">
        <f>IF(A1879="","",IF(C1879="",0,C1879))</f>
        <v/>
      </c>
    </row>
    <row r="1880">
      <c r="A1880" s="58" t="n"/>
      <c r="B1880" s="49">
        <f>IF(A1880="","",CHOOSE(WEEKDAY(A1880,2),"Пн","Вт","Ср","Чт","Пт","Сб","Вс"))</f>
        <v/>
      </c>
      <c r="C1880" s="59" t="n"/>
      <c r="D1880" s="59" t="n"/>
      <c r="E1880" s="60">
        <f>IF(OR(C1880="",D1880=""),"",MOD(D1880-C1880,1)*24)</f>
        <v/>
      </c>
      <c r="F1880" s="50" t="n"/>
      <c r="G1880" s="51" t="n"/>
      <c r="H1880" s="51" t="n"/>
      <c r="I1880" s="51" t="n"/>
      <c r="J1880" s="51" t="n"/>
      <c r="K1880" s="51" t="n"/>
      <c r="L1880" s="54">
        <f>IF(OR(A1880="",C1880="",D1880=""),"",IF(COUNTIFS($A$5:$A$3004,A1880,$C$5:$C$3004,"&lt;"&amp;D1880,$D$5:$D$3004,"&gt;"&amp;C1880)&gt;1,"⚠️ пересечение",""))</f>
        <v/>
      </c>
      <c r="M1880" s="54">
        <f>IF(F1880="","",IF(J1880="✅ Сделано","✔ ",IF(J1880="❌ Пропущено","✖ ","⏰ "))&amp;IF(C1880="","",RIGHT("0"&amp;HOUR(C1880),2)&amp;":"&amp;RIGHT("0"&amp;MINUTE(C1880),2)&amp;IF(D1880="","","–"&amp;RIGHT("0"&amp;HOUR(D1880),2)&amp;":"&amp;RIGHT("0"&amp;MINUTE(D1880),2))&amp;" ")&amp;F1880)</f>
        <v/>
      </c>
      <c r="N1880" s="54">
        <f>IF(OR(A1880="",F1880=""),"",A1880&amp;"#"&amp;(COUNTIFS($A$5:$A$3004,A1880,$F$5:$F$3004,"?*",$O$5:$O$3004,"&lt;"&amp;O1880)+COUNTIFS($A$5:A1880,A1880,$F$5:F1880,"?*",$O$5:O1880,O1880)))</f>
        <v/>
      </c>
      <c r="O1880" s="54">
        <f>IF(A1880="","",IF(C1880="",0,C1880))</f>
        <v/>
      </c>
    </row>
    <row r="1881">
      <c r="A1881" s="58" t="n"/>
      <c r="B1881" s="49">
        <f>IF(A1881="","",CHOOSE(WEEKDAY(A1881,2),"Пн","Вт","Ср","Чт","Пт","Сб","Вс"))</f>
        <v/>
      </c>
      <c r="C1881" s="59" t="n"/>
      <c r="D1881" s="59" t="n"/>
      <c r="E1881" s="60">
        <f>IF(OR(C1881="",D1881=""),"",MOD(D1881-C1881,1)*24)</f>
        <v/>
      </c>
      <c r="F1881" s="50" t="n"/>
      <c r="G1881" s="51" t="n"/>
      <c r="H1881" s="51" t="n"/>
      <c r="I1881" s="51" t="n"/>
      <c r="J1881" s="51" t="n"/>
      <c r="K1881" s="51" t="n"/>
      <c r="L1881" s="54">
        <f>IF(OR(A1881="",C1881="",D1881=""),"",IF(COUNTIFS($A$5:$A$3004,A1881,$C$5:$C$3004,"&lt;"&amp;D1881,$D$5:$D$3004,"&gt;"&amp;C1881)&gt;1,"⚠️ пересечение",""))</f>
        <v/>
      </c>
      <c r="M1881" s="54">
        <f>IF(F1881="","",IF(J1881="✅ Сделано","✔ ",IF(J1881="❌ Пропущено","✖ ","⏰ "))&amp;IF(C1881="","",RIGHT("0"&amp;HOUR(C1881),2)&amp;":"&amp;RIGHT("0"&amp;MINUTE(C1881),2)&amp;IF(D1881="","","–"&amp;RIGHT("0"&amp;HOUR(D1881),2)&amp;":"&amp;RIGHT("0"&amp;MINUTE(D1881),2))&amp;" ")&amp;F1881)</f>
        <v/>
      </c>
      <c r="N1881" s="54">
        <f>IF(OR(A1881="",F1881=""),"",A1881&amp;"#"&amp;(COUNTIFS($A$5:$A$3004,A1881,$F$5:$F$3004,"?*",$O$5:$O$3004,"&lt;"&amp;O1881)+COUNTIFS($A$5:A1881,A1881,$F$5:F1881,"?*",$O$5:O1881,O1881)))</f>
        <v/>
      </c>
      <c r="O1881" s="54">
        <f>IF(A1881="","",IF(C1881="",0,C1881))</f>
        <v/>
      </c>
    </row>
    <row r="1882">
      <c r="A1882" s="58" t="n"/>
      <c r="B1882" s="49">
        <f>IF(A1882="","",CHOOSE(WEEKDAY(A1882,2),"Пн","Вт","Ср","Чт","Пт","Сб","Вс"))</f>
        <v/>
      </c>
      <c r="C1882" s="59" t="n"/>
      <c r="D1882" s="59" t="n"/>
      <c r="E1882" s="60">
        <f>IF(OR(C1882="",D1882=""),"",MOD(D1882-C1882,1)*24)</f>
        <v/>
      </c>
      <c r="F1882" s="50" t="n"/>
      <c r="G1882" s="51" t="n"/>
      <c r="H1882" s="51" t="n"/>
      <c r="I1882" s="51" t="n"/>
      <c r="J1882" s="51" t="n"/>
      <c r="K1882" s="51" t="n"/>
      <c r="L1882" s="54">
        <f>IF(OR(A1882="",C1882="",D1882=""),"",IF(COUNTIFS($A$5:$A$3004,A1882,$C$5:$C$3004,"&lt;"&amp;D1882,$D$5:$D$3004,"&gt;"&amp;C1882)&gt;1,"⚠️ пересечение",""))</f>
        <v/>
      </c>
      <c r="M1882" s="54">
        <f>IF(F1882="","",IF(J1882="✅ Сделано","✔ ",IF(J1882="❌ Пропущено","✖ ","⏰ "))&amp;IF(C1882="","",RIGHT("0"&amp;HOUR(C1882),2)&amp;":"&amp;RIGHT("0"&amp;MINUTE(C1882),2)&amp;IF(D1882="","","–"&amp;RIGHT("0"&amp;HOUR(D1882),2)&amp;":"&amp;RIGHT("0"&amp;MINUTE(D1882),2))&amp;" ")&amp;F1882)</f>
        <v/>
      </c>
      <c r="N1882" s="54">
        <f>IF(OR(A1882="",F1882=""),"",A1882&amp;"#"&amp;(COUNTIFS($A$5:$A$3004,A1882,$F$5:$F$3004,"?*",$O$5:$O$3004,"&lt;"&amp;O1882)+COUNTIFS($A$5:A1882,A1882,$F$5:F1882,"?*",$O$5:O1882,O1882)))</f>
        <v/>
      </c>
      <c r="O1882" s="54">
        <f>IF(A1882="","",IF(C1882="",0,C1882))</f>
        <v/>
      </c>
    </row>
    <row r="1883">
      <c r="A1883" s="58" t="n"/>
      <c r="B1883" s="49">
        <f>IF(A1883="","",CHOOSE(WEEKDAY(A1883,2),"Пн","Вт","Ср","Чт","Пт","Сб","Вс"))</f>
        <v/>
      </c>
      <c r="C1883" s="59" t="n"/>
      <c r="D1883" s="59" t="n"/>
      <c r="E1883" s="60">
        <f>IF(OR(C1883="",D1883=""),"",MOD(D1883-C1883,1)*24)</f>
        <v/>
      </c>
      <c r="F1883" s="50" t="n"/>
      <c r="G1883" s="51" t="n"/>
      <c r="H1883" s="51" t="n"/>
      <c r="I1883" s="51" t="n"/>
      <c r="J1883" s="51" t="n"/>
      <c r="K1883" s="51" t="n"/>
      <c r="L1883" s="54">
        <f>IF(OR(A1883="",C1883="",D1883=""),"",IF(COUNTIFS($A$5:$A$3004,A1883,$C$5:$C$3004,"&lt;"&amp;D1883,$D$5:$D$3004,"&gt;"&amp;C1883)&gt;1,"⚠️ пересечение",""))</f>
        <v/>
      </c>
      <c r="M1883" s="54">
        <f>IF(F1883="","",IF(J1883="✅ Сделано","✔ ",IF(J1883="❌ Пропущено","✖ ","⏰ "))&amp;IF(C1883="","",RIGHT("0"&amp;HOUR(C1883),2)&amp;":"&amp;RIGHT("0"&amp;MINUTE(C1883),2)&amp;IF(D1883="","","–"&amp;RIGHT("0"&amp;HOUR(D1883),2)&amp;":"&amp;RIGHT("0"&amp;MINUTE(D1883),2))&amp;" ")&amp;F1883)</f>
        <v/>
      </c>
      <c r="N1883" s="54">
        <f>IF(OR(A1883="",F1883=""),"",A1883&amp;"#"&amp;(COUNTIFS($A$5:$A$3004,A1883,$F$5:$F$3004,"?*",$O$5:$O$3004,"&lt;"&amp;O1883)+COUNTIFS($A$5:A1883,A1883,$F$5:F1883,"?*",$O$5:O1883,O1883)))</f>
        <v/>
      </c>
      <c r="O1883" s="54">
        <f>IF(A1883="","",IF(C1883="",0,C1883))</f>
        <v/>
      </c>
    </row>
    <row r="1884">
      <c r="A1884" s="58" t="n"/>
      <c r="B1884" s="49">
        <f>IF(A1884="","",CHOOSE(WEEKDAY(A1884,2),"Пн","Вт","Ср","Чт","Пт","Сб","Вс"))</f>
        <v/>
      </c>
      <c r="C1884" s="59" t="n"/>
      <c r="D1884" s="59" t="n"/>
      <c r="E1884" s="60">
        <f>IF(OR(C1884="",D1884=""),"",MOD(D1884-C1884,1)*24)</f>
        <v/>
      </c>
      <c r="F1884" s="50" t="n"/>
      <c r="G1884" s="51" t="n"/>
      <c r="H1884" s="51" t="n"/>
      <c r="I1884" s="51" t="n"/>
      <c r="J1884" s="51" t="n"/>
      <c r="K1884" s="51" t="n"/>
      <c r="L1884" s="54">
        <f>IF(OR(A1884="",C1884="",D1884=""),"",IF(COUNTIFS($A$5:$A$3004,A1884,$C$5:$C$3004,"&lt;"&amp;D1884,$D$5:$D$3004,"&gt;"&amp;C1884)&gt;1,"⚠️ пересечение",""))</f>
        <v/>
      </c>
      <c r="M1884" s="54">
        <f>IF(F1884="","",IF(J1884="✅ Сделано","✔ ",IF(J1884="❌ Пропущено","✖ ","⏰ "))&amp;IF(C1884="","",RIGHT("0"&amp;HOUR(C1884),2)&amp;":"&amp;RIGHT("0"&amp;MINUTE(C1884),2)&amp;IF(D1884="","","–"&amp;RIGHT("0"&amp;HOUR(D1884),2)&amp;":"&amp;RIGHT("0"&amp;MINUTE(D1884),2))&amp;" ")&amp;F1884)</f>
        <v/>
      </c>
      <c r="N1884" s="54">
        <f>IF(OR(A1884="",F1884=""),"",A1884&amp;"#"&amp;(COUNTIFS($A$5:$A$3004,A1884,$F$5:$F$3004,"?*",$O$5:$O$3004,"&lt;"&amp;O1884)+COUNTIFS($A$5:A1884,A1884,$F$5:F1884,"?*",$O$5:O1884,O1884)))</f>
        <v/>
      </c>
      <c r="O1884" s="54">
        <f>IF(A1884="","",IF(C1884="",0,C1884))</f>
        <v/>
      </c>
    </row>
    <row r="1885">
      <c r="A1885" s="58" t="n"/>
      <c r="B1885" s="49">
        <f>IF(A1885="","",CHOOSE(WEEKDAY(A1885,2),"Пн","Вт","Ср","Чт","Пт","Сб","Вс"))</f>
        <v/>
      </c>
      <c r="C1885" s="59" t="n"/>
      <c r="D1885" s="59" t="n"/>
      <c r="E1885" s="60">
        <f>IF(OR(C1885="",D1885=""),"",MOD(D1885-C1885,1)*24)</f>
        <v/>
      </c>
      <c r="F1885" s="50" t="n"/>
      <c r="G1885" s="51" t="n"/>
      <c r="H1885" s="51" t="n"/>
      <c r="I1885" s="51" t="n"/>
      <c r="J1885" s="51" t="n"/>
      <c r="K1885" s="51" t="n"/>
      <c r="L1885" s="54">
        <f>IF(OR(A1885="",C1885="",D1885=""),"",IF(COUNTIFS($A$5:$A$3004,A1885,$C$5:$C$3004,"&lt;"&amp;D1885,$D$5:$D$3004,"&gt;"&amp;C1885)&gt;1,"⚠️ пересечение",""))</f>
        <v/>
      </c>
      <c r="M1885" s="54">
        <f>IF(F1885="","",IF(J1885="✅ Сделано","✔ ",IF(J1885="❌ Пропущено","✖ ","⏰ "))&amp;IF(C1885="","",RIGHT("0"&amp;HOUR(C1885),2)&amp;":"&amp;RIGHT("0"&amp;MINUTE(C1885),2)&amp;IF(D1885="","","–"&amp;RIGHT("0"&amp;HOUR(D1885),2)&amp;":"&amp;RIGHT("0"&amp;MINUTE(D1885),2))&amp;" ")&amp;F1885)</f>
        <v/>
      </c>
      <c r="N1885" s="54">
        <f>IF(OR(A1885="",F1885=""),"",A1885&amp;"#"&amp;(COUNTIFS($A$5:$A$3004,A1885,$F$5:$F$3004,"?*",$O$5:$O$3004,"&lt;"&amp;O1885)+COUNTIFS($A$5:A1885,A1885,$F$5:F1885,"?*",$O$5:O1885,O1885)))</f>
        <v/>
      </c>
      <c r="O1885" s="54">
        <f>IF(A1885="","",IF(C1885="",0,C1885))</f>
        <v/>
      </c>
    </row>
    <row r="1886">
      <c r="A1886" s="58" t="n"/>
      <c r="B1886" s="49">
        <f>IF(A1886="","",CHOOSE(WEEKDAY(A1886,2),"Пн","Вт","Ср","Чт","Пт","Сб","Вс"))</f>
        <v/>
      </c>
      <c r="C1886" s="59" t="n"/>
      <c r="D1886" s="59" t="n"/>
      <c r="E1886" s="60">
        <f>IF(OR(C1886="",D1886=""),"",MOD(D1886-C1886,1)*24)</f>
        <v/>
      </c>
      <c r="F1886" s="50" t="n"/>
      <c r="G1886" s="51" t="n"/>
      <c r="H1886" s="51" t="n"/>
      <c r="I1886" s="51" t="n"/>
      <c r="J1886" s="51" t="n"/>
      <c r="K1886" s="51" t="n"/>
      <c r="L1886" s="54">
        <f>IF(OR(A1886="",C1886="",D1886=""),"",IF(COUNTIFS($A$5:$A$3004,A1886,$C$5:$C$3004,"&lt;"&amp;D1886,$D$5:$D$3004,"&gt;"&amp;C1886)&gt;1,"⚠️ пересечение",""))</f>
        <v/>
      </c>
      <c r="M1886" s="54">
        <f>IF(F1886="","",IF(J1886="✅ Сделано","✔ ",IF(J1886="❌ Пропущено","✖ ","⏰ "))&amp;IF(C1886="","",RIGHT("0"&amp;HOUR(C1886),2)&amp;":"&amp;RIGHT("0"&amp;MINUTE(C1886),2)&amp;IF(D1886="","","–"&amp;RIGHT("0"&amp;HOUR(D1886),2)&amp;":"&amp;RIGHT("0"&amp;MINUTE(D1886),2))&amp;" ")&amp;F1886)</f>
        <v/>
      </c>
      <c r="N1886" s="54">
        <f>IF(OR(A1886="",F1886=""),"",A1886&amp;"#"&amp;(COUNTIFS($A$5:$A$3004,A1886,$F$5:$F$3004,"?*",$O$5:$O$3004,"&lt;"&amp;O1886)+COUNTIFS($A$5:A1886,A1886,$F$5:F1886,"?*",$O$5:O1886,O1886)))</f>
        <v/>
      </c>
      <c r="O1886" s="54">
        <f>IF(A1886="","",IF(C1886="",0,C1886))</f>
        <v/>
      </c>
    </row>
    <row r="1887">
      <c r="A1887" s="58" t="n"/>
      <c r="B1887" s="49">
        <f>IF(A1887="","",CHOOSE(WEEKDAY(A1887,2),"Пн","Вт","Ср","Чт","Пт","Сб","Вс"))</f>
        <v/>
      </c>
      <c r="C1887" s="59" t="n"/>
      <c r="D1887" s="59" t="n"/>
      <c r="E1887" s="60">
        <f>IF(OR(C1887="",D1887=""),"",MOD(D1887-C1887,1)*24)</f>
        <v/>
      </c>
      <c r="F1887" s="50" t="n"/>
      <c r="G1887" s="51" t="n"/>
      <c r="H1887" s="51" t="n"/>
      <c r="I1887" s="51" t="n"/>
      <c r="J1887" s="51" t="n"/>
      <c r="K1887" s="51" t="n"/>
      <c r="L1887" s="54">
        <f>IF(OR(A1887="",C1887="",D1887=""),"",IF(COUNTIFS($A$5:$A$3004,A1887,$C$5:$C$3004,"&lt;"&amp;D1887,$D$5:$D$3004,"&gt;"&amp;C1887)&gt;1,"⚠️ пересечение",""))</f>
        <v/>
      </c>
      <c r="M1887" s="54">
        <f>IF(F1887="","",IF(J1887="✅ Сделано","✔ ",IF(J1887="❌ Пропущено","✖ ","⏰ "))&amp;IF(C1887="","",RIGHT("0"&amp;HOUR(C1887),2)&amp;":"&amp;RIGHT("0"&amp;MINUTE(C1887),2)&amp;IF(D1887="","","–"&amp;RIGHT("0"&amp;HOUR(D1887),2)&amp;":"&amp;RIGHT("0"&amp;MINUTE(D1887),2))&amp;" ")&amp;F1887)</f>
        <v/>
      </c>
      <c r="N1887" s="54">
        <f>IF(OR(A1887="",F1887=""),"",A1887&amp;"#"&amp;(COUNTIFS($A$5:$A$3004,A1887,$F$5:$F$3004,"?*",$O$5:$O$3004,"&lt;"&amp;O1887)+COUNTIFS($A$5:A1887,A1887,$F$5:F1887,"?*",$O$5:O1887,O1887)))</f>
        <v/>
      </c>
      <c r="O1887" s="54">
        <f>IF(A1887="","",IF(C1887="",0,C1887))</f>
        <v/>
      </c>
    </row>
    <row r="1888">
      <c r="A1888" s="58" t="n"/>
      <c r="B1888" s="49">
        <f>IF(A1888="","",CHOOSE(WEEKDAY(A1888,2),"Пн","Вт","Ср","Чт","Пт","Сб","Вс"))</f>
        <v/>
      </c>
      <c r="C1888" s="59" t="n"/>
      <c r="D1888" s="59" t="n"/>
      <c r="E1888" s="60">
        <f>IF(OR(C1888="",D1888=""),"",MOD(D1888-C1888,1)*24)</f>
        <v/>
      </c>
      <c r="F1888" s="50" t="n"/>
      <c r="G1888" s="51" t="n"/>
      <c r="H1888" s="51" t="n"/>
      <c r="I1888" s="51" t="n"/>
      <c r="J1888" s="51" t="n"/>
      <c r="K1888" s="51" t="n"/>
      <c r="L1888" s="54">
        <f>IF(OR(A1888="",C1888="",D1888=""),"",IF(COUNTIFS($A$5:$A$3004,A1888,$C$5:$C$3004,"&lt;"&amp;D1888,$D$5:$D$3004,"&gt;"&amp;C1888)&gt;1,"⚠️ пересечение",""))</f>
        <v/>
      </c>
      <c r="M1888" s="54">
        <f>IF(F1888="","",IF(J1888="✅ Сделано","✔ ",IF(J1888="❌ Пропущено","✖ ","⏰ "))&amp;IF(C1888="","",RIGHT("0"&amp;HOUR(C1888),2)&amp;":"&amp;RIGHT("0"&amp;MINUTE(C1888),2)&amp;IF(D1888="","","–"&amp;RIGHT("0"&amp;HOUR(D1888),2)&amp;":"&amp;RIGHT("0"&amp;MINUTE(D1888),2))&amp;" ")&amp;F1888)</f>
        <v/>
      </c>
      <c r="N1888" s="54">
        <f>IF(OR(A1888="",F1888=""),"",A1888&amp;"#"&amp;(COUNTIFS($A$5:$A$3004,A1888,$F$5:$F$3004,"?*",$O$5:$O$3004,"&lt;"&amp;O1888)+COUNTIFS($A$5:A1888,A1888,$F$5:F1888,"?*",$O$5:O1888,O1888)))</f>
        <v/>
      </c>
      <c r="O1888" s="54">
        <f>IF(A1888="","",IF(C1888="",0,C1888))</f>
        <v/>
      </c>
    </row>
    <row r="1889">
      <c r="A1889" s="58" t="n"/>
      <c r="B1889" s="49">
        <f>IF(A1889="","",CHOOSE(WEEKDAY(A1889,2),"Пн","Вт","Ср","Чт","Пт","Сб","Вс"))</f>
        <v/>
      </c>
      <c r="C1889" s="59" t="n"/>
      <c r="D1889" s="59" t="n"/>
      <c r="E1889" s="60">
        <f>IF(OR(C1889="",D1889=""),"",MOD(D1889-C1889,1)*24)</f>
        <v/>
      </c>
      <c r="F1889" s="50" t="n"/>
      <c r="G1889" s="51" t="n"/>
      <c r="H1889" s="51" t="n"/>
      <c r="I1889" s="51" t="n"/>
      <c r="J1889" s="51" t="n"/>
      <c r="K1889" s="51" t="n"/>
      <c r="L1889" s="54">
        <f>IF(OR(A1889="",C1889="",D1889=""),"",IF(COUNTIFS($A$5:$A$3004,A1889,$C$5:$C$3004,"&lt;"&amp;D1889,$D$5:$D$3004,"&gt;"&amp;C1889)&gt;1,"⚠️ пересечение",""))</f>
        <v/>
      </c>
      <c r="M1889" s="54">
        <f>IF(F1889="","",IF(J1889="✅ Сделано","✔ ",IF(J1889="❌ Пропущено","✖ ","⏰ "))&amp;IF(C1889="","",RIGHT("0"&amp;HOUR(C1889),2)&amp;":"&amp;RIGHT("0"&amp;MINUTE(C1889),2)&amp;IF(D1889="","","–"&amp;RIGHT("0"&amp;HOUR(D1889),2)&amp;":"&amp;RIGHT("0"&amp;MINUTE(D1889),2))&amp;" ")&amp;F1889)</f>
        <v/>
      </c>
      <c r="N1889" s="54">
        <f>IF(OR(A1889="",F1889=""),"",A1889&amp;"#"&amp;(COUNTIFS($A$5:$A$3004,A1889,$F$5:$F$3004,"?*",$O$5:$O$3004,"&lt;"&amp;O1889)+COUNTIFS($A$5:A1889,A1889,$F$5:F1889,"?*",$O$5:O1889,O1889)))</f>
        <v/>
      </c>
      <c r="O1889" s="54">
        <f>IF(A1889="","",IF(C1889="",0,C1889))</f>
        <v/>
      </c>
    </row>
    <row r="1890">
      <c r="A1890" s="58" t="n"/>
      <c r="B1890" s="49">
        <f>IF(A1890="","",CHOOSE(WEEKDAY(A1890,2),"Пн","Вт","Ср","Чт","Пт","Сб","Вс"))</f>
        <v/>
      </c>
      <c r="C1890" s="59" t="n"/>
      <c r="D1890" s="59" t="n"/>
      <c r="E1890" s="60">
        <f>IF(OR(C1890="",D1890=""),"",MOD(D1890-C1890,1)*24)</f>
        <v/>
      </c>
      <c r="F1890" s="50" t="n"/>
      <c r="G1890" s="51" t="n"/>
      <c r="H1890" s="51" t="n"/>
      <c r="I1890" s="51" t="n"/>
      <c r="J1890" s="51" t="n"/>
      <c r="K1890" s="51" t="n"/>
      <c r="L1890" s="54">
        <f>IF(OR(A1890="",C1890="",D1890=""),"",IF(COUNTIFS($A$5:$A$3004,A1890,$C$5:$C$3004,"&lt;"&amp;D1890,$D$5:$D$3004,"&gt;"&amp;C1890)&gt;1,"⚠️ пересечение",""))</f>
        <v/>
      </c>
      <c r="M1890" s="54">
        <f>IF(F1890="","",IF(J1890="✅ Сделано","✔ ",IF(J1890="❌ Пропущено","✖ ","⏰ "))&amp;IF(C1890="","",RIGHT("0"&amp;HOUR(C1890),2)&amp;":"&amp;RIGHT("0"&amp;MINUTE(C1890),2)&amp;IF(D1890="","","–"&amp;RIGHT("0"&amp;HOUR(D1890),2)&amp;":"&amp;RIGHT("0"&amp;MINUTE(D1890),2))&amp;" ")&amp;F1890)</f>
        <v/>
      </c>
      <c r="N1890" s="54">
        <f>IF(OR(A1890="",F1890=""),"",A1890&amp;"#"&amp;(COUNTIFS($A$5:$A$3004,A1890,$F$5:$F$3004,"?*",$O$5:$O$3004,"&lt;"&amp;O1890)+COUNTIFS($A$5:A1890,A1890,$F$5:F1890,"?*",$O$5:O1890,O1890)))</f>
        <v/>
      </c>
      <c r="O1890" s="54">
        <f>IF(A1890="","",IF(C1890="",0,C1890))</f>
        <v/>
      </c>
    </row>
    <row r="1891">
      <c r="A1891" s="58" t="n"/>
      <c r="B1891" s="49">
        <f>IF(A1891="","",CHOOSE(WEEKDAY(A1891,2),"Пн","Вт","Ср","Чт","Пт","Сб","Вс"))</f>
        <v/>
      </c>
      <c r="C1891" s="59" t="n"/>
      <c r="D1891" s="59" t="n"/>
      <c r="E1891" s="60">
        <f>IF(OR(C1891="",D1891=""),"",MOD(D1891-C1891,1)*24)</f>
        <v/>
      </c>
      <c r="F1891" s="50" t="n"/>
      <c r="G1891" s="51" t="n"/>
      <c r="H1891" s="51" t="n"/>
      <c r="I1891" s="51" t="n"/>
      <c r="J1891" s="51" t="n"/>
      <c r="K1891" s="51" t="n"/>
      <c r="L1891" s="54">
        <f>IF(OR(A1891="",C1891="",D1891=""),"",IF(COUNTIFS($A$5:$A$3004,A1891,$C$5:$C$3004,"&lt;"&amp;D1891,$D$5:$D$3004,"&gt;"&amp;C1891)&gt;1,"⚠️ пересечение",""))</f>
        <v/>
      </c>
      <c r="M1891" s="54">
        <f>IF(F1891="","",IF(J1891="✅ Сделано","✔ ",IF(J1891="❌ Пропущено","✖ ","⏰ "))&amp;IF(C1891="","",RIGHT("0"&amp;HOUR(C1891),2)&amp;":"&amp;RIGHT("0"&amp;MINUTE(C1891),2)&amp;IF(D1891="","","–"&amp;RIGHT("0"&amp;HOUR(D1891),2)&amp;":"&amp;RIGHT("0"&amp;MINUTE(D1891),2))&amp;" ")&amp;F1891)</f>
        <v/>
      </c>
      <c r="N1891" s="54">
        <f>IF(OR(A1891="",F1891=""),"",A1891&amp;"#"&amp;(COUNTIFS($A$5:$A$3004,A1891,$F$5:$F$3004,"?*",$O$5:$O$3004,"&lt;"&amp;O1891)+COUNTIFS($A$5:A1891,A1891,$F$5:F1891,"?*",$O$5:O1891,O1891)))</f>
        <v/>
      </c>
      <c r="O1891" s="54">
        <f>IF(A1891="","",IF(C1891="",0,C1891))</f>
        <v/>
      </c>
    </row>
    <row r="1892">
      <c r="A1892" s="58" t="n"/>
      <c r="B1892" s="49">
        <f>IF(A1892="","",CHOOSE(WEEKDAY(A1892,2),"Пн","Вт","Ср","Чт","Пт","Сб","Вс"))</f>
        <v/>
      </c>
      <c r="C1892" s="59" t="n"/>
      <c r="D1892" s="59" t="n"/>
      <c r="E1892" s="60">
        <f>IF(OR(C1892="",D1892=""),"",MOD(D1892-C1892,1)*24)</f>
        <v/>
      </c>
      <c r="F1892" s="50" t="n"/>
      <c r="G1892" s="51" t="n"/>
      <c r="H1892" s="51" t="n"/>
      <c r="I1892" s="51" t="n"/>
      <c r="J1892" s="51" t="n"/>
      <c r="K1892" s="51" t="n"/>
      <c r="L1892" s="54">
        <f>IF(OR(A1892="",C1892="",D1892=""),"",IF(COUNTIFS($A$5:$A$3004,A1892,$C$5:$C$3004,"&lt;"&amp;D1892,$D$5:$D$3004,"&gt;"&amp;C1892)&gt;1,"⚠️ пересечение",""))</f>
        <v/>
      </c>
      <c r="M1892" s="54">
        <f>IF(F1892="","",IF(J1892="✅ Сделано","✔ ",IF(J1892="❌ Пропущено","✖ ","⏰ "))&amp;IF(C1892="","",RIGHT("0"&amp;HOUR(C1892),2)&amp;":"&amp;RIGHT("0"&amp;MINUTE(C1892),2)&amp;IF(D1892="","","–"&amp;RIGHT("0"&amp;HOUR(D1892),2)&amp;":"&amp;RIGHT("0"&amp;MINUTE(D1892),2))&amp;" ")&amp;F1892)</f>
        <v/>
      </c>
      <c r="N1892" s="54">
        <f>IF(OR(A1892="",F1892=""),"",A1892&amp;"#"&amp;(COUNTIFS($A$5:$A$3004,A1892,$F$5:$F$3004,"?*",$O$5:$O$3004,"&lt;"&amp;O1892)+COUNTIFS($A$5:A1892,A1892,$F$5:F1892,"?*",$O$5:O1892,O1892)))</f>
        <v/>
      </c>
      <c r="O1892" s="54">
        <f>IF(A1892="","",IF(C1892="",0,C1892))</f>
        <v/>
      </c>
    </row>
    <row r="1893">
      <c r="A1893" s="58" t="n"/>
      <c r="B1893" s="49">
        <f>IF(A1893="","",CHOOSE(WEEKDAY(A1893,2),"Пн","Вт","Ср","Чт","Пт","Сб","Вс"))</f>
        <v/>
      </c>
      <c r="C1893" s="59" t="n"/>
      <c r="D1893" s="59" t="n"/>
      <c r="E1893" s="60">
        <f>IF(OR(C1893="",D1893=""),"",MOD(D1893-C1893,1)*24)</f>
        <v/>
      </c>
      <c r="F1893" s="50" t="n"/>
      <c r="G1893" s="51" t="n"/>
      <c r="H1893" s="51" t="n"/>
      <c r="I1893" s="51" t="n"/>
      <c r="J1893" s="51" t="n"/>
      <c r="K1893" s="51" t="n"/>
      <c r="L1893" s="54">
        <f>IF(OR(A1893="",C1893="",D1893=""),"",IF(COUNTIFS($A$5:$A$3004,A1893,$C$5:$C$3004,"&lt;"&amp;D1893,$D$5:$D$3004,"&gt;"&amp;C1893)&gt;1,"⚠️ пересечение",""))</f>
        <v/>
      </c>
      <c r="M1893" s="54">
        <f>IF(F1893="","",IF(J1893="✅ Сделано","✔ ",IF(J1893="❌ Пропущено","✖ ","⏰ "))&amp;IF(C1893="","",RIGHT("0"&amp;HOUR(C1893),2)&amp;":"&amp;RIGHT("0"&amp;MINUTE(C1893),2)&amp;IF(D1893="","","–"&amp;RIGHT("0"&amp;HOUR(D1893),2)&amp;":"&amp;RIGHT("0"&amp;MINUTE(D1893),2))&amp;" ")&amp;F1893)</f>
        <v/>
      </c>
      <c r="N1893" s="54">
        <f>IF(OR(A1893="",F1893=""),"",A1893&amp;"#"&amp;(COUNTIFS($A$5:$A$3004,A1893,$F$5:$F$3004,"?*",$O$5:$O$3004,"&lt;"&amp;O1893)+COUNTIFS($A$5:A1893,A1893,$F$5:F1893,"?*",$O$5:O1893,O1893)))</f>
        <v/>
      </c>
      <c r="O1893" s="54">
        <f>IF(A1893="","",IF(C1893="",0,C1893))</f>
        <v/>
      </c>
    </row>
    <row r="1894">
      <c r="A1894" s="58" t="n"/>
      <c r="B1894" s="49">
        <f>IF(A1894="","",CHOOSE(WEEKDAY(A1894,2),"Пн","Вт","Ср","Чт","Пт","Сб","Вс"))</f>
        <v/>
      </c>
      <c r="C1894" s="59" t="n"/>
      <c r="D1894" s="59" t="n"/>
      <c r="E1894" s="60">
        <f>IF(OR(C1894="",D1894=""),"",MOD(D1894-C1894,1)*24)</f>
        <v/>
      </c>
      <c r="F1894" s="50" t="n"/>
      <c r="G1894" s="51" t="n"/>
      <c r="H1894" s="51" t="n"/>
      <c r="I1894" s="51" t="n"/>
      <c r="J1894" s="51" t="n"/>
      <c r="K1894" s="51" t="n"/>
      <c r="L1894" s="54">
        <f>IF(OR(A1894="",C1894="",D1894=""),"",IF(COUNTIFS($A$5:$A$3004,A1894,$C$5:$C$3004,"&lt;"&amp;D1894,$D$5:$D$3004,"&gt;"&amp;C1894)&gt;1,"⚠️ пересечение",""))</f>
        <v/>
      </c>
      <c r="M1894" s="54">
        <f>IF(F1894="","",IF(J1894="✅ Сделано","✔ ",IF(J1894="❌ Пропущено","✖ ","⏰ "))&amp;IF(C1894="","",RIGHT("0"&amp;HOUR(C1894),2)&amp;":"&amp;RIGHT("0"&amp;MINUTE(C1894),2)&amp;IF(D1894="","","–"&amp;RIGHT("0"&amp;HOUR(D1894),2)&amp;":"&amp;RIGHT("0"&amp;MINUTE(D1894),2))&amp;" ")&amp;F1894)</f>
        <v/>
      </c>
      <c r="N1894" s="54">
        <f>IF(OR(A1894="",F1894=""),"",A1894&amp;"#"&amp;(COUNTIFS($A$5:$A$3004,A1894,$F$5:$F$3004,"?*",$O$5:$O$3004,"&lt;"&amp;O1894)+COUNTIFS($A$5:A1894,A1894,$F$5:F1894,"?*",$O$5:O1894,O1894)))</f>
        <v/>
      </c>
      <c r="O1894" s="54">
        <f>IF(A1894="","",IF(C1894="",0,C1894))</f>
        <v/>
      </c>
    </row>
    <row r="1895">
      <c r="A1895" s="58" t="n"/>
      <c r="B1895" s="49">
        <f>IF(A1895="","",CHOOSE(WEEKDAY(A1895,2),"Пн","Вт","Ср","Чт","Пт","Сб","Вс"))</f>
        <v/>
      </c>
      <c r="C1895" s="59" t="n"/>
      <c r="D1895" s="59" t="n"/>
      <c r="E1895" s="60">
        <f>IF(OR(C1895="",D1895=""),"",MOD(D1895-C1895,1)*24)</f>
        <v/>
      </c>
      <c r="F1895" s="50" t="n"/>
      <c r="G1895" s="51" t="n"/>
      <c r="H1895" s="51" t="n"/>
      <c r="I1895" s="51" t="n"/>
      <c r="J1895" s="51" t="n"/>
      <c r="K1895" s="51" t="n"/>
      <c r="L1895" s="54">
        <f>IF(OR(A1895="",C1895="",D1895=""),"",IF(COUNTIFS($A$5:$A$3004,A1895,$C$5:$C$3004,"&lt;"&amp;D1895,$D$5:$D$3004,"&gt;"&amp;C1895)&gt;1,"⚠️ пересечение",""))</f>
        <v/>
      </c>
      <c r="M1895" s="54">
        <f>IF(F1895="","",IF(J1895="✅ Сделано","✔ ",IF(J1895="❌ Пропущено","✖ ","⏰ "))&amp;IF(C1895="","",RIGHT("0"&amp;HOUR(C1895),2)&amp;":"&amp;RIGHT("0"&amp;MINUTE(C1895),2)&amp;IF(D1895="","","–"&amp;RIGHT("0"&amp;HOUR(D1895),2)&amp;":"&amp;RIGHT("0"&amp;MINUTE(D1895),2))&amp;" ")&amp;F1895)</f>
        <v/>
      </c>
      <c r="N1895" s="54">
        <f>IF(OR(A1895="",F1895=""),"",A1895&amp;"#"&amp;(COUNTIFS($A$5:$A$3004,A1895,$F$5:$F$3004,"?*",$O$5:$O$3004,"&lt;"&amp;O1895)+COUNTIFS($A$5:A1895,A1895,$F$5:F1895,"?*",$O$5:O1895,O1895)))</f>
        <v/>
      </c>
      <c r="O1895" s="54">
        <f>IF(A1895="","",IF(C1895="",0,C1895))</f>
        <v/>
      </c>
    </row>
    <row r="1896">
      <c r="A1896" s="58" t="n"/>
      <c r="B1896" s="49">
        <f>IF(A1896="","",CHOOSE(WEEKDAY(A1896,2),"Пн","Вт","Ср","Чт","Пт","Сб","Вс"))</f>
        <v/>
      </c>
      <c r="C1896" s="59" t="n"/>
      <c r="D1896" s="59" t="n"/>
      <c r="E1896" s="60">
        <f>IF(OR(C1896="",D1896=""),"",MOD(D1896-C1896,1)*24)</f>
        <v/>
      </c>
      <c r="F1896" s="50" t="n"/>
      <c r="G1896" s="51" t="n"/>
      <c r="H1896" s="51" t="n"/>
      <c r="I1896" s="51" t="n"/>
      <c r="J1896" s="51" t="n"/>
      <c r="K1896" s="51" t="n"/>
      <c r="L1896" s="54">
        <f>IF(OR(A1896="",C1896="",D1896=""),"",IF(COUNTIFS($A$5:$A$3004,A1896,$C$5:$C$3004,"&lt;"&amp;D1896,$D$5:$D$3004,"&gt;"&amp;C1896)&gt;1,"⚠️ пересечение",""))</f>
        <v/>
      </c>
      <c r="M1896" s="54">
        <f>IF(F1896="","",IF(J1896="✅ Сделано","✔ ",IF(J1896="❌ Пропущено","✖ ","⏰ "))&amp;IF(C1896="","",RIGHT("0"&amp;HOUR(C1896),2)&amp;":"&amp;RIGHT("0"&amp;MINUTE(C1896),2)&amp;IF(D1896="","","–"&amp;RIGHT("0"&amp;HOUR(D1896),2)&amp;":"&amp;RIGHT("0"&amp;MINUTE(D1896),2))&amp;" ")&amp;F1896)</f>
        <v/>
      </c>
      <c r="N1896" s="54">
        <f>IF(OR(A1896="",F1896=""),"",A1896&amp;"#"&amp;(COUNTIFS($A$5:$A$3004,A1896,$F$5:$F$3004,"?*",$O$5:$O$3004,"&lt;"&amp;O1896)+COUNTIFS($A$5:A1896,A1896,$F$5:F1896,"?*",$O$5:O1896,O1896)))</f>
        <v/>
      </c>
      <c r="O1896" s="54">
        <f>IF(A1896="","",IF(C1896="",0,C1896))</f>
        <v/>
      </c>
    </row>
    <row r="1897">
      <c r="A1897" s="58" t="n"/>
      <c r="B1897" s="49">
        <f>IF(A1897="","",CHOOSE(WEEKDAY(A1897,2),"Пн","Вт","Ср","Чт","Пт","Сб","Вс"))</f>
        <v/>
      </c>
      <c r="C1897" s="59" t="n"/>
      <c r="D1897" s="59" t="n"/>
      <c r="E1897" s="60">
        <f>IF(OR(C1897="",D1897=""),"",MOD(D1897-C1897,1)*24)</f>
        <v/>
      </c>
      <c r="F1897" s="50" t="n"/>
      <c r="G1897" s="51" t="n"/>
      <c r="H1897" s="51" t="n"/>
      <c r="I1897" s="51" t="n"/>
      <c r="J1897" s="51" t="n"/>
      <c r="K1897" s="51" t="n"/>
      <c r="L1897" s="54">
        <f>IF(OR(A1897="",C1897="",D1897=""),"",IF(COUNTIFS($A$5:$A$3004,A1897,$C$5:$C$3004,"&lt;"&amp;D1897,$D$5:$D$3004,"&gt;"&amp;C1897)&gt;1,"⚠️ пересечение",""))</f>
        <v/>
      </c>
      <c r="M1897" s="54">
        <f>IF(F1897="","",IF(J1897="✅ Сделано","✔ ",IF(J1897="❌ Пропущено","✖ ","⏰ "))&amp;IF(C1897="","",RIGHT("0"&amp;HOUR(C1897),2)&amp;":"&amp;RIGHT("0"&amp;MINUTE(C1897),2)&amp;IF(D1897="","","–"&amp;RIGHT("0"&amp;HOUR(D1897),2)&amp;":"&amp;RIGHT("0"&amp;MINUTE(D1897),2))&amp;" ")&amp;F1897)</f>
        <v/>
      </c>
      <c r="N1897" s="54">
        <f>IF(OR(A1897="",F1897=""),"",A1897&amp;"#"&amp;(COUNTIFS($A$5:$A$3004,A1897,$F$5:$F$3004,"?*",$O$5:$O$3004,"&lt;"&amp;O1897)+COUNTIFS($A$5:A1897,A1897,$F$5:F1897,"?*",$O$5:O1897,O1897)))</f>
        <v/>
      </c>
      <c r="O1897" s="54">
        <f>IF(A1897="","",IF(C1897="",0,C1897))</f>
        <v/>
      </c>
    </row>
    <row r="1898">
      <c r="A1898" s="58" t="n"/>
      <c r="B1898" s="49">
        <f>IF(A1898="","",CHOOSE(WEEKDAY(A1898,2),"Пн","Вт","Ср","Чт","Пт","Сб","Вс"))</f>
        <v/>
      </c>
      <c r="C1898" s="59" t="n"/>
      <c r="D1898" s="59" t="n"/>
      <c r="E1898" s="60">
        <f>IF(OR(C1898="",D1898=""),"",MOD(D1898-C1898,1)*24)</f>
        <v/>
      </c>
      <c r="F1898" s="50" t="n"/>
      <c r="G1898" s="51" t="n"/>
      <c r="H1898" s="51" t="n"/>
      <c r="I1898" s="51" t="n"/>
      <c r="J1898" s="51" t="n"/>
      <c r="K1898" s="51" t="n"/>
      <c r="L1898" s="54">
        <f>IF(OR(A1898="",C1898="",D1898=""),"",IF(COUNTIFS($A$5:$A$3004,A1898,$C$5:$C$3004,"&lt;"&amp;D1898,$D$5:$D$3004,"&gt;"&amp;C1898)&gt;1,"⚠️ пересечение",""))</f>
        <v/>
      </c>
      <c r="M1898" s="54">
        <f>IF(F1898="","",IF(J1898="✅ Сделано","✔ ",IF(J1898="❌ Пропущено","✖ ","⏰ "))&amp;IF(C1898="","",RIGHT("0"&amp;HOUR(C1898),2)&amp;":"&amp;RIGHT("0"&amp;MINUTE(C1898),2)&amp;IF(D1898="","","–"&amp;RIGHT("0"&amp;HOUR(D1898),2)&amp;":"&amp;RIGHT("0"&amp;MINUTE(D1898),2))&amp;" ")&amp;F1898)</f>
        <v/>
      </c>
      <c r="N1898" s="54">
        <f>IF(OR(A1898="",F1898=""),"",A1898&amp;"#"&amp;(COUNTIFS($A$5:$A$3004,A1898,$F$5:$F$3004,"?*",$O$5:$O$3004,"&lt;"&amp;O1898)+COUNTIFS($A$5:A1898,A1898,$F$5:F1898,"?*",$O$5:O1898,O1898)))</f>
        <v/>
      </c>
      <c r="O1898" s="54">
        <f>IF(A1898="","",IF(C1898="",0,C1898))</f>
        <v/>
      </c>
    </row>
    <row r="1899">
      <c r="A1899" s="58" t="n"/>
      <c r="B1899" s="49">
        <f>IF(A1899="","",CHOOSE(WEEKDAY(A1899,2),"Пн","Вт","Ср","Чт","Пт","Сб","Вс"))</f>
        <v/>
      </c>
      <c r="C1899" s="59" t="n"/>
      <c r="D1899" s="59" t="n"/>
      <c r="E1899" s="60">
        <f>IF(OR(C1899="",D1899=""),"",MOD(D1899-C1899,1)*24)</f>
        <v/>
      </c>
      <c r="F1899" s="50" t="n"/>
      <c r="G1899" s="51" t="n"/>
      <c r="H1899" s="51" t="n"/>
      <c r="I1899" s="51" t="n"/>
      <c r="J1899" s="51" t="n"/>
      <c r="K1899" s="51" t="n"/>
      <c r="L1899" s="54">
        <f>IF(OR(A1899="",C1899="",D1899=""),"",IF(COUNTIFS($A$5:$A$3004,A1899,$C$5:$C$3004,"&lt;"&amp;D1899,$D$5:$D$3004,"&gt;"&amp;C1899)&gt;1,"⚠️ пересечение",""))</f>
        <v/>
      </c>
      <c r="M1899" s="54">
        <f>IF(F1899="","",IF(J1899="✅ Сделано","✔ ",IF(J1899="❌ Пропущено","✖ ","⏰ "))&amp;IF(C1899="","",RIGHT("0"&amp;HOUR(C1899),2)&amp;":"&amp;RIGHT("0"&amp;MINUTE(C1899),2)&amp;IF(D1899="","","–"&amp;RIGHT("0"&amp;HOUR(D1899),2)&amp;":"&amp;RIGHT("0"&amp;MINUTE(D1899),2))&amp;" ")&amp;F1899)</f>
        <v/>
      </c>
      <c r="N1899" s="54">
        <f>IF(OR(A1899="",F1899=""),"",A1899&amp;"#"&amp;(COUNTIFS($A$5:$A$3004,A1899,$F$5:$F$3004,"?*",$O$5:$O$3004,"&lt;"&amp;O1899)+COUNTIFS($A$5:A1899,A1899,$F$5:F1899,"?*",$O$5:O1899,O1899)))</f>
        <v/>
      </c>
      <c r="O1899" s="54">
        <f>IF(A1899="","",IF(C1899="",0,C1899))</f>
        <v/>
      </c>
    </row>
    <row r="1900">
      <c r="A1900" s="58" t="n"/>
      <c r="B1900" s="49">
        <f>IF(A1900="","",CHOOSE(WEEKDAY(A1900,2),"Пн","Вт","Ср","Чт","Пт","Сб","Вс"))</f>
        <v/>
      </c>
      <c r="C1900" s="59" t="n"/>
      <c r="D1900" s="59" t="n"/>
      <c r="E1900" s="60">
        <f>IF(OR(C1900="",D1900=""),"",MOD(D1900-C1900,1)*24)</f>
        <v/>
      </c>
      <c r="F1900" s="50" t="n"/>
      <c r="G1900" s="51" t="n"/>
      <c r="H1900" s="51" t="n"/>
      <c r="I1900" s="51" t="n"/>
      <c r="J1900" s="51" t="n"/>
      <c r="K1900" s="51" t="n"/>
      <c r="L1900" s="54">
        <f>IF(OR(A1900="",C1900="",D1900=""),"",IF(COUNTIFS($A$5:$A$3004,A1900,$C$5:$C$3004,"&lt;"&amp;D1900,$D$5:$D$3004,"&gt;"&amp;C1900)&gt;1,"⚠️ пересечение",""))</f>
        <v/>
      </c>
      <c r="M1900" s="54">
        <f>IF(F1900="","",IF(J1900="✅ Сделано","✔ ",IF(J1900="❌ Пропущено","✖ ","⏰ "))&amp;IF(C1900="","",RIGHT("0"&amp;HOUR(C1900),2)&amp;":"&amp;RIGHT("0"&amp;MINUTE(C1900),2)&amp;IF(D1900="","","–"&amp;RIGHT("0"&amp;HOUR(D1900),2)&amp;":"&amp;RIGHT("0"&amp;MINUTE(D1900),2))&amp;" ")&amp;F1900)</f>
        <v/>
      </c>
      <c r="N1900" s="54">
        <f>IF(OR(A1900="",F1900=""),"",A1900&amp;"#"&amp;(COUNTIFS($A$5:$A$3004,A1900,$F$5:$F$3004,"?*",$O$5:$O$3004,"&lt;"&amp;O1900)+COUNTIFS($A$5:A1900,A1900,$F$5:F1900,"?*",$O$5:O1900,O1900)))</f>
        <v/>
      </c>
      <c r="O1900" s="54">
        <f>IF(A1900="","",IF(C1900="",0,C1900))</f>
        <v/>
      </c>
    </row>
    <row r="1901">
      <c r="A1901" s="58" t="n"/>
      <c r="B1901" s="49">
        <f>IF(A1901="","",CHOOSE(WEEKDAY(A1901,2),"Пн","Вт","Ср","Чт","Пт","Сб","Вс"))</f>
        <v/>
      </c>
      <c r="C1901" s="59" t="n"/>
      <c r="D1901" s="59" t="n"/>
      <c r="E1901" s="60">
        <f>IF(OR(C1901="",D1901=""),"",MOD(D1901-C1901,1)*24)</f>
        <v/>
      </c>
      <c r="F1901" s="50" t="n"/>
      <c r="G1901" s="51" t="n"/>
      <c r="H1901" s="51" t="n"/>
      <c r="I1901" s="51" t="n"/>
      <c r="J1901" s="51" t="n"/>
      <c r="K1901" s="51" t="n"/>
      <c r="L1901" s="54">
        <f>IF(OR(A1901="",C1901="",D1901=""),"",IF(COUNTIFS($A$5:$A$3004,A1901,$C$5:$C$3004,"&lt;"&amp;D1901,$D$5:$D$3004,"&gt;"&amp;C1901)&gt;1,"⚠️ пересечение",""))</f>
        <v/>
      </c>
      <c r="M1901" s="54">
        <f>IF(F1901="","",IF(J1901="✅ Сделано","✔ ",IF(J1901="❌ Пропущено","✖ ","⏰ "))&amp;IF(C1901="","",RIGHT("0"&amp;HOUR(C1901),2)&amp;":"&amp;RIGHT("0"&amp;MINUTE(C1901),2)&amp;IF(D1901="","","–"&amp;RIGHT("0"&amp;HOUR(D1901),2)&amp;":"&amp;RIGHT("0"&amp;MINUTE(D1901),2))&amp;" ")&amp;F1901)</f>
        <v/>
      </c>
      <c r="N1901" s="54">
        <f>IF(OR(A1901="",F1901=""),"",A1901&amp;"#"&amp;(COUNTIFS($A$5:$A$3004,A1901,$F$5:$F$3004,"?*",$O$5:$O$3004,"&lt;"&amp;O1901)+COUNTIFS($A$5:A1901,A1901,$F$5:F1901,"?*",$O$5:O1901,O1901)))</f>
        <v/>
      </c>
      <c r="O1901" s="54">
        <f>IF(A1901="","",IF(C1901="",0,C1901))</f>
        <v/>
      </c>
    </row>
    <row r="1902">
      <c r="A1902" s="58" t="n"/>
      <c r="B1902" s="49">
        <f>IF(A1902="","",CHOOSE(WEEKDAY(A1902,2),"Пн","Вт","Ср","Чт","Пт","Сб","Вс"))</f>
        <v/>
      </c>
      <c r="C1902" s="59" t="n"/>
      <c r="D1902" s="59" t="n"/>
      <c r="E1902" s="60">
        <f>IF(OR(C1902="",D1902=""),"",MOD(D1902-C1902,1)*24)</f>
        <v/>
      </c>
      <c r="F1902" s="50" t="n"/>
      <c r="G1902" s="51" t="n"/>
      <c r="H1902" s="51" t="n"/>
      <c r="I1902" s="51" t="n"/>
      <c r="J1902" s="51" t="n"/>
      <c r="K1902" s="51" t="n"/>
      <c r="L1902" s="54">
        <f>IF(OR(A1902="",C1902="",D1902=""),"",IF(COUNTIFS($A$5:$A$3004,A1902,$C$5:$C$3004,"&lt;"&amp;D1902,$D$5:$D$3004,"&gt;"&amp;C1902)&gt;1,"⚠️ пересечение",""))</f>
        <v/>
      </c>
      <c r="M1902" s="54">
        <f>IF(F1902="","",IF(J1902="✅ Сделано","✔ ",IF(J1902="❌ Пропущено","✖ ","⏰ "))&amp;IF(C1902="","",RIGHT("0"&amp;HOUR(C1902),2)&amp;":"&amp;RIGHT("0"&amp;MINUTE(C1902),2)&amp;IF(D1902="","","–"&amp;RIGHT("0"&amp;HOUR(D1902),2)&amp;":"&amp;RIGHT("0"&amp;MINUTE(D1902),2))&amp;" ")&amp;F1902)</f>
        <v/>
      </c>
      <c r="N1902" s="54">
        <f>IF(OR(A1902="",F1902=""),"",A1902&amp;"#"&amp;(COUNTIFS($A$5:$A$3004,A1902,$F$5:$F$3004,"?*",$O$5:$O$3004,"&lt;"&amp;O1902)+COUNTIFS($A$5:A1902,A1902,$F$5:F1902,"?*",$O$5:O1902,O1902)))</f>
        <v/>
      </c>
      <c r="O1902" s="54">
        <f>IF(A1902="","",IF(C1902="",0,C1902))</f>
        <v/>
      </c>
    </row>
    <row r="1903">
      <c r="A1903" s="58" t="n"/>
      <c r="B1903" s="49">
        <f>IF(A1903="","",CHOOSE(WEEKDAY(A1903,2),"Пн","Вт","Ср","Чт","Пт","Сб","Вс"))</f>
        <v/>
      </c>
      <c r="C1903" s="59" t="n"/>
      <c r="D1903" s="59" t="n"/>
      <c r="E1903" s="60">
        <f>IF(OR(C1903="",D1903=""),"",MOD(D1903-C1903,1)*24)</f>
        <v/>
      </c>
      <c r="F1903" s="50" t="n"/>
      <c r="G1903" s="51" t="n"/>
      <c r="H1903" s="51" t="n"/>
      <c r="I1903" s="51" t="n"/>
      <c r="J1903" s="51" t="n"/>
      <c r="K1903" s="51" t="n"/>
      <c r="L1903" s="54">
        <f>IF(OR(A1903="",C1903="",D1903=""),"",IF(COUNTIFS($A$5:$A$3004,A1903,$C$5:$C$3004,"&lt;"&amp;D1903,$D$5:$D$3004,"&gt;"&amp;C1903)&gt;1,"⚠️ пересечение",""))</f>
        <v/>
      </c>
      <c r="M1903" s="54">
        <f>IF(F1903="","",IF(J1903="✅ Сделано","✔ ",IF(J1903="❌ Пропущено","✖ ","⏰ "))&amp;IF(C1903="","",RIGHT("0"&amp;HOUR(C1903),2)&amp;":"&amp;RIGHT("0"&amp;MINUTE(C1903),2)&amp;IF(D1903="","","–"&amp;RIGHT("0"&amp;HOUR(D1903),2)&amp;":"&amp;RIGHT("0"&amp;MINUTE(D1903),2))&amp;" ")&amp;F1903)</f>
        <v/>
      </c>
      <c r="N1903" s="54">
        <f>IF(OR(A1903="",F1903=""),"",A1903&amp;"#"&amp;(COUNTIFS($A$5:$A$3004,A1903,$F$5:$F$3004,"?*",$O$5:$O$3004,"&lt;"&amp;O1903)+COUNTIFS($A$5:A1903,A1903,$F$5:F1903,"?*",$O$5:O1903,O1903)))</f>
        <v/>
      </c>
      <c r="O1903" s="54">
        <f>IF(A1903="","",IF(C1903="",0,C1903))</f>
        <v/>
      </c>
    </row>
    <row r="1904">
      <c r="A1904" s="58" t="n"/>
      <c r="B1904" s="49">
        <f>IF(A1904="","",CHOOSE(WEEKDAY(A1904,2),"Пн","Вт","Ср","Чт","Пт","Сб","Вс"))</f>
        <v/>
      </c>
      <c r="C1904" s="59" t="n"/>
      <c r="D1904" s="59" t="n"/>
      <c r="E1904" s="60">
        <f>IF(OR(C1904="",D1904=""),"",MOD(D1904-C1904,1)*24)</f>
        <v/>
      </c>
      <c r="F1904" s="50" t="n"/>
      <c r="G1904" s="51" t="n"/>
      <c r="H1904" s="51" t="n"/>
      <c r="I1904" s="51" t="n"/>
      <c r="J1904" s="51" t="n"/>
      <c r="K1904" s="51" t="n"/>
      <c r="L1904" s="54">
        <f>IF(OR(A1904="",C1904="",D1904=""),"",IF(COUNTIFS($A$5:$A$3004,A1904,$C$5:$C$3004,"&lt;"&amp;D1904,$D$5:$D$3004,"&gt;"&amp;C1904)&gt;1,"⚠️ пересечение",""))</f>
        <v/>
      </c>
      <c r="M1904" s="54">
        <f>IF(F1904="","",IF(J1904="✅ Сделано","✔ ",IF(J1904="❌ Пропущено","✖ ","⏰ "))&amp;IF(C1904="","",RIGHT("0"&amp;HOUR(C1904),2)&amp;":"&amp;RIGHT("0"&amp;MINUTE(C1904),2)&amp;IF(D1904="","","–"&amp;RIGHT("0"&amp;HOUR(D1904),2)&amp;":"&amp;RIGHT("0"&amp;MINUTE(D1904),2))&amp;" ")&amp;F1904)</f>
        <v/>
      </c>
      <c r="N1904" s="54">
        <f>IF(OR(A1904="",F1904=""),"",A1904&amp;"#"&amp;(COUNTIFS($A$5:$A$3004,A1904,$F$5:$F$3004,"?*",$O$5:$O$3004,"&lt;"&amp;O1904)+COUNTIFS($A$5:A1904,A1904,$F$5:F1904,"?*",$O$5:O1904,O1904)))</f>
        <v/>
      </c>
      <c r="O1904" s="54">
        <f>IF(A1904="","",IF(C1904="",0,C1904))</f>
        <v/>
      </c>
    </row>
    <row r="1905">
      <c r="A1905" s="58" t="n"/>
      <c r="B1905" s="49">
        <f>IF(A1905="","",CHOOSE(WEEKDAY(A1905,2),"Пн","Вт","Ср","Чт","Пт","Сб","Вс"))</f>
        <v/>
      </c>
      <c r="C1905" s="59" t="n"/>
      <c r="D1905" s="59" t="n"/>
      <c r="E1905" s="60">
        <f>IF(OR(C1905="",D1905=""),"",MOD(D1905-C1905,1)*24)</f>
        <v/>
      </c>
      <c r="F1905" s="50" t="n"/>
      <c r="G1905" s="51" t="n"/>
      <c r="H1905" s="51" t="n"/>
      <c r="I1905" s="51" t="n"/>
      <c r="J1905" s="51" t="n"/>
      <c r="K1905" s="51" t="n"/>
      <c r="L1905" s="54">
        <f>IF(OR(A1905="",C1905="",D1905=""),"",IF(COUNTIFS($A$5:$A$3004,A1905,$C$5:$C$3004,"&lt;"&amp;D1905,$D$5:$D$3004,"&gt;"&amp;C1905)&gt;1,"⚠️ пересечение",""))</f>
        <v/>
      </c>
      <c r="M1905" s="54">
        <f>IF(F1905="","",IF(J1905="✅ Сделано","✔ ",IF(J1905="❌ Пропущено","✖ ","⏰ "))&amp;IF(C1905="","",RIGHT("0"&amp;HOUR(C1905),2)&amp;":"&amp;RIGHT("0"&amp;MINUTE(C1905),2)&amp;IF(D1905="","","–"&amp;RIGHT("0"&amp;HOUR(D1905),2)&amp;":"&amp;RIGHT("0"&amp;MINUTE(D1905),2))&amp;" ")&amp;F1905)</f>
        <v/>
      </c>
      <c r="N1905" s="54">
        <f>IF(OR(A1905="",F1905=""),"",A1905&amp;"#"&amp;(COUNTIFS($A$5:$A$3004,A1905,$F$5:$F$3004,"?*",$O$5:$O$3004,"&lt;"&amp;O1905)+COUNTIFS($A$5:A1905,A1905,$F$5:F1905,"?*",$O$5:O1905,O1905)))</f>
        <v/>
      </c>
      <c r="O1905" s="54">
        <f>IF(A1905="","",IF(C1905="",0,C1905))</f>
        <v/>
      </c>
    </row>
    <row r="1906">
      <c r="A1906" s="58" t="n"/>
      <c r="B1906" s="49">
        <f>IF(A1906="","",CHOOSE(WEEKDAY(A1906,2),"Пн","Вт","Ср","Чт","Пт","Сб","Вс"))</f>
        <v/>
      </c>
      <c r="C1906" s="59" t="n"/>
      <c r="D1906" s="59" t="n"/>
      <c r="E1906" s="60">
        <f>IF(OR(C1906="",D1906=""),"",MOD(D1906-C1906,1)*24)</f>
        <v/>
      </c>
      <c r="F1906" s="50" t="n"/>
      <c r="G1906" s="51" t="n"/>
      <c r="H1906" s="51" t="n"/>
      <c r="I1906" s="51" t="n"/>
      <c r="J1906" s="51" t="n"/>
      <c r="K1906" s="51" t="n"/>
      <c r="L1906" s="54">
        <f>IF(OR(A1906="",C1906="",D1906=""),"",IF(COUNTIFS($A$5:$A$3004,A1906,$C$5:$C$3004,"&lt;"&amp;D1906,$D$5:$D$3004,"&gt;"&amp;C1906)&gt;1,"⚠️ пересечение",""))</f>
        <v/>
      </c>
      <c r="M1906" s="54">
        <f>IF(F1906="","",IF(J1906="✅ Сделано","✔ ",IF(J1906="❌ Пропущено","✖ ","⏰ "))&amp;IF(C1906="","",RIGHT("0"&amp;HOUR(C1906),2)&amp;":"&amp;RIGHT("0"&amp;MINUTE(C1906),2)&amp;IF(D1906="","","–"&amp;RIGHT("0"&amp;HOUR(D1906),2)&amp;":"&amp;RIGHT("0"&amp;MINUTE(D1906),2))&amp;" ")&amp;F1906)</f>
        <v/>
      </c>
      <c r="N1906" s="54">
        <f>IF(OR(A1906="",F1906=""),"",A1906&amp;"#"&amp;(COUNTIFS($A$5:$A$3004,A1906,$F$5:$F$3004,"?*",$O$5:$O$3004,"&lt;"&amp;O1906)+COUNTIFS($A$5:A1906,A1906,$F$5:F1906,"?*",$O$5:O1906,O1906)))</f>
        <v/>
      </c>
      <c r="O1906" s="54">
        <f>IF(A1906="","",IF(C1906="",0,C1906))</f>
        <v/>
      </c>
    </row>
    <row r="1907">
      <c r="A1907" s="58" t="n"/>
      <c r="B1907" s="49">
        <f>IF(A1907="","",CHOOSE(WEEKDAY(A1907,2),"Пн","Вт","Ср","Чт","Пт","Сб","Вс"))</f>
        <v/>
      </c>
      <c r="C1907" s="59" t="n"/>
      <c r="D1907" s="59" t="n"/>
      <c r="E1907" s="60">
        <f>IF(OR(C1907="",D1907=""),"",MOD(D1907-C1907,1)*24)</f>
        <v/>
      </c>
      <c r="F1907" s="50" t="n"/>
      <c r="G1907" s="51" t="n"/>
      <c r="H1907" s="51" t="n"/>
      <c r="I1907" s="51" t="n"/>
      <c r="J1907" s="51" t="n"/>
      <c r="K1907" s="51" t="n"/>
      <c r="L1907" s="54">
        <f>IF(OR(A1907="",C1907="",D1907=""),"",IF(COUNTIFS($A$5:$A$3004,A1907,$C$5:$C$3004,"&lt;"&amp;D1907,$D$5:$D$3004,"&gt;"&amp;C1907)&gt;1,"⚠️ пересечение",""))</f>
        <v/>
      </c>
      <c r="M1907" s="54">
        <f>IF(F1907="","",IF(J1907="✅ Сделано","✔ ",IF(J1907="❌ Пропущено","✖ ","⏰ "))&amp;IF(C1907="","",RIGHT("0"&amp;HOUR(C1907),2)&amp;":"&amp;RIGHT("0"&amp;MINUTE(C1907),2)&amp;IF(D1907="","","–"&amp;RIGHT("0"&amp;HOUR(D1907),2)&amp;":"&amp;RIGHT("0"&amp;MINUTE(D1907),2))&amp;" ")&amp;F1907)</f>
        <v/>
      </c>
      <c r="N1907" s="54">
        <f>IF(OR(A1907="",F1907=""),"",A1907&amp;"#"&amp;(COUNTIFS($A$5:$A$3004,A1907,$F$5:$F$3004,"?*",$O$5:$O$3004,"&lt;"&amp;O1907)+COUNTIFS($A$5:A1907,A1907,$F$5:F1907,"?*",$O$5:O1907,O1907)))</f>
        <v/>
      </c>
      <c r="O1907" s="54">
        <f>IF(A1907="","",IF(C1907="",0,C1907))</f>
        <v/>
      </c>
    </row>
    <row r="1908">
      <c r="A1908" s="58" t="n"/>
      <c r="B1908" s="49">
        <f>IF(A1908="","",CHOOSE(WEEKDAY(A1908,2),"Пн","Вт","Ср","Чт","Пт","Сб","Вс"))</f>
        <v/>
      </c>
      <c r="C1908" s="59" t="n"/>
      <c r="D1908" s="59" t="n"/>
      <c r="E1908" s="60">
        <f>IF(OR(C1908="",D1908=""),"",MOD(D1908-C1908,1)*24)</f>
        <v/>
      </c>
      <c r="F1908" s="50" t="n"/>
      <c r="G1908" s="51" t="n"/>
      <c r="H1908" s="51" t="n"/>
      <c r="I1908" s="51" t="n"/>
      <c r="J1908" s="51" t="n"/>
      <c r="K1908" s="51" t="n"/>
      <c r="L1908" s="54">
        <f>IF(OR(A1908="",C1908="",D1908=""),"",IF(COUNTIFS($A$5:$A$3004,A1908,$C$5:$C$3004,"&lt;"&amp;D1908,$D$5:$D$3004,"&gt;"&amp;C1908)&gt;1,"⚠️ пересечение",""))</f>
        <v/>
      </c>
      <c r="M1908" s="54">
        <f>IF(F1908="","",IF(J1908="✅ Сделано","✔ ",IF(J1908="❌ Пропущено","✖ ","⏰ "))&amp;IF(C1908="","",RIGHT("0"&amp;HOUR(C1908),2)&amp;":"&amp;RIGHT("0"&amp;MINUTE(C1908),2)&amp;IF(D1908="","","–"&amp;RIGHT("0"&amp;HOUR(D1908),2)&amp;":"&amp;RIGHT("0"&amp;MINUTE(D1908),2))&amp;" ")&amp;F1908)</f>
        <v/>
      </c>
      <c r="N1908" s="54">
        <f>IF(OR(A1908="",F1908=""),"",A1908&amp;"#"&amp;(COUNTIFS($A$5:$A$3004,A1908,$F$5:$F$3004,"?*",$O$5:$O$3004,"&lt;"&amp;O1908)+COUNTIFS($A$5:A1908,A1908,$F$5:F1908,"?*",$O$5:O1908,O1908)))</f>
        <v/>
      </c>
      <c r="O1908" s="54">
        <f>IF(A1908="","",IF(C1908="",0,C1908))</f>
        <v/>
      </c>
    </row>
    <row r="1909">
      <c r="A1909" s="58" t="n"/>
      <c r="B1909" s="49">
        <f>IF(A1909="","",CHOOSE(WEEKDAY(A1909,2),"Пн","Вт","Ср","Чт","Пт","Сб","Вс"))</f>
        <v/>
      </c>
      <c r="C1909" s="59" t="n"/>
      <c r="D1909" s="59" t="n"/>
      <c r="E1909" s="60">
        <f>IF(OR(C1909="",D1909=""),"",MOD(D1909-C1909,1)*24)</f>
        <v/>
      </c>
      <c r="F1909" s="50" t="n"/>
      <c r="G1909" s="51" t="n"/>
      <c r="H1909" s="51" t="n"/>
      <c r="I1909" s="51" t="n"/>
      <c r="J1909" s="51" t="n"/>
      <c r="K1909" s="51" t="n"/>
      <c r="L1909" s="54">
        <f>IF(OR(A1909="",C1909="",D1909=""),"",IF(COUNTIFS($A$5:$A$3004,A1909,$C$5:$C$3004,"&lt;"&amp;D1909,$D$5:$D$3004,"&gt;"&amp;C1909)&gt;1,"⚠️ пересечение",""))</f>
        <v/>
      </c>
      <c r="M1909" s="54">
        <f>IF(F1909="","",IF(J1909="✅ Сделано","✔ ",IF(J1909="❌ Пропущено","✖ ","⏰ "))&amp;IF(C1909="","",RIGHT("0"&amp;HOUR(C1909),2)&amp;":"&amp;RIGHT("0"&amp;MINUTE(C1909),2)&amp;IF(D1909="","","–"&amp;RIGHT("0"&amp;HOUR(D1909),2)&amp;":"&amp;RIGHT("0"&amp;MINUTE(D1909),2))&amp;" ")&amp;F1909)</f>
        <v/>
      </c>
      <c r="N1909" s="54">
        <f>IF(OR(A1909="",F1909=""),"",A1909&amp;"#"&amp;(COUNTIFS($A$5:$A$3004,A1909,$F$5:$F$3004,"?*",$O$5:$O$3004,"&lt;"&amp;O1909)+COUNTIFS($A$5:A1909,A1909,$F$5:F1909,"?*",$O$5:O1909,O1909)))</f>
        <v/>
      </c>
      <c r="O1909" s="54">
        <f>IF(A1909="","",IF(C1909="",0,C1909))</f>
        <v/>
      </c>
    </row>
    <row r="1910">
      <c r="A1910" s="58" t="n"/>
      <c r="B1910" s="49">
        <f>IF(A1910="","",CHOOSE(WEEKDAY(A1910,2),"Пн","Вт","Ср","Чт","Пт","Сб","Вс"))</f>
        <v/>
      </c>
      <c r="C1910" s="59" t="n"/>
      <c r="D1910" s="59" t="n"/>
      <c r="E1910" s="60">
        <f>IF(OR(C1910="",D1910=""),"",MOD(D1910-C1910,1)*24)</f>
        <v/>
      </c>
      <c r="F1910" s="50" t="n"/>
      <c r="G1910" s="51" t="n"/>
      <c r="H1910" s="51" t="n"/>
      <c r="I1910" s="51" t="n"/>
      <c r="J1910" s="51" t="n"/>
      <c r="K1910" s="51" t="n"/>
      <c r="L1910" s="54">
        <f>IF(OR(A1910="",C1910="",D1910=""),"",IF(COUNTIFS($A$5:$A$3004,A1910,$C$5:$C$3004,"&lt;"&amp;D1910,$D$5:$D$3004,"&gt;"&amp;C1910)&gt;1,"⚠️ пересечение",""))</f>
        <v/>
      </c>
      <c r="M1910" s="54">
        <f>IF(F1910="","",IF(J1910="✅ Сделано","✔ ",IF(J1910="❌ Пропущено","✖ ","⏰ "))&amp;IF(C1910="","",RIGHT("0"&amp;HOUR(C1910),2)&amp;":"&amp;RIGHT("0"&amp;MINUTE(C1910),2)&amp;IF(D1910="","","–"&amp;RIGHT("0"&amp;HOUR(D1910),2)&amp;":"&amp;RIGHT("0"&amp;MINUTE(D1910),2))&amp;" ")&amp;F1910)</f>
        <v/>
      </c>
      <c r="N1910" s="54">
        <f>IF(OR(A1910="",F1910=""),"",A1910&amp;"#"&amp;(COUNTIFS($A$5:$A$3004,A1910,$F$5:$F$3004,"?*",$O$5:$O$3004,"&lt;"&amp;O1910)+COUNTIFS($A$5:A1910,A1910,$F$5:F1910,"?*",$O$5:O1910,O1910)))</f>
        <v/>
      </c>
      <c r="O1910" s="54">
        <f>IF(A1910="","",IF(C1910="",0,C1910))</f>
        <v/>
      </c>
    </row>
    <row r="1911">
      <c r="A1911" s="58" t="n"/>
      <c r="B1911" s="49">
        <f>IF(A1911="","",CHOOSE(WEEKDAY(A1911,2),"Пн","Вт","Ср","Чт","Пт","Сб","Вс"))</f>
        <v/>
      </c>
      <c r="C1911" s="59" t="n"/>
      <c r="D1911" s="59" t="n"/>
      <c r="E1911" s="60">
        <f>IF(OR(C1911="",D1911=""),"",MOD(D1911-C1911,1)*24)</f>
        <v/>
      </c>
      <c r="F1911" s="50" t="n"/>
      <c r="G1911" s="51" t="n"/>
      <c r="H1911" s="51" t="n"/>
      <c r="I1911" s="51" t="n"/>
      <c r="J1911" s="51" t="n"/>
      <c r="K1911" s="51" t="n"/>
      <c r="L1911" s="54">
        <f>IF(OR(A1911="",C1911="",D1911=""),"",IF(COUNTIFS($A$5:$A$3004,A1911,$C$5:$C$3004,"&lt;"&amp;D1911,$D$5:$D$3004,"&gt;"&amp;C1911)&gt;1,"⚠️ пересечение",""))</f>
        <v/>
      </c>
      <c r="M1911" s="54">
        <f>IF(F1911="","",IF(J1911="✅ Сделано","✔ ",IF(J1911="❌ Пропущено","✖ ","⏰ "))&amp;IF(C1911="","",RIGHT("0"&amp;HOUR(C1911),2)&amp;":"&amp;RIGHT("0"&amp;MINUTE(C1911),2)&amp;IF(D1911="","","–"&amp;RIGHT("0"&amp;HOUR(D1911),2)&amp;":"&amp;RIGHT("0"&amp;MINUTE(D1911),2))&amp;" ")&amp;F1911)</f>
        <v/>
      </c>
      <c r="N1911" s="54">
        <f>IF(OR(A1911="",F1911=""),"",A1911&amp;"#"&amp;(COUNTIFS($A$5:$A$3004,A1911,$F$5:$F$3004,"?*",$O$5:$O$3004,"&lt;"&amp;O1911)+COUNTIFS($A$5:A1911,A1911,$F$5:F1911,"?*",$O$5:O1911,O1911)))</f>
        <v/>
      </c>
      <c r="O1911" s="54">
        <f>IF(A1911="","",IF(C1911="",0,C1911))</f>
        <v/>
      </c>
    </row>
    <row r="1912">
      <c r="A1912" s="58" t="n"/>
      <c r="B1912" s="49">
        <f>IF(A1912="","",CHOOSE(WEEKDAY(A1912,2),"Пн","Вт","Ср","Чт","Пт","Сб","Вс"))</f>
        <v/>
      </c>
      <c r="C1912" s="59" t="n"/>
      <c r="D1912" s="59" t="n"/>
      <c r="E1912" s="60">
        <f>IF(OR(C1912="",D1912=""),"",MOD(D1912-C1912,1)*24)</f>
        <v/>
      </c>
      <c r="F1912" s="50" t="n"/>
      <c r="G1912" s="51" t="n"/>
      <c r="H1912" s="51" t="n"/>
      <c r="I1912" s="51" t="n"/>
      <c r="J1912" s="51" t="n"/>
      <c r="K1912" s="51" t="n"/>
      <c r="L1912" s="54">
        <f>IF(OR(A1912="",C1912="",D1912=""),"",IF(COUNTIFS($A$5:$A$3004,A1912,$C$5:$C$3004,"&lt;"&amp;D1912,$D$5:$D$3004,"&gt;"&amp;C1912)&gt;1,"⚠️ пересечение",""))</f>
        <v/>
      </c>
      <c r="M1912" s="54">
        <f>IF(F1912="","",IF(J1912="✅ Сделано","✔ ",IF(J1912="❌ Пропущено","✖ ","⏰ "))&amp;IF(C1912="","",RIGHT("0"&amp;HOUR(C1912),2)&amp;":"&amp;RIGHT("0"&amp;MINUTE(C1912),2)&amp;IF(D1912="","","–"&amp;RIGHT("0"&amp;HOUR(D1912),2)&amp;":"&amp;RIGHT("0"&amp;MINUTE(D1912),2))&amp;" ")&amp;F1912)</f>
        <v/>
      </c>
      <c r="N1912" s="54">
        <f>IF(OR(A1912="",F1912=""),"",A1912&amp;"#"&amp;(COUNTIFS($A$5:$A$3004,A1912,$F$5:$F$3004,"?*",$O$5:$O$3004,"&lt;"&amp;O1912)+COUNTIFS($A$5:A1912,A1912,$F$5:F1912,"?*",$O$5:O1912,O1912)))</f>
        <v/>
      </c>
      <c r="O1912" s="54">
        <f>IF(A1912="","",IF(C1912="",0,C1912))</f>
        <v/>
      </c>
    </row>
    <row r="1913">
      <c r="A1913" s="58" t="n"/>
      <c r="B1913" s="49">
        <f>IF(A1913="","",CHOOSE(WEEKDAY(A1913,2),"Пн","Вт","Ср","Чт","Пт","Сб","Вс"))</f>
        <v/>
      </c>
      <c r="C1913" s="59" t="n"/>
      <c r="D1913" s="59" t="n"/>
      <c r="E1913" s="60">
        <f>IF(OR(C1913="",D1913=""),"",MOD(D1913-C1913,1)*24)</f>
        <v/>
      </c>
      <c r="F1913" s="50" t="n"/>
      <c r="G1913" s="51" t="n"/>
      <c r="H1913" s="51" t="n"/>
      <c r="I1913" s="51" t="n"/>
      <c r="J1913" s="51" t="n"/>
      <c r="K1913" s="51" t="n"/>
      <c r="L1913" s="54">
        <f>IF(OR(A1913="",C1913="",D1913=""),"",IF(COUNTIFS($A$5:$A$3004,A1913,$C$5:$C$3004,"&lt;"&amp;D1913,$D$5:$D$3004,"&gt;"&amp;C1913)&gt;1,"⚠️ пересечение",""))</f>
        <v/>
      </c>
      <c r="M1913" s="54">
        <f>IF(F1913="","",IF(J1913="✅ Сделано","✔ ",IF(J1913="❌ Пропущено","✖ ","⏰ "))&amp;IF(C1913="","",RIGHT("0"&amp;HOUR(C1913),2)&amp;":"&amp;RIGHT("0"&amp;MINUTE(C1913),2)&amp;IF(D1913="","","–"&amp;RIGHT("0"&amp;HOUR(D1913),2)&amp;":"&amp;RIGHT("0"&amp;MINUTE(D1913),2))&amp;" ")&amp;F1913)</f>
        <v/>
      </c>
      <c r="N1913" s="54">
        <f>IF(OR(A1913="",F1913=""),"",A1913&amp;"#"&amp;(COUNTIFS($A$5:$A$3004,A1913,$F$5:$F$3004,"?*",$O$5:$O$3004,"&lt;"&amp;O1913)+COUNTIFS($A$5:A1913,A1913,$F$5:F1913,"?*",$O$5:O1913,O1913)))</f>
        <v/>
      </c>
      <c r="O1913" s="54">
        <f>IF(A1913="","",IF(C1913="",0,C1913))</f>
        <v/>
      </c>
    </row>
    <row r="1914">
      <c r="A1914" s="58" t="n"/>
      <c r="B1914" s="49">
        <f>IF(A1914="","",CHOOSE(WEEKDAY(A1914,2),"Пн","Вт","Ср","Чт","Пт","Сб","Вс"))</f>
        <v/>
      </c>
      <c r="C1914" s="59" t="n"/>
      <c r="D1914" s="59" t="n"/>
      <c r="E1914" s="60">
        <f>IF(OR(C1914="",D1914=""),"",MOD(D1914-C1914,1)*24)</f>
        <v/>
      </c>
      <c r="F1914" s="50" t="n"/>
      <c r="G1914" s="51" t="n"/>
      <c r="H1914" s="51" t="n"/>
      <c r="I1914" s="51" t="n"/>
      <c r="J1914" s="51" t="n"/>
      <c r="K1914" s="51" t="n"/>
      <c r="L1914" s="54">
        <f>IF(OR(A1914="",C1914="",D1914=""),"",IF(COUNTIFS($A$5:$A$3004,A1914,$C$5:$C$3004,"&lt;"&amp;D1914,$D$5:$D$3004,"&gt;"&amp;C1914)&gt;1,"⚠️ пересечение",""))</f>
        <v/>
      </c>
      <c r="M1914" s="54">
        <f>IF(F1914="","",IF(J1914="✅ Сделано","✔ ",IF(J1914="❌ Пропущено","✖ ","⏰ "))&amp;IF(C1914="","",RIGHT("0"&amp;HOUR(C1914),2)&amp;":"&amp;RIGHT("0"&amp;MINUTE(C1914),2)&amp;IF(D1914="","","–"&amp;RIGHT("0"&amp;HOUR(D1914),2)&amp;":"&amp;RIGHT("0"&amp;MINUTE(D1914),2))&amp;" ")&amp;F1914)</f>
        <v/>
      </c>
      <c r="N1914" s="54">
        <f>IF(OR(A1914="",F1914=""),"",A1914&amp;"#"&amp;(COUNTIFS($A$5:$A$3004,A1914,$F$5:$F$3004,"?*",$O$5:$O$3004,"&lt;"&amp;O1914)+COUNTIFS($A$5:A1914,A1914,$F$5:F1914,"?*",$O$5:O1914,O1914)))</f>
        <v/>
      </c>
      <c r="O1914" s="54">
        <f>IF(A1914="","",IF(C1914="",0,C1914))</f>
        <v/>
      </c>
    </row>
    <row r="1915">
      <c r="A1915" s="58" t="n"/>
      <c r="B1915" s="49">
        <f>IF(A1915="","",CHOOSE(WEEKDAY(A1915,2),"Пн","Вт","Ср","Чт","Пт","Сб","Вс"))</f>
        <v/>
      </c>
      <c r="C1915" s="59" t="n"/>
      <c r="D1915" s="59" t="n"/>
      <c r="E1915" s="60">
        <f>IF(OR(C1915="",D1915=""),"",MOD(D1915-C1915,1)*24)</f>
        <v/>
      </c>
      <c r="F1915" s="50" t="n"/>
      <c r="G1915" s="51" t="n"/>
      <c r="H1915" s="51" t="n"/>
      <c r="I1915" s="51" t="n"/>
      <c r="J1915" s="51" t="n"/>
      <c r="K1915" s="51" t="n"/>
      <c r="L1915" s="54">
        <f>IF(OR(A1915="",C1915="",D1915=""),"",IF(COUNTIFS($A$5:$A$3004,A1915,$C$5:$C$3004,"&lt;"&amp;D1915,$D$5:$D$3004,"&gt;"&amp;C1915)&gt;1,"⚠️ пересечение",""))</f>
        <v/>
      </c>
      <c r="M1915" s="54">
        <f>IF(F1915="","",IF(J1915="✅ Сделано","✔ ",IF(J1915="❌ Пропущено","✖ ","⏰ "))&amp;IF(C1915="","",RIGHT("0"&amp;HOUR(C1915),2)&amp;":"&amp;RIGHT("0"&amp;MINUTE(C1915),2)&amp;IF(D1915="","","–"&amp;RIGHT("0"&amp;HOUR(D1915),2)&amp;":"&amp;RIGHT("0"&amp;MINUTE(D1915),2))&amp;" ")&amp;F1915)</f>
        <v/>
      </c>
      <c r="N1915" s="54">
        <f>IF(OR(A1915="",F1915=""),"",A1915&amp;"#"&amp;(COUNTIFS($A$5:$A$3004,A1915,$F$5:$F$3004,"?*",$O$5:$O$3004,"&lt;"&amp;O1915)+COUNTIFS($A$5:A1915,A1915,$F$5:F1915,"?*",$O$5:O1915,O1915)))</f>
        <v/>
      </c>
      <c r="O1915" s="54">
        <f>IF(A1915="","",IF(C1915="",0,C1915))</f>
        <v/>
      </c>
    </row>
    <row r="1916">
      <c r="A1916" s="58" t="n"/>
      <c r="B1916" s="49">
        <f>IF(A1916="","",CHOOSE(WEEKDAY(A1916,2),"Пн","Вт","Ср","Чт","Пт","Сб","Вс"))</f>
        <v/>
      </c>
      <c r="C1916" s="59" t="n"/>
      <c r="D1916" s="59" t="n"/>
      <c r="E1916" s="60">
        <f>IF(OR(C1916="",D1916=""),"",MOD(D1916-C1916,1)*24)</f>
        <v/>
      </c>
      <c r="F1916" s="50" t="n"/>
      <c r="G1916" s="51" t="n"/>
      <c r="H1916" s="51" t="n"/>
      <c r="I1916" s="51" t="n"/>
      <c r="J1916" s="51" t="n"/>
      <c r="K1916" s="51" t="n"/>
      <c r="L1916" s="54">
        <f>IF(OR(A1916="",C1916="",D1916=""),"",IF(COUNTIFS($A$5:$A$3004,A1916,$C$5:$C$3004,"&lt;"&amp;D1916,$D$5:$D$3004,"&gt;"&amp;C1916)&gt;1,"⚠️ пересечение",""))</f>
        <v/>
      </c>
      <c r="M1916" s="54">
        <f>IF(F1916="","",IF(J1916="✅ Сделано","✔ ",IF(J1916="❌ Пропущено","✖ ","⏰ "))&amp;IF(C1916="","",RIGHT("0"&amp;HOUR(C1916),2)&amp;":"&amp;RIGHT("0"&amp;MINUTE(C1916),2)&amp;IF(D1916="","","–"&amp;RIGHT("0"&amp;HOUR(D1916),2)&amp;":"&amp;RIGHT("0"&amp;MINUTE(D1916),2))&amp;" ")&amp;F1916)</f>
        <v/>
      </c>
      <c r="N1916" s="54">
        <f>IF(OR(A1916="",F1916=""),"",A1916&amp;"#"&amp;(COUNTIFS($A$5:$A$3004,A1916,$F$5:$F$3004,"?*",$O$5:$O$3004,"&lt;"&amp;O1916)+COUNTIFS($A$5:A1916,A1916,$F$5:F1916,"?*",$O$5:O1916,O1916)))</f>
        <v/>
      </c>
      <c r="O1916" s="54">
        <f>IF(A1916="","",IF(C1916="",0,C1916))</f>
        <v/>
      </c>
    </row>
    <row r="1917">
      <c r="A1917" s="58" t="n"/>
      <c r="B1917" s="49">
        <f>IF(A1917="","",CHOOSE(WEEKDAY(A1917,2),"Пн","Вт","Ср","Чт","Пт","Сб","Вс"))</f>
        <v/>
      </c>
      <c r="C1917" s="59" t="n"/>
      <c r="D1917" s="59" t="n"/>
      <c r="E1917" s="60">
        <f>IF(OR(C1917="",D1917=""),"",MOD(D1917-C1917,1)*24)</f>
        <v/>
      </c>
      <c r="F1917" s="50" t="n"/>
      <c r="G1917" s="51" t="n"/>
      <c r="H1917" s="51" t="n"/>
      <c r="I1917" s="51" t="n"/>
      <c r="J1917" s="51" t="n"/>
      <c r="K1917" s="51" t="n"/>
      <c r="L1917" s="54">
        <f>IF(OR(A1917="",C1917="",D1917=""),"",IF(COUNTIFS($A$5:$A$3004,A1917,$C$5:$C$3004,"&lt;"&amp;D1917,$D$5:$D$3004,"&gt;"&amp;C1917)&gt;1,"⚠️ пересечение",""))</f>
        <v/>
      </c>
      <c r="M1917" s="54">
        <f>IF(F1917="","",IF(J1917="✅ Сделано","✔ ",IF(J1917="❌ Пропущено","✖ ","⏰ "))&amp;IF(C1917="","",RIGHT("0"&amp;HOUR(C1917),2)&amp;":"&amp;RIGHT("0"&amp;MINUTE(C1917),2)&amp;IF(D1917="","","–"&amp;RIGHT("0"&amp;HOUR(D1917),2)&amp;":"&amp;RIGHT("0"&amp;MINUTE(D1917),2))&amp;" ")&amp;F1917)</f>
        <v/>
      </c>
      <c r="N1917" s="54">
        <f>IF(OR(A1917="",F1917=""),"",A1917&amp;"#"&amp;(COUNTIFS($A$5:$A$3004,A1917,$F$5:$F$3004,"?*",$O$5:$O$3004,"&lt;"&amp;O1917)+COUNTIFS($A$5:A1917,A1917,$F$5:F1917,"?*",$O$5:O1917,O1917)))</f>
        <v/>
      </c>
      <c r="O1917" s="54">
        <f>IF(A1917="","",IF(C1917="",0,C1917))</f>
        <v/>
      </c>
    </row>
    <row r="1918">
      <c r="A1918" s="58" t="n"/>
      <c r="B1918" s="49">
        <f>IF(A1918="","",CHOOSE(WEEKDAY(A1918,2),"Пн","Вт","Ср","Чт","Пт","Сб","Вс"))</f>
        <v/>
      </c>
      <c r="C1918" s="59" t="n"/>
      <c r="D1918" s="59" t="n"/>
      <c r="E1918" s="60">
        <f>IF(OR(C1918="",D1918=""),"",MOD(D1918-C1918,1)*24)</f>
        <v/>
      </c>
      <c r="F1918" s="50" t="n"/>
      <c r="G1918" s="51" t="n"/>
      <c r="H1918" s="51" t="n"/>
      <c r="I1918" s="51" t="n"/>
      <c r="J1918" s="51" t="n"/>
      <c r="K1918" s="51" t="n"/>
      <c r="L1918" s="54">
        <f>IF(OR(A1918="",C1918="",D1918=""),"",IF(COUNTIFS($A$5:$A$3004,A1918,$C$5:$C$3004,"&lt;"&amp;D1918,$D$5:$D$3004,"&gt;"&amp;C1918)&gt;1,"⚠️ пересечение",""))</f>
        <v/>
      </c>
      <c r="M1918" s="54">
        <f>IF(F1918="","",IF(J1918="✅ Сделано","✔ ",IF(J1918="❌ Пропущено","✖ ","⏰ "))&amp;IF(C1918="","",RIGHT("0"&amp;HOUR(C1918),2)&amp;":"&amp;RIGHT("0"&amp;MINUTE(C1918),2)&amp;IF(D1918="","","–"&amp;RIGHT("0"&amp;HOUR(D1918),2)&amp;":"&amp;RIGHT("0"&amp;MINUTE(D1918),2))&amp;" ")&amp;F1918)</f>
        <v/>
      </c>
      <c r="N1918" s="54">
        <f>IF(OR(A1918="",F1918=""),"",A1918&amp;"#"&amp;(COUNTIFS($A$5:$A$3004,A1918,$F$5:$F$3004,"?*",$O$5:$O$3004,"&lt;"&amp;O1918)+COUNTIFS($A$5:A1918,A1918,$F$5:F1918,"?*",$O$5:O1918,O1918)))</f>
        <v/>
      </c>
      <c r="O1918" s="54">
        <f>IF(A1918="","",IF(C1918="",0,C1918))</f>
        <v/>
      </c>
    </row>
    <row r="1919">
      <c r="A1919" s="58" t="n"/>
      <c r="B1919" s="49">
        <f>IF(A1919="","",CHOOSE(WEEKDAY(A1919,2),"Пн","Вт","Ср","Чт","Пт","Сб","Вс"))</f>
        <v/>
      </c>
      <c r="C1919" s="59" t="n"/>
      <c r="D1919" s="59" t="n"/>
      <c r="E1919" s="60">
        <f>IF(OR(C1919="",D1919=""),"",MOD(D1919-C1919,1)*24)</f>
        <v/>
      </c>
      <c r="F1919" s="50" t="n"/>
      <c r="G1919" s="51" t="n"/>
      <c r="H1919" s="51" t="n"/>
      <c r="I1919" s="51" t="n"/>
      <c r="J1919" s="51" t="n"/>
      <c r="K1919" s="51" t="n"/>
      <c r="L1919" s="54">
        <f>IF(OR(A1919="",C1919="",D1919=""),"",IF(COUNTIFS($A$5:$A$3004,A1919,$C$5:$C$3004,"&lt;"&amp;D1919,$D$5:$D$3004,"&gt;"&amp;C1919)&gt;1,"⚠️ пересечение",""))</f>
        <v/>
      </c>
      <c r="M1919" s="54">
        <f>IF(F1919="","",IF(J1919="✅ Сделано","✔ ",IF(J1919="❌ Пропущено","✖ ","⏰ "))&amp;IF(C1919="","",RIGHT("0"&amp;HOUR(C1919),2)&amp;":"&amp;RIGHT("0"&amp;MINUTE(C1919),2)&amp;IF(D1919="","","–"&amp;RIGHT("0"&amp;HOUR(D1919),2)&amp;":"&amp;RIGHT("0"&amp;MINUTE(D1919),2))&amp;" ")&amp;F1919)</f>
        <v/>
      </c>
      <c r="N1919" s="54">
        <f>IF(OR(A1919="",F1919=""),"",A1919&amp;"#"&amp;(COUNTIFS($A$5:$A$3004,A1919,$F$5:$F$3004,"?*",$O$5:$O$3004,"&lt;"&amp;O1919)+COUNTIFS($A$5:A1919,A1919,$F$5:F1919,"?*",$O$5:O1919,O1919)))</f>
        <v/>
      </c>
      <c r="O1919" s="54">
        <f>IF(A1919="","",IF(C1919="",0,C1919))</f>
        <v/>
      </c>
    </row>
    <row r="1920">
      <c r="A1920" s="58" t="n"/>
      <c r="B1920" s="49">
        <f>IF(A1920="","",CHOOSE(WEEKDAY(A1920,2),"Пн","Вт","Ср","Чт","Пт","Сб","Вс"))</f>
        <v/>
      </c>
      <c r="C1920" s="59" t="n"/>
      <c r="D1920" s="59" t="n"/>
      <c r="E1920" s="60">
        <f>IF(OR(C1920="",D1920=""),"",MOD(D1920-C1920,1)*24)</f>
        <v/>
      </c>
      <c r="F1920" s="50" t="n"/>
      <c r="G1920" s="51" t="n"/>
      <c r="H1920" s="51" t="n"/>
      <c r="I1920" s="51" t="n"/>
      <c r="J1920" s="51" t="n"/>
      <c r="K1920" s="51" t="n"/>
      <c r="L1920" s="54">
        <f>IF(OR(A1920="",C1920="",D1920=""),"",IF(COUNTIFS($A$5:$A$3004,A1920,$C$5:$C$3004,"&lt;"&amp;D1920,$D$5:$D$3004,"&gt;"&amp;C1920)&gt;1,"⚠️ пересечение",""))</f>
        <v/>
      </c>
      <c r="M1920" s="54">
        <f>IF(F1920="","",IF(J1920="✅ Сделано","✔ ",IF(J1920="❌ Пропущено","✖ ","⏰ "))&amp;IF(C1920="","",RIGHT("0"&amp;HOUR(C1920),2)&amp;":"&amp;RIGHT("0"&amp;MINUTE(C1920),2)&amp;IF(D1920="","","–"&amp;RIGHT("0"&amp;HOUR(D1920),2)&amp;":"&amp;RIGHT("0"&amp;MINUTE(D1920),2))&amp;" ")&amp;F1920)</f>
        <v/>
      </c>
      <c r="N1920" s="54">
        <f>IF(OR(A1920="",F1920=""),"",A1920&amp;"#"&amp;(COUNTIFS($A$5:$A$3004,A1920,$F$5:$F$3004,"?*",$O$5:$O$3004,"&lt;"&amp;O1920)+COUNTIFS($A$5:A1920,A1920,$F$5:F1920,"?*",$O$5:O1920,O1920)))</f>
        <v/>
      </c>
      <c r="O1920" s="54">
        <f>IF(A1920="","",IF(C1920="",0,C1920))</f>
        <v/>
      </c>
    </row>
    <row r="1921">
      <c r="A1921" s="58" t="n"/>
      <c r="B1921" s="49">
        <f>IF(A1921="","",CHOOSE(WEEKDAY(A1921,2),"Пн","Вт","Ср","Чт","Пт","Сб","Вс"))</f>
        <v/>
      </c>
      <c r="C1921" s="59" t="n"/>
      <c r="D1921" s="59" t="n"/>
      <c r="E1921" s="60">
        <f>IF(OR(C1921="",D1921=""),"",MOD(D1921-C1921,1)*24)</f>
        <v/>
      </c>
      <c r="F1921" s="50" t="n"/>
      <c r="G1921" s="51" t="n"/>
      <c r="H1921" s="51" t="n"/>
      <c r="I1921" s="51" t="n"/>
      <c r="J1921" s="51" t="n"/>
      <c r="K1921" s="51" t="n"/>
      <c r="L1921" s="54">
        <f>IF(OR(A1921="",C1921="",D1921=""),"",IF(COUNTIFS($A$5:$A$3004,A1921,$C$5:$C$3004,"&lt;"&amp;D1921,$D$5:$D$3004,"&gt;"&amp;C1921)&gt;1,"⚠️ пересечение",""))</f>
        <v/>
      </c>
      <c r="M1921" s="54">
        <f>IF(F1921="","",IF(J1921="✅ Сделано","✔ ",IF(J1921="❌ Пропущено","✖ ","⏰ "))&amp;IF(C1921="","",RIGHT("0"&amp;HOUR(C1921),2)&amp;":"&amp;RIGHT("0"&amp;MINUTE(C1921),2)&amp;IF(D1921="","","–"&amp;RIGHT("0"&amp;HOUR(D1921),2)&amp;":"&amp;RIGHT("0"&amp;MINUTE(D1921),2))&amp;" ")&amp;F1921)</f>
        <v/>
      </c>
      <c r="N1921" s="54">
        <f>IF(OR(A1921="",F1921=""),"",A1921&amp;"#"&amp;(COUNTIFS($A$5:$A$3004,A1921,$F$5:$F$3004,"?*",$O$5:$O$3004,"&lt;"&amp;O1921)+COUNTIFS($A$5:A1921,A1921,$F$5:F1921,"?*",$O$5:O1921,O1921)))</f>
        <v/>
      </c>
      <c r="O1921" s="54">
        <f>IF(A1921="","",IF(C1921="",0,C1921))</f>
        <v/>
      </c>
    </row>
    <row r="1922">
      <c r="A1922" s="58" t="n"/>
      <c r="B1922" s="49">
        <f>IF(A1922="","",CHOOSE(WEEKDAY(A1922,2),"Пн","Вт","Ср","Чт","Пт","Сб","Вс"))</f>
        <v/>
      </c>
      <c r="C1922" s="59" t="n"/>
      <c r="D1922" s="59" t="n"/>
      <c r="E1922" s="60">
        <f>IF(OR(C1922="",D1922=""),"",MOD(D1922-C1922,1)*24)</f>
        <v/>
      </c>
      <c r="F1922" s="50" t="n"/>
      <c r="G1922" s="51" t="n"/>
      <c r="H1922" s="51" t="n"/>
      <c r="I1922" s="51" t="n"/>
      <c r="J1922" s="51" t="n"/>
      <c r="K1922" s="51" t="n"/>
      <c r="L1922" s="54">
        <f>IF(OR(A1922="",C1922="",D1922=""),"",IF(COUNTIFS($A$5:$A$3004,A1922,$C$5:$C$3004,"&lt;"&amp;D1922,$D$5:$D$3004,"&gt;"&amp;C1922)&gt;1,"⚠️ пересечение",""))</f>
        <v/>
      </c>
      <c r="M1922" s="54">
        <f>IF(F1922="","",IF(J1922="✅ Сделано","✔ ",IF(J1922="❌ Пропущено","✖ ","⏰ "))&amp;IF(C1922="","",RIGHT("0"&amp;HOUR(C1922),2)&amp;":"&amp;RIGHT("0"&amp;MINUTE(C1922),2)&amp;IF(D1922="","","–"&amp;RIGHT("0"&amp;HOUR(D1922),2)&amp;":"&amp;RIGHT("0"&amp;MINUTE(D1922),2))&amp;" ")&amp;F1922)</f>
        <v/>
      </c>
      <c r="N1922" s="54">
        <f>IF(OR(A1922="",F1922=""),"",A1922&amp;"#"&amp;(COUNTIFS($A$5:$A$3004,A1922,$F$5:$F$3004,"?*",$O$5:$O$3004,"&lt;"&amp;O1922)+COUNTIFS($A$5:A1922,A1922,$F$5:F1922,"?*",$O$5:O1922,O1922)))</f>
        <v/>
      </c>
      <c r="O1922" s="54">
        <f>IF(A1922="","",IF(C1922="",0,C1922))</f>
        <v/>
      </c>
    </row>
    <row r="1923">
      <c r="A1923" s="58" t="n"/>
      <c r="B1923" s="49">
        <f>IF(A1923="","",CHOOSE(WEEKDAY(A1923,2),"Пн","Вт","Ср","Чт","Пт","Сб","Вс"))</f>
        <v/>
      </c>
      <c r="C1923" s="59" t="n"/>
      <c r="D1923" s="59" t="n"/>
      <c r="E1923" s="60">
        <f>IF(OR(C1923="",D1923=""),"",MOD(D1923-C1923,1)*24)</f>
        <v/>
      </c>
      <c r="F1923" s="50" t="n"/>
      <c r="G1923" s="51" t="n"/>
      <c r="H1923" s="51" t="n"/>
      <c r="I1923" s="51" t="n"/>
      <c r="J1923" s="51" t="n"/>
      <c r="K1923" s="51" t="n"/>
      <c r="L1923" s="54">
        <f>IF(OR(A1923="",C1923="",D1923=""),"",IF(COUNTIFS($A$5:$A$3004,A1923,$C$5:$C$3004,"&lt;"&amp;D1923,$D$5:$D$3004,"&gt;"&amp;C1923)&gt;1,"⚠️ пересечение",""))</f>
        <v/>
      </c>
      <c r="M1923" s="54">
        <f>IF(F1923="","",IF(J1923="✅ Сделано","✔ ",IF(J1923="❌ Пропущено","✖ ","⏰ "))&amp;IF(C1923="","",RIGHT("0"&amp;HOUR(C1923),2)&amp;":"&amp;RIGHT("0"&amp;MINUTE(C1923),2)&amp;IF(D1923="","","–"&amp;RIGHT("0"&amp;HOUR(D1923),2)&amp;":"&amp;RIGHT("0"&amp;MINUTE(D1923),2))&amp;" ")&amp;F1923)</f>
        <v/>
      </c>
      <c r="N1923" s="54">
        <f>IF(OR(A1923="",F1923=""),"",A1923&amp;"#"&amp;(COUNTIFS($A$5:$A$3004,A1923,$F$5:$F$3004,"?*",$O$5:$O$3004,"&lt;"&amp;O1923)+COUNTIFS($A$5:A1923,A1923,$F$5:F1923,"?*",$O$5:O1923,O1923)))</f>
        <v/>
      </c>
      <c r="O1923" s="54">
        <f>IF(A1923="","",IF(C1923="",0,C1923))</f>
        <v/>
      </c>
    </row>
    <row r="1924">
      <c r="A1924" s="58" t="n"/>
      <c r="B1924" s="49">
        <f>IF(A1924="","",CHOOSE(WEEKDAY(A1924,2),"Пн","Вт","Ср","Чт","Пт","Сб","Вс"))</f>
        <v/>
      </c>
      <c r="C1924" s="59" t="n"/>
      <c r="D1924" s="59" t="n"/>
      <c r="E1924" s="60">
        <f>IF(OR(C1924="",D1924=""),"",MOD(D1924-C1924,1)*24)</f>
        <v/>
      </c>
      <c r="F1924" s="50" t="n"/>
      <c r="G1924" s="51" t="n"/>
      <c r="H1924" s="51" t="n"/>
      <c r="I1924" s="51" t="n"/>
      <c r="J1924" s="51" t="n"/>
      <c r="K1924" s="51" t="n"/>
      <c r="L1924" s="54">
        <f>IF(OR(A1924="",C1924="",D1924=""),"",IF(COUNTIFS($A$5:$A$3004,A1924,$C$5:$C$3004,"&lt;"&amp;D1924,$D$5:$D$3004,"&gt;"&amp;C1924)&gt;1,"⚠️ пересечение",""))</f>
        <v/>
      </c>
      <c r="M1924" s="54">
        <f>IF(F1924="","",IF(J1924="✅ Сделано","✔ ",IF(J1924="❌ Пропущено","✖ ","⏰ "))&amp;IF(C1924="","",RIGHT("0"&amp;HOUR(C1924),2)&amp;":"&amp;RIGHT("0"&amp;MINUTE(C1924),2)&amp;IF(D1924="","","–"&amp;RIGHT("0"&amp;HOUR(D1924),2)&amp;":"&amp;RIGHT("0"&amp;MINUTE(D1924),2))&amp;" ")&amp;F1924)</f>
        <v/>
      </c>
      <c r="N1924" s="54">
        <f>IF(OR(A1924="",F1924=""),"",A1924&amp;"#"&amp;(COUNTIFS($A$5:$A$3004,A1924,$F$5:$F$3004,"?*",$O$5:$O$3004,"&lt;"&amp;O1924)+COUNTIFS($A$5:A1924,A1924,$F$5:F1924,"?*",$O$5:O1924,O1924)))</f>
        <v/>
      </c>
      <c r="O1924" s="54">
        <f>IF(A1924="","",IF(C1924="",0,C1924))</f>
        <v/>
      </c>
    </row>
    <row r="1925">
      <c r="A1925" s="58" t="n"/>
      <c r="B1925" s="49">
        <f>IF(A1925="","",CHOOSE(WEEKDAY(A1925,2),"Пн","Вт","Ср","Чт","Пт","Сб","Вс"))</f>
        <v/>
      </c>
      <c r="C1925" s="59" t="n"/>
      <c r="D1925" s="59" t="n"/>
      <c r="E1925" s="60">
        <f>IF(OR(C1925="",D1925=""),"",MOD(D1925-C1925,1)*24)</f>
        <v/>
      </c>
      <c r="F1925" s="50" t="n"/>
      <c r="G1925" s="51" t="n"/>
      <c r="H1925" s="51" t="n"/>
      <c r="I1925" s="51" t="n"/>
      <c r="J1925" s="51" t="n"/>
      <c r="K1925" s="51" t="n"/>
      <c r="L1925" s="54">
        <f>IF(OR(A1925="",C1925="",D1925=""),"",IF(COUNTIFS($A$5:$A$3004,A1925,$C$5:$C$3004,"&lt;"&amp;D1925,$D$5:$D$3004,"&gt;"&amp;C1925)&gt;1,"⚠️ пересечение",""))</f>
        <v/>
      </c>
      <c r="M1925" s="54">
        <f>IF(F1925="","",IF(J1925="✅ Сделано","✔ ",IF(J1925="❌ Пропущено","✖ ","⏰ "))&amp;IF(C1925="","",RIGHT("0"&amp;HOUR(C1925),2)&amp;":"&amp;RIGHT("0"&amp;MINUTE(C1925),2)&amp;IF(D1925="","","–"&amp;RIGHT("0"&amp;HOUR(D1925),2)&amp;":"&amp;RIGHT("0"&amp;MINUTE(D1925),2))&amp;" ")&amp;F1925)</f>
        <v/>
      </c>
      <c r="N1925" s="54">
        <f>IF(OR(A1925="",F1925=""),"",A1925&amp;"#"&amp;(COUNTIFS($A$5:$A$3004,A1925,$F$5:$F$3004,"?*",$O$5:$O$3004,"&lt;"&amp;O1925)+COUNTIFS($A$5:A1925,A1925,$F$5:F1925,"?*",$O$5:O1925,O1925)))</f>
        <v/>
      </c>
      <c r="O1925" s="54">
        <f>IF(A1925="","",IF(C1925="",0,C1925))</f>
        <v/>
      </c>
    </row>
    <row r="1926">
      <c r="A1926" s="58" t="n"/>
      <c r="B1926" s="49">
        <f>IF(A1926="","",CHOOSE(WEEKDAY(A1926,2),"Пн","Вт","Ср","Чт","Пт","Сб","Вс"))</f>
        <v/>
      </c>
      <c r="C1926" s="59" t="n"/>
      <c r="D1926" s="59" t="n"/>
      <c r="E1926" s="60">
        <f>IF(OR(C1926="",D1926=""),"",MOD(D1926-C1926,1)*24)</f>
        <v/>
      </c>
      <c r="F1926" s="50" t="n"/>
      <c r="G1926" s="51" t="n"/>
      <c r="H1926" s="51" t="n"/>
      <c r="I1926" s="51" t="n"/>
      <c r="J1926" s="51" t="n"/>
      <c r="K1926" s="51" t="n"/>
      <c r="L1926" s="54">
        <f>IF(OR(A1926="",C1926="",D1926=""),"",IF(COUNTIFS($A$5:$A$3004,A1926,$C$5:$C$3004,"&lt;"&amp;D1926,$D$5:$D$3004,"&gt;"&amp;C1926)&gt;1,"⚠️ пересечение",""))</f>
        <v/>
      </c>
      <c r="M1926" s="54">
        <f>IF(F1926="","",IF(J1926="✅ Сделано","✔ ",IF(J1926="❌ Пропущено","✖ ","⏰ "))&amp;IF(C1926="","",RIGHT("0"&amp;HOUR(C1926),2)&amp;":"&amp;RIGHT("0"&amp;MINUTE(C1926),2)&amp;IF(D1926="","","–"&amp;RIGHT("0"&amp;HOUR(D1926),2)&amp;":"&amp;RIGHT("0"&amp;MINUTE(D1926),2))&amp;" ")&amp;F1926)</f>
        <v/>
      </c>
      <c r="N1926" s="54">
        <f>IF(OR(A1926="",F1926=""),"",A1926&amp;"#"&amp;(COUNTIFS($A$5:$A$3004,A1926,$F$5:$F$3004,"?*",$O$5:$O$3004,"&lt;"&amp;O1926)+COUNTIFS($A$5:A1926,A1926,$F$5:F1926,"?*",$O$5:O1926,O1926)))</f>
        <v/>
      </c>
      <c r="O1926" s="54">
        <f>IF(A1926="","",IF(C1926="",0,C1926))</f>
        <v/>
      </c>
    </row>
    <row r="1927">
      <c r="A1927" s="58" t="n"/>
      <c r="B1927" s="49">
        <f>IF(A1927="","",CHOOSE(WEEKDAY(A1927,2),"Пн","Вт","Ср","Чт","Пт","Сб","Вс"))</f>
        <v/>
      </c>
      <c r="C1927" s="59" t="n"/>
      <c r="D1927" s="59" t="n"/>
      <c r="E1927" s="60">
        <f>IF(OR(C1927="",D1927=""),"",MOD(D1927-C1927,1)*24)</f>
        <v/>
      </c>
      <c r="F1927" s="50" t="n"/>
      <c r="G1927" s="51" t="n"/>
      <c r="H1927" s="51" t="n"/>
      <c r="I1927" s="51" t="n"/>
      <c r="J1927" s="51" t="n"/>
      <c r="K1927" s="51" t="n"/>
      <c r="L1927" s="54">
        <f>IF(OR(A1927="",C1927="",D1927=""),"",IF(COUNTIFS($A$5:$A$3004,A1927,$C$5:$C$3004,"&lt;"&amp;D1927,$D$5:$D$3004,"&gt;"&amp;C1927)&gt;1,"⚠️ пересечение",""))</f>
        <v/>
      </c>
      <c r="M1927" s="54">
        <f>IF(F1927="","",IF(J1927="✅ Сделано","✔ ",IF(J1927="❌ Пропущено","✖ ","⏰ "))&amp;IF(C1927="","",RIGHT("0"&amp;HOUR(C1927),2)&amp;":"&amp;RIGHT("0"&amp;MINUTE(C1927),2)&amp;IF(D1927="","","–"&amp;RIGHT("0"&amp;HOUR(D1927),2)&amp;":"&amp;RIGHT("0"&amp;MINUTE(D1927),2))&amp;" ")&amp;F1927)</f>
        <v/>
      </c>
      <c r="N1927" s="54">
        <f>IF(OR(A1927="",F1927=""),"",A1927&amp;"#"&amp;(COUNTIFS($A$5:$A$3004,A1927,$F$5:$F$3004,"?*",$O$5:$O$3004,"&lt;"&amp;O1927)+COUNTIFS($A$5:A1927,A1927,$F$5:F1927,"?*",$O$5:O1927,O1927)))</f>
        <v/>
      </c>
      <c r="O1927" s="54">
        <f>IF(A1927="","",IF(C1927="",0,C1927))</f>
        <v/>
      </c>
    </row>
    <row r="1928">
      <c r="A1928" s="58" t="n"/>
      <c r="B1928" s="49">
        <f>IF(A1928="","",CHOOSE(WEEKDAY(A1928,2),"Пн","Вт","Ср","Чт","Пт","Сб","Вс"))</f>
        <v/>
      </c>
      <c r="C1928" s="59" t="n"/>
      <c r="D1928" s="59" t="n"/>
      <c r="E1928" s="60">
        <f>IF(OR(C1928="",D1928=""),"",MOD(D1928-C1928,1)*24)</f>
        <v/>
      </c>
      <c r="F1928" s="50" t="n"/>
      <c r="G1928" s="51" t="n"/>
      <c r="H1928" s="51" t="n"/>
      <c r="I1928" s="51" t="n"/>
      <c r="J1928" s="51" t="n"/>
      <c r="K1928" s="51" t="n"/>
      <c r="L1928" s="54">
        <f>IF(OR(A1928="",C1928="",D1928=""),"",IF(COUNTIFS($A$5:$A$3004,A1928,$C$5:$C$3004,"&lt;"&amp;D1928,$D$5:$D$3004,"&gt;"&amp;C1928)&gt;1,"⚠️ пересечение",""))</f>
        <v/>
      </c>
      <c r="M1928" s="54">
        <f>IF(F1928="","",IF(J1928="✅ Сделано","✔ ",IF(J1928="❌ Пропущено","✖ ","⏰ "))&amp;IF(C1928="","",RIGHT("0"&amp;HOUR(C1928),2)&amp;":"&amp;RIGHT("0"&amp;MINUTE(C1928),2)&amp;IF(D1928="","","–"&amp;RIGHT("0"&amp;HOUR(D1928),2)&amp;":"&amp;RIGHT("0"&amp;MINUTE(D1928),2))&amp;" ")&amp;F1928)</f>
        <v/>
      </c>
      <c r="N1928" s="54">
        <f>IF(OR(A1928="",F1928=""),"",A1928&amp;"#"&amp;(COUNTIFS($A$5:$A$3004,A1928,$F$5:$F$3004,"?*",$O$5:$O$3004,"&lt;"&amp;O1928)+COUNTIFS($A$5:A1928,A1928,$F$5:F1928,"?*",$O$5:O1928,O1928)))</f>
        <v/>
      </c>
      <c r="O1928" s="54">
        <f>IF(A1928="","",IF(C1928="",0,C1928))</f>
        <v/>
      </c>
    </row>
    <row r="1929">
      <c r="A1929" s="58" t="n"/>
      <c r="B1929" s="49">
        <f>IF(A1929="","",CHOOSE(WEEKDAY(A1929,2),"Пн","Вт","Ср","Чт","Пт","Сб","Вс"))</f>
        <v/>
      </c>
      <c r="C1929" s="59" t="n"/>
      <c r="D1929" s="59" t="n"/>
      <c r="E1929" s="60">
        <f>IF(OR(C1929="",D1929=""),"",MOD(D1929-C1929,1)*24)</f>
        <v/>
      </c>
      <c r="F1929" s="50" t="n"/>
      <c r="G1929" s="51" t="n"/>
      <c r="H1929" s="51" t="n"/>
      <c r="I1929" s="51" t="n"/>
      <c r="J1929" s="51" t="n"/>
      <c r="K1929" s="51" t="n"/>
      <c r="L1929" s="54">
        <f>IF(OR(A1929="",C1929="",D1929=""),"",IF(COUNTIFS($A$5:$A$3004,A1929,$C$5:$C$3004,"&lt;"&amp;D1929,$D$5:$D$3004,"&gt;"&amp;C1929)&gt;1,"⚠️ пересечение",""))</f>
        <v/>
      </c>
      <c r="M1929" s="54">
        <f>IF(F1929="","",IF(J1929="✅ Сделано","✔ ",IF(J1929="❌ Пропущено","✖ ","⏰ "))&amp;IF(C1929="","",RIGHT("0"&amp;HOUR(C1929),2)&amp;":"&amp;RIGHT("0"&amp;MINUTE(C1929),2)&amp;IF(D1929="","","–"&amp;RIGHT("0"&amp;HOUR(D1929),2)&amp;":"&amp;RIGHT("0"&amp;MINUTE(D1929),2))&amp;" ")&amp;F1929)</f>
        <v/>
      </c>
      <c r="N1929" s="54">
        <f>IF(OR(A1929="",F1929=""),"",A1929&amp;"#"&amp;(COUNTIFS($A$5:$A$3004,A1929,$F$5:$F$3004,"?*",$O$5:$O$3004,"&lt;"&amp;O1929)+COUNTIFS($A$5:A1929,A1929,$F$5:F1929,"?*",$O$5:O1929,O1929)))</f>
        <v/>
      </c>
      <c r="O1929" s="54">
        <f>IF(A1929="","",IF(C1929="",0,C1929))</f>
        <v/>
      </c>
    </row>
    <row r="1930">
      <c r="A1930" s="58" t="n"/>
      <c r="B1930" s="49">
        <f>IF(A1930="","",CHOOSE(WEEKDAY(A1930,2),"Пн","Вт","Ср","Чт","Пт","Сб","Вс"))</f>
        <v/>
      </c>
      <c r="C1930" s="59" t="n"/>
      <c r="D1930" s="59" t="n"/>
      <c r="E1930" s="60">
        <f>IF(OR(C1930="",D1930=""),"",MOD(D1930-C1930,1)*24)</f>
        <v/>
      </c>
      <c r="F1930" s="50" t="n"/>
      <c r="G1930" s="51" t="n"/>
      <c r="H1930" s="51" t="n"/>
      <c r="I1930" s="51" t="n"/>
      <c r="J1930" s="51" t="n"/>
      <c r="K1930" s="51" t="n"/>
      <c r="L1930" s="54">
        <f>IF(OR(A1930="",C1930="",D1930=""),"",IF(COUNTIFS($A$5:$A$3004,A1930,$C$5:$C$3004,"&lt;"&amp;D1930,$D$5:$D$3004,"&gt;"&amp;C1930)&gt;1,"⚠️ пересечение",""))</f>
        <v/>
      </c>
      <c r="M1930" s="54">
        <f>IF(F1930="","",IF(J1930="✅ Сделано","✔ ",IF(J1930="❌ Пропущено","✖ ","⏰ "))&amp;IF(C1930="","",RIGHT("0"&amp;HOUR(C1930),2)&amp;":"&amp;RIGHT("0"&amp;MINUTE(C1930),2)&amp;IF(D1930="","","–"&amp;RIGHT("0"&amp;HOUR(D1930),2)&amp;":"&amp;RIGHT("0"&amp;MINUTE(D1930),2))&amp;" ")&amp;F1930)</f>
        <v/>
      </c>
      <c r="N1930" s="54">
        <f>IF(OR(A1930="",F1930=""),"",A1930&amp;"#"&amp;(COUNTIFS($A$5:$A$3004,A1930,$F$5:$F$3004,"?*",$O$5:$O$3004,"&lt;"&amp;O1930)+COUNTIFS($A$5:A1930,A1930,$F$5:F1930,"?*",$O$5:O1930,O1930)))</f>
        <v/>
      </c>
      <c r="O1930" s="54">
        <f>IF(A1930="","",IF(C1930="",0,C1930))</f>
        <v/>
      </c>
    </row>
    <row r="1931">
      <c r="A1931" s="58" t="n"/>
      <c r="B1931" s="49">
        <f>IF(A1931="","",CHOOSE(WEEKDAY(A1931,2),"Пн","Вт","Ср","Чт","Пт","Сб","Вс"))</f>
        <v/>
      </c>
      <c r="C1931" s="59" t="n"/>
      <c r="D1931" s="59" t="n"/>
      <c r="E1931" s="60">
        <f>IF(OR(C1931="",D1931=""),"",MOD(D1931-C1931,1)*24)</f>
        <v/>
      </c>
      <c r="F1931" s="50" t="n"/>
      <c r="G1931" s="51" t="n"/>
      <c r="H1931" s="51" t="n"/>
      <c r="I1931" s="51" t="n"/>
      <c r="J1931" s="51" t="n"/>
      <c r="K1931" s="51" t="n"/>
      <c r="L1931" s="54">
        <f>IF(OR(A1931="",C1931="",D1931=""),"",IF(COUNTIFS($A$5:$A$3004,A1931,$C$5:$C$3004,"&lt;"&amp;D1931,$D$5:$D$3004,"&gt;"&amp;C1931)&gt;1,"⚠️ пересечение",""))</f>
        <v/>
      </c>
      <c r="M1931" s="54">
        <f>IF(F1931="","",IF(J1931="✅ Сделано","✔ ",IF(J1931="❌ Пропущено","✖ ","⏰ "))&amp;IF(C1931="","",RIGHT("0"&amp;HOUR(C1931),2)&amp;":"&amp;RIGHT("0"&amp;MINUTE(C1931),2)&amp;IF(D1931="","","–"&amp;RIGHT("0"&amp;HOUR(D1931),2)&amp;":"&amp;RIGHT("0"&amp;MINUTE(D1931),2))&amp;" ")&amp;F1931)</f>
        <v/>
      </c>
      <c r="N1931" s="54">
        <f>IF(OR(A1931="",F1931=""),"",A1931&amp;"#"&amp;(COUNTIFS($A$5:$A$3004,A1931,$F$5:$F$3004,"?*",$O$5:$O$3004,"&lt;"&amp;O1931)+COUNTIFS($A$5:A1931,A1931,$F$5:F1931,"?*",$O$5:O1931,O1931)))</f>
        <v/>
      </c>
      <c r="O1931" s="54">
        <f>IF(A1931="","",IF(C1931="",0,C1931))</f>
        <v/>
      </c>
    </row>
    <row r="1932">
      <c r="A1932" s="58" t="n"/>
      <c r="B1932" s="49">
        <f>IF(A1932="","",CHOOSE(WEEKDAY(A1932,2),"Пн","Вт","Ср","Чт","Пт","Сб","Вс"))</f>
        <v/>
      </c>
      <c r="C1932" s="59" t="n"/>
      <c r="D1932" s="59" t="n"/>
      <c r="E1932" s="60">
        <f>IF(OR(C1932="",D1932=""),"",MOD(D1932-C1932,1)*24)</f>
        <v/>
      </c>
      <c r="F1932" s="50" t="n"/>
      <c r="G1932" s="51" t="n"/>
      <c r="H1932" s="51" t="n"/>
      <c r="I1932" s="51" t="n"/>
      <c r="J1932" s="51" t="n"/>
      <c r="K1932" s="51" t="n"/>
      <c r="L1932" s="54">
        <f>IF(OR(A1932="",C1932="",D1932=""),"",IF(COUNTIFS($A$5:$A$3004,A1932,$C$5:$C$3004,"&lt;"&amp;D1932,$D$5:$D$3004,"&gt;"&amp;C1932)&gt;1,"⚠️ пересечение",""))</f>
        <v/>
      </c>
      <c r="M1932" s="54">
        <f>IF(F1932="","",IF(J1932="✅ Сделано","✔ ",IF(J1932="❌ Пропущено","✖ ","⏰ "))&amp;IF(C1932="","",RIGHT("0"&amp;HOUR(C1932),2)&amp;":"&amp;RIGHT("0"&amp;MINUTE(C1932),2)&amp;IF(D1932="","","–"&amp;RIGHT("0"&amp;HOUR(D1932),2)&amp;":"&amp;RIGHT("0"&amp;MINUTE(D1932),2))&amp;" ")&amp;F1932)</f>
        <v/>
      </c>
      <c r="N1932" s="54">
        <f>IF(OR(A1932="",F1932=""),"",A1932&amp;"#"&amp;(COUNTIFS($A$5:$A$3004,A1932,$F$5:$F$3004,"?*",$O$5:$O$3004,"&lt;"&amp;O1932)+COUNTIFS($A$5:A1932,A1932,$F$5:F1932,"?*",$O$5:O1932,O1932)))</f>
        <v/>
      </c>
      <c r="O1932" s="54">
        <f>IF(A1932="","",IF(C1932="",0,C1932))</f>
        <v/>
      </c>
    </row>
    <row r="1933">
      <c r="A1933" s="58" t="n"/>
      <c r="B1933" s="49">
        <f>IF(A1933="","",CHOOSE(WEEKDAY(A1933,2),"Пн","Вт","Ср","Чт","Пт","Сб","Вс"))</f>
        <v/>
      </c>
      <c r="C1933" s="59" t="n"/>
      <c r="D1933" s="59" t="n"/>
      <c r="E1933" s="60">
        <f>IF(OR(C1933="",D1933=""),"",MOD(D1933-C1933,1)*24)</f>
        <v/>
      </c>
      <c r="F1933" s="50" t="n"/>
      <c r="G1933" s="51" t="n"/>
      <c r="H1933" s="51" t="n"/>
      <c r="I1933" s="51" t="n"/>
      <c r="J1933" s="51" t="n"/>
      <c r="K1933" s="51" t="n"/>
      <c r="L1933" s="54">
        <f>IF(OR(A1933="",C1933="",D1933=""),"",IF(COUNTIFS($A$5:$A$3004,A1933,$C$5:$C$3004,"&lt;"&amp;D1933,$D$5:$D$3004,"&gt;"&amp;C1933)&gt;1,"⚠️ пересечение",""))</f>
        <v/>
      </c>
      <c r="M1933" s="54">
        <f>IF(F1933="","",IF(J1933="✅ Сделано","✔ ",IF(J1933="❌ Пропущено","✖ ","⏰ "))&amp;IF(C1933="","",RIGHT("0"&amp;HOUR(C1933),2)&amp;":"&amp;RIGHT("0"&amp;MINUTE(C1933),2)&amp;IF(D1933="","","–"&amp;RIGHT("0"&amp;HOUR(D1933),2)&amp;":"&amp;RIGHT("0"&amp;MINUTE(D1933),2))&amp;" ")&amp;F1933)</f>
        <v/>
      </c>
      <c r="N1933" s="54">
        <f>IF(OR(A1933="",F1933=""),"",A1933&amp;"#"&amp;(COUNTIFS($A$5:$A$3004,A1933,$F$5:$F$3004,"?*",$O$5:$O$3004,"&lt;"&amp;O1933)+COUNTIFS($A$5:A1933,A1933,$F$5:F1933,"?*",$O$5:O1933,O1933)))</f>
        <v/>
      </c>
      <c r="O1933" s="54">
        <f>IF(A1933="","",IF(C1933="",0,C1933))</f>
        <v/>
      </c>
    </row>
    <row r="1934">
      <c r="A1934" s="58" t="n"/>
      <c r="B1934" s="49">
        <f>IF(A1934="","",CHOOSE(WEEKDAY(A1934,2),"Пн","Вт","Ср","Чт","Пт","Сб","Вс"))</f>
        <v/>
      </c>
      <c r="C1934" s="59" t="n"/>
      <c r="D1934" s="59" t="n"/>
      <c r="E1934" s="60">
        <f>IF(OR(C1934="",D1934=""),"",MOD(D1934-C1934,1)*24)</f>
        <v/>
      </c>
      <c r="F1934" s="50" t="n"/>
      <c r="G1934" s="51" t="n"/>
      <c r="H1934" s="51" t="n"/>
      <c r="I1934" s="51" t="n"/>
      <c r="J1934" s="51" t="n"/>
      <c r="K1934" s="51" t="n"/>
      <c r="L1934" s="54">
        <f>IF(OR(A1934="",C1934="",D1934=""),"",IF(COUNTIFS($A$5:$A$3004,A1934,$C$5:$C$3004,"&lt;"&amp;D1934,$D$5:$D$3004,"&gt;"&amp;C1934)&gt;1,"⚠️ пересечение",""))</f>
        <v/>
      </c>
      <c r="M1934" s="54">
        <f>IF(F1934="","",IF(J1934="✅ Сделано","✔ ",IF(J1934="❌ Пропущено","✖ ","⏰ "))&amp;IF(C1934="","",RIGHT("0"&amp;HOUR(C1934),2)&amp;":"&amp;RIGHT("0"&amp;MINUTE(C1934),2)&amp;IF(D1934="","","–"&amp;RIGHT("0"&amp;HOUR(D1934),2)&amp;":"&amp;RIGHT("0"&amp;MINUTE(D1934),2))&amp;" ")&amp;F1934)</f>
        <v/>
      </c>
      <c r="N1934" s="54">
        <f>IF(OR(A1934="",F1934=""),"",A1934&amp;"#"&amp;(COUNTIFS($A$5:$A$3004,A1934,$F$5:$F$3004,"?*",$O$5:$O$3004,"&lt;"&amp;O1934)+COUNTIFS($A$5:A1934,A1934,$F$5:F1934,"?*",$O$5:O1934,O1934)))</f>
        <v/>
      </c>
      <c r="O1934" s="54">
        <f>IF(A1934="","",IF(C1934="",0,C1934))</f>
        <v/>
      </c>
    </row>
    <row r="1935">
      <c r="A1935" s="58" t="n"/>
      <c r="B1935" s="49">
        <f>IF(A1935="","",CHOOSE(WEEKDAY(A1935,2),"Пн","Вт","Ср","Чт","Пт","Сб","Вс"))</f>
        <v/>
      </c>
      <c r="C1935" s="59" t="n"/>
      <c r="D1935" s="59" t="n"/>
      <c r="E1935" s="60">
        <f>IF(OR(C1935="",D1935=""),"",MOD(D1935-C1935,1)*24)</f>
        <v/>
      </c>
      <c r="F1935" s="50" t="n"/>
      <c r="G1935" s="51" t="n"/>
      <c r="H1935" s="51" t="n"/>
      <c r="I1935" s="51" t="n"/>
      <c r="J1935" s="51" t="n"/>
      <c r="K1935" s="51" t="n"/>
      <c r="L1935" s="54">
        <f>IF(OR(A1935="",C1935="",D1935=""),"",IF(COUNTIFS($A$5:$A$3004,A1935,$C$5:$C$3004,"&lt;"&amp;D1935,$D$5:$D$3004,"&gt;"&amp;C1935)&gt;1,"⚠️ пересечение",""))</f>
        <v/>
      </c>
      <c r="M1935" s="54">
        <f>IF(F1935="","",IF(J1935="✅ Сделано","✔ ",IF(J1935="❌ Пропущено","✖ ","⏰ "))&amp;IF(C1935="","",RIGHT("0"&amp;HOUR(C1935),2)&amp;":"&amp;RIGHT("0"&amp;MINUTE(C1935),2)&amp;IF(D1935="","","–"&amp;RIGHT("0"&amp;HOUR(D1935),2)&amp;":"&amp;RIGHT("0"&amp;MINUTE(D1935),2))&amp;" ")&amp;F1935)</f>
        <v/>
      </c>
      <c r="N1935" s="54">
        <f>IF(OR(A1935="",F1935=""),"",A1935&amp;"#"&amp;(COUNTIFS($A$5:$A$3004,A1935,$F$5:$F$3004,"?*",$O$5:$O$3004,"&lt;"&amp;O1935)+COUNTIFS($A$5:A1935,A1935,$F$5:F1935,"?*",$O$5:O1935,O1935)))</f>
        <v/>
      </c>
      <c r="O1935" s="54">
        <f>IF(A1935="","",IF(C1935="",0,C1935))</f>
        <v/>
      </c>
    </row>
    <row r="1936">
      <c r="A1936" s="58" t="n"/>
      <c r="B1936" s="49">
        <f>IF(A1936="","",CHOOSE(WEEKDAY(A1936,2),"Пн","Вт","Ср","Чт","Пт","Сб","Вс"))</f>
        <v/>
      </c>
      <c r="C1936" s="59" t="n"/>
      <c r="D1936" s="59" t="n"/>
      <c r="E1936" s="60">
        <f>IF(OR(C1936="",D1936=""),"",MOD(D1936-C1936,1)*24)</f>
        <v/>
      </c>
      <c r="F1936" s="50" t="n"/>
      <c r="G1936" s="51" t="n"/>
      <c r="H1936" s="51" t="n"/>
      <c r="I1936" s="51" t="n"/>
      <c r="J1936" s="51" t="n"/>
      <c r="K1936" s="51" t="n"/>
      <c r="L1936" s="54">
        <f>IF(OR(A1936="",C1936="",D1936=""),"",IF(COUNTIFS($A$5:$A$3004,A1936,$C$5:$C$3004,"&lt;"&amp;D1936,$D$5:$D$3004,"&gt;"&amp;C1936)&gt;1,"⚠️ пересечение",""))</f>
        <v/>
      </c>
      <c r="M1936" s="54">
        <f>IF(F1936="","",IF(J1936="✅ Сделано","✔ ",IF(J1936="❌ Пропущено","✖ ","⏰ "))&amp;IF(C1936="","",RIGHT("0"&amp;HOUR(C1936),2)&amp;":"&amp;RIGHT("0"&amp;MINUTE(C1936),2)&amp;IF(D1936="","","–"&amp;RIGHT("0"&amp;HOUR(D1936),2)&amp;":"&amp;RIGHT("0"&amp;MINUTE(D1936),2))&amp;" ")&amp;F1936)</f>
        <v/>
      </c>
      <c r="N1936" s="54">
        <f>IF(OR(A1936="",F1936=""),"",A1936&amp;"#"&amp;(COUNTIFS($A$5:$A$3004,A1936,$F$5:$F$3004,"?*",$O$5:$O$3004,"&lt;"&amp;O1936)+COUNTIFS($A$5:A1936,A1936,$F$5:F1936,"?*",$O$5:O1936,O1936)))</f>
        <v/>
      </c>
      <c r="O1936" s="54">
        <f>IF(A1936="","",IF(C1936="",0,C1936))</f>
        <v/>
      </c>
    </row>
    <row r="1937">
      <c r="A1937" s="58" t="n"/>
      <c r="B1937" s="49">
        <f>IF(A1937="","",CHOOSE(WEEKDAY(A1937,2),"Пн","Вт","Ср","Чт","Пт","Сб","Вс"))</f>
        <v/>
      </c>
      <c r="C1937" s="59" t="n"/>
      <c r="D1937" s="59" t="n"/>
      <c r="E1937" s="60">
        <f>IF(OR(C1937="",D1937=""),"",MOD(D1937-C1937,1)*24)</f>
        <v/>
      </c>
      <c r="F1937" s="50" t="n"/>
      <c r="G1937" s="51" t="n"/>
      <c r="H1937" s="51" t="n"/>
      <c r="I1937" s="51" t="n"/>
      <c r="J1937" s="51" t="n"/>
      <c r="K1937" s="51" t="n"/>
      <c r="L1937" s="54">
        <f>IF(OR(A1937="",C1937="",D1937=""),"",IF(COUNTIFS($A$5:$A$3004,A1937,$C$5:$C$3004,"&lt;"&amp;D1937,$D$5:$D$3004,"&gt;"&amp;C1937)&gt;1,"⚠️ пересечение",""))</f>
        <v/>
      </c>
      <c r="M1937" s="54">
        <f>IF(F1937="","",IF(J1937="✅ Сделано","✔ ",IF(J1937="❌ Пропущено","✖ ","⏰ "))&amp;IF(C1937="","",RIGHT("0"&amp;HOUR(C1937),2)&amp;":"&amp;RIGHT("0"&amp;MINUTE(C1937),2)&amp;IF(D1937="","","–"&amp;RIGHT("0"&amp;HOUR(D1937),2)&amp;":"&amp;RIGHT("0"&amp;MINUTE(D1937),2))&amp;" ")&amp;F1937)</f>
        <v/>
      </c>
      <c r="N1937" s="54">
        <f>IF(OR(A1937="",F1937=""),"",A1937&amp;"#"&amp;(COUNTIFS($A$5:$A$3004,A1937,$F$5:$F$3004,"?*",$O$5:$O$3004,"&lt;"&amp;O1937)+COUNTIFS($A$5:A1937,A1937,$F$5:F1937,"?*",$O$5:O1937,O1937)))</f>
        <v/>
      </c>
      <c r="O1937" s="54">
        <f>IF(A1937="","",IF(C1937="",0,C1937))</f>
        <v/>
      </c>
    </row>
    <row r="1938">
      <c r="A1938" s="58" t="n"/>
      <c r="B1938" s="49">
        <f>IF(A1938="","",CHOOSE(WEEKDAY(A1938,2),"Пн","Вт","Ср","Чт","Пт","Сб","Вс"))</f>
        <v/>
      </c>
      <c r="C1938" s="59" t="n"/>
      <c r="D1938" s="59" t="n"/>
      <c r="E1938" s="60">
        <f>IF(OR(C1938="",D1938=""),"",MOD(D1938-C1938,1)*24)</f>
        <v/>
      </c>
      <c r="F1938" s="50" t="n"/>
      <c r="G1938" s="51" t="n"/>
      <c r="H1938" s="51" t="n"/>
      <c r="I1938" s="51" t="n"/>
      <c r="J1938" s="51" t="n"/>
      <c r="K1938" s="51" t="n"/>
      <c r="L1938" s="54">
        <f>IF(OR(A1938="",C1938="",D1938=""),"",IF(COUNTIFS($A$5:$A$3004,A1938,$C$5:$C$3004,"&lt;"&amp;D1938,$D$5:$D$3004,"&gt;"&amp;C1938)&gt;1,"⚠️ пересечение",""))</f>
        <v/>
      </c>
      <c r="M1938" s="54">
        <f>IF(F1938="","",IF(J1938="✅ Сделано","✔ ",IF(J1938="❌ Пропущено","✖ ","⏰ "))&amp;IF(C1938="","",RIGHT("0"&amp;HOUR(C1938),2)&amp;":"&amp;RIGHT("0"&amp;MINUTE(C1938),2)&amp;IF(D1938="","","–"&amp;RIGHT("0"&amp;HOUR(D1938),2)&amp;":"&amp;RIGHT("0"&amp;MINUTE(D1938),2))&amp;" ")&amp;F1938)</f>
        <v/>
      </c>
      <c r="N1938" s="54">
        <f>IF(OR(A1938="",F1938=""),"",A1938&amp;"#"&amp;(COUNTIFS($A$5:$A$3004,A1938,$F$5:$F$3004,"?*",$O$5:$O$3004,"&lt;"&amp;O1938)+COUNTIFS($A$5:A1938,A1938,$F$5:F1938,"?*",$O$5:O1938,O1938)))</f>
        <v/>
      </c>
      <c r="O1938" s="54">
        <f>IF(A1938="","",IF(C1938="",0,C1938))</f>
        <v/>
      </c>
    </row>
    <row r="1939">
      <c r="A1939" s="58" t="n"/>
      <c r="B1939" s="49">
        <f>IF(A1939="","",CHOOSE(WEEKDAY(A1939,2),"Пн","Вт","Ср","Чт","Пт","Сб","Вс"))</f>
        <v/>
      </c>
      <c r="C1939" s="59" t="n"/>
      <c r="D1939" s="59" t="n"/>
      <c r="E1939" s="60">
        <f>IF(OR(C1939="",D1939=""),"",MOD(D1939-C1939,1)*24)</f>
        <v/>
      </c>
      <c r="F1939" s="50" t="n"/>
      <c r="G1939" s="51" t="n"/>
      <c r="H1939" s="51" t="n"/>
      <c r="I1939" s="51" t="n"/>
      <c r="J1939" s="51" t="n"/>
      <c r="K1939" s="51" t="n"/>
      <c r="L1939" s="54">
        <f>IF(OR(A1939="",C1939="",D1939=""),"",IF(COUNTIFS($A$5:$A$3004,A1939,$C$5:$C$3004,"&lt;"&amp;D1939,$D$5:$D$3004,"&gt;"&amp;C1939)&gt;1,"⚠️ пересечение",""))</f>
        <v/>
      </c>
      <c r="M1939" s="54">
        <f>IF(F1939="","",IF(J1939="✅ Сделано","✔ ",IF(J1939="❌ Пропущено","✖ ","⏰ "))&amp;IF(C1939="","",RIGHT("0"&amp;HOUR(C1939),2)&amp;":"&amp;RIGHT("0"&amp;MINUTE(C1939),2)&amp;IF(D1939="","","–"&amp;RIGHT("0"&amp;HOUR(D1939),2)&amp;":"&amp;RIGHT("0"&amp;MINUTE(D1939),2))&amp;" ")&amp;F1939)</f>
        <v/>
      </c>
      <c r="N1939" s="54">
        <f>IF(OR(A1939="",F1939=""),"",A1939&amp;"#"&amp;(COUNTIFS($A$5:$A$3004,A1939,$F$5:$F$3004,"?*",$O$5:$O$3004,"&lt;"&amp;O1939)+COUNTIFS($A$5:A1939,A1939,$F$5:F1939,"?*",$O$5:O1939,O1939)))</f>
        <v/>
      </c>
      <c r="O1939" s="54">
        <f>IF(A1939="","",IF(C1939="",0,C1939))</f>
        <v/>
      </c>
    </row>
    <row r="1940">
      <c r="A1940" s="58" t="n"/>
      <c r="B1940" s="49">
        <f>IF(A1940="","",CHOOSE(WEEKDAY(A1940,2),"Пн","Вт","Ср","Чт","Пт","Сб","Вс"))</f>
        <v/>
      </c>
      <c r="C1940" s="59" t="n"/>
      <c r="D1940" s="59" t="n"/>
      <c r="E1940" s="60">
        <f>IF(OR(C1940="",D1940=""),"",MOD(D1940-C1940,1)*24)</f>
        <v/>
      </c>
      <c r="F1940" s="50" t="n"/>
      <c r="G1940" s="51" t="n"/>
      <c r="H1940" s="51" t="n"/>
      <c r="I1940" s="51" t="n"/>
      <c r="J1940" s="51" t="n"/>
      <c r="K1940" s="51" t="n"/>
      <c r="L1940" s="54">
        <f>IF(OR(A1940="",C1940="",D1940=""),"",IF(COUNTIFS($A$5:$A$3004,A1940,$C$5:$C$3004,"&lt;"&amp;D1940,$D$5:$D$3004,"&gt;"&amp;C1940)&gt;1,"⚠️ пересечение",""))</f>
        <v/>
      </c>
      <c r="M1940" s="54">
        <f>IF(F1940="","",IF(J1940="✅ Сделано","✔ ",IF(J1940="❌ Пропущено","✖ ","⏰ "))&amp;IF(C1940="","",RIGHT("0"&amp;HOUR(C1940),2)&amp;":"&amp;RIGHT("0"&amp;MINUTE(C1940),2)&amp;IF(D1940="","","–"&amp;RIGHT("0"&amp;HOUR(D1940),2)&amp;":"&amp;RIGHT("0"&amp;MINUTE(D1940),2))&amp;" ")&amp;F1940)</f>
        <v/>
      </c>
      <c r="N1940" s="54">
        <f>IF(OR(A1940="",F1940=""),"",A1940&amp;"#"&amp;(COUNTIFS($A$5:$A$3004,A1940,$F$5:$F$3004,"?*",$O$5:$O$3004,"&lt;"&amp;O1940)+COUNTIFS($A$5:A1940,A1940,$F$5:F1940,"?*",$O$5:O1940,O1940)))</f>
        <v/>
      </c>
      <c r="O1940" s="54">
        <f>IF(A1940="","",IF(C1940="",0,C1940))</f>
        <v/>
      </c>
    </row>
    <row r="1941">
      <c r="A1941" s="58" t="n"/>
      <c r="B1941" s="49">
        <f>IF(A1941="","",CHOOSE(WEEKDAY(A1941,2),"Пн","Вт","Ср","Чт","Пт","Сб","Вс"))</f>
        <v/>
      </c>
      <c r="C1941" s="59" t="n"/>
      <c r="D1941" s="59" t="n"/>
      <c r="E1941" s="60">
        <f>IF(OR(C1941="",D1941=""),"",MOD(D1941-C1941,1)*24)</f>
        <v/>
      </c>
      <c r="F1941" s="50" t="n"/>
      <c r="G1941" s="51" t="n"/>
      <c r="H1941" s="51" t="n"/>
      <c r="I1941" s="51" t="n"/>
      <c r="J1941" s="51" t="n"/>
      <c r="K1941" s="51" t="n"/>
      <c r="L1941" s="54">
        <f>IF(OR(A1941="",C1941="",D1941=""),"",IF(COUNTIFS($A$5:$A$3004,A1941,$C$5:$C$3004,"&lt;"&amp;D1941,$D$5:$D$3004,"&gt;"&amp;C1941)&gt;1,"⚠️ пересечение",""))</f>
        <v/>
      </c>
      <c r="M1941" s="54">
        <f>IF(F1941="","",IF(J1941="✅ Сделано","✔ ",IF(J1941="❌ Пропущено","✖ ","⏰ "))&amp;IF(C1941="","",RIGHT("0"&amp;HOUR(C1941),2)&amp;":"&amp;RIGHT("0"&amp;MINUTE(C1941),2)&amp;IF(D1941="","","–"&amp;RIGHT("0"&amp;HOUR(D1941),2)&amp;":"&amp;RIGHT("0"&amp;MINUTE(D1941),2))&amp;" ")&amp;F1941)</f>
        <v/>
      </c>
      <c r="N1941" s="54">
        <f>IF(OR(A1941="",F1941=""),"",A1941&amp;"#"&amp;(COUNTIFS($A$5:$A$3004,A1941,$F$5:$F$3004,"?*",$O$5:$O$3004,"&lt;"&amp;O1941)+COUNTIFS($A$5:A1941,A1941,$F$5:F1941,"?*",$O$5:O1941,O1941)))</f>
        <v/>
      </c>
      <c r="O1941" s="54">
        <f>IF(A1941="","",IF(C1941="",0,C1941))</f>
        <v/>
      </c>
    </row>
    <row r="1942">
      <c r="A1942" s="58" t="n"/>
      <c r="B1942" s="49">
        <f>IF(A1942="","",CHOOSE(WEEKDAY(A1942,2),"Пн","Вт","Ср","Чт","Пт","Сб","Вс"))</f>
        <v/>
      </c>
      <c r="C1942" s="59" t="n"/>
      <c r="D1942" s="59" t="n"/>
      <c r="E1942" s="60">
        <f>IF(OR(C1942="",D1942=""),"",MOD(D1942-C1942,1)*24)</f>
        <v/>
      </c>
      <c r="F1942" s="50" t="n"/>
      <c r="G1942" s="51" t="n"/>
      <c r="H1942" s="51" t="n"/>
      <c r="I1942" s="51" t="n"/>
      <c r="J1942" s="51" t="n"/>
      <c r="K1942" s="51" t="n"/>
      <c r="L1942" s="54">
        <f>IF(OR(A1942="",C1942="",D1942=""),"",IF(COUNTIFS($A$5:$A$3004,A1942,$C$5:$C$3004,"&lt;"&amp;D1942,$D$5:$D$3004,"&gt;"&amp;C1942)&gt;1,"⚠️ пересечение",""))</f>
        <v/>
      </c>
      <c r="M1942" s="54">
        <f>IF(F1942="","",IF(J1942="✅ Сделано","✔ ",IF(J1942="❌ Пропущено","✖ ","⏰ "))&amp;IF(C1942="","",RIGHT("0"&amp;HOUR(C1942),2)&amp;":"&amp;RIGHT("0"&amp;MINUTE(C1942),2)&amp;IF(D1942="","","–"&amp;RIGHT("0"&amp;HOUR(D1942),2)&amp;":"&amp;RIGHT("0"&amp;MINUTE(D1942),2))&amp;" ")&amp;F1942)</f>
        <v/>
      </c>
      <c r="N1942" s="54">
        <f>IF(OR(A1942="",F1942=""),"",A1942&amp;"#"&amp;(COUNTIFS($A$5:$A$3004,A1942,$F$5:$F$3004,"?*",$O$5:$O$3004,"&lt;"&amp;O1942)+COUNTIFS($A$5:A1942,A1942,$F$5:F1942,"?*",$O$5:O1942,O1942)))</f>
        <v/>
      </c>
      <c r="O1942" s="54">
        <f>IF(A1942="","",IF(C1942="",0,C1942))</f>
        <v/>
      </c>
    </row>
    <row r="1943">
      <c r="A1943" s="58" t="n"/>
      <c r="B1943" s="49">
        <f>IF(A1943="","",CHOOSE(WEEKDAY(A1943,2),"Пн","Вт","Ср","Чт","Пт","Сб","Вс"))</f>
        <v/>
      </c>
      <c r="C1943" s="59" t="n"/>
      <c r="D1943" s="59" t="n"/>
      <c r="E1943" s="60">
        <f>IF(OR(C1943="",D1943=""),"",MOD(D1943-C1943,1)*24)</f>
        <v/>
      </c>
      <c r="F1943" s="50" t="n"/>
      <c r="G1943" s="51" t="n"/>
      <c r="H1943" s="51" t="n"/>
      <c r="I1943" s="51" t="n"/>
      <c r="J1943" s="51" t="n"/>
      <c r="K1943" s="51" t="n"/>
      <c r="L1943" s="54">
        <f>IF(OR(A1943="",C1943="",D1943=""),"",IF(COUNTIFS($A$5:$A$3004,A1943,$C$5:$C$3004,"&lt;"&amp;D1943,$D$5:$D$3004,"&gt;"&amp;C1943)&gt;1,"⚠️ пересечение",""))</f>
        <v/>
      </c>
      <c r="M1943" s="54">
        <f>IF(F1943="","",IF(J1943="✅ Сделано","✔ ",IF(J1943="❌ Пропущено","✖ ","⏰ "))&amp;IF(C1943="","",RIGHT("0"&amp;HOUR(C1943),2)&amp;":"&amp;RIGHT("0"&amp;MINUTE(C1943),2)&amp;IF(D1943="","","–"&amp;RIGHT("0"&amp;HOUR(D1943),2)&amp;":"&amp;RIGHT("0"&amp;MINUTE(D1943),2))&amp;" ")&amp;F1943)</f>
        <v/>
      </c>
      <c r="N1943" s="54">
        <f>IF(OR(A1943="",F1943=""),"",A1943&amp;"#"&amp;(COUNTIFS($A$5:$A$3004,A1943,$F$5:$F$3004,"?*",$O$5:$O$3004,"&lt;"&amp;O1943)+COUNTIFS($A$5:A1943,A1943,$F$5:F1943,"?*",$O$5:O1943,O1943)))</f>
        <v/>
      </c>
      <c r="O1943" s="54">
        <f>IF(A1943="","",IF(C1943="",0,C1943))</f>
        <v/>
      </c>
    </row>
    <row r="1944">
      <c r="A1944" s="58" t="n"/>
      <c r="B1944" s="49">
        <f>IF(A1944="","",CHOOSE(WEEKDAY(A1944,2),"Пн","Вт","Ср","Чт","Пт","Сб","Вс"))</f>
        <v/>
      </c>
      <c r="C1944" s="59" t="n"/>
      <c r="D1944" s="59" t="n"/>
      <c r="E1944" s="60">
        <f>IF(OR(C1944="",D1944=""),"",MOD(D1944-C1944,1)*24)</f>
        <v/>
      </c>
      <c r="F1944" s="50" t="n"/>
      <c r="G1944" s="51" t="n"/>
      <c r="H1944" s="51" t="n"/>
      <c r="I1944" s="51" t="n"/>
      <c r="J1944" s="51" t="n"/>
      <c r="K1944" s="51" t="n"/>
      <c r="L1944" s="54">
        <f>IF(OR(A1944="",C1944="",D1944=""),"",IF(COUNTIFS($A$5:$A$3004,A1944,$C$5:$C$3004,"&lt;"&amp;D1944,$D$5:$D$3004,"&gt;"&amp;C1944)&gt;1,"⚠️ пересечение",""))</f>
        <v/>
      </c>
      <c r="M1944" s="54">
        <f>IF(F1944="","",IF(J1944="✅ Сделано","✔ ",IF(J1944="❌ Пропущено","✖ ","⏰ "))&amp;IF(C1944="","",RIGHT("0"&amp;HOUR(C1944),2)&amp;":"&amp;RIGHT("0"&amp;MINUTE(C1944),2)&amp;IF(D1944="","","–"&amp;RIGHT("0"&amp;HOUR(D1944),2)&amp;":"&amp;RIGHT("0"&amp;MINUTE(D1944),2))&amp;" ")&amp;F1944)</f>
        <v/>
      </c>
      <c r="N1944" s="54">
        <f>IF(OR(A1944="",F1944=""),"",A1944&amp;"#"&amp;(COUNTIFS($A$5:$A$3004,A1944,$F$5:$F$3004,"?*",$O$5:$O$3004,"&lt;"&amp;O1944)+COUNTIFS($A$5:A1944,A1944,$F$5:F1944,"?*",$O$5:O1944,O1944)))</f>
        <v/>
      </c>
      <c r="O1944" s="54">
        <f>IF(A1944="","",IF(C1944="",0,C1944))</f>
        <v/>
      </c>
    </row>
    <row r="1945">
      <c r="A1945" s="58" t="n"/>
      <c r="B1945" s="49">
        <f>IF(A1945="","",CHOOSE(WEEKDAY(A1945,2),"Пн","Вт","Ср","Чт","Пт","Сб","Вс"))</f>
        <v/>
      </c>
      <c r="C1945" s="59" t="n"/>
      <c r="D1945" s="59" t="n"/>
      <c r="E1945" s="60">
        <f>IF(OR(C1945="",D1945=""),"",MOD(D1945-C1945,1)*24)</f>
        <v/>
      </c>
      <c r="F1945" s="50" t="n"/>
      <c r="G1945" s="51" t="n"/>
      <c r="H1945" s="51" t="n"/>
      <c r="I1945" s="51" t="n"/>
      <c r="J1945" s="51" t="n"/>
      <c r="K1945" s="51" t="n"/>
      <c r="L1945" s="54">
        <f>IF(OR(A1945="",C1945="",D1945=""),"",IF(COUNTIFS($A$5:$A$3004,A1945,$C$5:$C$3004,"&lt;"&amp;D1945,$D$5:$D$3004,"&gt;"&amp;C1945)&gt;1,"⚠️ пересечение",""))</f>
        <v/>
      </c>
      <c r="M1945" s="54">
        <f>IF(F1945="","",IF(J1945="✅ Сделано","✔ ",IF(J1945="❌ Пропущено","✖ ","⏰ "))&amp;IF(C1945="","",RIGHT("0"&amp;HOUR(C1945),2)&amp;":"&amp;RIGHT("0"&amp;MINUTE(C1945),2)&amp;IF(D1945="","","–"&amp;RIGHT("0"&amp;HOUR(D1945),2)&amp;":"&amp;RIGHT("0"&amp;MINUTE(D1945),2))&amp;" ")&amp;F1945)</f>
        <v/>
      </c>
      <c r="N1945" s="54">
        <f>IF(OR(A1945="",F1945=""),"",A1945&amp;"#"&amp;(COUNTIFS($A$5:$A$3004,A1945,$F$5:$F$3004,"?*",$O$5:$O$3004,"&lt;"&amp;O1945)+COUNTIFS($A$5:A1945,A1945,$F$5:F1945,"?*",$O$5:O1945,O1945)))</f>
        <v/>
      </c>
      <c r="O1945" s="54">
        <f>IF(A1945="","",IF(C1945="",0,C1945))</f>
        <v/>
      </c>
    </row>
    <row r="1946">
      <c r="A1946" s="58" t="n"/>
      <c r="B1946" s="49">
        <f>IF(A1946="","",CHOOSE(WEEKDAY(A1946,2),"Пн","Вт","Ср","Чт","Пт","Сб","Вс"))</f>
        <v/>
      </c>
      <c r="C1946" s="59" t="n"/>
      <c r="D1946" s="59" t="n"/>
      <c r="E1946" s="60">
        <f>IF(OR(C1946="",D1946=""),"",MOD(D1946-C1946,1)*24)</f>
        <v/>
      </c>
      <c r="F1946" s="50" t="n"/>
      <c r="G1946" s="51" t="n"/>
      <c r="H1946" s="51" t="n"/>
      <c r="I1946" s="51" t="n"/>
      <c r="J1946" s="51" t="n"/>
      <c r="K1946" s="51" t="n"/>
      <c r="L1946" s="54">
        <f>IF(OR(A1946="",C1946="",D1946=""),"",IF(COUNTIFS($A$5:$A$3004,A1946,$C$5:$C$3004,"&lt;"&amp;D1946,$D$5:$D$3004,"&gt;"&amp;C1946)&gt;1,"⚠️ пересечение",""))</f>
        <v/>
      </c>
      <c r="M1946" s="54">
        <f>IF(F1946="","",IF(J1946="✅ Сделано","✔ ",IF(J1946="❌ Пропущено","✖ ","⏰ "))&amp;IF(C1946="","",RIGHT("0"&amp;HOUR(C1946),2)&amp;":"&amp;RIGHT("0"&amp;MINUTE(C1946),2)&amp;IF(D1946="","","–"&amp;RIGHT("0"&amp;HOUR(D1946),2)&amp;":"&amp;RIGHT("0"&amp;MINUTE(D1946),2))&amp;" ")&amp;F1946)</f>
        <v/>
      </c>
      <c r="N1946" s="54">
        <f>IF(OR(A1946="",F1946=""),"",A1946&amp;"#"&amp;(COUNTIFS($A$5:$A$3004,A1946,$F$5:$F$3004,"?*",$O$5:$O$3004,"&lt;"&amp;O1946)+COUNTIFS($A$5:A1946,A1946,$F$5:F1946,"?*",$O$5:O1946,O1946)))</f>
        <v/>
      </c>
      <c r="O1946" s="54">
        <f>IF(A1946="","",IF(C1946="",0,C1946))</f>
        <v/>
      </c>
    </row>
    <row r="1947">
      <c r="A1947" s="58" t="n"/>
      <c r="B1947" s="49">
        <f>IF(A1947="","",CHOOSE(WEEKDAY(A1947,2),"Пн","Вт","Ср","Чт","Пт","Сб","Вс"))</f>
        <v/>
      </c>
      <c r="C1947" s="59" t="n"/>
      <c r="D1947" s="59" t="n"/>
      <c r="E1947" s="60">
        <f>IF(OR(C1947="",D1947=""),"",MOD(D1947-C1947,1)*24)</f>
        <v/>
      </c>
      <c r="F1947" s="50" t="n"/>
      <c r="G1947" s="51" t="n"/>
      <c r="H1947" s="51" t="n"/>
      <c r="I1947" s="51" t="n"/>
      <c r="J1947" s="51" t="n"/>
      <c r="K1947" s="51" t="n"/>
      <c r="L1947" s="54">
        <f>IF(OR(A1947="",C1947="",D1947=""),"",IF(COUNTIFS($A$5:$A$3004,A1947,$C$5:$C$3004,"&lt;"&amp;D1947,$D$5:$D$3004,"&gt;"&amp;C1947)&gt;1,"⚠️ пересечение",""))</f>
        <v/>
      </c>
      <c r="M1947" s="54">
        <f>IF(F1947="","",IF(J1947="✅ Сделано","✔ ",IF(J1947="❌ Пропущено","✖ ","⏰ "))&amp;IF(C1947="","",RIGHT("0"&amp;HOUR(C1947),2)&amp;":"&amp;RIGHT("0"&amp;MINUTE(C1947),2)&amp;IF(D1947="","","–"&amp;RIGHT("0"&amp;HOUR(D1947),2)&amp;":"&amp;RIGHT("0"&amp;MINUTE(D1947),2))&amp;" ")&amp;F1947)</f>
        <v/>
      </c>
      <c r="N1947" s="54">
        <f>IF(OR(A1947="",F1947=""),"",A1947&amp;"#"&amp;(COUNTIFS($A$5:$A$3004,A1947,$F$5:$F$3004,"?*",$O$5:$O$3004,"&lt;"&amp;O1947)+COUNTIFS($A$5:A1947,A1947,$F$5:F1947,"?*",$O$5:O1947,O1947)))</f>
        <v/>
      </c>
      <c r="O1947" s="54">
        <f>IF(A1947="","",IF(C1947="",0,C1947))</f>
        <v/>
      </c>
    </row>
    <row r="1948">
      <c r="A1948" s="58" t="n"/>
      <c r="B1948" s="49">
        <f>IF(A1948="","",CHOOSE(WEEKDAY(A1948,2),"Пн","Вт","Ср","Чт","Пт","Сб","Вс"))</f>
        <v/>
      </c>
      <c r="C1948" s="59" t="n"/>
      <c r="D1948" s="59" t="n"/>
      <c r="E1948" s="60">
        <f>IF(OR(C1948="",D1948=""),"",MOD(D1948-C1948,1)*24)</f>
        <v/>
      </c>
      <c r="F1948" s="50" t="n"/>
      <c r="G1948" s="51" t="n"/>
      <c r="H1948" s="51" t="n"/>
      <c r="I1948" s="51" t="n"/>
      <c r="J1948" s="51" t="n"/>
      <c r="K1948" s="51" t="n"/>
      <c r="L1948" s="54">
        <f>IF(OR(A1948="",C1948="",D1948=""),"",IF(COUNTIFS($A$5:$A$3004,A1948,$C$5:$C$3004,"&lt;"&amp;D1948,$D$5:$D$3004,"&gt;"&amp;C1948)&gt;1,"⚠️ пересечение",""))</f>
        <v/>
      </c>
      <c r="M1948" s="54">
        <f>IF(F1948="","",IF(J1948="✅ Сделано","✔ ",IF(J1948="❌ Пропущено","✖ ","⏰ "))&amp;IF(C1948="","",RIGHT("0"&amp;HOUR(C1948),2)&amp;":"&amp;RIGHT("0"&amp;MINUTE(C1948),2)&amp;IF(D1948="","","–"&amp;RIGHT("0"&amp;HOUR(D1948),2)&amp;":"&amp;RIGHT("0"&amp;MINUTE(D1948),2))&amp;" ")&amp;F1948)</f>
        <v/>
      </c>
      <c r="N1948" s="54">
        <f>IF(OR(A1948="",F1948=""),"",A1948&amp;"#"&amp;(COUNTIFS($A$5:$A$3004,A1948,$F$5:$F$3004,"?*",$O$5:$O$3004,"&lt;"&amp;O1948)+COUNTIFS($A$5:A1948,A1948,$F$5:F1948,"?*",$O$5:O1948,O1948)))</f>
        <v/>
      </c>
      <c r="O1948" s="54">
        <f>IF(A1948="","",IF(C1948="",0,C1948))</f>
        <v/>
      </c>
    </row>
    <row r="1949">
      <c r="A1949" s="58" t="n"/>
      <c r="B1949" s="49">
        <f>IF(A1949="","",CHOOSE(WEEKDAY(A1949,2),"Пн","Вт","Ср","Чт","Пт","Сб","Вс"))</f>
        <v/>
      </c>
      <c r="C1949" s="59" t="n"/>
      <c r="D1949" s="59" t="n"/>
      <c r="E1949" s="60">
        <f>IF(OR(C1949="",D1949=""),"",MOD(D1949-C1949,1)*24)</f>
        <v/>
      </c>
      <c r="F1949" s="50" t="n"/>
      <c r="G1949" s="51" t="n"/>
      <c r="H1949" s="51" t="n"/>
      <c r="I1949" s="51" t="n"/>
      <c r="J1949" s="51" t="n"/>
      <c r="K1949" s="51" t="n"/>
      <c r="L1949" s="54">
        <f>IF(OR(A1949="",C1949="",D1949=""),"",IF(COUNTIFS($A$5:$A$3004,A1949,$C$5:$C$3004,"&lt;"&amp;D1949,$D$5:$D$3004,"&gt;"&amp;C1949)&gt;1,"⚠️ пересечение",""))</f>
        <v/>
      </c>
      <c r="M1949" s="54">
        <f>IF(F1949="","",IF(J1949="✅ Сделано","✔ ",IF(J1949="❌ Пропущено","✖ ","⏰ "))&amp;IF(C1949="","",RIGHT("0"&amp;HOUR(C1949),2)&amp;":"&amp;RIGHT("0"&amp;MINUTE(C1949),2)&amp;IF(D1949="","","–"&amp;RIGHT("0"&amp;HOUR(D1949),2)&amp;":"&amp;RIGHT("0"&amp;MINUTE(D1949),2))&amp;" ")&amp;F1949)</f>
        <v/>
      </c>
      <c r="N1949" s="54">
        <f>IF(OR(A1949="",F1949=""),"",A1949&amp;"#"&amp;(COUNTIFS($A$5:$A$3004,A1949,$F$5:$F$3004,"?*",$O$5:$O$3004,"&lt;"&amp;O1949)+COUNTIFS($A$5:A1949,A1949,$F$5:F1949,"?*",$O$5:O1949,O1949)))</f>
        <v/>
      </c>
      <c r="O1949" s="54">
        <f>IF(A1949="","",IF(C1949="",0,C1949))</f>
        <v/>
      </c>
    </row>
    <row r="1950">
      <c r="A1950" s="58" t="n"/>
      <c r="B1950" s="49">
        <f>IF(A1950="","",CHOOSE(WEEKDAY(A1950,2),"Пн","Вт","Ср","Чт","Пт","Сб","Вс"))</f>
        <v/>
      </c>
      <c r="C1950" s="59" t="n"/>
      <c r="D1950" s="59" t="n"/>
      <c r="E1950" s="60">
        <f>IF(OR(C1950="",D1950=""),"",MOD(D1950-C1950,1)*24)</f>
        <v/>
      </c>
      <c r="F1950" s="50" t="n"/>
      <c r="G1950" s="51" t="n"/>
      <c r="H1950" s="51" t="n"/>
      <c r="I1950" s="51" t="n"/>
      <c r="J1950" s="51" t="n"/>
      <c r="K1950" s="51" t="n"/>
      <c r="L1950" s="54">
        <f>IF(OR(A1950="",C1950="",D1950=""),"",IF(COUNTIFS($A$5:$A$3004,A1950,$C$5:$C$3004,"&lt;"&amp;D1950,$D$5:$D$3004,"&gt;"&amp;C1950)&gt;1,"⚠️ пересечение",""))</f>
        <v/>
      </c>
      <c r="M1950" s="54">
        <f>IF(F1950="","",IF(J1950="✅ Сделано","✔ ",IF(J1950="❌ Пропущено","✖ ","⏰ "))&amp;IF(C1950="","",RIGHT("0"&amp;HOUR(C1950),2)&amp;":"&amp;RIGHT("0"&amp;MINUTE(C1950),2)&amp;IF(D1950="","","–"&amp;RIGHT("0"&amp;HOUR(D1950),2)&amp;":"&amp;RIGHT("0"&amp;MINUTE(D1950),2))&amp;" ")&amp;F1950)</f>
        <v/>
      </c>
      <c r="N1950" s="54">
        <f>IF(OR(A1950="",F1950=""),"",A1950&amp;"#"&amp;(COUNTIFS($A$5:$A$3004,A1950,$F$5:$F$3004,"?*",$O$5:$O$3004,"&lt;"&amp;O1950)+COUNTIFS($A$5:A1950,A1950,$F$5:F1950,"?*",$O$5:O1950,O1950)))</f>
        <v/>
      </c>
      <c r="O1950" s="54">
        <f>IF(A1950="","",IF(C1950="",0,C1950))</f>
        <v/>
      </c>
    </row>
    <row r="1951">
      <c r="A1951" s="58" t="n"/>
      <c r="B1951" s="49">
        <f>IF(A1951="","",CHOOSE(WEEKDAY(A1951,2),"Пн","Вт","Ср","Чт","Пт","Сб","Вс"))</f>
        <v/>
      </c>
      <c r="C1951" s="59" t="n"/>
      <c r="D1951" s="59" t="n"/>
      <c r="E1951" s="60">
        <f>IF(OR(C1951="",D1951=""),"",MOD(D1951-C1951,1)*24)</f>
        <v/>
      </c>
      <c r="F1951" s="50" t="n"/>
      <c r="G1951" s="51" t="n"/>
      <c r="H1951" s="51" t="n"/>
      <c r="I1951" s="51" t="n"/>
      <c r="J1951" s="51" t="n"/>
      <c r="K1951" s="51" t="n"/>
      <c r="L1951" s="54">
        <f>IF(OR(A1951="",C1951="",D1951=""),"",IF(COUNTIFS($A$5:$A$3004,A1951,$C$5:$C$3004,"&lt;"&amp;D1951,$D$5:$D$3004,"&gt;"&amp;C1951)&gt;1,"⚠️ пересечение",""))</f>
        <v/>
      </c>
      <c r="M1951" s="54">
        <f>IF(F1951="","",IF(J1951="✅ Сделано","✔ ",IF(J1951="❌ Пропущено","✖ ","⏰ "))&amp;IF(C1951="","",RIGHT("0"&amp;HOUR(C1951),2)&amp;":"&amp;RIGHT("0"&amp;MINUTE(C1951),2)&amp;IF(D1951="","","–"&amp;RIGHT("0"&amp;HOUR(D1951),2)&amp;":"&amp;RIGHT("0"&amp;MINUTE(D1951),2))&amp;" ")&amp;F1951)</f>
        <v/>
      </c>
      <c r="N1951" s="54">
        <f>IF(OR(A1951="",F1951=""),"",A1951&amp;"#"&amp;(COUNTIFS($A$5:$A$3004,A1951,$F$5:$F$3004,"?*",$O$5:$O$3004,"&lt;"&amp;O1951)+COUNTIFS($A$5:A1951,A1951,$F$5:F1951,"?*",$O$5:O1951,O1951)))</f>
        <v/>
      </c>
      <c r="O1951" s="54">
        <f>IF(A1951="","",IF(C1951="",0,C1951))</f>
        <v/>
      </c>
    </row>
    <row r="1952">
      <c r="A1952" s="58" t="n"/>
      <c r="B1952" s="49">
        <f>IF(A1952="","",CHOOSE(WEEKDAY(A1952,2),"Пн","Вт","Ср","Чт","Пт","Сб","Вс"))</f>
        <v/>
      </c>
      <c r="C1952" s="59" t="n"/>
      <c r="D1952" s="59" t="n"/>
      <c r="E1952" s="60">
        <f>IF(OR(C1952="",D1952=""),"",MOD(D1952-C1952,1)*24)</f>
        <v/>
      </c>
      <c r="F1952" s="50" t="n"/>
      <c r="G1952" s="51" t="n"/>
      <c r="H1952" s="51" t="n"/>
      <c r="I1952" s="51" t="n"/>
      <c r="J1952" s="51" t="n"/>
      <c r="K1952" s="51" t="n"/>
      <c r="L1952" s="54">
        <f>IF(OR(A1952="",C1952="",D1952=""),"",IF(COUNTIFS($A$5:$A$3004,A1952,$C$5:$C$3004,"&lt;"&amp;D1952,$D$5:$D$3004,"&gt;"&amp;C1952)&gt;1,"⚠️ пересечение",""))</f>
        <v/>
      </c>
      <c r="M1952" s="54">
        <f>IF(F1952="","",IF(J1952="✅ Сделано","✔ ",IF(J1952="❌ Пропущено","✖ ","⏰ "))&amp;IF(C1952="","",RIGHT("0"&amp;HOUR(C1952),2)&amp;":"&amp;RIGHT("0"&amp;MINUTE(C1952),2)&amp;IF(D1952="","","–"&amp;RIGHT("0"&amp;HOUR(D1952),2)&amp;":"&amp;RIGHT("0"&amp;MINUTE(D1952),2))&amp;" ")&amp;F1952)</f>
        <v/>
      </c>
      <c r="N1952" s="54">
        <f>IF(OR(A1952="",F1952=""),"",A1952&amp;"#"&amp;(COUNTIFS($A$5:$A$3004,A1952,$F$5:$F$3004,"?*",$O$5:$O$3004,"&lt;"&amp;O1952)+COUNTIFS($A$5:A1952,A1952,$F$5:F1952,"?*",$O$5:O1952,O1952)))</f>
        <v/>
      </c>
      <c r="O1952" s="54">
        <f>IF(A1952="","",IF(C1952="",0,C1952))</f>
        <v/>
      </c>
    </row>
    <row r="1953">
      <c r="A1953" s="58" t="n"/>
      <c r="B1953" s="49">
        <f>IF(A1953="","",CHOOSE(WEEKDAY(A1953,2),"Пн","Вт","Ср","Чт","Пт","Сб","Вс"))</f>
        <v/>
      </c>
      <c r="C1953" s="59" t="n"/>
      <c r="D1953" s="59" t="n"/>
      <c r="E1953" s="60">
        <f>IF(OR(C1953="",D1953=""),"",MOD(D1953-C1953,1)*24)</f>
        <v/>
      </c>
      <c r="F1953" s="50" t="n"/>
      <c r="G1953" s="51" t="n"/>
      <c r="H1953" s="51" t="n"/>
      <c r="I1953" s="51" t="n"/>
      <c r="J1953" s="51" t="n"/>
      <c r="K1953" s="51" t="n"/>
      <c r="L1953" s="54">
        <f>IF(OR(A1953="",C1953="",D1953=""),"",IF(COUNTIFS($A$5:$A$3004,A1953,$C$5:$C$3004,"&lt;"&amp;D1953,$D$5:$D$3004,"&gt;"&amp;C1953)&gt;1,"⚠️ пересечение",""))</f>
        <v/>
      </c>
      <c r="M1953" s="54">
        <f>IF(F1953="","",IF(J1953="✅ Сделано","✔ ",IF(J1953="❌ Пропущено","✖ ","⏰ "))&amp;IF(C1953="","",RIGHT("0"&amp;HOUR(C1953),2)&amp;":"&amp;RIGHT("0"&amp;MINUTE(C1953),2)&amp;IF(D1953="","","–"&amp;RIGHT("0"&amp;HOUR(D1953),2)&amp;":"&amp;RIGHT("0"&amp;MINUTE(D1953),2))&amp;" ")&amp;F1953)</f>
        <v/>
      </c>
      <c r="N1953" s="54">
        <f>IF(OR(A1953="",F1953=""),"",A1953&amp;"#"&amp;(COUNTIFS($A$5:$A$3004,A1953,$F$5:$F$3004,"?*",$O$5:$O$3004,"&lt;"&amp;O1953)+COUNTIFS($A$5:A1953,A1953,$F$5:F1953,"?*",$O$5:O1953,O1953)))</f>
        <v/>
      </c>
      <c r="O1953" s="54">
        <f>IF(A1953="","",IF(C1953="",0,C1953))</f>
        <v/>
      </c>
    </row>
    <row r="1954">
      <c r="A1954" s="58" t="n"/>
      <c r="B1954" s="49">
        <f>IF(A1954="","",CHOOSE(WEEKDAY(A1954,2),"Пн","Вт","Ср","Чт","Пт","Сб","Вс"))</f>
        <v/>
      </c>
      <c r="C1954" s="59" t="n"/>
      <c r="D1954" s="59" t="n"/>
      <c r="E1954" s="60">
        <f>IF(OR(C1954="",D1954=""),"",MOD(D1954-C1954,1)*24)</f>
        <v/>
      </c>
      <c r="F1954" s="50" t="n"/>
      <c r="G1954" s="51" t="n"/>
      <c r="H1954" s="51" t="n"/>
      <c r="I1954" s="51" t="n"/>
      <c r="J1954" s="51" t="n"/>
      <c r="K1954" s="51" t="n"/>
      <c r="L1954" s="54">
        <f>IF(OR(A1954="",C1954="",D1954=""),"",IF(COUNTIFS($A$5:$A$3004,A1954,$C$5:$C$3004,"&lt;"&amp;D1954,$D$5:$D$3004,"&gt;"&amp;C1954)&gt;1,"⚠️ пересечение",""))</f>
        <v/>
      </c>
      <c r="M1954" s="54">
        <f>IF(F1954="","",IF(J1954="✅ Сделано","✔ ",IF(J1954="❌ Пропущено","✖ ","⏰ "))&amp;IF(C1954="","",RIGHT("0"&amp;HOUR(C1954),2)&amp;":"&amp;RIGHT("0"&amp;MINUTE(C1954),2)&amp;IF(D1954="","","–"&amp;RIGHT("0"&amp;HOUR(D1954),2)&amp;":"&amp;RIGHT("0"&amp;MINUTE(D1954),2))&amp;" ")&amp;F1954)</f>
        <v/>
      </c>
      <c r="N1954" s="54">
        <f>IF(OR(A1954="",F1954=""),"",A1954&amp;"#"&amp;(COUNTIFS($A$5:$A$3004,A1954,$F$5:$F$3004,"?*",$O$5:$O$3004,"&lt;"&amp;O1954)+COUNTIFS($A$5:A1954,A1954,$F$5:F1954,"?*",$O$5:O1954,O1954)))</f>
        <v/>
      </c>
      <c r="O1954" s="54">
        <f>IF(A1954="","",IF(C1954="",0,C1954))</f>
        <v/>
      </c>
    </row>
    <row r="1955">
      <c r="A1955" s="58" t="n"/>
      <c r="B1955" s="49">
        <f>IF(A1955="","",CHOOSE(WEEKDAY(A1955,2),"Пн","Вт","Ср","Чт","Пт","Сб","Вс"))</f>
        <v/>
      </c>
      <c r="C1955" s="59" t="n"/>
      <c r="D1955" s="59" t="n"/>
      <c r="E1955" s="60">
        <f>IF(OR(C1955="",D1955=""),"",MOD(D1955-C1955,1)*24)</f>
        <v/>
      </c>
      <c r="F1955" s="50" t="n"/>
      <c r="G1955" s="51" t="n"/>
      <c r="H1955" s="51" t="n"/>
      <c r="I1955" s="51" t="n"/>
      <c r="J1955" s="51" t="n"/>
      <c r="K1955" s="51" t="n"/>
      <c r="L1955" s="54">
        <f>IF(OR(A1955="",C1955="",D1955=""),"",IF(COUNTIFS($A$5:$A$3004,A1955,$C$5:$C$3004,"&lt;"&amp;D1955,$D$5:$D$3004,"&gt;"&amp;C1955)&gt;1,"⚠️ пересечение",""))</f>
        <v/>
      </c>
      <c r="M1955" s="54">
        <f>IF(F1955="","",IF(J1955="✅ Сделано","✔ ",IF(J1955="❌ Пропущено","✖ ","⏰ "))&amp;IF(C1955="","",RIGHT("0"&amp;HOUR(C1955),2)&amp;":"&amp;RIGHT("0"&amp;MINUTE(C1955),2)&amp;IF(D1955="","","–"&amp;RIGHT("0"&amp;HOUR(D1955),2)&amp;":"&amp;RIGHT("0"&amp;MINUTE(D1955),2))&amp;" ")&amp;F1955)</f>
        <v/>
      </c>
      <c r="N1955" s="54">
        <f>IF(OR(A1955="",F1955=""),"",A1955&amp;"#"&amp;(COUNTIFS($A$5:$A$3004,A1955,$F$5:$F$3004,"?*",$O$5:$O$3004,"&lt;"&amp;O1955)+COUNTIFS($A$5:A1955,A1955,$F$5:F1955,"?*",$O$5:O1955,O1955)))</f>
        <v/>
      </c>
      <c r="O1955" s="54">
        <f>IF(A1955="","",IF(C1955="",0,C1955))</f>
        <v/>
      </c>
    </row>
    <row r="1956">
      <c r="A1956" s="58" t="n"/>
      <c r="B1956" s="49">
        <f>IF(A1956="","",CHOOSE(WEEKDAY(A1956,2),"Пн","Вт","Ср","Чт","Пт","Сб","Вс"))</f>
        <v/>
      </c>
      <c r="C1956" s="59" t="n"/>
      <c r="D1956" s="59" t="n"/>
      <c r="E1956" s="60">
        <f>IF(OR(C1956="",D1956=""),"",MOD(D1956-C1956,1)*24)</f>
        <v/>
      </c>
      <c r="F1956" s="50" t="n"/>
      <c r="G1956" s="51" t="n"/>
      <c r="H1956" s="51" t="n"/>
      <c r="I1956" s="51" t="n"/>
      <c r="J1956" s="51" t="n"/>
      <c r="K1956" s="51" t="n"/>
      <c r="L1956" s="54">
        <f>IF(OR(A1956="",C1956="",D1956=""),"",IF(COUNTIFS($A$5:$A$3004,A1956,$C$5:$C$3004,"&lt;"&amp;D1956,$D$5:$D$3004,"&gt;"&amp;C1956)&gt;1,"⚠️ пересечение",""))</f>
        <v/>
      </c>
      <c r="M1956" s="54">
        <f>IF(F1956="","",IF(J1956="✅ Сделано","✔ ",IF(J1956="❌ Пропущено","✖ ","⏰ "))&amp;IF(C1956="","",RIGHT("0"&amp;HOUR(C1956),2)&amp;":"&amp;RIGHT("0"&amp;MINUTE(C1956),2)&amp;IF(D1956="","","–"&amp;RIGHT("0"&amp;HOUR(D1956),2)&amp;":"&amp;RIGHT("0"&amp;MINUTE(D1956),2))&amp;" ")&amp;F1956)</f>
        <v/>
      </c>
      <c r="N1956" s="54">
        <f>IF(OR(A1956="",F1956=""),"",A1956&amp;"#"&amp;(COUNTIFS($A$5:$A$3004,A1956,$F$5:$F$3004,"?*",$O$5:$O$3004,"&lt;"&amp;O1956)+COUNTIFS($A$5:A1956,A1956,$F$5:F1956,"?*",$O$5:O1956,O1956)))</f>
        <v/>
      </c>
      <c r="O1956" s="54">
        <f>IF(A1956="","",IF(C1956="",0,C1956))</f>
        <v/>
      </c>
    </row>
    <row r="1957">
      <c r="A1957" s="58" t="n"/>
      <c r="B1957" s="49">
        <f>IF(A1957="","",CHOOSE(WEEKDAY(A1957,2),"Пн","Вт","Ср","Чт","Пт","Сб","Вс"))</f>
        <v/>
      </c>
      <c r="C1957" s="59" t="n"/>
      <c r="D1957" s="59" t="n"/>
      <c r="E1957" s="60">
        <f>IF(OR(C1957="",D1957=""),"",MOD(D1957-C1957,1)*24)</f>
        <v/>
      </c>
      <c r="F1957" s="50" t="n"/>
      <c r="G1957" s="51" t="n"/>
      <c r="H1957" s="51" t="n"/>
      <c r="I1957" s="51" t="n"/>
      <c r="J1957" s="51" t="n"/>
      <c r="K1957" s="51" t="n"/>
      <c r="L1957" s="54">
        <f>IF(OR(A1957="",C1957="",D1957=""),"",IF(COUNTIFS($A$5:$A$3004,A1957,$C$5:$C$3004,"&lt;"&amp;D1957,$D$5:$D$3004,"&gt;"&amp;C1957)&gt;1,"⚠️ пересечение",""))</f>
        <v/>
      </c>
      <c r="M1957" s="54">
        <f>IF(F1957="","",IF(J1957="✅ Сделано","✔ ",IF(J1957="❌ Пропущено","✖ ","⏰ "))&amp;IF(C1957="","",RIGHT("0"&amp;HOUR(C1957),2)&amp;":"&amp;RIGHT("0"&amp;MINUTE(C1957),2)&amp;IF(D1957="","","–"&amp;RIGHT("0"&amp;HOUR(D1957),2)&amp;":"&amp;RIGHT("0"&amp;MINUTE(D1957),2))&amp;" ")&amp;F1957)</f>
        <v/>
      </c>
      <c r="N1957" s="54">
        <f>IF(OR(A1957="",F1957=""),"",A1957&amp;"#"&amp;(COUNTIFS($A$5:$A$3004,A1957,$F$5:$F$3004,"?*",$O$5:$O$3004,"&lt;"&amp;O1957)+COUNTIFS($A$5:A1957,A1957,$F$5:F1957,"?*",$O$5:O1957,O1957)))</f>
        <v/>
      </c>
      <c r="O1957" s="54">
        <f>IF(A1957="","",IF(C1957="",0,C1957))</f>
        <v/>
      </c>
    </row>
    <row r="1958">
      <c r="A1958" s="58" t="n"/>
      <c r="B1958" s="49">
        <f>IF(A1958="","",CHOOSE(WEEKDAY(A1958,2),"Пн","Вт","Ср","Чт","Пт","Сб","Вс"))</f>
        <v/>
      </c>
      <c r="C1958" s="59" t="n"/>
      <c r="D1958" s="59" t="n"/>
      <c r="E1958" s="60">
        <f>IF(OR(C1958="",D1958=""),"",MOD(D1958-C1958,1)*24)</f>
        <v/>
      </c>
      <c r="F1958" s="50" t="n"/>
      <c r="G1958" s="51" t="n"/>
      <c r="H1958" s="51" t="n"/>
      <c r="I1958" s="51" t="n"/>
      <c r="J1958" s="51" t="n"/>
      <c r="K1958" s="51" t="n"/>
      <c r="L1958" s="54">
        <f>IF(OR(A1958="",C1958="",D1958=""),"",IF(COUNTIFS($A$5:$A$3004,A1958,$C$5:$C$3004,"&lt;"&amp;D1958,$D$5:$D$3004,"&gt;"&amp;C1958)&gt;1,"⚠️ пересечение",""))</f>
        <v/>
      </c>
      <c r="M1958" s="54">
        <f>IF(F1958="","",IF(J1958="✅ Сделано","✔ ",IF(J1958="❌ Пропущено","✖ ","⏰ "))&amp;IF(C1958="","",RIGHT("0"&amp;HOUR(C1958),2)&amp;":"&amp;RIGHT("0"&amp;MINUTE(C1958),2)&amp;IF(D1958="","","–"&amp;RIGHT("0"&amp;HOUR(D1958),2)&amp;":"&amp;RIGHT("0"&amp;MINUTE(D1958),2))&amp;" ")&amp;F1958)</f>
        <v/>
      </c>
      <c r="N1958" s="54">
        <f>IF(OR(A1958="",F1958=""),"",A1958&amp;"#"&amp;(COUNTIFS($A$5:$A$3004,A1958,$F$5:$F$3004,"?*",$O$5:$O$3004,"&lt;"&amp;O1958)+COUNTIFS($A$5:A1958,A1958,$F$5:F1958,"?*",$O$5:O1958,O1958)))</f>
        <v/>
      </c>
      <c r="O1958" s="54">
        <f>IF(A1958="","",IF(C1958="",0,C1958))</f>
        <v/>
      </c>
    </row>
    <row r="1959">
      <c r="A1959" s="58" t="n"/>
      <c r="B1959" s="49">
        <f>IF(A1959="","",CHOOSE(WEEKDAY(A1959,2),"Пн","Вт","Ср","Чт","Пт","Сб","Вс"))</f>
        <v/>
      </c>
      <c r="C1959" s="59" t="n"/>
      <c r="D1959" s="59" t="n"/>
      <c r="E1959" s="60">
        <f>IF(OR(C1959="",D1959=""),"",MOD(D1959-C1959,1)*24)</f>
        <v/>
      </c>
      <c r="F1959" s="50" t="n"/>
      <c r="G1959" s="51" t="n"/>
      <c r="H1959" s="51" t="n"/>
      <c r="I1959" s="51" t="n"/>
      <c r="J1959" s="51" t="n"/>
      <c r="K1959" s="51" t="n"/>
      <c r="L1959" s="54">
        <f>IF(OR(A1959="",C1959="",D1959=""),"",IF(COUNTIFS($A$5:$A$3004,A1959,$C$5:$C$3004,"&lt;"&amp;D1959,$D$5:$D$3004,"&gt;"&amp;C1959)&gt;1,"⚠️ пересечение",""))</f>
        <v/>
      </c>
      <c r="M1959" s="54">
        <f>IF(F1959="","",IF(J1959="✅ Сделано","✔ ",IF(J1959="❌ Пропущено","✖ ","⏰ "))&amp;IF(C1959="","",RIGHT("0"&amp;HOUR(C1959),2)&amp;":"&amp;RIGHT("0"&amp;MINUTE(C1959),2)&amp;IF(D1959="","","–"&amp;RIGHT("0"&amp;HOUR(D1959),2)&amp;":"&amp;RIGHT("0"&amp;MINUTE(D1959),2))&amp;" ")&amp;F1959)</f>
        <v/>
      </c>
      <c r="N1959" s="54">
        <f>IF(OR(A1959="",F1959=""),"",A1959&amp;"#"&amp;(COUNTIFS($A$5:$A$3004,A1959,$F$5:$F$3004,"?*",$O$5:$O$3004,"&lt;"&amp;O1959)+COUNTIFS($A$5:A1959,A1959,$F$5:F1959,"?*",$O$5:O1959,O1959)))</f>
        <v/>
      </c>
      <c r="O1959" s="54">
        <f>IF(A1959="","",IF(C1959="",0,C1959))</f>
        <v/>
      </c>
    </row>
    <row r="1960">
      <c r="A1960" s="58" t="n"/>
      <c r="B1960" s="49">
        <f>IF(A1960="","",CHOOSE(WEEKDAY(A1960,2),"Пн","Вт","Ср","Чт","Пт","Сб","Вс"))</f>
        <v/>
      </c>
      <c r="C1960" s="59" t="n"/>
      <c r="D1960" s="59" t="n"/>
      <c r="E1960" s="60">
        <f>IF(OR(C1960="",D1960=""),"",MOD(D1960-C1960,1)*24)</f>
        <v/>
      </c>
      <c r="F1960" s="50" t="n"/>
      <c r="G1960" s="51" t="n"/>
      <c r="H1960" s="51" t="n"/>
      <c r="I1960" s="51" t="n"/>
      <c r="J1960" s="51" t="n"/>
      <c r="K1960" s="51" t="n"/>
      <c r="L1960" s="54">
        <f>IF(OR(A1960="",C1960="",D1960=""),"",IF(COUNTIFS($A$5:$A$3004,A1960,$C$5:$C$3004,"&lt;"&amp;D1960,$D$5:$D$3004,"&gt;"&amp;C1960)&gt;1,"⚠️ пересечение",""))</f>
        <v/>
      </c>
      <c r="M1960" s="54">
        <f>IF(F1960="","",IF(J1960="✅ Сделано","✔ ",IF(J1960="❌ Пропущено","✖ ","⏰ "))&amp;IF(C1960="","",RIGHT("0"&amp;HOUR(C1960),2)&amp;":"&amp;RIGHT("0"&amp;MINUTE(C1960),2)&amp;IF(D1960="","","–"&amp;RIGHT("0"&amp;HOUR(D1960),2)&amp;":"&amp;RIGHT("0"&amp;MINUTE(D1960),2))&amp;" ")&amp;F1960)</f>
        <v/>
      </c>
      <c r="N1960" s="54">
        <f>IF(OR(A1960="",F1960=""),"",A1960&amp;"#"&amp;(COUNTIFS($A$5:$A$3004,A1960,$F$5:$F$3004,"?*",$O$5:$O$3004,"&lt;"&amp;O1960)+COUNTIFS($A$5:A1960,A1960,$F$5:F1960,"?*",$O$5:O1960,O1960)))</f>
        <v/>
      </c>
      <c r="O1960" s="54">
        <f>IF(A1960="","",IF(C1960="",0,C1960))</f>
        <v/>
      </c>
    </row>
    <row r="1961">
      <c r="A1961" s="58" t="n"/>
      <c r="B1961" s="49">
        <f>IF(A1961="","",CHOOSE(WEEKDAY(A1961,2),"Пн","Вт","Ср","Чт","Пт","Сб","Вс"))</f>
        <v/>
      </c>
      <c r="C1961" s="59" t="n"/>
      <c r="D1961" s="59" t="n"/>
      <c r="E1961" s="60">
        <f>IF(OR(C1961="",D1961=""),"",MOD(D1961-C1961,1)*24)</f>
        <v/>
      </c>
      <c r="F1961" s="50" t="n"/>
      <c r="G1961" s="51" t="n"/>
      <c r="H1961" s="51" t="n"/>
      <c r="I1961" s="51" t="n"/>
      <c r="J1961" s="51" t="n"/>
      <c r="K1961" s="51" t="n"/>
      <c r="L1961" s="54">
        <f>IF(OR(A1961="",C1961="",D1961=""),"",IF(COUNTIFS($A$5:$A$3004,A1961,$C$5:$C$3004,"&lt;"&amp;D1961,$D$5:$D$3004,"&gt;"&amp;C1961)&gt;1,"⚠️ пересечение",""))</f>
        <v/>
      </c>
      <c r="M1961" s="54">
        <f>IF(F1961="","",IF(J1961="✅ Сделано","✔ ",IF(J1961="❌ Пропущено","✖ ","⏰ "))&amp;IF(C1961="","",RIGHT("0"&amp;HOUR(C1961),2)&amp;":"&amp;RIGHT("0"&amp;MINUTE(C1961),2)&amp;IF(D1961="","","–"&amp;RIGHT("0"&amp;HOUR(D1961),2)&amp;":"&amp;RIGHT("0"&amp;MINUTE(D1961),2))&amp;" ")&amp;F1961)</f>
        <v/>
      </c>
      <c r="N1961" s="54">
        <f>IF(OR(A1961="",F1961=""),"",A1961&amp;"#"&amp;(COUNTIFS($A$5:$A$3004,A1961,$F$5:$F$3004,"?*",$O$5:$O$3004,"&lt;"&amp;O1961)+COUNTIFS($A$5:A1961,A1961,$F$5:F1961,"?*",$O$5:O1961,O1961)))</f>
        <v/>
      </c>
      <c r="O1961" s="54">
        <f>IF(A1961="","",IF(C1961="",0,C1961))</f>
        <v/>
      </c>
    </row>
    <row r="1962">
      <c r="A1962" s="58" t="n"/>
      <c r="B1962" s="49">
        <f>IF(A1962="","",CHOOSE(WEEKDAY(A1962,2),"Пн","Вт","Ср","Чт","Пт","Сб","Вс"))</f>
        <v/>
      </c>
      <c r="C1962" s="59" t="n"/>
      <c r="D1962" s="59" t="n"/>
      <c r="E1962" s="60">
        <f>IF(OR(C1962="",D1962=""),"",MOD(D1962-C1962,1)*24)</f>
        <v/>
      </c>
      <c r="F1962" s="50" t="n"/>
      <c r="G1962" s="51" t="n"/>
      <c r="H1962" s="51" t="n"/>
      <c r="I1962" s="51" t="n"/>
      <c r="J1962" s="51" t="n"/>
      <c r="K1962" s="51" t="n"/>
      <c r="L1962" s="54">
        <f>IF(OR(A1962="",C1962="",D1962=""),"",IF(COUNTIFS($A$5:$A$3004,A1962,$C$5:$C$3004,"&lt;"&amp;D1962,$D$5:$D$3004,"&gt;"&amp;C1962)&gt;1,"⚠️ пересечение",""))</f>
        <v/>
      </c>
      <c r="M1962" s="54">
        <f>IF(F1962="","",IF(J1962="✅ Сделано","✔ ",IF(J1962="❌ Пропущено","✖ ","⏰ "))&amp;IF(C1962="","",RIGHT("0"&amp;HOUR(C1962),2)&amp;":"&amp;RIGHT("0"&amp;MINUTE(C1962),2)&amp;IF(D1962="","","–"&amp;RIGHT("0"&amp;HOUR(D1962),2)&amp;":"&amp;RIGHT("0"&amp;MINUTE(D1962),2))&amp;" ")&amp;F1962)</f>
        <v/>
      </c>
      <c r="N1962" s="54">
        <f>IF(OR(A1962="",F1962=""),"",A1962&amp;"#"&amp;(COUNTIFS($A$5:$A$3004,A1962,$F$5:$F$3004,"?*",$O$5:$O$3004,"&lt;"&amp;O1962)+COUNTIFS($A$5:A1962,A1962,$F$5:F1962,"?*",$O$5:O1962,O1962)))</f>
        <v/>
      </c>
      <c r="O1962" s="54">
        <f>IF(A1962="","",IF(C1962="",0,C1962))</f>
        <v/>
      </c>
    </row>
    <row r="1963">
      <c r="A1963" s="58" t="n"/>
      <c r="B1963" s="49">
        <f>IF(A1963="","",CHOOSE(WEEKDAY(A1963,2),"Пн","Вт","Ср","Чт","Пт","Сб","Вс"))</f>
        <v/>
      </c>
      <c r="C1963" s="59" t="n"/>
      <c r="D1963" s="59" t="n"/>
      <c r="E1963" s="60">
        <f>IF(OR(C1963="",D1963=""),"",MOD(D1963-C1963,1)*24)</f>
        <v/>
      </c>
      <c r="F1963" s="50" t="n"/>
      <c r="G1963" s="51" t="n"/>
      <c r="H1963" s="51" t="n"/>
      <c r="I1963" s="51" t="n"/>
      <c r="J1963" s="51" t="n"/>
      <c r="K1963" s="51" t="n"/>
      <c r="L1963" s="54">
        <f>IF(OR(A1963="",C1963="",D1963=""),"",IF(COUNTIFS($A$5:$A$3004,A1963,$C$5:$C$3004,"&lt;"&amp;D1963,$D$5:$D$3004,"&gt;"&amp;C1963)&gt;1,"⚠️ пересечение",""))</f>
        <v/>
      </c>
      <c r="M1963" s="54">
        <f>IF(F1963="","",IF(J1963="✅ Сделано","✔ ",IF(J1963="❌ Пропущено","✖ ","⏰ "))&amp;IF(C1963="","",RIGHT("0"&amp;HOUR(C1963),2)&amp;":"&amp;RIGHT("0"&amp;MINUTE(C1963),2)&amp;IF(D1963="","","–"&amp;RIGHT("0"&amp;HOUR(D1963),2)&amp;":"&amp;RIGHT("0"&amp;MINUTE(D1963),2))&amp;" ")&amp;F1963)</f>
        <v/>
      </c>
      <c r="N1963" s="54">
        <f>IF(OR(A1963="",F1963=""),"",A1963&amp;"#"&amp;(COUNTIFS($A$5:$A$3004,A1963,$F$5:$F$3004,"?*",$O$5:$O$3004,"&lt;"&amp;O1963)+COUNTIFS($A$5:A1963,A1963,$F$5:F1963,"?*",$O$5:O1963,O1963)))</f>
        <v/>
      </c>
      <c r="O1963" s="54">
        <f>IF(A1963="","",IF(C1963="",0,C1963))</f>
        <v/>
      </c>
    </row>
    <row r="1964">
      <c r="A1964" s="58" t="n"/>
      <c r="B1964" s="49">
        <f>IF(A1964="","",CHOOSE(WEEKDAY(A1964,2),"Пн","Вт","Ср","Чт","Пт","Сб","Вс"))</f>
        <v/>
      </c>
      <c r="C1964" s="59" t="n"/>
      <c r="D1964" s="59" t="n"/>
      <c r="E1964" s="60">
        <f>IF(OR(C1964="",D1964=""),"",MOD(D1964-C1964,1)*24)</f>
        <v/>
      </c>
      <c r="F1964" s="50" t="n"/>
      <c r="G1964" s="51" t="n"/>
      <c r="H1964" s="51" t="n"/>
      <c r="I1964" s="51" t="n"/>
      <c r="J1964" s="51" t="n"/>
      <c r="K1964" s="51" t="n"/>
      <c r="L1964" s="54">
        <f>IF(OR(A1964="",C1964="",D1964=""),"",IF(COUNTIFS($A$5:$A$3004,A1964,$C$5:$C$3004,"&lt;"&amp;D1964,$D$5:$D$3004,"&gt;"&amp;C1964)&gt;1,"⚠️ пересечение",""))</f>
        <v/>
      </c>
      <c r="M1964" s="54">
        <f>IF(F1964="","",IF(J1964="✅ Сделано","✔ ",IF(J1964="❌ Пропущено","✖ ","⏰ "))&amp;IF(C1964="","",RIGHT("0"&amp;HOUR(C1964),2)&amp;":"&amp;RIGHT("0"&amp;MINUTE(C1964),2)&amp;IF(D1964="","","–"&amp;RIGHT("0"&amp;HOUR(D1964),2)&amp;":"&amp;RIGHT("0"&amp;MINUTE(D1964),2))&amp;" ")&amp;F1964)</f>
        <v/>
      </c>
      <c r="N1964" s="54">
        <f>IF(OR(A1964="",F1964=""),"",A1964&amp;"#"&amp;(COUNTIFS($A$5:$A$3004,A1964,$F$5:$F$3004,"?*",$O$5:$O$3004,"&lt;"&amp;O1964)+COUNTIFS($A$5:A1964,A1964,$F$5:F1964,"?*",$O$5:O1964,O1964)))</f>
        <v/>
      </c>
      <c r="O1964" s="54">
        <f>IF(A1964="","",IF(C1964="",0,C1964))</f>
        <v/>
      </c>
    </row>
    <row r="1965">
      <c r="A1965" s="58" t="n"/>
      <c r="B1965" s="49">
        <f>IF(A1965="","",CHOOSE(WEEKDAY(A1965,2),"Пн","Вт","Ср","Чт","Пт","Сб","Вс"))</f>
        <v/>
      </c>
      <c r="C1965" s="59" t="n"/>
      <c r="D1965" s="59" t="n"/>
      <c r="E1965" s="60">
        <f>IF(OR(C1965="",D1965=""),"",MOD(D1965-C1965,1)*24)</f>
        <v/>
      </c>
      <c r="F1965" s="50" t="n"/>
      <c r="G1965" s="51" t="n"/>
      <c r="H1965" s="51" t="n"/>
      <c r="I1965" s="51" t="n"/>
      <c r="J1965" s="51" t="n"/>
      <c r="K1965" s="51" t="n"/>
      <c r="L1965" s="54">
        <f>IF(OR(A1965="",C1965="",D1965=""),"",IF(COUNTIFS($A$5:$A$3004,A1965,$C$5:$C$3004,"&lt;"&amp;D1965,$D$5:$D$3004,"&gt;"&amp;C1965)&gt;1,"⚠️ пересечение",""))</f>
        <v/>
      </c>
      <c r="M1965" s="54">
        <f>IF(F1965="","",IF(J1965="✅ Сделано","✔ ",IF(J1965="❌ Пропущено","✖ ","⏰ "))&amp;IF(C1965="","",RIGHT("0"&amp;HOUR(C1965),2)&amp;":"&amp;RIGHT("0"&amp;MINUTE(C1965),2)&amp;IF(D1965="","","–"&amp;RIGHT("0"&amp;HOUR(D1965),2)&amp;":"&amp;RIGHT("0"&amp;MINUTE(D1965),2))&amp;" ")&amp;F1965)</f>
        <v/>
      </c>
      <c r="N1965" s="54">
        <f>IF(OR(A1965="",F1965=""),"",A1965&amp;"#"&amp;(COUNTIFS($A$5:$A$3004,A1965,$F$5:$F$3004,"?*",$O$5:$O$3004,"&lt;"&amp;O1965)+COUNTIFS($A$5:A1965,A1965,$F$5:F1965,"?*",$O$5:O1965,O1965)))</f>
        <v/>
      </c>
      <c r="O1965" s="54">
        <f>IF(A1965="","",IF(C1965="",0,C1965))</f>
        <v/>
      </c>
    </row>
    <row r="1966">
      <c r="A1966" s="58" t="n"/>
      <c r="B1966" s="49">
        <f>IF(A1966="","",CHOOSE(WEEKDAY(A1966,2),"Пн","Вт","Ср","Чт","Пт","Сб","Вс"))</f>
        <v/>
      </c>
      <c r="C1966" s="59" t="n"/>
      <c r="D1966" s="59" t="n"/>
      <c r="E1966" s="60">
        <f>IF(OR(C1966="",D1966=""),"",MOD(D1966-C1966,1)*24)</f>
        <v/>
      </c>
      <c r="F1966" s="50" t="n"/>
      <c r="G1966" s="51" t="n"/>
      <c r="H1966" s="51" t="n"/>
      <c r="I1966" s="51" t="n"/>
      <c r="J1966" s="51" t="n"/>
      <c r="K1966" s="51" t="n"/>
      <c r="L1966" s="54">
        <f>IF(OR(A1966="",C1966="",D1966=""),"",IF(COUNTIFS($A$5:$A$3004,A1966,$C$5:$C$3004,"&lt;"&amp;D1966,$D$5:$D$3004,"&gt;"&amp;C1966)&gt;1,"⚠️ пересечение",""))</f>
        <v/>
      </c>
      <c r="M1966" s="54">
        <f>IF(F1966="","",IF(J1966="✅ Сделано","✔ ",IF(J1966="❌ Пропущено","✖ ","⏰ "))&amp;IF(C1966="","",RIGHT("0"&amp;HOUR(C1966),2)&amp;":"&amp;RIGHT("0"&amp;MINUTE(C1966),2)&amp;IF(D1966="","","–"&amp;RIGHT("0"&amp;HOUR(D1966),2)&amp;":"&amp;RIGHT("0"&amp;MINUTE(D1966),2))&amp;" ")&amp;F1966)</f>
        <v/>
      </c>
      <c r="N1966" s="54">
        <f>IF(OR(A1966="",F1966=""),"",A1966&amp;"#"&amp;(COUNTIFS($A$5:$A$3004,A1966,$F$5:$F$3004,"?*",$O$5:$O$3004,"&lt;"&amp;O1966)+COUNTIFS($A$5:A1966,A1966,$F$5:F1966,"?*",$O$5:O1966,O1966)))</f>
        <v/>
      </c>
      <c r="O1966" s="54">
        <f>IF(A1966="","",IF(C1966="",0,C1966))</f>
        <v/>
      </c>
    </row>
    <row r="1967">
      <c r="A1967" s="58" t="n"/>
      <c r="B1967" s="49">
        <f>IF(A1967="","",CHOOSE(WEEKDAY(A1967,2),"Пн","Вт","Ср","Чт","Пт","Сб","Вс"))</f>
        <v/>
      </c>
      <c r="C1967" s="59" t="n"/>
      <c r="D1967" s="59" t="n"/>
      <c r="E1967" s="60">
        <f>IF(OR(C1967="",D1967=""),"",MOD(D1967-C1967,1)*24)</f>
        <v/>
      </c>
      <c r="F1967" s="50" t="n"/>
      <c r="G1967" s="51" t="n"/>
      <c r="H1967" s="51" t="n"/>
      <c r="I1967" s="51" t="n"/>
      <c r="J1967" s="51" t="n"/>
      <c r="K1967" s="51" t="n"/>
      <c r="L1967" s="54">
        <f>IF(OR(A1967="",C1967="",D1967=""),"",IF(COUNTIFS($A$5:$A$3004,A1967,$C$5:$C$3004,"&lt;"&amp;D1967,$D$5:$D$3004,"&gt;"&amp;C1967)&gt;1,"⚠️ пересечение",""))</f>
        <v/>
      </c>
      <c r="M1967" s="54">
        <f>IF(F1967="","",IF(J1967="✅ Сделано","✔ ",IF(J1967="❌ Пропущено","✖ ","⏰ "))&amp;IF(C1967="","",RIGHT("0"&amp;HOUR(C1967),2)&amp;":"&amp;RIGHT("0"&amp;MINUTE(C1967),2)&amp;IF(D1967="","","–"&amp;RIGHT("0"&amp;HOUR(D1967),2)&amp;":"&amp;RIGHT("0"&amp;MINUTE(D1967),2))&amp;" ")&amp;F1967)</f>
        <v/>
      </c>
      <c r="N1967" s="54">
        <f>IF(OR(A1967="",F1967=""),"",A1967&amp;"#"&amp;(COUNTIFS($A$5:$A$3004,A1967,$F$5:$F$3004,"?*",$O$5:$O$3004,"&lt;"&amp;O1967)+COUNTIFS($A$5:A1967,A1967,$F$5:F1967,"?*",$O$5:O1967,O1967)))</f>
        <v/>
      </c>
      <c r="O1967" s="54">
        <f>IF(A1967="","",IF(C1967="",0,C1967))</f>
        <v/>
      </c>
    </row>
    <row r="1968">
      <c r="A1968" s="58" t="n"/>
      <c r="B1968" s="49">
        <f>IF(A1968="","",CHOOSE(WEEKDAY(A1968,2),"Пн","Вт","Ср","Чт","Пт","Сб","Вс"))</f>
        <v/>
      </c>
      <c r="C1968" s="59" t="n"/>
      <c r="D1968" s="59" t="n"/>
      <c r="E1968" s="60">
        <f>IF(OR(C1968="",D1968=""),"",MOD(D1968-C1968,1)*24)</f>
        <v/>
      </c>
      <c r="F1968" s="50" t="n"/>
      <c r="G1968" s="51" t="n"/>
      <c r="H1968" s="51" t="n"/>
      <c r="I1968" s="51" t="n"/>
      <c r="J1968" s="51" t="n"/>
      <c r="K1968" s="51" t="n"/>
      <c r="L1968" s="54">
        <f>IF(OR(A1968="",C1968="",D1968=""),"",IF(COUNTIFS($A$5:$A$3004,A1968,$C$5:$C$3004,"&lt;"&amp;D1968,$D$5:$D$3004,"&gt;"&amp;C1968)&gt;1,"⚠️ пересечение",""))</f>
        <v/>
      </c>
      <c r="M1968" s="54">
        <f>IF(F1968="","",IF(J1968="✅ Сделано","✔ ",IF(J1968="❌ Пропущено","✖ ","⏰ "))&amp;IF(C1968="","",RIGHT("0"&amp;HOUR(C1968),2)&amp;":"&amp;RIGHT("0"&amp;MINUTE(C1968),2)&amp;IF(D1968="","","–"&amp;RIGHT("0"&amp;HOUR(D1968),2)&amp;":"&amp;RIGHT("0"&amp;MINUTE(D1968),2))&amp;" ")&amp;F1968)</f>
        <v/>
      </c>
      <c r="N1968" s="54">
        <f>IF(OR(A1968="",F1968=""),"",A1968&amp;"#"&amp;(COUNTIFS($A$5:$A$3004,A1968,$F$5:$F$3004,"?*",$O$5:$O$3004,"&lt;"&amp;O1968)+COUNTIFS($A$5:A1968,A1968,$F$5:F1968,"?*",$O$5:O1968,O1968)))</f>
        <v/>
      </c>
      <c r="O1968" s="54">
        <f>IF(A1968="","",IF(C1968="",0,C1968))</f>
        <v/>
      </c>
    </row>
    <row r="1969">
      <c r="A1969" s="58" t="n"/>
      <c r="B1969" s="49">
        <f>IF(A1969="","",CHOOSE(WEEKDAY(A1969,2),"Пн","Вт","Ср","Чт","Пт","Сб","Вс"))</f>
        <v/>
      </c>
      <c r="C1969" s="59" t="n"/>
      <c r="D1969" s="59" t="n"/>
      <c r="E1969" s="60">
        <f>IF(OR(C1969="",D1969=""),"",MOD(D1969-C1969,1)*24)</f>
        <v/>
      </c>
      <c r="F1969" s="50" t="n"/>
      <c r="G1969" s="51" t="n"/>
      <c r="H1969" s="51" t="n"/>
      <c r="I1969" s="51" t="n"/>
      <c r="J1969" s="51" t="n"/>
      <c r="K1969" s="51" t="n"/>
      <c r="L1969" s="54">
        <f>IF(OR(A1969="",C1969="",D1969=""),"",IF(COUNTIFS($A$5:$A$3004,A1969,$C$5:$C$3004,"&lt;"&amp;D1969,$D$5:$D$3004,"&gt;"&amp;C1969)&gt;1,"⚠️ пересечение",""))</f>
        <v/>
      </c>
      <c r="M1969" s="54">
        <f>IF(F1969="","",IF(J1969="✅ Сделано","✔ ",IF(J1969="❌ Пропущено","✖ ","⏰ "))&amp;IF(C1969="","",RIGHT("0"&amp;HOUR(C1969),2)&amp;":"&amp;RIGHT("0"&amp;MINUTE(C1969),2)&amp;IF(D1969="","","–"&amp;RIGHT("0"&amp;HOUR(D1969),2)&amp;":"&amp;RIGHT("0"&amp;MINUTE(D1969),2))&amp;" ")&amp;F1969)</f>
        <v/>
      </c>
      <c r="N1969" s="54">
        <f>IF(OR(A1969="",F1969=""),"",A1969&amp;"#"&amp;(COUNTIFS($A$5:$A$3004,A1969,$F$5:$F$3004,"?*",$O$5:$O$3004,"&lt;"&amp;O1969)+COUNTIFS($A$5:A1969,A1969,$F$5:F1969,"?*",$O$5:O1969,O1969)))</f>
        <v/>
      </c>
      <c r="O1969" s="54">
        <f>IF(A1969="","",IF(C1969="",0,C1969))</f>
        <v/>
      </c>
    </row>
    <row r="1970">
      <c r="A1970" s="58" t="n"/>
      <c r="B1970" s="49">
        <f>IF(A1970="","",CHOOSE(WEEKDAY(A1970,2),"Пн","Вт","Ср","Чт","Пт","Сб","Вс"))</f>
        <v/>
      </c>
      <c r="C1970" s="59" t="n"/>
      <c r="D1970" s="59" t="n"/>
      <c r="E1970" s="60">
        <f>IF(OR(C1970="",D1970=""),"",MOD(D1970-C1970,1)*24)</f>
        <v/>
      </c>
      <c r="F1970" s="50" t="n"/>
      <c r="G1970" s="51" t="n"/>
      <c r="H1970" s="51" t="n"/>
      <c r="I1970" s="51" t="n"/>
      <c r="J1970" s="51" t="n"/>
      <c r="K1970" s="51" t="n"/>
      <c r="L1970" s="54">
        <f>IF(OR(A1970="",C1970="",D1970=""),"",IF(COUNTIFS($A$5:$A$3004,A1970,$C$5:$C$3004,"&lt;"&amp;D1970,$D$5:$D$3004,"&gt;"&amp;C1970)&gt;1,"⚠️ пересечение",""))</f>
        <v/>
      </c>
      <c r="M1970" s="54">
        <f>IF(F1970="","",IF(J1970="✅ Сделано","✔ ",IF(J1970="❌ Пропущено","✖ ","⏰ "))&amp;IF(C1970="","",RIGHT("0"&amp;HOUR(C1970),2)&amp;":"&amp;RIGHT("0"&amp;MINUTE(C1970),2)&amp;IF(D1970="","","–"&amp;RIGHT("0"&amp;HOUR(D1970),2)&amp;":"&amp;RIGHT("0"&amp;MINUTE(D1970),2))&amp;" ")&amp;F1970)</f>
        <v/>
      </c>
      <c r="N1970" s="54">
        <f>IF(OR(A1970="",F1970=""),"",A1970&amp;"#"&amp;(COUNTIFS($A$5:$A$3004,A1970,$F$5:$F$3004,"?*",$O$5:$O$3004,"&lt;"&amp;O1970)+COUNTIFS($A$5:A1970,A1970,$F$5:F1970,"?*",$O$5:O1970,O1970)))</f>
        <v/>
      </c>
      <c r="O1970" s="54">
        <f>IF(A1970="","",IF(C1970="",0,C1970))</f>
        <v/>
      </c>
    </row>
    <row r="1971">
      <c r="A1971" s="58" t="n"/>
      <c r="B1971" s="49">
        <f>IF(A1971="","",CHOOSE(WEEKDAY(A1971,2),"Пн","Вт","Ср","Чт","Пт","Сб","Вс"))</f>
        <v/>
      </c>
      <c r="C1971" s="59" t="n"/>
      <c r="D1971" s="59" t="n"/>
      <c r="E1971" s="60">
        <f>IF(OR(C1971="",D1971=""),"",MOD(D1971-C1971,1)*24)</f>
        <v/>
      </c>
      <c r="F1971" s="50" t="n"/>
      <c r="G1971" s="51" t="n"/>
      <c r="H1971" s="51" t="n"/>
      <c r="I1971" s="51" t="n"/>
      <c r="J1971" s="51" t="n"/>
      <c r="K1971" s="51" t="n"/>
      <c r="L1971" s="54">
        <f>IF(OR(A1971="",C1971="",D1971=""),"",IF(COUNTIFS($A$5:$A$3004,A1971,$C$5:$C$3004,"&lt;"&amp;D1971,$D$5:$D$3004,"&gt;"&amp;C1971)&gt;1,"⚠️ пересечение",""))</f>
        <v/>
      </c>
      <c r="M1971" s="54">
        <f>IF(F1971="","",IF(J1971="✅ Сделано","✔ ",IF(J1971="❌ Пропущено","✖ ","⏰ "))&amp;IF(C1971="","",RIGHT("0"&amp;HOUR(C1971),2)&amp;":"&amp;RIGHT("0"&amp;MINUTE(C1971),2)&amp;IF(D1971="","","–"&amp;RIGHT("0"&amp;HOUR(D1971),2)&amp;":"&amp;RIGHT("0"&amp;MINUTE(D1971),2))&amp;" ")&amp;F1971)</f>
        <v/>
      </c>
      <c r="N1971" s="54">
        <f>IF(OR(A1971="",F1971=""),"",A1971&amp;"#"&amp;(COUNTIFS($A$5:$A$3004,A1971,$F$5:$F$3004,"?*",$O$5:$O$3004,"&lt;"&amp;O1971)+COUNTIFS($A$5:A1971,A1971,$F$5:F1971,"?*",$O$5:O1971,O1971)))</f>
        <v/>
      </c>
      <c r="O1971" s="54">
        <f>IF(A1971="","",IF(C1971="",0,C1971))</f>
        <v/>
      </c>
    </row>
    <row r="1972">
      <c r="A1972" s="58" t="n"/>
      <c r="B1972" s="49">
        <f>IF(A1972="","",CHOOSE(WEEKDAY(A1972,2),"Пн","Вт","Ср","Чт","Пт","Сб","Вс"))</f>
        <v/>
      </c>
      <c r="C1972" s="59" t="n"/>
      <c r="D1972" s="59" t="n"/>
      <c r="E1972" s="60">
        <f>IF(OR(C1972="",D1972=""),"",MOD(D1972-C1972,1)*24)</f>
        <v/>
      </c>
      <c r="F1972" s="50" t="n"/>
      <c r="G1972" s="51" t="n"/>
      <c r="H1972" s="51" t="n"/>
      <c r="I1972" s="51" t="n"/>
      <c r="J1972" s="51" t="n"/>
      <c r="K1972" s="51" t="n"/>
      <c r="L1972" s="54">
        <f>IF(OR(A1972="",C1972="",D1972=""),"",IF(COUNTIFS($A$5:$A$3004,A1972,$C$5:$C$3004,"&lt;"&amp;D1972,$D$5:$D$3004,"&gt;"&amp;C1972)&gt;1,"⚠️ пересечение",""))</f>
        <v/>
      </c>
      <c r="M1972" s="54">
        <f>IF(F1972="","",IF(J1972="✅ Сделано","✔ ",IF(J1972="❌ Пропущено","✖ ","⏰ "))&amp;IF(C1972="","",RIGHT("0"&amp;HOUR(C1972),2)&amp;":"&amp;RIGHT("0"&amp;MINUTE(C1972),2)&amp;IF(D1972="","","–"&amp;RIGHT("0"&amp;HOUR(D1972),2)&amp;":"&amp;RIGHT("0"&amp;MINUTE(D1972),2))&amp;" ")&amp;F1972)</f>
        <v/>
      </c>
      <c r="N1972" s="54">
        <f>IF(OR(A1972="",F1972=""),"",A1972&amp;"#"&amp;(COUNTIFS($A$5:$A$3004,A1972,$F$5:$F$3004,"?*",$O$5:$O$3004,"&lt;"&amp;O1972)+COUNTIFS($A$5:A1972,A1972,$F$5:F1972,"?*",$O$5:O1972,O1972)))</f>
        <v/>
      </c>
      <c r="O1972" s="54">
        <f>IF(A1972="","",IF(C1972="",0,C1972))</f>
        <v/>
      </c>
    </row>
    <row r="1973">
      <c r="A1973" s="58" t="n"/>
      <c r="B1973" s="49">
        <f>IF(A1973="","",CHOOSE(WEEKDAY(A1973,2),"Пн","Вт","Ср","Чт","Пт","Сб","Вс"))</f>
        <v/>
      </c>
      <c r="C1973" s="59" t="n"/>
      <c r="D1973" s="59" t="n"/>
      <c r="E1973" s="60">
        <f>IF(OR(C1973="",D1973=""),"",MOD(D1973-C1973,1)*24)</f>
        <v/>
      </c>
      <c r="F1973" s="50" t="n"/>
      <c r="G1973" s="51" t="n"/>
      <c r="H1973" s="51" t="n"/>
      <c r="I1973" s="51" t="n"/>
      <c r="J1973" s="51" t="n"/>
      <c r="K1973" s="51" t="n"/>
      <c r="L1973" s="54">
        <f>IF(OR(A1973="",C1973="",D1973=""),"",IF(COUNTIFS($A$5:$A$3004,A1973,$C$5:$C$3004,"&lt;"&amp;D1973,$D$5:$D$3004,"&gt;"&amp;C1973)&gt;1,"⚠️ пересечение",""))</f>
        <v/>
      </c>
      <c r="M1973" s="54">
        <f>IF(F1973="","",IF(J1973="✅ Сделано","✔ ",IF(J1973="❌ Пропущено","✖ ","⏰ "))&amp;IF(C1973="","",RIGHT("0"&amp;HOUR(C1973),2)&amp;":"&amp;RIGHT("0"&amp;MINUTE(C1973),2)&amp;IF(D1973="","","–"&amp;RIGHT("0"&amp;HOUR(D1973),2)&amp;":"&amp;RIGHT("0"&amp;MINUTE(D1973),2))&amp;" ")&amp;F1973)</f>
        <v/>
      </c>
      <c r="N1973" s="54">
        <f>IF(OR(A1973="",F1973=""),"",A1973&amp;"#"&amp;(COUNTIFS($A$5:$A$3004,A1973,$F$5:$F$3004,"?*",$O$5:$O$3004,"&lt;"&amp;O1973)+COUNTIFS($A$5:A1973,A1973,$F$5:F1973,"?*",$O$5:O1973,O1973)))</f>
        <v/>
      </c>
      <c r="O1973" s="54">
        <f>IF(A1973="","",IF(C1973="",0,C1973))</f>
        <v/>
      </c>
    </row>
    <row r="1974">
      <c r="A1974" s="58" t="n"/>
      <c r="B1974" s="49">
        <f>IF(A1974="","",CHOOSE(WEEKDAY(A1974,2),"Пн","Вт","Ср","Чт","Пт","Сб","Вс"))</f>
        <v/>
      </c>
      <c r="C1974" s="59" t="n"/>
      <c r="D1974" s="59" t="n"/>
      <c r="E1974" s="60">
        <f>IF(OR(C1974="",D1974=""),"",MOD(D1974-C1974,1)*24)</f>
        <v/>
      </c>
      <c r="F1974" s="50" t="n"/>
      <c r="G1974" s="51" t="n"/>
      <c r="H1974" s="51" t="n"/>
      <c r="I1974" s="51" t="n"/>
      <c r="J1974" s="51" t="n"/>
      <c r="K1974" s="51" t="n"/>
      <c r="L1974" s="54">
        <f>IF(OR(A1974="",C1974="",D1974=""),"",IF(COUNTIFS($A$5:$A$3004,A1974,$C$5:$C$3004,"&lt;"&amp;D1974,$D$5:$D$3004,"&gt;"&amp;C1974)&gt;1,"⚠️ пересечение",""))</f>
        <v/>
      </c>
      <c r="M1974" s="54">
        <f>IF(F1974="","",IF(J1974="✅ Сделано","✔ ",IF(J1974="❌ Пропущено","✖ ","⏰ "))&amp;IF(C1974="","",RIGHT("0"&amp;HOUR(C1974),2)&amp;":"&amp;RIGHT("0"&amp;MINUTE(C1974),2)&amp;IF(D1974="","","–"&amp;RIGHT("0"&amp;HOUR(D1974),2)&amp;":"&amp;RIGHT("0"&amp;MINUTE(D1974),2))&amp;" ")&amp;F1974)</f>
        <v/>
      </c>
      <c r="N1974" s="54">
        <f>IF(OR(A1974="",F1974=""),"",A1974&amp;"#"&amp;(COUNTIFS($A$5:$A$3004,A1974,$F$5:$F$3004,"?*",$O$5:$O$3004,"&lt;"&amp;O1974)+COUNTIFS($A$5:A1974,A1974,$F$5:F1974,"?*",$O$5:O1974,O1974)))</f>
        <v/>
      </c>
      <c r="O1974" s="54">
        <f>IF(A1974="","",IF(C1974="",0,C1974))</f>
        <v/>
      </c>
    </row>
    <row r="1975">
      <c r="A1975" s="58" t="n"/>
      <c r="B1975" s="49">
        <f>IF(A1975="","",CHOOSE(WEEKDAY(A1975,2),"Пн","Вт","Ср","Чт","Пт","Сб","Вс"))</f>
        <v/>
      </c>
      <c r="C1975" s="59" t="n"/>
      <c r="D1975" s="59" t="n"/>
      <c r="E1975" s="60">
        <f>IF(OR(C1975="",D1975=""),"",MOD(D1975-C1975,1)*24)</f>
        <v/>
      </c>
      <c r="F1975" s="50" t="n"/>
      <c r="G1975" s="51" t="n"/>
      <c r="H1975" s="51" t="n"/>
      <c r="I1975" s="51" t="n"/>
      <c r="J1975" s="51" t="n"/>
      <c r="K1975" s="51" t="n"/>
      <c r="L1975" s="54">
        <f>IF(OR(A1975="",C1975="",D1975=""),"",IF(COUNTIFS($A$5:$A$3004,A1975,$C$5:$C$3004,"&lt;"&amp;D1975,$D$5:$D$3004,"&gt;"&amp;C1975)&gt;1,"⚠️ пересечение",""))</f>
        <v/>
      </c>
      <c r="M1975" s="54">
        <f>IF(F1975="","",IF(J1975="✅ Сделано","✔ ",IF(J1975="❌ Пропущено","✖ ","⏰ "))&amp;IF(C1975="","",RIGHT("0"&amp;HOUR(C1975),2)&amp;":"&amp;RIGHT("0"&amp;MINUTE(C1975),2)&amp;IF(D1975="","","–"&amp;RIGHT("0"&amp;HOUR(D1975),2)&amp;":"&amp;RIGHT("0"&amp;MINUTE(D1975),2))&amp;" ")&amp;F1975)</f>
        <v/>
      </c>
      <c r="N1975" s="54">
        <f>IF(OR(A1975="",F1975=""),"",A1975&amp;"#"&amp;(COUNTIFS($A$5:$A$3004,A1975,$F$5:$F$3004,"?*",$O$5:$O$3004,"&lt;"&amp;O1975)+COUNTIFS($A$5:A1975,A1975,$F$5:F1975,"?*",$O$5:O1975,O1975)))</f>
        <v/>
      </c>
      <c r="O1975" s="54">
        <f>IF(A1975="","",IF(C1975="",0,C1975))</f>
        <v/>
      </c>
    </row>
    <row r="1976">
      <c r="A1976" s="58" t="n"/>
      <c r="B1976" s="49">
        <f>IF(A1976="","",CHOOSE(WEEKDAY(A1976,2),"Пн","Вт","Ср","Чт","Пт","Сб","Вс"))</f>
        <v/>
      </c>
      <c r="C1976" s="59" t="n"/>
      <c r="D1976" s="59" t="n"/>
      <c r="E1976" s="60">
        <f>IF(OR(C1976="",D1976=""),"",MOD(D1976-C1976,1)*24)</f>
        <v/>
      </c>
      <c r="F1976" s="50" t="n"/>
      <c r="G1976" s="51" t="n"/>
      <c r="H1976" s="51" t="n"/>
      <c r="I1976" s="51" t="n"/>
      <c r="J1976" s="51" t="n"/>
      <c r="K1976" s="51" t="n"/>
      <c r="L1976" s="54">
        <f>IF(OR(A1976="",C1976="",D1976=""),"",IF(COUNTIFS($A$5:$A$3004,A1976,$C$5:$C$3004,"&lt;"&amp;D1976,$D$5:$D$3004,"&gt;"&amp;C1976)&gt;1,"⚠️ пересечение",""))</f>
        <v/>
      </c>
      <c r="M1976" s="54">
        <f>IF(F1976="","",IF(J1976="✅ Сделано","✔ ",IF(J1976="❌ Пропущено","✖ ","⏰ "))&amp;IF(C1976="","",RIGHT("0"&amp;HOUR(C1976),2)&amp;":"&amp;RIGHT("0"&amp;MINUTE(C1976),2)&amp;IF(D1976="","","–"&amp;RIGHT("0"&amp;HOUR(D1976),2)&amp;":"&amp;RIGHT("0"&amp;MINUTE(D1976),2))&amp;" ")&amp;F1976)</f>
        <v/>
      </c>
      <c r="N1976" s="54">
        <f>IF(OR(A1976="",F1976=""),"",A1976&amp;"#"&amp;(COUNTIFS($A$5:$A$3004,A1976,$F$5:$F$3004,"?*",$O$5:$O$3004,"&lt;"&amp;O1976)+COUNTIFS($A$5:A1976,A1976,$F$5:F1976,"?*",$O$5:O1976,O1976)))</f>
        <v/>
      </c>
      <c r="O1976" s="54">
        <f>IF(A1976="","",IF(C1976="",0,C1976))</f>
        <v/>
      </c>
    </row>
    <row r="1977">
      <c r="A1977" s="58" t="n"/>
      <c r="B1977" s="49">
        <f>IF(A1977="","",CHOOSE(WEEKDAY(A1977,2),"Пн","Вт","Ср","Чт","Пт","Сб","Вс"))</f>
        <v/>
      </c>
      <c r="C1977" s="59" t="n"/>
      <c r="D1977" s="59" t="n"/>
      <c r="E1977" s="60">
        <f>IF(OR(C1977="",D1977=""),"",MOD(D1977-C1977,1)*24)</f>
        <v/>
      </c>
      <c r="F1977" s="50" t="n"/>
      <c r="G1977" s="51" t="n"/>
      <c r="H1977" s="51" t="n"/>
      <c r="I1977" s="51" t="n"/>
      <c r="J1977" s="51" t="n"/>
      <c r="K1977" s="51" t="n"/>
      <c r="L1977" s="54">
        <f>IF(OR(A1977="",C1977="",D1977=""),"",IF(COUNTIFS($A$5:$A$3004,A1977,$C$5:$C$3004,"&lt;"&amp;D1977,$D$5:$D$3004,"&gt;"&amp;C1977)&gt;1,"⚠️ пересечение",""))</f>
        <v/>
      </c>
      <c r="M1977" s="54">
        <f>IF(F1977="","",IF(J1977="✅ Сделано","✔ ",IF(J1977="❌ Пропущено","✖ ","⏰ "))&amp;IF(C1977="","",RIGHT("0"&amp;HOUR(C1977),2)&amp;":"&amp;RIGHT("0"&amp;MINUTE(C1977),2)&amp;IF(D1977="","","–"&amp;RIGHT("0"&amp;HOUR(D1977),2)&amp;":"&amp;RIGHT("0"&amp;MINUTE(D1977),2))&amp;" ")&amp;F1977)</f>
        <v/>
      </c>
      <c r="N1977" s="54">
        <f>IF(OR(A1977="",F1977=""),"",A1977&amp;"#"&amp;(COUNTIFS($A$5:$A$3004,A1977,$F$5:$F$3004,"?*",$O$5:$O$3004,"&lt;"&amp;O1977)+COUNTIFS($A$5:A1977,A1977,$F$5:F1977,"?*",$O$5:O1977,O1977)))</f>
        <v/>
      </c>
      <c r="O1977" s="54">
        <f>IF(A1977="","",IF(C1977="",0,C1977))</f>
        <v/>
      </c>
    </row>
    <row r="1978">
      <c r="A1978" s="58" t="n"/>
      <c r="B1978" s="49">
        <f>IF(A1978="","",CHOOSE(WEEKDAY(A1978,2),"Пн","Вт","Ср","Чт","Пт","Сб","Вс"))</f>
        <v/>
      </c>
      <c r="C1978" s="59" t="n"/>
      <c r="D1978" s="59" t="n"/>
      <c r="E1978" s="60">
        <f>IF(OR(C1978="",D1978=""),"",MOD(D1978-C1978,1)*24)</f>
        <v/>
      </c>
      <c r="F1978" s="50" t="n"/>
      <c r="G1978" s="51" t="n"/>
      <c r="H1978" s="51" t="n"/>
      <c r="I1978" s="51" t="n"/>
      <c r="J1978" s="51" t="n"/>
      <c r="K1978" s="51" t="n"/>
      <c r="L1978" s="54">
        <f>IF(OR(A1978="",C1978="",D1978=""),"",IF(COUNTIFS($A$5:$A$3004,A1978,$C$5:$C$3004,"&lt;"&amp;D1978,$D$5:$D$3004,"&gt;"&amp;C1978)&gt;1,"⚠️ пересечение",""))</f>
        <v/>
      </c>
      <c r="M1978" s="54">
        <f>IF(F1978="","",IF(J1978="✅ Сделано","✔ ",IF(J1978="❌ Пропущено","✖ ","⏰ "))&amp;IF(C1978="","",RIGHT("0"&amp;HOUR(C1978),2)&amp;":"&amp;RIGHT("0"&amp;MINUTE(C1978),2)&amp;IF(D1978="","","–"&amp;RIGHT("0"&amp;HOUR(D1978),2)&amp;":"&amp;RIGHT("0"&amp;MINUTE(D1978),2))&amp;" ")&amp;F1978)</f>
        <v/>
      </c>
      <c r="N1978" s="54">
        <f>IF(OR(A1978="",F1978=""),"",A1978&amp;"#"&amp;(COUNTIFS($A$5:$A$3004,A1978,$F$5:$F$3004,"?*",$O$5:$O$3004,"&lt;"&amp;O1978)+COUNTIFS($A$5:A1978,A1978,$F$5:F1978,"?*",$O$5:O1978,O1978)))</f>
        <v/>
      </c>
      <c r="O1978" s="54">
        <f>IF(A1978="","",IF(C1978="",0,C1978))</f>
        <v/>
      </c>
    </row>
    <row r="1979">
      <c r="A1979" s="58" t="n"/>
      <c r="B1979" s="49">
        <f>IF(A1979="","",CHOOSE(WEEKDAY(A1979,2),"Пн","Вт","Ср","Чт","Пт","Сб","Вс"))</f>
        <v/>
      </c>
      <c r="C1979" s="59" t="n"/>
      <c r="D1979" s="59" t="n"/>
      <c r="E1979" s="60">
        <f>IF(OR(C1979="",D1979=""),"",MOD(D1979-C1979,1)*24)</f>
        <v/>
      </c>
      <c r="F1979" s="50" t="n"/>
      <c r="G1979" s="51" t="n"/>
      <c r="H1979" s="51" t="n"/>
      <c r="I1979" s="51" t="n"/>
      <c r="J1979" s="51" t="n"/>
      <c r="K1979" s="51" t="n"/>
      <c r="L1979" s="54">
        <f>IF(OR(A1979="",C1979="",D1979=""),"",IF(COUNTIFS($A$5:$A$3004,A1979,$C$5:$C$3004,"&lt;"&amp;D1979,$D$5:$D$3004,"&gt;"&amp;C1979)&gt;1,"⚠️ пересечение",""))</f>
        <v/>
      </c>
      <c r="M1979" s="54">
        <f>IF(F1979="","",IF(J1979="✅ Сделано","✔ ",IF(J1979="❌ Пропущено","✖ ","⏰ "))&amp;IF(C1979="","",RIGHT("0"&amp;HOUR(C1979),2)&amp;":"&amp;RIGHT("0"&amp;MINUTE(C1979),2)&amp;IF(D1979="","","–"&amp;RIGHT("0"&amp;HOUR(D1979),2)&amp;":"&amp;RIGHT("0"&amp;MINUTE(D1979),2))&amp;" ")&amp;F1979)</f>
        <v/>
      </c>
      <c r="N1979" s="54">
        <f>IF(OR(A1979="",F1979=""),"",A1979&amp;"#"&amp;(COUNTIFS($A$5:$A$3004,A1979,$F$5:$F$3004,"?*",$O$5:$O$3004,"&lt;"&amp;O1979)+COUNTIFS($A$5:A1979,A1979,$F$5:F1979,"?*",$O$5:O1979,O1979)))</f>
        <v/>
      </c>
      <c r="O1979" s="54">
        <f>IF(A1979="","",IF(C1979="",0,C1979))</f>
        <v/>
      </c>
    </row>
    <row r="1980">
      <c r="A1980" s="58" t="n"/>
      <c r="B1980" s="49">
        <f>IF(A1980="","",CHOOSE(WEEKDAY(A1980,2),"Пн","Вт","Ср","Чт","Пт","Сб","Вс"))</f>
        <v/>
      </c>
      <c r="C1980" s="59" t="n"/>
      <c r="D1980" s="59" t="n"/>
      <c r="E1980" s="60">
        <f>IF(OR(C1980="",D1980=""),"",MOD(D1980-C1980,1)*24)</f>
        <v/>
      </c>
      <c r="F1980" s="50" t="n"/>
      <c r="G1980" s="51" t="n"/>
      <c r="H1980" s="51" t="n"/>
      <c r="I1980" s="51" t="n"/>
      <c r="J1980" s="51" t="n"/>
      <c r="K1980" s="51" t="n"/>
      <c r="L1980" s="54">
        <f>IF(OR(A1980="",C1980="",D1980=""),"",IF(COUNTIFS($A$5:$A$3004,A1980,$C$5:$C$3004,"&lt;"&amp;D1980,$D$5:$D$3004,"&gt;"&amp;C1980)&gt;1,"⚠️ пересечение",""))</f>
        <v/>
      </c>
      <c r="M1980" s="54">
        <f>IF(F1980="","",IF(J1980="✅ Сделано","✔ ",IF(J1980="❌ Пропущено","✖ ","⏰ "))&amp;IF(C1980="","",RIGHT("0"&amp;HOUR(C1980),2)&amp;":"&amp;RIGHT("0"&amp;MINUTE(C1980),2)&amp;IF(D1980="","","–"&amp;RIGHT("0"&amp;HOUR(D1980),2)&amp;":"&amp;RIGHT("0"&amp;MINUTE(D1980),2))&amp;" ")&amp;F1980)</f>
        <v/>
      </c>
      <c r="N1980" s="54">
        <f>IF(OR(A1980="",F1980=""),"",A1980&amp;"#"&amp;(COUNTIFS($A$5:$A$3004,A1980,$F$5:$F$3004,"?*",$O$5:$O$3004,"&lt;"&amp;O1980)+COUNTIFS($A$5:A1980,A1980,$F$5:F1980,"?*",$O$5:O1980,O1980)))</f>
        <v/>
      </c>
      <c r="O1980" s="54">
        <f>IF(A1980="","",IF(C1980="",0,C1980))</f>
        <v/>
      </c>
    </row>
    <row r="1981">
      <c r="A1981" s="58" t="n"/>
      <c r="B1981" s="49">
        <f>IF(A1981="","",CHOOSE(WEEKDAY(A1981,2),"Пн","Вт","Ср","Чт","Пт","Сб","Вс"))</f>
        <v/>
      </c>
      <c r="C1981" s="59" t="n"/>
      <c r="D1981" s="59" t="n"/>
      <c r="E1981" s="60">
        <f>IF(OR(C1981="",D1981=""),"",MOD(D1981-C1981,1)*24)</f>
        <v/>
      </c>
      <c r="F1981" s="50" t="n"/>
      <c r="G1981" s="51" t="n"/>
      <c r="H1981" s="51" t="n"/>
      <c r="I1981" s="51" t="n"/>
      <c r="J1981" s="51" t="n"/>
      <c r="K1981" s="51" t="n"/>
      <c r="L1981" s="54">
        <f>IF(OR(A1981="",C1981="",D1981=""),"",IF(COUNTIFS($A$5:$A$3004,A1981,$C$5:$C$3004,"&lt;"&amp;D1981,$D$5:$D$3004,"&gt;"&amp;C1981)&gt;1,"⚠️ пересечение",""))</f>
        <v/>
      </c>
      <c r="M1981" s="54">
        <f>IF(F1981="","",IF(J1981="✅ Сделано","✔ ",IF(J1981="❌ Пропущено","✖ ","⏰ "))&amp;IF(C1981="","",RIGHT("0"&amp;HOUR(C1981),2)&amp;":"&amp;RIGHT("0"&amp;MINUTE(C1981),2)&amp;IF(D1981="","","–"&amp;RIGHT("0"&amp;HOUR(D1981),2)&amp;":"&amp;RIGHT("0"&amp;MINUTE(D1981),2))&amp;" ")&amp;F1981)</f>
        <v/>
      </c>
      <c r="N1981" s="54">
        <f>IF(OR(A1981="",F1981=""),"",A1981&amp;"#"&amp;(COUNTIFS($A$5:$A$3004,A1981,$F$5:$F$3004,"?*",$O$5:$O$3004,"&lt;"&amp;O1981)+COUNTIFS($A$5:A1981,A1981,$F$5:F1981,"?*",$O$5:O1981,O1981)))</f>
        <v/>
      </c>
      <c r="O1981" s="54">
        <f>IF(A1981="","",IF(C1981="",0,C1981))</f>
        <v/>
      </c>
    </row>
    <row r="1982">
      <c r="A1982" s="58" t="n"/>
      <c r="B1982" s="49">
        <f>IF(A1982="","",CHOOSE(WEEKDAY(A1982,2),"Пн","Вт","Ср","Чт","Пт","Сб","Вс"))</f>
        <v/>
      </c>
      <c r="C1982" s="59" t="n"/>
      <c r="D1982" s="59" t="n"/>
      <c r="E1982" s="60">
        <f>IF(OR(C1982="",D1982=""),"",MOD(D1982-C1982,1)*24)</f>
        <v/>
      </c>
      <c r="F1982" s="50" t="n"/>
      <c r="G1982" s="51" t="n"/>
      <c r="H1982" s="51" t="n"/>
      <c r="I1982" s="51" t="n"/>
      <c r="J1982" s="51" t="n"/>
      <c r="K1982" s="51" t="n"/>
      <c r="L1982" s="54">
        <f>IF(OR(A1982="",C1982="",D1982=""),"",IF(COUNTIFS($A$5:$A$3004,A1982,$C$5:$C$3004,"&lt;"&amp;D1982,$D$5:$D$3004,"&gt;"&amp;C1982)&gt;1,"⚠️ пересечение",""))</f>
        <v/>
      </c>
      <c r="M1982" s="54">
        <f>IF(F1982="","",IF(J1982="✅ Сделано","✔ ",IF(J1982="❌ Пропущено","✖ ","⏰ "))&amp;IF(C1982="","",RIGHT("0"&amp;HOUR(C1982),2)&amp;":"&amp;RIGHT("0"&amp;MINUTE(C1982),2)&amp;IF(D1982="","","–"&amp;RIGHT("0"&amp;HOUR(D1982),2)&amp;":"&amp;RIGHT("0"&amp;MINUTE(D1982),2))&amp;" ")&amp;F1982)</f>
        <v/>
      </c>
      <c r="N1982" s="54">
        <f>IF(OR(A1982="",F1982=""),"",A1982&amp;"#"&amp;(COUNTIFS($A$5:$A$3004,A1982,$F$5:$F$3004,"?*",$O$5:$O$3004,"&lt;"&amp;O1982)+COUNTIFS($A$5:A1982,A1982,$F$5:F1982,"?*",$O$5:O1982,O1982)))</f>
        <v/>
      </c>
      <c r="O1982" s="54">
        <f>IF(A1982="","",IF(C1982="",0,C1982))</f>
        <v/>
      </c>
    </row>
    <row r="1983">
      <c r="A1983" s="58" t="n"/>
      <c r="B1983" s="49">
        <f>IF(A1983="","",CHOOSE(WEEKDAY(A1983,2),"Пн","Вт","Ср","Чт","Пт","Сб","Вс"))</f>
        <v/>
      </c>
      <c r="C1983" s="59" t="n"/>
      <c r="D1983" s="59" t="n"/>
      <c r="E1983" s="60">
        <f>IF(OR(C1983="",D1983=""),"",MOD(D1983-C1983,1)*24)</f>
        <v/>
      </c>
      <c r="F1983" s="50" t="n"/>
      <c r="G1983" s="51" t="n"/>
      <c r="H1983" s="51" t="n"/>
      <c r="I1983" s="51" t="n"/>
      <c r="J1983" s="51" t="n"/>
      <c r="K1983" s="51" t="n"/>
      <c r="L1983" s="54">
        <f>IF(OR(A1983="",C1983="",D1983=""),"",IF(COUNTIFS($A$5:$A$3004,A1983,$C$5:$C$3004,"&lt;"&amp;D1983,$D$5:$D$3004,"&gt;"&amp;C1983)&gt;1,"⚠️ пересечение",""))</f>
        <v/>
      </c>
      <c r="M1983" s="54">
        <f>IF(F1983="","",IF(J1983="✅ Сделано","✔ ",IF(J1983="❌ Пропущено","✖ ","⏰ "))&amp;IF(C1983="","",RIGHT("0"&amp;HOUR(C1983),2)&amp;":"&amp;RIGHT("0"&amp;MINUTE(C1983),2)&amp;IF(D1983="","","–"&amp;RIGHT("0"&amp;HOUR(D1983),2)&amp;":"&amp;RIGHT("0"&amp;MINUTE(D1983),2))&amp;" ")&amp;F1983)</f>
        <v/>
      </c>
      <c r="N1983" s="54">
        <f>IF(OR(A1983="",F1983=""),"",A1983&amp;"#"&amp;(COUNTIFS($A$5:$A$3004,A1983,$F$5:$F$3004,"?*",$O$5:$O$3004,"&lt;"&amp;O1983)+COUNTIFS($A$5:A1983,A1983,$F$5:F1983,"?*",$O$5:O1983,O1983)))</f>
        <v/>
      </c>
      <c r="O1983" s="54">
        <f>IF(A1983="","",IF(C1983="",0,C1983))</f>
        <v/>
      </c>
    </row>
    <row r="1984">
      <c r="A1984" s="58" t="n"/>
      <c r="B1984" s="49">
        <f>IF(A1984="","",CHOOSE(WEEKDAY(A1984,2),"Пн","Вт","Ср","Чт","Пт","Сб","Вс"))</f>
        <v/>
      </c>
      <c r="C1984" s="59" t="n"/>
      <c r="D1984" s="59" t="n"/>
      <c r="E1984" s="60">
        <f>IF(OR(C1984="",D1984=""),"",MOD(D1984-C1984,1)*24)</f>
        <v/>
      </c>
      <c r="F1984" s="50" t="n"/>
      <c r="G1984" s="51" t="n"/>
      <c r="H1984" s="51" t="n"/>
      <c r="I1984" s="51" t="n"/>
      <c r="J1984" s="51" t="n"/>
      <c r="K1984" s="51" t="n"/>
      <c r="L1984" s="54">
        <f>IF(OR(A1984="",C1984="",D1984=""),"",IF(COUNTIFS($A$5:$A$3004,A1984,$C$5:$C$3004,"&lt;"&amp;D1984,$D$5:$D$3004,"&gt;"&amp;C1984)&gt;1,"⚠️ пересечение",""))</f>
        <v/>
      </c>
      <c r="M1984" s="54">
        <f>IF(F1984="","",IF(J1984="✅ Сделано","✔ ",IF(J1984="❌ Пропущено","✖ ","⏰ "))&amp;IF(C1984="","",RIGHT("0"&amp;HOUR(C1984),2)&amp;":"&amp;RIGHT("0"&amp;MINUTE(C1984),2)&amp;IF(D1984="","","–"&amp;RIGHT("0"&amp;HOUR(D1984),2)&amp;":"&amp;RIGHT("0"&amp;MINUTE(D1984),2))&amp;" ")&amp;F1984)</f>
        <v/>
      </c>
      <c r="N1984" s="54">
        <f>IF(OR(A1984="",F1984=""),"",A1984&amp;"#"&amp;(COUNTIFS($A$5:$A$3004,A1984,$F$5:$F$3004,"?*",$O$5:$O$3004,"&lt;"&amp;O1984)+COUNTIFS($A$5:A1984,A1984,$F$5:F1984,"?*",$O$5:O1984,O1984)))</f>
        <v/>
      </c>
      <c r="O1984" s="54">
        <f>IF(A1984="","",IF(C1984="",0,C1984))</f>
        <v/>
      </c>
    </row>
    <row r="1985">
      <c r="A1985" s="58" t="n"/>
      <c r="B1985" s="49">
        <f>IF(A1985="","",CHOOSE(WEEKDAY(A1985,2),"Пн","Вт","Ср","Чт","Пт","Сб","Вс"))</f>
        <v/>
      </c>
      <c r="C1985" s="59" t="n"/>
      <c r="D1985" s="59" t="n"/>
      <c r="E1985" s="60">
        <f>IF(OR(C1985="",D1985=""),"",MOD(D1985-C1985,1)*24)</f>
        <v/>
      </c>
      <c r="F1985" s="50" t="n"/>
      <c r="G1985" s="51" t="n"/>
      <c r="H1985" s="51" t="n"/>
      <c r="I1985" s="51" t="n"/>
      <c r="J1985" s="51" t="n"/>
      <c r="K1985" s="51" t="n"/>
      <c r="L1985" s="54">
        <f>IF(OR(A1985="",C1985="",D1985=""),"",IF(COUNTIFS($A$5:$A$3004,A1985,$C$5:$C$3004,"&lt;"&amp;D1985,$D$5:$D$3004,"&gt;"&amp;C1985)&gt;1,"⚠️ пересечение",""))</f>
        <v/>
      </c>
      <c r="M1985" s="54">
        <f>IF(F1985="","",IF(J1985="✅ Сделано","✔ ",IF(J1985="❌ Пропущено","✖ ","⏰ "))&amp;IF(C1985="","",RIGHT("0"&amp;HOUR(C1985),2)&amp;":"&amp;RIGHT("0"&amp;MINUTE(C1985),2)&amp;IF(D1985="","","–"&amp;RIGHT("0"&amp;HOUR(D1985),2)&amp;":"&amp;RIGHT("0"&amp;MINUTE(D1985),2))&amp;" ")&amp;F1985)</f>
        <v/>
      </c>
      <c r="N1985" s="54">
        <f>IF(OR(A1985="",F1985=""),"",A1985&amp;"#"&amp;(COUNTIFS($A$5:$A$3004,A1985,$F$5:$F$3004,"?*",$O$5:$O$3004,"&lt;"&amp;O1985)+COUNTIFS($A$5:A1985,A1985,$F$5:F1985,"?*",$O$5:O1985,O1985)))</f>
        <v/>
      </c>
      <c r="O1985" s="54">
        <f>IF(A1985="","",IF(C1985="",0,C1985))</f>
        <v/>
      </c>
    </row>
    <row r="1986">
      <c r="A1986" s="58" t="n"/>
      <c r="B1986" s="49">
        <f>IF(A1986="","",CHOOSE(WEEKDAY(A1986,2),"Пн","Вт","Ср","Чт","Пт","Сб","Вс"))</f>
        <v/>
      </c>
      <c r="C1986" s="59" t="n"/>
      <c r="D1986" s="59" t="n"/>
      <c r="E1986" s="60">
        <f>IF(OR(C1986="",D1986=""),"",MOD(D1986-C1986,1)*24)</f>
        <v/>
      </c>
      <c r="F1986" s="50" t="n"/>
      <c r="G1986" s="51" t="n"/>
      <c r="H1986" s="51" t="n"/>
      <c r="I1986" s="51" t="n"/>
      <c r="J1986" s="51" t="n"/>
      <c r="K1986" s="51" t="n"/>
      <c r="L1986" s="54">
        <f>IF(OR(A1986="",C1986="",D1986=""),"",IF(COUNTIFS($A$5:$A$3004,A1986,$C$5:$C$3004,"&lt;"&amp;D1986,$D$5:$D$3004,"&gt;"&amp;C1986)&gt;1,"⚠️ пересечение",""))</f>
        <v/>
      </c>
      <c r="M1986" s="54">
        <f>IF(F1986="","",IF(J1986="✅ Сделано","✔ ",IF(J1986="❌ Пропущено","✖ ","⏰ "))&amp;IF(C1986="","",RIGHT("0"&amp;HOUR(C1986),2)&amp;":"&amp;RIGHT("0"&amp;MINUTE(C1986),2)&amp;IF(D1986="","","–"&amp;RIGHT("0"&amp;HOUR(D1986),2)&amp;":"&amp;RIGHT("0"&amp;MINUTE(D1986),2))&amp;" ")&amp;F1986)</f>
        <v/>
      </c>
      <c r="N1986" s="54">
        <f>IF(OR(A1986="",F1986=""),"",A1986&amp;"#"&amp;(COUNTIFS($A$5:$A$3004,A1986,$F$5:$F$3004,"?*",$O$5:$O$3004,"&lt;"&amp;O1986)+COUNTIFS($A$5:A1986,A1986,$F$5:F1986,"?*",$O$5:O1986,O1986)))</f>
        <v/>
      </c>
      <c r="O1986" s="54">
        <f>IF(A1986="","",IF(C1986="",0,C1986))</f>
        <v/>
      </c>
    </row>
    <row r="1987">
      <c r="A1987" s="58" t="n"/>
      <c r="B1987" s="49">
        <f>IF(A1987="","",CHOOSE(WEEKDAY(A1987,2),"Пн","Вт","Ср","Чт","Пт","Сб","Вс"))</f>
        <v/>
      </c>
      <c r="C1987" s="59" t="n"/>
      <c r="D1987" s="59" t="n"/>
      <c r="E1987" s="60">
        <f>IF(OR(C1987="",D1987=""),"",MOD(D1987-C1987,1)*24)</f>
        <v/>
      </c>
      <c r="F1987" s="50" t="n"/>
      <c r="G1987" s="51" t="n"/>
      <c r="H1987" s="51" t="n"/>
      <c r="I1987" s="51" t="n"/>
      <c r="J1987" s="51" t="n"/>
      <c r="K1987" s="51" t="n"/>
      <c r="L1987" s="54">
        <f>IF(OR(A1987="",C1987="",D1987=""),"",IF(COUNTIFS($A$5:$A$3004,A1987,$C$5:$C$3004,"&lt;"&amp;D1987,$D$5:$D$3004,"&gt;"&amp;C1987)&gt;1,"⚠️ пересечение",""))</f>
        <v/>
      </c>
      <c r="M1987" s="54">
        <f>IF(F1987="","",IF(J1987="✅ Сделано","✔ ",IF(J1987="❌ Пропущено","✖ ","⏰ "))&amp;IF(C1987="","",RIGHT("0"&amp;HOUR(C1987),2)&amp;":"&amp;RIGHT("0"&amp;MINUTE(C1987),2)&amp;IF(D1987="","","–"&amp;RIGHT("0"&amp;HOUR(D1987),2)&amp;":"&amp;RIGHT("0"&amp;MINUTE(D1987),2))&amp;" ")&amp;F1987)</f>
        <v/>
      </c>
      <c r="N1987" s="54">
        <f>IF(OR(A1987="",F1987=""),"",A1987&amp;"#"&amp;(COUNTIFS($A$5:$A$3004,A1987,$F$5:$F$3004,"?*",$O$5:$O$3004,"&lt;"&amp;O1987)+COUNTIFS($A$5:A1987,A1987,$F$5:F1987,"?*",$O$5:O1987,O1987)))</f>
        <v/>
      </c>
      <c r="O1987" s="54">
        <f>IF(A1987="","",IF(C1987="",0,C1987))</f>
        <v/>
      </c>
    </row>
    <row r="1988">
      <c r="A1988" s="58" t="n"/>
      <c r="B1988" s="49">
        <f>IF(A1988="","",CHOOSE(WEEKDAY(A1988,2),"Пн","Вт","Ср","Чт","Пт","Сб","Вс"))</f>
        <v/>
      </c>
      <c r="C1988" s="59" t="n"/>
      <c r="D1988" s="59" t="n"/>
      <c r="E1988" s="60">
        <f>IF(OR(C1988="",D1988=""),"",MOD(D1988-C1988,1)*24)</f>
        <v/>
      </c>
      <c r="F1988" s="50" t="n"/>
      <c r="G1988" s="51" t="n"/>
      <c r="H1988" s="51" t="n"/>
      <c r="I1988" s="51" t="n"/>
      <c r="J1988" s="51" t="n"/>
      <c r="K1988" s="51" t="n"/>
      <c r="L1988" s="54">
        <f>IF(OR(A1988="",C1988="",D1988=""),"",IF(COUNTIFS($A$5:$A$3004,A1988,$C$5:$C$3004,"&lt;"&amp;D1988,$D$5:$D$3004,"&gt;"&amp;C1988)&gt;1,"⚠️ пересечение",""))</f>
        <v/>
      </c>
      <c r="M1988" s="54">
        <f>IF(F1988="","",IF(J1988="✅ Сделано","✔ ",IF(J1988="❌ Пропущено","✖ ","⏰ "))&amp;IF(C1988="","",RIGHT("0"&amp;HOUR(C1988),2)&amp;":"&amp;RIGHT("0"&amp;MINUTE(C1988),2)&amp;IF(D1988="","","–"&amp;RIGHT("0"&amp;HOUR(D1988),2)&amp;":"&amp;RIGHT("0"&amp;MINUTE(D1988),2))&amp;" ")&amp;F1988)</f>
        <v/>
      </c>
      <c r="N1988" s="54">
        <f>IF(OR(A1988="",F1988=""),"",A1988&amp;"#"&amp;(COUNTIFS($A$5:$A$3004,A1988,$F$5:$F$3004,"?*",$O$5:$O$3004,"&lt;"&amp;O1988)+COUNTIFS($A$5:A1988,A1988,$F$5:F1988,"?*",$O$5:O1988,O1988)))</f>
        <v/>
      </c>
      <c r="O1988" s="54">
        <f>IF(A1988="","",IF(C1988="",0,C1988))</f>
        <v/>
      </c>
    </row>
    <row r="1989">
      <c r="A1989" s="58" t="n"/>
      <c r="B1989" s="49">
        <f>IF(A1989="","",CHOOSE(WEEKDAY(A1989,2),"Пн","Вт","Ср","Чт","Пт","Сб","Вс"))</f>
        <v/>
      </c>
      <c r="C1989" s="59" t="n"/>
      <c r="D1989" s="59" t="n"/>
      <c r="E1989" s="60">
        <f>IF(OR(C1989="",D1989=""),"",MOD(D1989-C1989,1)*24)</f>
        <v/>
      </c>
      <c r="F1989" s="50" t="n"/>
      <c r="G1989" s="51" t="n"/>
      <c r="H1989" s="51" t="n"/>
      <c r="I1989" s="51" t="n"/>
      <c r="J1989" s="51" t="n"/>
      <c r="K1989" s="51" t="n"/>
      <c r="L1989" s="54">
        <f>IF(OR(A1989="",C1989="",D1989=""),"",IF(COUNTIFS($A$5:$A$3004,A1989,$C$5:$C$3004,"&lt;"&amp;D1989,$D$5:$D$3004,"&gt;"&amp;C1989)&gt;1,"⚠️ пересечение",""))</f>
        <v/>
      </c>
      <c r="M1989" s="54">
        <f>IF(F1989="","",IF(J1989="✅ Сделано","✔ ",IF(J1989="❌ Пропущено","✖ ","⏰ "))&amp;IF(C1989="","",RIGHT("0"&amp;HOUR(C1989),2)&amp;":"&amp;RIGHT("0"&amp;MINUTE(C1989),2)&amp;IF(D1989="","","–"&amp;RIGHT("0"&amp;HOUR(D1989),2)&amp;":"&amp;RIGHT("0"&amp;MINUTE(D1989),2))&amp;" ")&amp;F1989)</f>
        <v/>
      </c>
      <c r="N1989" s="54">
        <f>IF(OR(A1989="",F1989=""),"",A1989&amp;"#"&amp;(COUNTIFS($A$5:$A$3004,A1989,$F$5:$F$3004,"?*",$O$5:$O$3004,"&lt;"&amp;O1989)+COUNTIFS($A$5:A1989,A1989,$F$5:F1989,"?*",$O$5:O1989,O1989)))</f>
        <v/>
      </c>
      <c r="O1989" s="54">
        <f>IF(A1989="","",IF(C1989="",0,C1989))</f>
        <v/>
      </c>
    </row>
    <row r="1990">
      <c r="A1990" s="58" t="n"/>
      <c r="B1990" s="49">
        <f>IF(A1990="","",CHOOSE(WEEKDAY(A1990,2),"Пн","Вт","Ср","Чт","Пт","Сб","Вс"))</f>
        <v/>
      </c>
      <c r="C1990" s="59" t="n"/>
      <c r="D1990" s="59" t="n"/>
      <c r="E1990" s="60">
        <f>IF(OR(C1990="",D1990=""),"",MOD(D1990-C1990,1)*24)</f>
        <v/>
      </c>
      <c r="F1990" s="50" t="n"/>
      <c r="G1990" s="51" t="n"/>
      <c r="H1990" s="51" t="n"/>
      <c r="I1990" s="51" t="n"/>
      <c r="J1990" s="51" t="n"/>
      <c r="K1990" s="51" t="n"/>
      <c r="L1990" s="54">
        <f>IF(OR(A1990="",C1990="",D1990=""),"",IF(COUNTIFS($A$5:$A$3004,A1990,$C$5:$C$3004,"&lt;"&amp;D1990,$D$5:$D$3004,"&gt;"&amp;C1990)&gt;1,"⚠️ пересечение",""))</f>
        <v/>
      </c>
      <c r="M1990" s="54">
        <f>IF(F1990="","",IF(J1990="✅ Сделано","✔ ",IF(J1990="❌ Пропущено","✖ ","⏰ "))&amp;IF(C1990="","",RIGHT("0"&amp;HOUR(C1990),2)&amp;":"&amp;RIGHT("0"&amp;MINUTE(C1990),2)&amp;IF(D1990="","","–"&amp;RIGHT("0"&amp;HOUR(D1990),2)&amp;":"&amp;RIGHT("0"&amp;MINUTE(D1990),2))&amp;" ")&amp;F1990)</f>
        <v/>
      </c>
      <c r="N1990" s="54">
        <f>IF(OR(A1990="",F1990=""),"",A1990&amp;"#"&amp;(COUNTIFS($A$5:$A$3004,A1990,$F$5:$F$3004,"?*",$O$5:$O$3004,"&lt;"&amp;O1990)+COUNTIFS($A$5:A1990,A1990,$F$5:F1990,"?*",$O$5:O1990,O1990)))</f>
        <v/>
      </c>
      <c r="O1990" s="54">
        <f>IF(A1990="","",IF(C1990="",0,C1990))</f>
        <v/>
      </c>
    </row>
    <row r="1991">
      <c r="A1991" s="58" t="n"/>
      <c r="B1991" s="49">
        <f>IF(A1991="","",CHOOSE(WEEKDAY(A1991,2),"Пн","Вт","Ср","Чт","Пт","Сб","Вс"))</f>
        <v/>
      </c>
      <c r="C1991" s="59" t="n"/>
      <c r="D1991" s="59" t="n"/>
      <c r="E1991" s="60">
        <f>IF(OR(C1991="",D1991=""),"",MOD(D1991-C1991,1)*24)</f>
        <v/>
      </c>
      <c r="F1991" s="50" t="n"/>
      <c r="G1991" s="51" t="n"/>
      <c r="H1991" s="51" t="n"/>
      <c r="I1991" s="51" t="n"/>
      <c r="J1991" s="51" t="n"/>
      <c r="K1991" s="51" t="n"/>
      <c r="L1991" s="54">
        <f>IF(OR(A1991="",C1991="",D1991=""),"",IF(COUNTIFS($A$5:$A$3004,A1991,$C$5:$C$3004,"&lt;"&amp;D1991,$D$5:$D$3004,"&gt;"&amp;C1991)&gt;1,"⚠️ пересечение",""))</f>
        <v/>
      </c>
      <c r="M1991" s="54">
        <f>IF(F1991="","",IF(J1991="✅ Сделано","✔ ",IF(J1991="❌ Пропущено","✖ ","⏰ "))&amp;IF(C1991="","",RIGHT("0"&amp;HOUR(C1991),2)&amp;":"&amp;RIGHT("0"&amp;MINUTE(C1991),2)&amp;IF(D1991="","","–"&amp;RIGHT("0"&amp;HOUR(D1991),2)&amp;":"&amp;RIGHT("0"&amp;MINUTE(D1991),2))&amp;" ")&amp;F1991)</f>
        <v/>
      </c>
      <c r="N1991" s="54">
        <f>IF(OR(A1991="",F1991=""),"",A1991&amp;"#"&amp;(COUNTIFS($A$5:$A$3004,A1991,$F$5:$F$3004,"?*",$O$5:$O$3004,"&lt;"&amp;O1991)+COUNTIFS($A$5:A1991,A1991,$F$5:F1991,"?*",$O$5:O1991,O1991)))</f>
        <v/>
      </c>
      <c r="O1991" s="54">
        <f>IF(A1991="","",IF(C1991="",0,C1991))</f>
        <v/>
      </c>
    </row>
    <row r="1992">
      <c r="A1992" s="58" t="n"/>
      <c r="B1992" s="49">
        <f>IF(A1992="","",CHOOSE(WEEKDAY(A1992,2),"Пн","Вт","Ср","Чт","Пт","Сб","Вс"))</f>
        <v/>
      </c>
      <c r="C1992" s="59" t="n"/>
      <c r="D1992" s="59" t="n"/>
      <c r="E1992" s="60">
        <f>IF(OR(C1992="",D1992=""),"",MOD(D1992-C1992,1)*24)</f>
        <v/>
      </c>
      <c r="F1992" s="50" t="n"/>
      <c r="G1992" s="51" t="n"/>
      <c r="H1992" s="51" t="n"/>
      <c r="I1992" s="51" t="n"/>
      <c r="J1992" s="51" t="n"/>
      <c r="K1992" s="51" t="n"/>
      <c r="L1992" s="54">
        <f>IF(OR(A1992="",C1992="",D1992=""),"",IF(COUNTIFS($A$5:$A$3004,A1992,$C$5:$C$3004,"&lt;"&amp;D1992,$D$5:$D$3004,"&gt;"&amp;C1992)&gt;1,"⚠️ пересечение",""))</f>
        <v/>
      </c>
      <c r="M1992" s="54">
        <f>IF(F1992="","",IF(J1992="✅ Сделано","✔ ",IF(J1992="❌ Пропущено","✖ ","⏰ "))&amp;IF(C1992="","",RIGHT("0"&amp;HOUR(C1992),2)&amp;":"&amp;RIGHT("0"&amp;MINUTE(C1992),2)&amp;IF(D1992="","","–"&amp;RIGHT("0"&amp;HOUR(D1992),2)&amp;":"&amp;RIGHT("0"&amp;MINUTE(D1992),2))&amp;" ")&amp;F1992)</f>
        <v/>
      </c>
      <c r="N1992" s="54">
        <f>IF(OR(A1992="",F1992=""),"",A1992&amp;"#"&amp;(COUNTIFS($A$5:$A$3004,A1992,$F$5:$F$3004,"?*",$O$5:$O$3004,"&lt;"&amp;O1992)+COUNTIFS($A$5:A1992,A1992,$F$5:F1992,"?*",$O$5:O1992,O1992)))</f>
        <v/>
      </c>
      <c r="O1992" s="54">
        <f>IF(A1992="","",IF(C1992="",0,C1992))</f>
        <v/>
      </c>
    </row>
    <row r="1993">
      <c r="A1993" s="58" t="n"/>
      <c r="B1993" s="49">
        <f>IF(A1993="","",CHOOSE(WEEKDAY(A1993,2),"Пн","Вт","Ср","Чт","Пт","Сб","Вс"))</f>
        <v/>
      </c>
      <c r="C1993" s="59" t="n"/>
      <c r="D1993" s="59" t="n"/>
      <c r="E1993" s="60">
        <f>IF(OR(C1993="",D1993=""),"",MOD(D1993-C1993,1)*24)</f>
        <v/>
      </c>
      <c r="F1993" s="50" t="n"/>
      <c r="G1993" s="51" t="n"/>
      <c r="H1993" s="51" t="n"/>
      <c r="I1993" s="51" t="n"/>
      <c r="J1993" s="51" t="n"/>
      <c r="K1993" s="51" t="n"/>
      <c r="L1993" s="54">
        <f>IF(OR(A1993="",C1993="",D1993=""),"",IF(COUNTIFS($A$5:$A$3004,A1993,$C$5:$C$3004,"&lt;"&amp;D1993,$D$5:$D$3004,"&gt;"&amp;C1993)&gt;1,"⚠️ пересечение",""))</f>
        <v/>
      </c>
      <c r="M1993" s="54">
        <f>IF(F1993="","",IF(J1993="✅ Сделано","✔ ",IF(J1993="❌ Пропущено","✖ ","⏰ "))&amp;IF(C1993="","",RIGHT("0"&amp;HOUR(C1993),2)&amp;":"&amp;RIGHT("0"&amp;MINUTE(C1993),2)&amp;IF(D1993="","","–"&amp;RIGHT("0"&amp;HOUR(D1993),2)&amp;":"&amp;RIGHT("0"&amp;MINUTE(D1993),2))&amp;" ")&amp;F1993)</f>
        <v/>
      </c>
      <c r="N1993" s="54">
        <f>IF(OR(A1993="",F1993=""),"",A1993&amp;"#"&amp;(COUNTIFS($A$5:$A$3004,A1993,$F$5:$F$3004,"?*",$O$5:$O$3004,"&lt;"&amp;O1993)+COUNTIFS($A$5:A1993,A1993,$F$5:F1993,"?*",$O$5:O1993,O1993)))</f>
        <v/>
      </c>
      <c r="O1993" s="54">
        <f>IF(A1993="","",IF(C1993="",0,C1993))</f>
        <v/>
      </c>
    </row>
    <row r="1994">
      <c r="A1994" s="58" t="n"/>
      <c r="B1994" s="49">
        <f>IF(A1994="","",CHOOSE(WEEKDAY(A1994,2),"Пн","Вт","Ср","Чт","Пт","Сб","Вс"))</f>
        <v/>
      </c>
      <c r="C1994" s="59" t="n"/>
      <c r="D1994" s="59" t="n"/>
      <c r="E1994" s="60">
        <f>IF(OR(C1994="",D1994=""),"",MOD(D1994-C1994,1)*24)</f>
        <v/>
      </c>
      <c r="F1994" s="50" t="n"/>
      <c r="G1994" s="51" t="n"/>
      <c r="H1994" s="51" t="n"/>
      <c r="I1994" s="51" t="n"/>
      <c r="J1994" s="51" t="n"/>
      <c r="K1994" s="51" t="n"/>
      <c r="L1994" s="54">
        <f>IF(OR(A1994="",C1994="",D1994=""),"",IF(COUNTIFS($A$5:$A$3004,A1994,$C$5:$C$3004,"&lt;"&amp;D1994,$D$5:$D$3004,"&gt;"&amp;C1994)&gt;1,"⚠️ пересечение",""))</f>
        <v/>
      </c>
      <c r="M1994" s="54">
        <f>IF(F1994="","",IF(J1994="✅ Сделано","✔ ",IF(J1994="❌ Пропущено","✖ ","⏰ "))&amp;IF(C1994="","",RIGHT("0"&amp;HOUR(C1994),2)&amp;":"&amp;RIGHT("0"&amp;MINUTE(C1994),2)&amp;IF(D1994="","","–"&amp;RIGHT("0"&amp;HOUR(D1994),2)&amp;":"&amp;RIGHT("0"&amp;MINUTE(D1994),2))&amp;" ")&amp;F1994)</f>
        <v/>
      </c>
      <c r="N1994" s="54">
        <f>IF(OR(A1994="",F1994=""),"",A1994&amp;"#"&amp;(COUNTIFS($A$5:$A$3004,A1994,$F$5:$F$3004,"?*",$O$5:$O$3004,"&lt;"&amp;O1994)+COUNTIFS($A$5:A1994,A1994,$F$5:F1994,"?*",$O$5:O1994,O1994)))</f>
        <v/>
      </c>
      <c r="O1994" s="54">
        <f>IF(A1994="","",IF(C1994="",0,C1994))</f>
        <v/>
      </c>
    </row>
    <row r="1995">
      <c r="A1995" s="58" t="n"/>
      <c r="B1995" s="49">
        <f>IF(A1995="","",CHOOSE(WEEKDAY(A1995,2),"Пн","Вт","Ср","Чт","Пт","Сб","Вс"))</f>
        <v/>
      </c>
      <c r="C1995" s="59" t="n"/>
      <c r="D1995" s="59" t="n"/>
      <c r="E1995" s="60">
        <f>IF(OR(C1995="",D1995=""),"",MOD(D1995-C1995,1)*24)</f>
        <v/>
      </c>
      <c r="F1995" s="50" t="n"/>
      <c r="G1995" s="51" t="n"/>
      <c r="H1995" s="51" t="n"/>
      <c r="I1995" s="51" t="n"/>
      <c r="J1995" s="51" t="n"/>
      <c r="K1995" s="51" t="n"/>
      <c r="L1995" s="54">
        <f>IF(OR(A1995="",C1995="",D1995=""),"",IF(COUNTIFS($A$5:$A$3004,A1995,$C$5:$C$3004,"&lt;"&amp;D1995,$D$5:$D$3004,"&gt;"&amp;C1995)&gt;1,"⚠️ пересечение",""))</f>
        <v/>
      </c>
      <c r="M1995" s="54">
        <f>IF(F1995="","",IF(J1995="✅ Сделано","✔ ",IF(J1995="❌ Пропущено","✖ ","⏰ "))&amp;IF(C1995="","",RIGHT("0"&amp;HOUR(C1995),2)&amp;":"&amp;RIGHT("0"&amp;MINUTE(C1995),2)&amp;IF(D1995="","","–"&amp;RIGHT("0"&amp;HOUR(D1995),2)&amp;":"&amp;RIGHT("0"&amp;MINUTE(D1995),2))&amp;" ")&amp;F1995)</f>
        <v/>
      </c>
      <c r="N1995" s="54">
        <f>IF(OR(A1995="",F1995=""),"",A1995&amp;"#"&amp;(COUNTIFS($A$5:$A$3004,A1995,$F$5:$F$3004,"?*",$O$5:$O$3004,"&lt;"&amp;O1995)+COUNTIFS($A$5:A1995,A1995,$F$5:F1995,"?*",$O$5:O1995,O1995)))</f>
        <v/>
      </c>
      <c r="O1995" s="54">
        <f>IF(A1995="","",IF(C1995="",0,C1995))</f>
        <v/>
      </c>
    </row>
    <row r="1996">
      <c r="A1996" s="58" t="n"/>
      <c r="B1996" s="49">
        <f>IF(A1996="","",CHOOSE(WEEKDAY(A1996,2),"Пн","Вт","Ср","Чт","Пт","Сб","Вс"))</f>
        <v/>
      </c>
      <c r="C1996" s="59" t="n"/>
      <c r="D1996" s="59" t="n"/>
      <c r="E1996" s="60">
        <f>IF(OR(C1996="",D1996=""),"",MOD(D1996-C1996,1)*24)</f>
        <v/>
      </c>
      <c r="F1996" s="50" t="n"/>
      <c r="G1996" s="51" t="n"/>
      <c r="H1996" s="51" t="n"/>
      <c r="I1996" s="51" t="n"/>
      <c r="J1996" s="51" t="n"/>
      <c r="K1996" s="51" t="n"/>
      <c r="L1996" s="54">
        <f>IF(OR(A1996="",C1996="",D1996=""),"",IF(COUNTIFS($A$5:$A$3004,A1996,$C$5:$C$3004,"&lt;"&amp;D1996,$D$5:$D$3004,"&gt;"&amp;C1996)&gt;1,"⚠️ пересечение",""))</f>
        <v/>
      </c>
      <c r="M1996" s="54">
        <f>IF(F1996="","",IF(J1996="✅ Сделано","✔ ",IF(J1996="❌ Пропущено","✖ ","⏰ "))&amp;IF(C1996="","",RIGHT("0"&amp;HOUR(C1996),2)&amp;":"&amp;RIGHT("0"&amp;MINUTE(C1996),2)&amp;IF(D1996="","","–"&amp;RIGHT("0"&amp;HOUR(D1996),2)&amp;":"&amp;RIGHT("0"&amp;MINUTE(D1996),2))&amp;" ")&amp;F1996)</f>
        <v/>
      </c>
      <c r="N1996" s="54">
        <f>IF(OR(A1996="",F1996=""),"",A1996&amp;"#"&amp;(COUNTIFS($A$5:$A$3004,A1996,$F$5:$F$3004,"?*",$O$5:$O$3004,"&lt;"&amp;O1996)+COUNTIFS($A$5:A1996,A1996,$F$5:F1996,"?*",$O$5:O1996,O1996)))</f>
        <v/>
      </c>
      <c r="O1996" s="54">
        <f>IF(A1996="","",IF(C1996="",0,C1996))</f>
        <v/>
      </c>
    </row>
    <row r="1997">
      <c r="A1997" s="58" t="n"/>
      <c r="B1997" s="49">
        <f>IF(A1997="","",CHOOSE(WEEKDAY(A1997,2),"Пн","Вт","Ср","Чт","Пт","Сб","Вс"))</f>
        <v/>
      </c>
      <c r="C1997" s="59" t="n"/>
      <c r="D1997" s="59" t="n"/>
      <c r="E1997" s="60">
        <f>IF(OR(C1997="",D1997=""),"",MOD(D1997-C1997,1)*24)</f>
        <v/>
      </c>
      <c r="F1997" s="50" t="n"/>
      <c r="G1997" s="51" t="n"/>
      <c r="H1997" s="51" t="n"/>
      <c r="I1997" s="51" t="n"/>
      <c r="J1997" s="51" t="n"/>
      <c r="K1997" s="51" t="n"/>
      <c r="L1997" s="54">
        <f>IF(OR(A1997="",C1997="",D1997=""),"",IF(COUNTIFS($A$5:$A$3004,A1997,$C$5:$C$3004,"&lt;"&amp;D1997,$D$5:$D$3004,"&gt;"&amp;C1997)&gt;1,"⚠️ пересечение",""))</f>
        <v/>
      </c>
      <c r="M1997" s="54">
        <f>IF(F1997="","",IF(J1997="✅ Сделано","✔ ",IF(J1997="❌ Пропущено","✖ ","⏰ "))&amp;IF(C1997="","",RIGHT("0"&amp;HOUR(C1997),2)&amp;":"&amp;RIGHT("0"&amp;MINUTE(C1997),2)&amp;IF(D1997="","","–"&amp;RIGHT("0"&amp;HOUR(D1997),2)&amp;":"&amp;RIGHT("0"&amp;MINUTE(D1997),2))&amp;" ")&amp;F1997)</f>
        <v/>
      </c>
      <c r="N1997" s="54">
        <f>IF(OR(A1997="",F1997=""),"",A1997&amp;"#"&amp;(COUNTIFS($A$5:$A$3004,A1997,$F$5:$F$3004,"?*",$O$5:$O$3004,"&lt;"&amp;O1997)+COUNTIFS($A$5:A1997,A1997,$F$5:F1997,"?*",$O$5:O1997,O1997)))</f>
        <v/>
      </c>
      <c r="O1997" s="54">
        <f>IF(A1997="","",IF(C1997="",0,C1997))</f>
        <v/>
      </c>
    </row>
    <row r="1998">
      <c r="A1998" s="58" t="n"/>
      <c r="B1998" s="49">
        <f>IF(A1998="","",CHOOSE(WEEKDAY(A1998,2),"Пн","Вт","Ср","Чт","Пт","Сб","Вс"))</f>
        <v/>
      </c>
      <c r="C1998" s="59" t="n"/>
      <c r="D1998" s="59" t="n"/>
      <c r="E1998" s="60">
        <f>IF(OR(C1998="",D1998=""),"",MOD(D1998-C1998,1)*24)</f>
        <v/>
      </c>
      <c r="F1998" s="50" t="n"/>
      <c r="G1998" s="51" t="n"/>
      <c r="H1998" s="51" t="n"/>
      <c r="I1998" s="51" t="n"/>
      <c r="J1998" s="51" t="n"/>
      <c r="K1998" s="51" t="n"/>
      <c r="L1998" s="54">
        <f>IF(OR(A1998="",C1998="",D1998=""),"",IF(COUNTIFS($A$5:$A$3004,A1998,$C$5:$C$3004,"&lt;"&amp;D1998,$D$5:$D$3004,"&gt;"&amp;C1998)&gt;1,"⚠️ пересечение",""))</f>
        <v/>
      </c>
      <c r="M1998" s="54">
        <f>IF(F1998="","",IF(J1998="✅ Сделано","✔ ",IF(J1998="❌ Пропущено","✖ ","⏰ "))&amp;IF(C1998="","",RIGHT("0"&amp;HOUR(C1998),2)&amp;":"&amp;RIGHT("0"&amp;MINUTE(C1998),2)&amp;IF(D1998="","","–"&amp;RIGHT("0"&amp;HOUR(D1998),2)&amp;":"&amp;RIGHT("0"&amp;MINUTE(D1998),2))&amp;" ")&amp;F1998)</f>
        <v/>
      </c>
      <c r="N1998" s="54">
        <f>IF(OR(A1998="",F1998=""),"",A1998&amp;"#"&amp;(COUNTIFS($A$5:$A$3004,A1998,$F$5:$F$3004,"?*",$O$5:$O$3004,"&lt;"&amp;O1998)+COUNTIFS($A$5:A1998,A1998,$F$5:F1998,"?*",$O$5:O1998,O1998)))</f>
        <v/>
      </c>
      <c r="O1998" s="54">
        <f>IF(A1998="","",IF(C1998="",0,C1998))</f>
        <v/>
      </c>
    </row>
    <row r="1999">
      <c r="A1999" s="58" t="n"/>
      <c r="B1999" s="49">
        <f>IF(A1999="","",CHOOSE(WEEKDAY(A1999,2),"Пн","Вт","Ср","Чт","Пт","Сб","Вс"))</f>
        <v/>
      </c>
      <c r="C1999" s="59" t="n"/>
      <c r="D1999" s="59" t="n"/>
      <c r="E1999" s="60">
        <f>IF(OR(C1999="",D1999=""),"",MOD(D1999-C1999,1)*24)</f>
        <v/>
      </c>
      <c r="F1999" s="50" t="n"/>
      <c r="G1999" s="51" t="n"/>
      <c r="H1999" s="51" t="n"/>
      <c r="I1999" s="51" t="n"/>
      <c r="J1999" s="51" t="n"/>
      <c r="K1999" s="51" t="n"/>
      <c r="L1999" s="54">
        <f>IF(OR(A1999="",C1999="",D1999=""),"",IF(COUNTIFS($A$5:$A$3004,A1999,$C$5:$C$3004,"&lt;"&amp;D1999,$D$5:$D$3004,"&gt;"&amp;C1999)&gt;1,"⚠️ пересечение",""))</f>
        <v/>
      </c>
      <c r="M1999" s="54">
        <f>IF(F1999="","",IF(J1999="✅ Сделано","✔ ",IF(J1999="❌ Пропущено","✖ ","⏰ "))&amp;IF(C1999="","",RIGHT("0"&amp;HOUR(C1999),2)&amp;":"&amp;RIGHT("0"&amp;MINUTE(C1999),2)&amp;IF(D1999="","","–"&amp;RIGHT("0"&amp;HOUR(D1999),2)&amp;":"&amp;RIGHT("0"&amp;MINUTE(D1999),2))&amp;" ")&amp;F1999)</f>
        <v/>
      </c>
      <c r="N1999" s="54">
        <f>IF(OR(A1999="",F1999=""),"",A1999&amp;"#"&amp;(COUNTIFS($A$5:$A$3004,A1999,$F$5:$F$3004,"?*",$O$5:$O$3004,"&lt;"&amp;O1999)+COUNTIFS($A$5:A1999,A1999,$F$5:F1999,"?*",$O$5:O1999,O1999)))</f>
        <v/>
      </c>
      <c r="O1999" s="54">
        <f>IF(A1999="","",IF(C1999="",0,C1999))</f>
        <v/>
      </c>
    </row>
    <row r="2000">
      <c r="A2000" s="58" t="n"/>
      <c r="B2000" s="49">
        <f>IF(A2000="","",CHOOSE(WEEKDAY(A2000,2),"Пн","Вт","Ср","Чт","Пт","Сб","Вс"))</f>
        <v/>
      </c>
      <c r="C2000" s="59" t="n"/>
      <c r="D2000" s="59" t="n"/>
      <c r="E2000" s="60">
        <f>IF(OR(C2000="",D2000=""),"",MOD(D2000-C2000,1)*24)</f>
        <v/>
      </c>
      <c r="F2000" s="50" t="n"/>
      <c r="G2000" s="51" t="n"/>
      <c r="H2000" s="51" t="n"/>
      <c r="I2000" s="51" t="n"/>
      <c r="J2000" s="51" t="n"/>
      <c r="K2000" s="51" t="n"/>
      <c r="L2000" s="54">
        <f>IF(OR(A2000="",C2000="",D2000=""),"",IF(COUNTIFS($A$5:$A$3004,A2000,$C$5:$C$3004,"&lt;"&amp;D2000,$D$5:$D$3004,"&gt;"&amp;C2000)&gt;1,"⚠️ пересечение",""))</f>
        <v/>
      </c>
      <c r="M2000" s="54">
        <f>IF(F2000="","",IF(J2000="✅ Сделано","✔ ",IF(J2000="❌ Пропущено","✖ ","⏰ "))&amp;IF(C2000="","",RIGHT("0"&amp;HOUR(C2000),2)&amp;":"&amp;RIGHT("0"&amp;MINUTE(C2000),2)&amp;IF(D2000="","","–"&amp;RIGHT("0"&amp;HOUR(D2000),2)&amp;":"&amp;RIGHT("0"&amp;MINUTE(D2000),2))&amp;" ")&amp;F2000)</f>
        <v/>
      </c>
      <c r="N2000" s="54">
        <f>IF(OR(A2000="",F2000=""),"",A2000&amp;"#"&amp;(COUNTIFS($A$5:$A$3004,A2000,$F$5:$F$3004,"?*",$O$5:$O$3004,"&lt;"&amp;O2000)+COUNTIFS($A$5:A2000,A2000,$F$5:F2000,"?*",$O$5:O2000,O2000)))</f>
        <v/>
      </c>
      <c r="O2000" s="54">
        <f>IF(A2000="","",IF(C2000="",0,C2000))</f>
        <v/>
      </c>
    </row>
    <row r="2001">
      <c r="A2001" s="58" t="n"/>
      <c r="B2001" s="49">
        <f>IF(A2001="","",CHOOSE(WEEKDAY(A2001,2),"Пн","Вт","Ср","Чт","Пт","Сб","Вс"))</f>
        <v/>
      </c>
      <c r="C2001" s="59" t="n"/>
      <c r="D2001" s="59" t="n"/>
      <c r="E2001" s="60">
        <f>IF(OR(C2001="",D2001=""),"",MOD(D2001-C2001,1)*24)</f>
        <v/>
      </c>
      <c r="F2001" s="50" t="n"/>
      <c r="G2001" s="51" t="n"/>
      <c r="H2001" s="51" t="n"/>
      <c r="I2001" s="51" t="n"/>
      <c r="J2001" s="51" t="n"/>
      <c r="K2001" s="51" t="n"/>
      <c r="L2001" s="54">
        <f>IF(OR(A2001="",C2001="",D2001=""),"",IF(COUNTIFS($A$5:$A$3004,A2001,$C$5:$C$3004,"&lt;"&amp;D2001,$D$5:$D$3004,"&gt;"&amp;C2001)&gt;1,"⚠️ пересечение",""))</f>
        <v/>
      </c>
      <c r="M2001" s="54">
        <f>IF(F2001="","",IF(J2001="✅ Сделано","✔ ",IF(J2001="❌ Пропущено","✖ ","⏰ "))&amp;IF(C2001="","",RIGHT("0"&amp;HOUR(C2001),2)&amp;":"&amp;RIGHT("0"&amp;MINUTE(C2001),2)&amp;IF(D2001="","","–"&amp;RIGHT("0"&amp;HOUR(D2001),2)&amp;":"&amp;RIGHT("0"&amp;MINUTE(D2001),2))&amp;" ")&amp;F2001)</f>
        <v/>
      </c>
      <c r="N2001" s="54">
        <f>IF(OR(A2001="",F2001=""),"",A2001&amp;"#"&amp;(COUNTIFS($A$5:$A$3004,A2001,$F$5:$F$3004,"?*",$O$5:$O$3004,"&lt;"&amp;O2001)+COUNTIFS($A$5:A2001,A2001,$F$5:F2001,"?*",$O$5:O2001,O2001)))</f>
        <v/>
      </c>
      <c r="O2001" s="54">
        <f>IF(A2001="","",IF(C2001="",0,C2001))</f>
        <v/>
      </c>
    </row>
    <row r="2002">
      <c r="A2002" s="58" t="n"/>
      <c r="B2002" s="49">
        <f>IF(A2002="","",CHOOSE(WEEKDAY(A2002,2),"Пн","Вт","Ср","Чт","Пт","Сб","Вс"))</f>
        <v/>
      </c>
      <c r="C2002" s="59" t="n"/>
      <c r="D2002" s="59" t="n"/>
      <c r="E2002" s="60">
        <f>IF(OR(C2002="",D2002=""),"",MOD(D2002-C2002,1)*24)</f>
        <v/>
      </c>
      <c r="F2002" s="50" t="n"/>
      <c r="G2002" s="51" t="n"/>
      <c r="H2002" s="51" t="n"/>
      <c r="I2002" s="51" t="n"/>
      <c r="J2002" s="51" t="n"/>
      <c r="K2002" s="51" t="n"/>
      <c r="L2002" s="54">
        <f>IF(OR(A2002="",C2002="",D2002=""),"",IF(COUNTIFS($A$5:$A$3004,A2002,$C$5:$C$3004,"&lt;"&amp;D2002,$D$5:$D$3004,"&gt;"&amp;C2002)&gt;1,"⚠️ пересечение",""))</f>
        <v/>
      </c>
      <c r="M2002" s="54">
        <f>IF(F2002="","",IF(J2002="✅ Сделано","✔ ",IF(J2002="❌ Пропущено","✖ ","⏰ "))&amp;IF(C2002="","",RIGHT("0"&amp;HOUR(C2002),2)&amp;":"&amp;RIGHT("0"&amp;MINUTE(C2002),2)&amp;IF(D2002="","","–"&amp;RIGHT("0"&amp;HOUR(D2002),2)&amp;":"&amp;RIGHT("0"&amp;MINUTE(D2002),2))&amp;" ")&amp;F2002)</f>
        <v/>
      </c>
      <c r="N2002" s="54">
        <f>IF(OR(A2002="",F2002=""),"",A2002&amp;"#"&amp;(COUNTIFS($A$5:$A$3004,A2002,$F$5:$F$3004,"?*",$O$5:$O$3004,"&lt;"&amp;O2002)+COUNTIFS($A$5:A2002,A2002,$F$5:F2002,"?*",$O$5:O2002,O2002)))</f>
        <v/>
      </c>
      <c r="O2002" s="54">
        <f>IF(A2002="","",IF(C2002="",0,C2002))</f>
        <v/>
      </c>
    </row>
    <row r="2003">
      <c r="A2003" s="58" t="n"/>
      <c r="B2003" s="49">
        <f>IF(A2003="","",CHOOSE(WEEKDAY(A2003,2),"Пн","Вт","Ср","Чт","Пт","Сб","Вс"))</f>
        <v/>
      </c>
      <c r="C2003" s="59" t="n"/>
      <c r="D2003" s="59" t="n"/>
      <c r="E2003" s="60">
        <f>IF(OR(C2003="",D2003=""),"",MOD(D2003-C2003,1)*24)</f>
        <v/>
      </c>
      <c r="F2003" s="50" t="n"/>
      <c r="G2003" s="51" t="n"/>
      <c r="H2003" s="51" t="n"/>
      <c r="I2003" s="51" t="n"/>
      <c r="J2003" s="51" t="n"/>
      <c r="K2003" s="51" t="n"/>
      <c r="L2003" s="54">
        <f>IF(OR(A2003="",C2003="",D2003=""),"",IF(COUNTIFS($A$5:$A$3004,A2003,$C$5:$C$3004,"&lt;"&amp;D2003,$D$5:$D$3004,"&gt;"&amp;C2003)&gt;1,"⚠️ пересечение",""))</f>
        <v/>
      </c>
      <c r="M2003" s="54">
        <f>IF(F2003="","",IF(J2003="✅ Сделано","✔ ",IF(J2003="❌ Пропущено","✖ ","⏰ "))&amp;IF(C2003="","",RIGHT("0"&amp;HOUR(C2003),2)&amp;":"&amp;RIGHT("0"&amp;MINUTE(C2003),2)&amp;IF(D2003="","","–"&amp;RIGHT("0"&amp;HOUR(D2003),2)&amp;":"&amp;RIGHT("0"&amp;MINUTE(D2003),2))&amp;" ")&amp;F2003)</f>
        <v/>
      </c>
      <c r="N2003" s="54">
        <f>IF(OR(A2003="",F2003=""),"",A2003&amp;"#"&amp;(COUNTIFS($A$5:$A$3004,A2003,$F$5:$F$3004,"?*",$O$5:$O$3004,"&lt;"&amp;O2003)+COUNTIFS($A$5:A2003,A2003,$F$5:F2003,"?*",$O$5:O2003,O2003)))</f>
        <v/>
      </c>
      <c r="O2003" s="54">
        <f>IF(A2003="","",IF(C2003="",0,C2003))</f>
        <v/>
      </c>
    </row>
    <row r="2004">
      <c r="A2004" s="58" t="n"/>
      <c r="B2004" s="49">
        <f>IF(A2004="","",CHOOSE(WEEKDAY(A2004,2),"Пн","Вт","Ср","Чт","Пт","Сб","Вс"))</f>
        <v/>
      </c>
      <c r="C2004" s="59" t="n"/>
      <c r="D2004" s="59" t="n"/>
      <c r="E2004" s="60">
        <f>IF(OR(C2004="",D2004=""),"",MOD(D2004-C2004,1)*24)</f>
        <v/>
      </c>
      <c r="F2004" s="50" t="n"/>
      <c r="G2004" s="51" t="n"/>
      <c r="H2004" s="51" t="n"/>
      <c r="I2004" s="51" t="n"/>
      <c r="J2004" s="51" t="n"/>
      <c r="K2004" s="51" t="n"/>
      <c r="L2004" s="54">
        <f>IF(OR(A2004="",C2004="",D2004=""),"",IF(COUNTIFS($A$5:$A$3004,A2004,$C$5:$C$3004,"&lt;"&amp;D2004,$D$5:$D$3004,"&gt;"&amp;C2004)&gt;1,"⚠️ пересечение",""))</f>
        <v/>
      </c>
      <c r="M2004" s="54">
        <f>IF(F2004="","",IF(J2004="✅ Сделано","✔ ",IF(J2004="❌ Пропущено","✖ ","⏰ "))&amp;IF(C2004="","",RIGHT("0"&amp;HOUR(C2004),2)&amp;":"&amp;RIGHT("0"&amp;MINUTE(C2004),2)&amp;IF(D2004="","","–"&amp;RIGHT("0"&amp;HOUR(D2004),2)&amp;":"&amp;RIGHT("0"&amp;MINUTE(D2004),2))&amp;" ")&amp;F2004)</f>
        <v/>
      </c>
      <c r="N2004" s="54">
        <f>IF(OR(A2004="",F2004=""),"",A2004&amp;"#"&amp;(COUNTIFS($A$5:$A$3004,A2004,$F$5:$F$3004,"?*",$O$5:$O$3004,"&lt;"&amp;O2004)+COUNTIFS($A$5:A2004,A2004,$F$5:F2004,"?*",$O$5:O2004,O2004)))</f>
        <v/>
      </c>
      <c r="O2004" s="54">
        <f>IF(A2004="","",IF(C2004="",0,C2004))</f>
        <v/>
      </c>
    </row>
    <row r="2005">
      <c r="A2005" s="58" t="n"/>
      <c r="B2005" s="49">
        <f>IF(A2005="","",CHOOSE(WEEKDAY(A2005,2),"Пн","Вт","Ср","Чт","Пт","Сб","Вс"))</f>
        <v/>
      </c>
      <c r="C2005" s="59" t="n"/>
      <c r="D2005" s="59" t="n"/>
      <c r="E2005" s="60">
        <f>IF(OR(C2005="",D2005=""),"",MOD(D2005-C2005,1)*24)</f>
        <v/>
      </c>
      <c r="F2005" s="50" t="n"/>
      <c r="G2005" s="51" t="n"/>
      <c r="H2005" s="51" t="n"/>
      <c r="I2005" s="51" t="n"/>
      <c r="J2005" s="51" t="n"/>
      <c r="K2005" s="51" t="n"/>
      <c r="L2005" s="54">
        <f>IF(OR(A2005="",C2005="",D2005=""),"",IF(COUNTIFS($A$5:$A$3004,A2005,$C$5:$C$3004,"&lt;"&amp;D2005,$D$5:$D$3004,"&gt;"&amp;C2005)&gt;1,"⚠️ пересечение",""))</f>
        <v/>
      </c>
      <c r="M2005" s="54">
        <f>IF(F2005="","",IF(J2005="✅ Сделано","✔ ",IF(J2005="❌ Пропущено","✖ ","⏰ "))&amp;IF(C2005="","",RIGHT("0"&amp;HOUR(C2005),2)&amp;":"&amp;RIGHT("0"&amp;MINUTE(C2005),2)&amp;IF(D2005="","","–"&amp;RIGHT("0"&amp;HOUR(D2005),2)&amp;":"&amp;RIGHT("0"&amp;MINUTE(D2005),2))&amp;" ")&amp;F2005)</f>
        <v/>
      </c>
      <c r="N2005" s="54">
        <f>IF(OR(A2005="",F2005=""),"",A2005&amp;"#"&amp;(COUNTIFS($A$5:$A$3004,A2005,$F$5:$F$3004,"?*",$O$5:$O$3004,"&lt;"&amp;O2005)+COUNTIFS($A$5:A2005,A2005,$F$5:F2005,"?*",$O$5:O2005,O2005)))</f>
        <v/>
      </c>
      <c r="O2005" s="54">
        <f>IF(A2005="","",IF(C2005="",0,C2005))</f>
        <v/>
      </c>
    </row>
    <row r="2006">
      <c r="A2006" s="58" t="n"/>
      <c r="B2006" s="49">
        <f>IF(A2006="","",CHOOSE(WEEKDAY(A2006,2),"Пн","Вт","Ср","Чт","Пт","Сб","Вс"))</f>
        <v/>
      </c>
      <c r="C2006" s="59" t="n"/>
      <c r="D2006" s="59" t="n"/>
      <c r="E2006" s="60">
        <f>IF(OR(C2006="",D2006=""),"",MOD(D2006-C2006,1)*24)</f>
        <v/>
      </c>
      <c r="F2006" s="50" t="n"/>
      <c r="G2006" s="51" t="n"/>
      <c r="H2006" s="51" t="n"/>
      <c r="I2006" s="51" t="n"/>
      <c r="J2006" s="51" t="n"/>
      <c r="K2006" s="51" t="n"/>
      <c r="L2006" s="54">
        <f>IF(OR(A2006="",C2006="",D2006=""),"",IF(COUNTIFS($A$5:$A$3004,A2006,$C$5:$C$3004,"&lt;"&amp;D2006,$D$5:$D$3004,"&gt;"&amp;C2006)&gt;1,"⚠️ пересечение",""))</f>
        <v/>
      </c>
      <c r="M2006" s="54">
        <f>IF(F2006="","",IF(J2006="✅ Сделано","✔ ",IF(J2006="❌ Пропущено","✖ ","⏰ "))&amp;IF(C2006="","",RIGHT("0"&amp;HOUR(C2006),2)&amp;":"&amp;RIGHT("0"&amp;MINUTE(C2006),2)&amp;IF(D2006="","","–"&amp;RIGHT("0"&amp;HOUR(D2006),2)&amp;":"&amp;RIGHT("0"&amp;MINUTE(D2006),2))&amp;" ")&amp;F2006)</f>
        <v/>
      </c>
      <c r="N2006" s="54">
        <f>IF(OR(A2006="",F2006=""),"",A2006&amp;"#"&amp;(COUNTIFS($A$5:$A$3004,A2006,$F$5:$F$3004,"?*",$O$5:$O$3004,"&lt;"&amp;O2006)+COUNTIFS($A$5:A2006,A2006,$F$5:F2006,"?*",$O$5:O2006,O2006)))</f>
        <v/>
      </c>
      <c r="O2006" s="54">
        <f>IF(A2006="","",IF(C2006="",0,C2006))</f>
        <v/>
      </c>
    </row>
    <row r="2007">
      <c r="A2007" s="58" t="n"/>
      <c r="B2007" s="49">
        <f>IF(A2007="","",CHOOSE(WEEKDAY(A2007,2),"Пн","Вт","Ср","Чт","Пт","Сб","Вс"))</f>
        <v/>
      </c>
      <c r="C2007" s="59" t="n"/>
      <c r="D2007" s="59" t="n"/>
      <c r="E2007" s="60">
        <f>IF(OR(C2007="",D2007=""),"",MOD(D2007-C2007,1)*24)</f>
        <v/>
      </c>
      <c r="F2007" s="50" t="n"/>
      <c r="G2007" s="51" t="n"/>
      <c r="H2007" s="51" t="n"/>
      <c r="I2007" s="51" t="n"/>
      <c r="J2007" s="51" t="n"/>
      <c r="K2007" s="51" t="n"/>
      <c r="L2007" s="54">
        <f>IF(OR(A2007="",C2007="",D2007=""),"",IF(COUNTIFS($A$5:$A$3004,A2007,$C$5:$C$3004,"&lt;"&amp;D2007,$D$5:$D$3004,"&gt;"&amp;C2007)&gt;1,"⚠️ пересечение",""))</f>
        <v/>
      </c>
      <c r="M2007" s="54">
        <f>IF(F2007="","",IF(J2007="✅ Сделано","✔ ",IF(J2007="❌ Пропущено","✖ ","⏰ "))&amp;IF(C2007="","",RIGHT("0"&amp;HOUR(C2007),2)&amp;":"&amp;RIGHT("0"&amp;MINUTE(C2007),2)&amp;IF(D2007="","","–"&amp;RIGHT("0"&amp;HOUR(D2007),2)&amp;":"&amp;RIGHT("0"&amp;MINUTE(D2007),2))&amp;" ")&amp;F2007)</f>
        <v/>
      </c>
      <c r="N2007" s="54">
        <f>IF(OR(A2007="",F2007=""),"",A2007&amp;"#"&amp;(COUNTIFS($A$5:$A$3004,A2007,$F$5:$F$3004,"?*",$O$5:$O$3004,"&lt;"&amp;O2007)+COUNTIFS($A$5:A2007,A2007,$F$5:F2007,"?*",$O$5:O2007,O2007)))</f>
        <v/>
      </c>
      <c r="O2007" s="54">
        <f>IF(A2007="","",IF(C2007="",0,C2007))</f>
        <v/>
      </c>
    </row>
    <row r="2008">
      <c r="A2008" s="58" t="n"/>
      <c r="B2008" s="49">
        <f>IF(A2008="","",CHOOSE(WEEKDAY(A2008,2),"Пн","Вт","Ср","Чт","Пт","Сб","Вс"))</f>
        <v/>
      </c>
      <c r="C2008" s="59" t="n"/>
      <c r="D2008" s="59" t="n"/>
      <c r="E2008" s="60">
        <f>IF(OR(C2008="",D2008=""),"",MOD(D2008-C2008,1)*24)</f>
        <v/>
      </c>
      <c r="F2008" s="50" t="n"/>
      <c r="G2008" s="51" t="n"/>
      <c r="H2008" s="51" t="n"/>
      <c r="I2008" s="51" t="n"/>
      <c r="J2008" s="51" t="n"/>
      <c r="K2008" s="51" t="n"/>
      <c r="L2008" s="54">
        <f>IF(OR(A2008="",C2008="",D2008=""),"",IF(COUNTIFS($A$5:$A$3004,A2008,$C$5:$C$3004,"&lt;"&amp;D2008,$D$5:$D$3004,"&gt;"&amp;C2008)&gt;1,"⚠️ пересечение",""))</f>
        <v/>
      </c>
      <c r="M2008" s="54">
        <f>IF(F2008="","",IF(J2008="✅ Сделано","✔ ",IF(J2008="❌ Пропущено","✖ ","⏰ "))&amp;IF(C2008="","",RIGHT("0"&amp;HOUR(C2008),2)&amp;":"&amp;RIGHT("0"&amp;MINUTE(C2008),2)&amp;IF(D2008="","","–"&amp;RIGHT("0"&amp;HOUR(D2008),2)&amp;":"&amp;RIGHT("0"&amp;MINUTE(D2008),2))&amp;" ")&amp;F2008)</f>
        <v/>
      </c>
      <c r="N2008" s="54">
        <f>IF(OR(A2008="",F2008=""),"",A2008&amp;"#"&amp;(COUNTIFS($A$5:$A$3004,A2008,$F$5:$F$3004,"?*",$O$5:$O$3004,"&lt;"&amp;O2008)+COUNTIFS($A$5:A2008,A2008,$F$5:F2008,"?*",$O$5:O2008,O2008)))</f>
        <v/>
      </c>
      <c r="O2008" s="54">
        <f>IF(A2008="","",IF(C2008="",0,C2008))</f>
        <v/>
      </c>
    </row>
    <row r="2009">
      <c r="A2009" s="58" t="n"/>
      <c r="B2009" s="49">
        <f>IF(A2009="","",CHOOSE(WEEKDAY(A2009,2),"Пн","Вт","Ср","Чт","Пт","Сб","Вс"))</f>
        <v/>
      </c>
      <c r="C2009" s="59" t="n"/>
      <c r="D2009" s="59" t="n"/>
      <c r="E2009" s="60">
        <f>IF(OR(C2009="",D2009=""),"",MOD(D2009-C2009,1)*24)</f>
        <v/>
      </c>
      <c r="F2009" s="50" t="n"/>
      <c r="G2009" s="51" t="n"/>
      <c r="H2009" s="51" t="n"/>
      <c r="I2009" s="51" t="n"/>
      <c r="J2009" s="51" t="n"/>
      <c r="K2009" s="51" t="n"/>
      <c r="L2009" s="54">
        <f>IF(OR(A2009="",C2009="",D2009=""),"",IF(COUNTIFS($A$5:$A$3004,A2009,$C$5:$C$3004,"&lt;"&amp;D2009,$D$5:$D$3004,"&gt;"&amp;C2009)&gt;1,"⚠️ пересечение",""))</f>
        <v/>
      </c>
      <c r="M2009" s="54">
        <f>IF(F2009="","",IF(J2009="✅ Сделано","✔ ",IF(J2009="❌ Пропущено","✖ ","⏰ "))&amp;IF(C2009="","",RIGHT("0"&amp;HOUR(C2009),2)&amp;":"&amp;RIGHT("0"&amp;MINUTE(C2009),2)&amp;IF(D2009="","","–"&amp;RIGHT("0"&amp;HOUR(D2009),2)&amp;":"&amp;RIGHT("0"&amp;MINUTE(D2009),2))&amp;" ")&amp;F2009)</f>
        <v/>
      </c>
      <c r="N2009" s="54">
        <f>IF(OR(A2009="",F2009=""),"",A2009&amp;"#"&amp;(COUNTIFS($A$5:$A$3004,A2009,$F$5:$F$3004,"?*",$O$5:$O$3004,"&lt;"&amp;O2009)+COUNTIFS($A$5:A2009,A2009,$F$5:F2009,"?*",$O$5:O2009,O2009)))</f>
        <v/>
      </c>
      <c r="O2009" s="54">
        <f>IF(A2009="","",IF(C2009="",0,C2009))</f>
        <v/>
      </c>
    </row>
    <row r="2010">
      <c r="A2010" s="58" t="n"/>
      <c r="B2010" s="49">
        <f>IF(A2010="","",CHOOSE(WEEKDAY(A2010,2),"Пн","Вт","Ср","Чт","Пт","Сб","Вс"))</f>
        <v/>
      </c>
      <c r="C2010" s="59" t="n"/>
      <c r="D2010" s="59" t="n"/>
      <c r="E2010" s="60">
        <f>IF(OR(C2010="",D2010=""),"",MOD(D2010-C2010,1)*24)</f>
        <v/>
      </c>
      <c r="F2010" s="50" t="n"/>
      <c r="G2010" s="51" t="n"/>
      <c r="H2010" s="51" t="n"/>
      <c r="I2010" s="51" t="n"/>
      <c r="J2010" s="51" t="n"/>
      <c r="K2010" s="51" t="n"/>
      <c r="L2010" s="54">
        <f>IF(OR(A2010="",C2010="",D2010=""),"",IF(COUNTIFS($A$5:$A$3004,A2010,$C$5:$C$3004,"&lt;"&amp;D2010,$D$5:$D$3004,"&gt;"&amp;C2010)&gt;1,"⚠️ пересечение",""))</f>
        <v/>
      </c>
      <c r="M2010" s="54">
        <f>IF(F2010="","",IF(J2010="✅ Сделано","✔ ",IF(J2010="❌ Пропущено","✖ ","⏰ "))&amp;IF(C2010="","",RIGHT("0"&amp;HOUR(C2010),2)&amp;":"&amp;RIGHT("0"&amp;MINUTE(C2010),2)&amp;IF(D2010="","","–"&amp;RIGHT("0"&amp;HOUR(D2010),2)&amp;":"&amp;RIGHT("0"&amp;MINUTE(D2010),2))&amp;" ")&amp;F2010)</f>
        <v/>
      </c>
      <c r="N2010" s="54">
        <f>IF(OR(A2010="",F2010=""),"",A2010&amp;"#"&amp;(COUNTIFS($A$5:$A$3004,A2010,$F$5:$F$3004,"?*",$O$5:$O$3004,"&lt;"&amp;O2010)+COUNTIFS($A$5:A2010,A2010,$F$5:F2010,"?*",$O$5:O2010,O2010)))</f>
        <v/>
      </c>
      <c r="O2010" s="54">
        <f>IF(A2010="","",IF(C2010="",0,C2010))</f>
        <v/>
      </c>
    </row>
    <row r="2011">
      <c r="A2011" s="58" t="n"/>
      <c r="B2011" s="49">
        <f>IF(A2011="","",CHOOSE(WEEKDAY(A2011,2),"Пн","Вт","Ср","Чт","Пт","Сб","Вс"))</f>
        <v/>
      </c>
      <c r="C2011" s="59" t="n"/>
      <c r="D2011" s="59" t="n"/>
      <c r="E2011" s="60">
        <f>IF(OR(C2011="",D2011=""),"",MOD(D2011-C2011,1)*24)</f>
        <v/>
      </c>
      <c r="F2011" s="50" t="n"/>
      <c r="G2011" s="51" t="n"/>
      <c r="H2011" s="51" t="n"/>
      <c r="I2011" s="51" t="n"/>
      <c r="J2011" s="51" t="n"/>
      <c r="K2011" s="51" t="n"/>
      <c r="L2011" s="54">
        <f>IF(OR(A2011="",C2011="",D2011=""),"",IF(COUNTIFS($A$5:$A$3004,A2011,$C$5:$C$3004,"&lt;"&amp;D2011,$D$5:$D$3004,"&gt;"&amp;C2011)&gt;1,"⚠️ пересечение",""))</f>
        <v/>
      </c>
      <c r="M2011" s="54">
        <f>IF(F2011="","",IF(J2011="✅ Сделано","✔ ",IF(J2011="❌ Пропущено","✖ ","⏰ "))&amp;IF(C2011="","",RIGHT("0"&amp;HOUR(C2011),2)&amp;":"&amp;RIGHT("0"&amp;MINUTE(C2011),2)&amp;IF(D2011="","","–"&amp;RIGHT("0"&amp;HOUR(D2011),2)&amp;":"&amp;RIGHT("0"&amp;MINUTE(D2011),2))&amp;" ")&amp;F2011)</f>
        <v/>
      </c>
      <c r="N2011" s="54">
        <f>IF(OR(A2011="",F2011=""),"",A2011&amp;"#"&amp;(COUNTIFS($A$5:$A$3004,A2011,$F$5:$F$3004,"?*",$O$5:$O$3004,"&lt;"&amp;O2011)+COUNTIFS($A$5:A2011,A2011,$F$5:F2011,"?*",$O$5:O2011,O2011)))</f>
        <v/>
      </c>
      <c r="O2011" s="54">
        <f>IF(A2011="","",IF(C2011="",0,C2011))</f>
        <v/>
      </c>
    </row>
    <row r="2012">
      <c r="A2012" s="58" t="n"/>
      <c r="B2012" s="49">
        <f>IF(A2012="","",CHOOSE(WEEKDAY(A2012,2),"Пн","Вт","Ср","Чт","Пт","Сб","Вс"))</f>
        <v/>
      </c>
      <c r="C2012" s="59" t="n"/>
      <c r="D2012" s="59" t="n"/>
      <c r="E2012" s="60">
        <f>IF(OR(C2012="",D2012=""),"",MOD(D2012-C2012,1)*24)</f>
        <v/>
      </c>
      <c r="F2012" s="50" t="n"/>
      <c r="G2012" s="51" t="n"/>
      <c r="H2012" s="51" t="n"/>
      <c r="I2012" s="51" t="n"/>
      <c r="J2012" s="51" t="n"/>
      <c r="K2012" s="51" t="n"/>
      <c r="L2012" s="54">
        <f>IF(OR(A2012="",C2012="",D2012=""),"",IF(COUNTIFS($A$5:$A$3004,A2012,$C$5:$C$3004,"&lt;"&amp;D2012,$D$5:$D$3004,"&gt;"&amp;C2012)&gt;1,"⚠️ пересечение",""))</f>
        <v/>
      </c>
      <c r="M2012" s="54">
        <f>IF(F2012="","",IF(J2012="✅ Сделано","✔ ",IF(J2012="❌ Пропущено","✖ ","⏰ "))&amp;IF(C2012="","",RIGHT("0"&amp;HOUR(C2012),2)&amp;":"&amp;RIGHT("0"&amp;MINUTE(C2012),2)&amp;IF(D2012="","","–"&amp;RIGHT("0"&amp;HOUR(D2012),2)&amp;":"&amp;RIGHT("0"&amp;MINUTE(D2012),2))&amp;" ")&amp;F2012)</f>
        <v/>
      </c>
      <c r="N2012" s="54">
        <f>IF(OR(A2012="",F2012=""),"",A2012&amp;"#"&amp;(COUNTIFS($A$5:$A$3004,A2012,$F$5:$F$3004,"?*",$O$5:$O$3004,"&lt;"&amp;O2012)+COUNTIFS($A$5:A2012,A2012,$F$5:F2012,"?*",$O$5:O2012,O2012)))</f>
        <v/>
      </c>
      <c r="O2012" s="54">
        <f>IF(A2012="","",IF(C2012="",0,C2012))</f>
        <v/>
      </c>
    </row>
    <row r="2013">
      <c r="A2013" s="58" t="n"/>
      <c r="B2013" s="49">
        <f>IF(A2013="","",CHOOSE(WEEKDAY(A2013,2),"Пн","Вт","Ср","Чт","Пт","Сб","Вс"))</f>
        <v/>
      </c>
      <c r="C2013" s="59" t="n"/>
      <c r="D2013" s="59" t="n"/>
      <c r="E2013" s="60">
        <f>IF(OR(C2013="",D2013=""),"",MOD(D2013-C2013,1)*24)</f>
        <v/>
      </c>
      <c r="F2013" s="50" t="n"/>
      <c r="G2013" s="51" t="n"/>
      <c r="H2013" s="51" t="n"/>
      <c r="I2013" s="51" t="n"/>
      <c r="J2013" s="51" t="n"/>
      <c r="K2013" s="51" t="n"/>
      <c r="L2013" s="54">
        <f>IF(OR(A2013="",C2013="",D2013=""),"",IF(COUNTIFS($A$5:$A$3004,A2013,$C$5:$C$3004,"&lt;"&amp;D2013,$D$5:$D$3004,"&gt;"&amp;C2013)&gt;1,"⚠️ пересечение",""))</f>
        <v/>
      </c>
      <c r="M2013" s="54">
        <f>IF(F2013="","",IF(J2013="✅ Сделано","✔ ",IF(J2013="❌ Пропущено","✖ ","⏰ "))&amp;IF(C2013="","",RIGHT("0"&amp;HOUR(C2013),2)&amp;":"&amp;RIGHT("0"&amp;MINUTE(C2013),2)&amp;IF(D2013="","","–"&amp;RIGHT("0"&amp;HOUR(D2013),2)&amp;":"&amp;RIGHT("0"&amp;MINUTE(D2013),2))&amp;" ")&amp;F2013)</f>
        <v/>
      </c>
      <c r="N2013" s="54">
        <f>IF(OR(A2013="",F2013=""),"",A2013&amp;"#"&amp;(COUNTIFS($A$5:$A$3004,A2013,$F$5:$F$3004,"?*",$O$5:$O$3004,"&lt;"&amp;O2013)+COUNTIFS($A$5:A2013,A2013,$F$5:F2013,"?*",$O$5:O2013,O2013)))</f>
        <v/>
      </c>
      <c r="O2013" s="54">
        <f>IF(A2013="","",IF(C2013="",0,C2013))</f>
        <v/>
      </c>
    </row>
    <row r="2014">
      <c r="A2014" s="58" t="n"/>
      <c r="B2014" s="49">
        <f>IF(A2014="","",CHOOSE(WEEKDAY(A2014,2),"Пн","Вт","Ср","Чт","Пт","Сб","Вс"))</f>
        <v/>
      </c>
      <c r="C2014" s="59" t="n"/>
      <c r="D2014" s="59" t="n"/>
      <c r="E2014" s="60">
        <f>IF(OR(C2014="",D2014=""),"",MOD(D2014-C2014,1)*24)</f>
        <v/>
      </c>
      <c r="F2014" s="50" t="n"/>
      <c r="G2014" s="51" t="n"/>
      <c r="H2014" s="51" t="n"/>
      <c r="I2014" s="51" t="n"/>
      <c r="J2014" s="51" t="n"/>
      <c r="K2014" s="51" t="n"/>
      <c r="L2014" s="54">
        <f>IF(OR(A2014="",C2014="",D2014=""),"",IF(COUNTIFS($A$5:$A$3004,A2014,$C$5:$C$3004,"&lt;"&amp;D2014,$D$5:$D$3004,"&gt;"&amp;C2014)&gt;1,"⚠️ пересечение",""))</f>
        <v/>
      </c>
      <c r="M2014" s="54">
        <f>IF(F2014="","",IF(J2014="✅ Сделано","✔ ",IF(J2014="❌ Пропущено","✖ ","⏰ "))&amp;IF(C2014="","",RIGHT("0"&amp;HOUR(C2014),2)&amp;":"&amp;RIGHT("0"&amp;MINUTE(C2014),2)&amp;IF(D2014="","","–"&amp;RIGHT("0"&amp;HOUR(D2014),2)&amp;":"&amp;RIGHT("0"&amp;MINUTE(D2014),2))&amp;" ")&amp;F2014)</f>
        <v/>
      </c>
      <c r="N2014" s="54">
        <f>IF(OR(A2014="",F2014=""),"",A2014&amp;"#"&amp;(COUNTIFS($A$5:$A$3004,A2014,$F$5:$F$3004,"?*",$O$5:$O$3004,"&lt;"&amp;O2014)+COUNTIFS($A$5:A2014,A2014,$F$5:F2014,"?*",$O$5:O2014,O2014)))</f>
        <v/>
      </c>
      <c r="O2014" s="54">
        <f>IF(A2014="","",IF(C2014="",0,C2014))</f>
        <v/>
      </c>
    </row>
    <row r="2015">
      <c r="A2015" s="58" t="n"/>
      <c r="B2015" s="49">
        <f>IF(A2015="","",CHOOSE(WEEKDAY(A2015,2),"Пн","Вт","Ср","Чт","Пт","Сб","Вс"))</f>
        <v/>
      </c>
      <c r="C2015" s="59" t="n"/>
      <c r="D2015" s="59" t="n"/>
      <c r="E2015" s="60">
        <f>IF(OR(C2015="",D2015=""),"",MOD(D2015-C2015,1)*24)</f>
        <v/>
      </c>
      <c r="F2015" s="50" t="n"/>
      <c r="G2015" s="51" t="n"/>
      <c r="H2015" s="51" t="n"/>
      <c r="I2015" s="51" t="n"/>
      <c r="J2015" s="51" t="n"/>
      <c r="K2015" s="51" t="n"/>
      <c r="L2015" s="54">
        <f>IF(OR(A2015="",C2015="",D2015=""),"",IF(COUNTIFS($A$5:$A$3004,A2015,$C$5:$C$3004,"&lt;"&amp;D2015,$D$5:$D$3004,"&gt;"&amp;C2015)&gt;1,"⚠️ пересечение",""))</f>
        <v/>
      </c>
      <c r="M2015" s="54">
        <f>IF(F2015="","",IF(J2015="✅ Сделано","✔ ",IF(J2015="❌ Пропущено","✖ ","⏰ "))&amp;IF(C2015="","",RIGHT("0"&amp;HOUR(C2015),2)&amp;":"&amp;RIGHT("0"&amp;MINUTE(C2015),2)&amp;IF(D2015="","","–"&amp;RIGHT("0"&amp;HOUR(D2015),2)&amp;":"&amp;RIGHT("0"&amp;MINUTE(D2015),2))&amp;" ")&amp;F2015)</f>
        <v/>
      </c>
      <c r="N2015" s="54">
        <f>IF(OR(A2015="",F2015=""),"",A2015&amp;"#"&amp;(COUNTIFS($A$5:$A$3004,A2015,$F$5:$F$3004,"?*",$O$5:$O$3004,"&lt;"&amp;O2015)+COUNTIFS($A$5:A2015,A2015,$F$5:F2015,"?*",$O$5:O2015,O2015)))</f>
        <v/>
      </c>
      <c r="O2015" s="54">
        <f>IF(A2015="","",IF(C2015="",0,C2015))</f>
        <v/>
      </c>
    </row>
    <row r="2016">
      <c r="A2016" s="58" t="n"/>
      <c r="B2016" s="49">
        <f>IF(A2016="","",CHOOSE(WEEKDAY(A2016,2),"Пн","Вт","Ср","Чт","Пт","Сб","Вс"))</f>
        <v/>
      </c>
      <c r="C2016" s="59" t="n"/>
      <c r="D2016" s="59" t="n"/>
      <c r="E2016" s="60">
        <f>IF(OR(C2016="",D2016=""),"",MOD(D2016-C2016,1)*24)</f>
        <v/>
      </c>
      <c r="F2016" s="50" t="n"/>
      <c r="G2016" s="51" t="n"/>
      <c r="H2016" s="51" t="n"/>
      <c r="I2016" s="51" t="n"/>
      <c r="J2016" s="51" t="n"/>
      <c r="K2016" s="51" t="n"/>
      <c r="L2016" s="54">
        <f>IF(OR(A2016="",C2016="",D2016=""),"",IF(COUNTIFS($A$5:$A$3004,A2016,$C$5:$C$3004,"&lt;"&amp;D2016,$D$5:$D$3004,"&gt;"&amp;C2016)&gt;1,"⚠️ пересечение",""))</f>
        <v/>
      </c>
      <c r="M2016" s="54">
        <f>IF(F2016="","",IF(J2016="✅ Сделано","✔ ",IF(J2016="❌ Пропущено","✖ ","⏰ "))&amp;IF(C2016="","",RIGHT("0"&amp;HOUR(C2016),2)&amp;":"&amp;RIGHT("0"&amp;MINUTE(C2016),2)&amp;IF(D2016="","","–"&amp;RIGHT("0"&amp;HOUR(D2016),2)&amp;":"&amp;RIGHT("0"&amp;MINUTE(D2016),2))&amp;" ")&amp;F2016)</f>
        <v/>
      </c>
      <c r="N2016" s="54">
        <f>IF(OR(A2016="",F2016=""),"",A2016&amp;"#"&amp;(COUNTIFS($A$5:$A$3004,A2016,$F$5:$F$3004,"?*",$O$5:$O$3004,"&lt;"&amp;O2016)+COUNTIFS($A$5:A2016,A2016,$F$5:F2016,"?*",$O$5:O2016,O2016)))</f>
        <v/>
      </c>
      <c r="O2016" s="54">
        <f>IF(A2016="","",IF(C2016="",0,C2016))</f>
        <v/>
      </c>
    </row>
    <row r="2017">
      <c r="A2017" s="58" t="n"/>
      <c r="B2017" s="49">
        <f>IF(A2017="","",CHOOSE(WEEKDAY(A2017,2),"Пн","Вт","Ср","Чт","Пт","Сб","Вс"))</f>
        <v/>
      </c>
      <c r="C2017" s="59" t="n"/>
      <c r="D2017" s="59" t="n"/>
      <c r="E2017" s="60">
        <f>IF(OR(C2017="",D2017=""),"",MOD(D2017-C2017,1)*24)</f>
        <v/>
      </c>
      <c r="F2017" s="50" t="n"/>
      <c r="G2017" s="51" t="n"/>
      <c r="H2017" s="51" t="n"/>
      <c r="I2017" s="51" t="n"/>
      <c r="J2017" s="51" t="n"/>
      <c r="K2017" s="51" t="n"/>
      <c r="L2017" s="54">
        <f>IF(OR(A2017="",C2017="",D2017=""),"",IF(COUNTIFS($A$5:$A$3004,A2017,$C$5:$C$3004,"&lt;"&amp;D2017,$D$5:$D$3004,"&gt;"&amp;C2017)&gt;1,"⚠️ пересечение",""))</f>
        <v/>
      </c>
      <c r="M2017" s="54">
        <f>IF(F2017="","",IF(J2017="✅ Сделано","✔ ",IF(J2017="❌ Пропущено","✖ ","⏰ "))&amp;IF(C2017="","",RIGHT("0"&amp;HOUR(C2017),2)&amp;":"&amp;RIGHT("0"&amp;MINUTE(C2017),2)&amp;IF(D2017="","","–"&amp;RIGHT("0"&amp;HOUR(D2017),2)&amp;":"&amp;RIGHT("0"&amp;MINUTE(D2017),2))&amp;" ")&amp;F2017)</f>
        <v/>
      </c>
      <c r="N2017" s="54">
        <f>IF(OR(A2017="",F2017=""),"",A2017&amp;"#"&amp;(COUNTIFS($A$5:$A$3004,A2017,$F$5:$F$3004,"?*",$O$5:$O$3004,"&lt;"&amp;O2017)+COUNTIFS($A$5:A2017,A2017,$F$5:F2017,"?*",$O$5:O2017,O2017)))</f>
        <v/>
      </c>
      <c r="O2017" s="54">
        <f>IF(A2017="","",IF(C2017="",0,C2017))</f>
        <v/>
      </c>
    </row>
    <row r="2018">
      <c r="A2018" s="58" t="n"/>
      <c r="B2018" s="49">
        <f>IF(A2018="","",CHOOSE(WEEKDAY(A2018,2),"Пн","Вт","Ср","Чт","Пт","Сб","Вс"))</f>
        <v/>
      </c>
      <c r="C2018" s="59" t="n"/>
      <c r="D2018" s="59" t="n"/>
      <c r="E2018" s="60">
        <f>IF(OR(C2018="",D2018=""),"",MOD(D2018-C2018,1)*24)</f>
        <v/>
      </c>
      <c r="F2018" s="50" t="n"/>
      <c r="G2018" s="51" t="n"/>
      <c r="H2018" s="51" t="n"/>
      <c r="I2018" s="51" t="n"/>
      <c r="J2018" s="51" t="n"/>
      <c r="K2018" s="51" t="n"/>
      <c r="L2018" s="54">
        <f>IF(OR(A2018="",C2018="",D2018=""),"",IF(COUNTIFS($A$5:$A$3004,A2018,$C$5:$C$3004,"&lt;"&amp;D2018,$D$5:$D$3004,"&gt;"&amp;C2018)&gt;1,"⚠️ пересечение",""))</f>
        <v/>
      </c>
      <c r="M2018" s="54">
        <f>IF(F2018="","",IF(J2018="✅ Сделано","✔ ",IF(J2018="❌ Пропущено","✖ ","⏰ "))&amp;IF(C2018="","",RIGHT("0"&amp;HOUR(C2018),2)&amp;":"&amp;RIGHT("0"&amp;MINUTE(C2018),2)&amp;IF(D2018="","","–"&amp;RIGHT("0"&amp;HOUR(D2018),2)&amp;":"&amp;RIGHT("0"&amp;MINUTE(D2018),2))&amp;" ")&amp;F2018)</f>
        <v/>
      </c>
      <c r="N2018" s="54">
        <f>IF(OR(A2018="",F2018=""),"",A2018&amp;"#"&amp;(COUNTIFS($A$5:$A$3004,A2018,$F$5:$F$3004,"?*",$O$5:$O$3004,"&lt;"&amp;O2018)+COUNTIFS($A$5:A2018,A2018,$F$5:F2018,"?*",$O$5:O2018,O2018)))</f>
        <v/>
      </c>
      <c r="O2018" s="54">
        <f>IF(A2018="","",IF(C2018="",0,C2018))</f>
        <v/>
      </c>
    </row>
    <row r="2019">
      <c r="A2019" s="58" t="n"/>
      <c r="B2019" s="49">
        <f>IF(A2019="","",CHOOSE(WEEKDAY(A2019,2),"Пн","Вт","Ср","Чт","Пт","Сб","Вс"))</f>
        <v/>
      </c>
      <c r="C2019" s="59" t="n"/>
      <c r="D2019" s="59" t="n"/>
      <c r="E2019" s="60">
        <f>IF(OR(C2019="",D2019=""),"",MOD(D2019-C2019,1)*24)</f>
        <v/>
      </c>
      <c r="F2019" s="50" t="n"/>
      <c r="G2019" s="51" t="n"/>
      <c r="H2019" s="51" t="n"/>
      <c r="I2019" s="51" t="n"/>
      <c r="J2019" s="51" t="n"/>
      <c r="K2019" s="51" t="n"/>
      <c r="L2019" s="54">
        <f>IF(OR(A2019="",C2019="",D2019=""),"",IF(COUNTIFS($A$5:$A$3004,A2019,$C$5:$C$3004,"&lt;"&amp;D2019,$D$5:$D$3004,"&gt;"&amp;C2019)&gt;1,"⚠️ пересечение",""))</f>
        <v/>
      </c>
      <c r="M2019" s="54">
        <f>IF(F2019="","",IF(J2019="✅ Сделано","✔ ",IF(J2019="❌ Пропущено","✖ ","⏰ "))&amp;IF(C2019="","",RIGHT("0"&amp;HOUR(C2019),2)&amp;":"&amp;RIGHT("0"&amp;MINUTE(C2019),2)&amp;IF(D2019="","","–"&amp;RIGHT("0"&amp;HOUR(D2019),2)&amp;":"&amp;RIGHT("0"&amp;MINUTE(D2019),2))&amp;" ")&amp;F2019)</f>
        <v/>
      </c>
      <c r="N2019" s="54">
        <f>IF(OR(A2019="",F2019=""),"",A2019&amp;"#"&amp;(COUNTIFS($A$5:$A$3004,A2019,$F$5:$F$3004,"?*",$O$5:$O$3004,"&lt;"&amp;O2019)+COUNTIFS($A$5:A2019,A2019,$F$5:F2019,"?*",$O$5:O2019,O2019)))</f>
        <v/>
      </c>
      <c r="O2019" s="54">
        <f>IF(A2019="","",IF(C2019="",0,C2019))</f>
        <v/>
      </c>
    </row>
    <row r="2020">
      <c r="A2020" s="58" t="n"/>
      <c r="B2020" s="49">
        <f>IF(A2020="","",CHOOSE(WEEKDAY(A2020,2),"Пн","Вт","Ср","Чт","Пт","Сб","Вс"))</f>
        <v/>
      </c>
      <c r="C2020" s="59" t="n"/>
      <c r="D2020" s="59" t="n"/>
      <c r="E2020" s="60">
        <f>IF(OR(C2020="",D2020=""),"",MOD(D2020-C2020,1)*24)</f>
        <v/>
      </c>
      <c r="F2020" s="50" t="n"/>
      <c r="G2020" s="51" t="n"/>
      <c r="H2020" s="51" t="n"/>
      <c r="I2020" s="51" t="n"/>
      <c r="J2020" s="51" t="n"/>
      <c r="K2020" s="51" t="n"/>
      <c r="L2020" s="54">
        <f>IF(OR(A2020="",C2020="",D2020=""),"",IF(COUNTIFS($A$5:$A$3004,A2020,$C$5:$C$3004,"&lt;"&amp;D2020,$D$5:$D$3004,"&gt;"&amp;C2020)&gt;1,"⚠️ пересечение",""))</f>
        <v/>
      </c>
      <c r="M2020" s="54">
        <f>IF(F2020="","",IF(J2020="✅ Сделано","✔ ",IF(J2020="❌ Пропущено","✖ ","⏰ "))&amp;IF(C2020="","",RIGHT("0"&amp;HOUR(C2020),2)&amp;":"&amp;RIGHT("0"&amp;MINUTE(C2020),2)&amp;IF(D2020="","","–"&amp;RIGHT("0"&amp;HOUR(D2020),2)&amp;":"&amp;RIGHT("0"&amp;MINUTE(D2020),2))&amp;" ")&amp;F2020)</f>
        <v/>
      </c>
      <c r="N2020" s="54">
        <f>IF(OR(A2020="",F2020=""),"",A2020&amp;"#"&amp;(COUNTIFS($A$5:$A$3004,A2020,$F$5:$F$3004,"?*",$O$5:$O$3004,"&lt;"&amp;O2020)+COUNTIFS($A$5:A2020,A2020,$F$5:F2020,"?*",$O$5:O2020,O2020)))</f>
        <v/>
      </c>
      <c r="O2020" s="54">
        <f>IF(A2020="","",IF(C2020="",0,C2020))</f>
        <v/>
      </c>
    </row>
    <row r="2021">
      <c r="A2021" s="58" t="n"/>
      <c r="B2021" s="49">
        <f>IF(A2021="","",CHOOSE(WEEKDAY(A2021,2),"Пн","Вт","Ср","Чт","Пт","Сб","Вс"))</f>
        <v/>
      </c>
      <c r="C2021" s="59" t="n"/>
      <c r="D2021" s="59" t="n"/>
      <c r="E2021" s="60">
        <f>IF(OR(C2021="",D2021=""),"",MOD(D2021-C2021,1)*24)</f>
        <v/>
      </c>
      <c r="F2021" s="50" t="n"/>
      <c r="G2021" s="51" t="n"/>
      <c r="H2021" s="51" t="n"/>
      <c r="I2021" s="51" t="n"/>
      <c r="J2021" s="51" t="n"/>
      <c r="K2021" s="51" t="n"/>
      <c r="L2021" s="54">
        <f>IF(OR(A2021="",C2021="",D2021=""),"",IF(COUNTIFS($A$5:$A$3004,A2021,$C$5:$C$3004,"&lt;"&amp;D2021,$D$5:$D$3004,"&gt;"&amp;C2021)&gt;1,"⚠️ пересечение",""))</f>
        <v/>
      </c>
      <c r="M2021" s="54">
        <f>IF(F2021="","",IF(J2021="✅ Сделано","✔ ",IF(J2021="❌ Пропущено","✖ ","⏰ "))&amp;IF(C2021="","",RIGHT("0"&amp;HOUR(C2021),2)&amp;":"&amp;RIGHT("0"&amp;MINUTE(C2021),2)&amp;IF(D2021="","","–"&amp;RIGHT("0"&amp;HOUR(D2021),2)&amp;":"&amp;RIGHT("0"&amp;MINUTE(D2021),2))&amp;" ")&amp;F2021)</f>
        <v/>
      </c>
      <c r="N2021" s="54">
        <f>IF(OR(A2021="",F2021=""),"",A2021&amp;"#"&amp;(COUNTIFS($A$5:$A$3004,A2021,$F$5:$F$3004,"?*",$O$5:$O$3004,"&lt;"&amp;O2021)+COUNTIFS($A$5:A2021,A2021,$F$5:F2021,"?*",$O$5:O2021,O2021)))</f>
        <v/>
      </c>
      <c r="O2021" s="54">
        <f>IF(A2021="","",IF(C2021="",0,C2021))</f>
        <v/>
      </c>
    </row>
    <row r="2022">
      <c r="A2022" s="58" t="n"/>
      <c r="B2022" s="49">
        <f>IF(A2022="","",CHOOSE(WEEKDAY(A2022,2),"Пн","Вт","Ср","Чт","Пт","Сб","Вс"))</f>
        <v/>
      </c>
      <c r="C2022" s="59" t="n"/>
      <c r="D2022" s="59" t="n"/>
      <c r="E2022" s="60">
        <f>IF(OR(C2022="",D2022=""),"",MOD(D2022-C2022,1)*24)</f>
        <v/>
      </c>
      <c r="F2022" s="50" t="n"/>
      <c r="G2022" s="51" t="n"/>
      <c r="H2022" s="51" t="n"/>
      <c r="I2022" s="51" t="n"/>
      <c r="J2022" s="51" t="n"/>
      <c r="K2022" s="51" t="n"/>
      <c r="L2022" s="54">
        <f>IF(OR(A2022="",C2022="",D2022=""),"",IF(COUNTIFS($A$5:$A$3004,A2022,$C$5:$C$3004,"&lt;"&amp;D2022,$D$5:$D$3004,"&gt;"&amp;C2022)&gt;1,"⚠️ пересечение",""))</f>
        <v/>
      </c>
      <c r="M2022" s="54">
        <f>IF(F2022="","",IF(J2022="✅ Сделано","✔ ",IF(J2022="❌ Пропущено","✖ ","⏰ "))&amp;IF(C2022="","",RIGHT("0"&amp;HOUR(C2022),2)&amp;":"&amp;RIGHT("0"&amp;MINUTE(C2022),2)&amp;IF(D2022="","","–"&amp;RIGHT("0"&amp;HOUR(D2022),2)&amp;":"&amp;RIGHT("0"&amp;MINUTE(D2022),2))&amp;" ")&amp;F2022)</f>
        <v/>
      </c>
      <c r="N2022" s="54">
        <f>IF(OR(A2022="",F2022=""),"",A2022&amp;"#"&amp;(COUNTIFS($A$5:$A$3004,A2022,$F$5:$F$3004,"?*",$O$5:$O$3004,"&lt;"&amp;O2022)+COUNTIFS($A$5:A2022,A2022,$F$5:F2022,"?*",$O$5:O2022,O2022)))</f>
        <v/>
      </c>
      <c r="O2022" s="54">
        <f>IF(A2022="","",IF(C2022="",0,C2022))</f>
        <v/>
      </c>
    </row>
    <row r="2023">
      <c r="A2023" s="58" t="n"/>
      <c r="B2023" s="49">
        <f>IF(A2023="","",CHOOSE(WEEKDAY(A2023,2),"Пн","Вт","Ср","Чт","Пт","Сб","Вс"))</f>
        <v/>
      </c>
      <c r="C2023" s="59" t="n"/>
      <c r="D2023" s="59" t="n"/>
      <c r="E2023" s="60">
        <f>IF(OR(C2023="",D2023=""),"",MOD(D2023-C2023,1)*24)</f>
        <v/>
      </c>
      <c r="F2023" s="50" t="n"/>
      <c r="G2023" s="51" t="n"/>
      <c r="H2023" s="51" t="n"/>
      <c r="I2023" s="51" t="n"/>
      <c r="J2023" s="51" t="n"/>
      <c r="K2023" s="51" t="n"/>
      <c r="L2023" s="54">
        <f>IF(OR(A2023="",C2023="",D2023=""),"",IF(COUNTIFS($A$5:$A$3004,A2023,$C$5:$C$3004,"&lt;"&amp;D2023,$D$5:$D$3004,"&gt;"&amp;C2023)&gt;1,"⚠️ пересечение",""))</f>
        <v/>
      </c>
      <c r="M2023" s="54">
        <f>IF(F2023="","",IF(J2023="✅ Сделано","✔ ",IF(J2023="❌ Пропущено","✖ ","⏰ "))&amp;IF(C2023="","",RIGHT("0"&amp;HOUR(C2023),2)&amp;":"&amp;RIGHT("0"&amp;MINUTE(C2023),2)&amp;IF(D2023="","","–"&amp;RIGHT("0"&amp;HOUR(D2023),2)&amp;":"&amp;RIGHT("0"&amp;MINUTE(D2023),2))&amp;" ")&amp;F2023)</f>
        <v/>
      </c>
      <c r="N2023" s="54">
        <f>IF(OR(A2023="",F2023=""),"",A2023&amp;"#"&amp;(COUNTIFS($A$5:$A$3004,A2023,$F$5:$F$3004,"?*",$O$5:$O$3004,"&lt;"&amp;O2023)+COUNTIFS($A$5:A2023,A2023,$F$5:F2023,"?*",$O$5:O2023,O2023)))</f>
        <v/>
      </c>
      <c r="O2023" s="54">
        <f>IF(A2023="","",IF(C2023="",0,C2023))</f>
        <v/>
      </c>
    </row>
    <row r="2024">
      <c r="A2024" s="58" t="n"/>
      <c r="B2024" s="49">
        <f>IF(A2024="","",CHOOSE(WEEKDAY(A2024,2),"Пн","Вт","Ср","Чт","Пт","Сб","Вс"))</f>
        <v/>
      </c>
      <c r="C2024" s="59" t="n"/>
      <c r="D2024" s="59" t="n"/>
      <c r="E2024" s="60">
        <f>IF(OR(C2024="",D2024=""),"",MOD(D2024-C2024,1)*24)</f>
        <v/>
      </c>
      <c r="F2024" s="50" t="n"/>
      <c r="G2024" s="51" t="n"/>
      <c r="H2024" s="51" t="n"/>
      <c r="I2024" s="51" t="n"/>
      <c r="J2024" s="51" t="n"/>
      <c r="K2024" s="51" t="n"/>
      <c r="L2024" s="54">
        <f>IF(OR(A2024="",C2024="",D2024=""),"",IF(COUNTIFS($A$5:$A$3004,A2024,$C$5:$C$3004,"&lt;"&amp;D2024,$D$5:$D$3004,"&gt;"&amp;C2024)&gt;1,"⚠️ пересечение",""))</f>
        <v/>
      </c>
      <c r="M2024" s="54">
        <f>IF(F2024="","",IF(J2024="✅ Сделано","✔ ",IF(J2024="❌ Пропущено","✖ ","⏰ "))&amp;IF(C2024="","",RIGHT("0"&amp;HOUR(C2024),2)&amp;":"&amp;RIGHT("0"&amp;MINUTE(C2024),2)&amp;IF(D2024="","","–"&amp;RIGHT("0"&amp;HOUR(D2024),2)&amp;":"&amp;RIGHT("0"&amp;MINUTE(D2024),2))&amp;" ")&amp;F2024)</f>
        <v/>
      </c>
      <c r="N2024" s="54">
        <f>IF(OR(A2024="",F2024=""),"",A2024&amp;"#"&amp;(COUNTIFS($A$5:$A$3004,A2024,$F$5:$F$3004,"?*",$O$5:$O$3004,"&lt;"&amp;O2024)+COUNTIFS($A$5:A2024,A2024,$F$5:F2024,"?*",$O$5:O2024,O2024)))</f>
        <v/>
      </c>
      <c r="O2024" s="54">
        <f>IF(A2024="","",IF(C2024="",0,C2024))</f>
        <v/>
      </c>
    </row>
    <row r="2025">
      <c r="A2025" s="58" t="n"/>
      <c r="B2025" s="49">
        <f>IF(A2025="","",CHOOSE(WEEKDAY(A2025,2),"Пн","Вт","Ср","Чт","Пт","Сб","Вс"))</f>
        <v/>
      </c>
      <c r="C2025" s="59" t="n"/>
      <c r="D2025" s="59" t="n"/>
      <c r="E2025" s="60">
        <f>IF(OR(C2025="",D2025=""),"",MOD(D2025-C2025,1)*24)</f>
        <v/>
      </c>
      <c r="F2025" s="50" t="n"/>
      <c r="G2025" s="51" t="n"/>
      <c r="H2025" s="51" t="n"/>
      <c r="I2025" s="51" t="n"/>
      <c r="J2025" s="51" t="n"/>
      <c r="K2025" s="51" t="n"/>
      <c r="L2025" s="54">
        <f>IF(OR(A2025="",C2025="",D2025=""),"",IF(COUNTIFS($A$5:$A$3004,A2025,$C$5:$C$3004,"&lt;"&amp;D2025,$D$5:$D$3004,"&gt;"&amp;C2025)&gt;1,"⚠️ пересечение",""))</f>
        <v/>
      </c>
      <c r="M2025" s="54">
        <f>IF(F2025="","",IF(J2025="✅ Сделано","✔ ",IF(J2025="❌ Пропущено","✖ ","⏰ "))&amp;IF(C2025="","",RIGHT("0"&amp;HOUR(C2025),2)&amp;":"&amp;RIGHT("0"&amp;MINUTE(C2025),2)&amp;IF(D2025="","","–"&amp;RIGHT("0"&amp;HOUR(D2025),2)&amp;":"&amp;RIGHT("0"&amp;MINUTE(D2025),2))&amp;" ")&amp;F2025)</f>
        <v/>
      </c>
      <c r="N2025" s="54">
        <f>IF(OR(A2025="",F2025=""),"",A2025&amp;"#"&amp;(COUNTIFS($A$5:$A$3004,A2025,$F$5:$F$3004,"?*",$O$5:$O$3004,"&lt;"&amp;O2025)+COUNTIFS($A$5:A2025,A2025,$F$5:F2025,"?*",$O$5:O2025,O2025)))</f>
        <v/>
      </c>
      <c r="O2025" s="54">
        <f>IF(A2025="","",IF(C2025="",0,C2025))</f>
        <v/>
      </c>
    </row>
    <row r="2026">
      <c r="A2026" s="58" t="n"/>
      <c r="B2026" s="49">
        <f>IF(A2026="","",CHOOSE(WEEKDAY(A2026,2),"Пн","Вт","Ср","Чт","Пт","Сб","Вс"))</f>
        <v/>
      </c>
      <c r="C2026" s="59" t="n"/>
      <c r="D2026" s="59" t="n"/>
      <c r="E2026" s="60">
        <f>IF(OR(C2026="",D2026=""),"",MOD(D2026-C2026,1)*24)</f>
        <v/>
      </c>
      <c r="F2026" s="50" t="n"/>
      <c r="G2026" s="51" t="n"/>
      <c r="H2026" s="51" t="n"/>
      <c r="I2026" s="51" t="n"/>
      <c r="J2026" s="51" t="n"/>
      <c r="K2026" s="51" t="n"/>
      <c r="L2026" s="54">
        <f>IF(OR(A2026="",C2026="",D2026=""),"",IF(COUNTIFS($A$5:$A$3004,A2026,$C$5:$C$3004,"&lt;"&amp;D2026,$D$5:$D$3004,"&gt;"&amp;C2026)&gt;1,"⚠️ пересечение",""))</f>
        <v/>
      </c>
      <c r="M2026" s="54">
        <f>IF(F2026="","",IF(J2026="✅ Сделано","✔ ",IF(J2026="❌ Пропущено","✖ ","⏰ "))&amp;IF(C2026="","",RIGHT("0"&amp;HOUR(C2026),2)&amp;":"&amp;RIGHT("0"&amp;MINUTE(C2026),2)&amp;IF(D2026="","","–"&amp;RIGHT("0"&amp;HOUR(D2026),2)&amp;":"&amp;RIGHT("0"&amp;MINUTE(D2026),2))&amp;" ")&amp;F2026)</f>
        <v/>
      </c>
      <c r="N2026" s="54">
        <f>IF(OR(A2026="",F2026=""),"",A2026&amp;"#"&amp;(COUNTIFS($A$5:$A$3004,A2026,$F$5:$F$3004,"?*",$O$5:$O$3004,"&lt;"&amp;O2026)+COUNTIFS($A$5:A2026,A2026,$F$5:F2026,"?*",$O$5:O2026,O2026)))</f>
        <v/>
      </c>
      <c r="O2026" s="54">
        <f>IF(A2026="","",IF(C2026="",0,C2026))</f>
        <v/>
      </c>
    </row>
    <row r="2027">
      <c r="A2027" s="58" t="n"/>
      <c r="B2027" s="49">
        <f>IF(A2027="","",CHOOSE(WEEKDAY(A2027,2),"Пн","Вт","Ср","Чт","Пт","Сб","Вс"))</f>
        <v/>
      </c>
      <c r="C2027" s="59" t="n"/>
      <c r="D2027" s="59" t="n"/>
      <c r="E2027" s="60">
        <f>IF(OR(C2027="",D2027=""),"",MOD(D2027-C2027,1)*24)</f>
        <v/>
      </c>
      <c r="F2027" s="50" t="n"/>
      <c r="G2027" s="51" t="n"/>
      <c r="H2027" s="51" t="n"/>
      <c r="I2027" s="51" t="n"/>
      <c r="J2027" s="51" t="n"/>
      <c r="K2027" s="51" t="n"/>
      <c r="L2027" s="54">
        <f>IF(OR(A2027="",C2027="",D2027=""),"",IF(COUNTIFS($A$5:$A$3004,A2027,$C$5:$C$3004,"&lt;"&amp;D2027,$D$5:$D$3004,"&gt;"&amp;C2027)&gt;1,"⚠️ пересечение",""))</f>
        <v/>
      </c>
      <c r="M2027" s="54">
        <f>IF(F2027="","",IF(J2027="✅ Сделано","✔ ",IF(J2027="❌ Пропущено","✖ ","⏰ "))&amp;IF(C2027="","",RIGHT("0"&amp;HOUR(C2027),2)&amp;":"&amp;RIGHT("0"&amp;MINUTE(C2027),2)&amp;IF(D2027="","","–"&amp;RIGHT("0"&amp;HOUR(D2027),2)&amp;":"&amp;RIGHT("0"&amp;MINUTE(D2027),2))&amp;" ")&amp;F2027)</f>
        <v/>
      </c>
      <c r="N2027" s="54">
        <f>IF(OR(A2027="",F2027=""),"",A2027&amp;"#"&amp;(COUNTIFS($A$5:$A$3004,A2027,$F$5:$F$3004,"?*",$O$5:$O$3004,"&lt;"&amp;O2027)+COUNTIFS($A$5:A2027,A2027,$F$5:F2027,"?*",$O$5:O2027,O2027)))</f>
        <v/>
      </c>
      <c r="O2027" s="54">
        <f>IF(A2027="","",IF(C2027="",0,C2027))</f>
        <v/>
      </c>
    </row>
    <row r="2028">
      <c r="A2028" s="58" t="n"/>
      <c r="B2028" s="49">
        <f>IF(A2028="","",CHOOSE(WEEKDAY(A2028,2),"Пн","Вт","Ср","Чт","Пт","Сб","Вс"))</f>
        <v/>
      </c>
      <c r="C2028" s="59" t="n"/>
      <c r="D2028" s="59" t="n"/>
      <c r="E2028" s="60">
        <f>IF(OR(C2028="",D2028=""),"",MOD(D2028-C2028,1)*24)</f>
        <v/>
      </c>
      <c r="F2028" s="50" t="n"/>
      <c r="G2028" s="51" t="n"/>
      <c r="H2028" s="51" t="n"/>
      <c r="I2028" s="51" t="n"/>
      <c r="J2028" s="51" t="n"/>
      <c r="K2028" s="51" t="n"/>
      <c r="L2028" s="54">
        <f>IF(OR(A2028="",C2028="",D2028=""),"",IF(COUNTIFS($A$5:$A$3004,A2028,$C$5:$C$3004,"&lt;"&amp;D2028,$D$5:$D$3004,"&gt;"&amp;C2028)&gt;1,"⚠️ пересечение",""))</f>
        <v/>
      </c>
      <c r="M2028" s="54">
        <f>IF(F2028="","",IF(J2028="✅ Сделано","✔ ",IF(J2028="❌ Пропущено","✖ ","⏰ "))&amp;IF(C2028="","",RIGHT("0"&amp;HOUR(C2028),2)&amp;":"&amp;RIGHT("0"&amp;MINUTE(C2028),2)&amp;IF(D2028="","","–"&amp;RIGHT("0"&amp;HOUR(D2028),2)&amp;":"&amp;RIGHT("0"&amp;MINUTE(D2028),2))&amp;" ")&amp;F2028)</f>
        <v/>
      </c>
      <c r="N2028" s="54">
        <f>IF(OR(A2028="",F2028=""),"",A2028&amp;"#"&amp;(COUNTIFS($A$5:$A$3004,A2028,$F$5:$F$3004,"?*",$O$5:$O$3004,"&lt;"&amp;O2028)+COUNTIFS($A$5:A2028,A2028,$F$5:F2028,"?*",$O$5:O2028,O2028)))</f>
        <v/>
      </c>
      <c r="O2028" s="54">
        <f>IF(A2028="","",IF(C2028="",0,C2028))</f>
        <v/>
      </c>
    </row>
    <row r="2029">
      <c r="A2029" s="58" t="n"/>
      <c r="B2029" s="49">
        <f>IF(A2029="","",CHOOSE(WEEKDAY(A2029,2),"Пн","Вт","Ср","Чт","Пт","Сб","Вс"))</f>
        <v/>
      </c>
      <c r="C2029" s="59" t="n"/>
      <c r="D2029" s="59" t="n"/>
      <c r="E2029" s="60">
        <f>IF(OR(C2029="",D2029=""),"",MOD(D2029-C2029,1)*24)</f>
        <v/>
      </c>
      <c r="F2029" s="50" t="n"/>
      <c r="G2029" s="51" t="n"/>
      <c r="H2029" s="51" t="n"/>
      <c r="I2029" s="51" t="n"/>
      <c r="J2029" s="51" t="n"/>
      <c r="K2029" s="51" t="n"/>
      <c r="L2029" s="54">
        <f>IF(OR(A2029="",C2029="",D2029=""),"",IF(COUNTIFS($A$5:$A$3004,A2029,$C$5:$C$3004,"&lt;"&amp;D2029,$D$5:$D$3004,"&gt;"&amp;C2029)&gt;1,"⚠️ пересечение",""))</f>
        <v/>
      </c>
      <c r="M2029" s="54">
        <f>IF(F2029="","",IF(J2029="✅ Сделано","✔ ",IF(J2029="❌ Пропущено","✖ ","⏰ "))&amp;IF(C2029="","",RIGHT("0"&amp;HOUR(C2029),2)&amp;":"&amp;RIGHT("0"&amp;MINUTE(C2029),2)&amp;IF(D2029="","","–"&amp;RIGHT("0"&amp;HOUR(D2029),2)&amp;":"&amp;RIGHT("0"&amp;MINUTE(D2029),2))&amp;" ")&amp;F2029)</f>
        <v/>
      </c>
      <c r="N2029" s="54">
        <f>IF(OR(A2029="",F2029=""),"",A2029&amp;"#"&amp;(COUNTIFS($A$5:$A$3004,A2029,$F$5:$F$3004,"?*",$O$5:$O$3004,"&lt;"&amp;O2029)+COUNTIFS($A$5:A2029,A2029,$F$5:F2029,"?*",$O$5:O2029,O2029)))</f>
        <v/>
      </c>
      <c r="O2029" s="54">
        <f>IF(A2029="","",IF(C2029="",0,C2029))</f>
        <v/>
      </c>
    </row>
    <row r="2030">
      <c r="A2030" s="58" t="n"/>
      <c r="B2030" s="49">
        <f>IF(A2030="","",CHOOSE(WEEKDAY(A2030,2),"Пн","Вт","Ср","Чт","Пт","Сб","Вс"))</f>
        <v/>
      </c>
      <c r="C2030" s="59" t="n"/>
      <c r="D2030" s="59" t="n"/>
      <c r="E2030" s="60">
        <f>IF(OR(C2030="",D2030=""),"",MOD(D2030-C2030,1)*24)</f>
        <v/>
      </c>
      <c r="F2030" s="50" t="n"/>
      <c r="G2030" s="51" t="n"/>
      <c r="H2030" s="51" t="n"/>
      <c r="I2030" s="51" t="n"/>
      <c r="J2030" s="51" t="n"/>
      <c r="K2030" s="51" t="n"/>
      <c r="L2030" s="54">
        <f>IF(OR(A2030="",C2030="",D2030=""),"",IF(COUNTIFS($A$5:$A$3004,A2030,$C$5:$C$3004,"&lt;"&amp;D2030,$D$5:$D$3004,"&gt;"&amp;C2030)&gt;1,"⚠️ пересечение",""))</f>
        <v/>
      </c>
      <c r="M2030" s="54">
        <f>IF(F2030="","",IF(J2030="✅ Сделано","✔ ",IF(J2030="❌ Пропущено","✖ ","⏰ "))&amp;IF(C2030="","",RIGHT("0"&amp;HOUR(C2030),2)&amp;":"&amp;RIGHT("0"&amp;MINUTE(C2030),2)&amp;IF(D2030="","","–"&amp;RIGHT("0"&amp;HOUR(D2030),2)&amp;":"&amp;RIGHT("0"&amp;MINUTE(D2030),2))&amp;" ")&amp;F2030)</f>
        <v/>
      </c>
      <c r="N2030" s="54">
        <f>IF(OR(A2030="",F2030=""),"",A2030&amp;"#"&amp;(COUNTIFS($A$5:$A$3004,A2030,$F$5:$F$3004,"?*",$O$5:$O$3004,"&lt;"&amp;O2030)+COUNTIFS($A$5:A2030,A2030,$F$5:F2030,"?*",$O$5:O2030,O2030)))</f>
        <v/>
      </c>
      <c r="O2030" s="54">
        <f>IF(A2030="","",IF(C2030="",0,C2030))</f>
        <v/>
      </c>
    </row>
    <row r="2031">
      <c r="A2031" s="58" t="n"/>
      <c r="B2031" s="49">
        <f>IF(A2031="","",CHOOSE(WEEKDAY(A2031,2),"Пн","Вт","Ср","Чт","Пт","Сб","Вс"))</f>
        <v/>
      </c>
      <c r="C2031" s="59" t="n"/>
      <c r="D2031" s="59" t="n"/>
      <c r="E2031" s="60">
        <f>IF(OR(C2031="",D2031=""),"",MOD(D2031-C2031,1)*24)</f>
        <v/>
      </c>
      <c r="F2031" s="50" t="n"/>
      <c r="G2031" s="51" t="n"/>
      <c r="H2031" s="51" t="n"/>
      <c r="I2031" s="51" t="n"/>
      <c r="J2031" s="51" t="n"/>
      <c r="K2031" s="51" t="n"/>
      <c r="L2031" s="54">
        <f>IF(OR(A2031="",C2031="",D2031=""),"",IF(COUNTIFS($A$5:$A$3004,A2031,$C$5:$C$3004,"&lt;"&amp;D2031,$D$5:$D$3004,"&gt;"&amp;C2031)&gt;1,"⚠️ пересечение",""))</f>
        <v/>
      </c>
      <c r="M2031" s="54">
        <f>IF(F2031="","",IF(J2031="✅ Сделано","✔ ",IF(J2031="❌ Пропущено","✖ ","⏰ "))&amp;IF(C2031="","",RIGHT("0"&amp;HOUR(C2031),2)&amp;":"&amp;RIGHT("0"&amp;MINUTE(C2031),2)&amp;IF(D2031="","","–"&amp;RIGHT("0"&amp;HOUR(D2031),2)&amp;":"&amp;RIGHT("0"&amp;MINUTE(D2031),2))&amp;" ")&amp;F2031)</f>
        <v/>
      </c>
      <c r="N2031" s="54">
        <f>IF(OR(A2031="",F2031=""),"",A2031&amp;"#"&amp;(COUNTIFS($A$5:$A$3004,A2031,$F$5:$F$3004,"?*",$O$5:$O$3004,"&lt;"&amp;O2031)+COUNTIFS($A$5:A2031,A2031,$F$5:F2031,"?*",$O$5:O2031,O2031)))</f>
        <v/>
      </c>
      <c r="O2031" s="54">
        <f>IF(A2031="","",IF(C2031="",0,C2031))</f>
        <v/>
      </c>
    </row>
    <row r="2032">
      <c r="A2032" s="58" t="n"/>
      <c r="B2032" s="49">
        <f>IF(A2032="","",CHOOSE(WEEKDAY(A2032,2),"Пн","Вт","Ср","Чт","Пт","Сб","Вс"))</f>
        <v/>
      </c>
      <c r="C2032" s="59" t="n"/>
      <c r="D2032" s="59" t="n"/>
      <c r="E2032" s="60">
        <f>IF(OR(C2032="",D2032=""),"",MOD(D2032-C2032,1)*24)</f>
        <v/>
      </c>
      <c r="F2032" s="50" t="n"/>
      <c r="G2032" s="51" t="n"/>
      <c r="H2032" s="51" t="n"/>
      <c r="I2032" s="51" t="n"/>
      <c r="J2032" s="51" t="n"/>
      <c r="K2032" s="51" t="n"/>
      <c r="L2032" s="54">
        <f>IF(OR(A2032="",C2032="",D2032=""),"",IF(COUNTIFS($A$5:$A$3004,A2032,$C$5:$C$3004,"&lt;"&amp;D2032,$D$5:$D$3004,"&gt;"&amp;C2032)&gt;1,"⚠️ пересечение",""))</f>
        <v/>
      </c>
      <c r="M2032" s="54">
        <f>IF(F2032="","",IF(J2032="✅ Сделано","✔ ",IF(J2032="❌ Пропущено","✖ ","⏰ "))&amp;IF(C2032="","",RIGHT("0"&amp;HOUR(C2032),2)&amp;":"&amp;RIGHT("0"&amp;MINUTE(C2032),2)&amp;IF(D2032="","","–"&amp;RIGHT("0"&amp;HOUR(D2032),2)&amp;":"&amp;RIGHT("0"&amp;MINUTE(D2032),2))&amp;" ")&amp;F2032)</f>
        <v/>
      </c>
      <c r="N2032" s="54">
        <f>IF(OR(A2032="",F2032=""),"",A2032&amp;"#"&amp;(COUNTIFS($A$5:$A$3004,A2032,$F$5:$F$3004,"?*",$O$5:$O$3004,"&lt;"&amp;O2032)+COUNTIFS($A$5:A2032,A2032,$F$5:F2032,"?*",$O$5:O2032,O2032)))</f>
        <v/>
      </c>
      <c r="O2032" s="54">
        <f>IF(A2032="","",IF(C2032="",0,C2032))</f>
        <v/>
      </c>
    </row>
    <row r="2033">
      <c r="A2033" s="58" t="n"/>
      <c r="B2033" s="49">
        <f>IF(A2033="","",CHOOSE(WEEKDAY(A2033,2),"Пн","Вт","Ср","Чт","Пт","Сб","Вс"))</f>
        <v/>
      </c>
      <c r="C2033" s="59" t="n"/>
      <c r="D2033" s="59" t="n"/>
      <c r="E2033" s="60">
        <f>IF(OR(C2033="",D2033=""),"",MOD(D2033-C2033,1)*24)</f>
        <v/>
      </c>
      <c r="F2033" s="50" t="n"/>
      <c r="G2033" s="51" t="n"/>
      <c r="H2033" s="51" t="n"/>
      <c r="I2033" s="51" t="n"/>
      <c r="J2033" s="51" t="n"/>
      <c r="K2033" s="51" t="n"/>
      <c r="L2033" s="54">
        <f>IF(OR(A2033="",C2033="",D2033=""),"",IF(COUNTIFS($A$5:$A$3004,A2033,$C$5:$C$3004,"&lt;"&amp;D2033,$D$5:$D$3004,"&gt;"&amp;C2033)&gt;1,"⚠️ пересечение",""))</f>
        <v/>
      </c>
      <c r="M2033" s="54">
        <f>IF(F2033="","",IF(J2033="✅ Сделано","✔ ",IF(J2033="❌ Пропущено","✖ ","⏰ "))&amp;IF(C2033="","",RIGHT("0"&amp;HOUR(C2033),2)&amp;":"&amp;RIGHT("0"&amp;MINUTE(C2033),2)&amp;IF(D2033="","","–"&amp;RIGHT("0"&amp;HOUR(D2033),2)&amp;":"&amp;RIGHT("0"&amp;MINUTE(D2033),2))&amp;" ")&amp;F2033)</f>
        <v/>
      </c>
      <c r="N2033" s="54">
        <f>IF(OR(A2033="",F2033=""),"",A2033&amp;"#"&amp;(COUNTIFS($A$5:$A$3004,A2033,$F$5:$F$3004,"?*",$O$5:$O$3004,"&lt;"&amp;O2033)+COUNTIFS($A$5:A2033,A2033,$F$5:F2033,"?*",$O$5:O2033,O2033)))</f>
        <v/>
      </c>
      <c r="O2033" s="54">
        <f>IF(A2033="","",IF(C2033="",0,C2033))</f>
        <v/>
      </c>
    </row>
    <row r="2034">
      <c r="A2034" s="58" t="n"/>
      <c r="B2034" s="49">
        <f>IF(A2034="","",CHOOSE(WEEKDAY(A2034,2),"Пн","Вт","Ср","Чт","Пт","Сб","Вс"))</f>
        <v/>
      </c>
      <c r="C2034" s="59" t="n"/>
      <c r="D2034" s="59" t="n"/>
      <c r="E2034" s="60">
        <f>IF(OR(C2034="",D2034=""),"",MOD(D2034-C2034,1)*24)</f>
        <v/>
      </c>
      <c r="F2034" s="50" t="n"/>
      <c r="G2034" s="51" t="n"/>
      <c r="H2034" s="51" t="n"/>
      <c r="I2034" s="51" t="n"/>
      <c r="J2034" s="51" t="n"/>
      <c r="K2034" s="51" t="n"/>
      <c r="L2034" s="54">
        <f>IF(OR(A2034="",C2034="",D2034=""),"",IF(COUNTIFS($A$5:$A$3004,A2034,$C$5:$C$3004,"&lt;"&amp;D2034,$D$5:$D$3004,"&gt;"&amp;C2034)&gt;1,"⚠️ пересечение",""))</f>
        <v/>
      </c>
      <c r="M2034" s="54">
        <f>IF(F2034="","",IF(J2034="✅ Сделано","✔ ",IF(J2034="❌ Пропущено","✖ ","⏰ "))&amp;IF(C2034="","",RIGHT("0"&amp;HOUR(C2034),2)&amp;":"&amp;RIGHT("0"&amp;MINUTE(C2034),2)&amp;IF(D2034="","","–"&amp;RIGHT("0"&amp;HOUR(D2034),2)&amp;":"&amp;RIGHT("0"&amp;MINUTE(D2034),2))&amp;" ")&amp;F2034)</f>
        <v/>
      </c>
      <c r="N2034" s="54">
        <f>IF(OR(A2034="",F2034=""),"",A2034&amp;"#"&amp;(COUNTIFS($A$5:$A$3004,A2034,$F$5:$F$3004,"?*",$O$5:$O$3004,"&lt;"&amp;O2034)+COUNTIFS($A$5:A2034,A2034,$F$5:F2034,"?*",$O$5:O2034,O2034)))</f>
        <v/>
      </c>
      <c r="O2034" s="54">
        <f>IF(A2034="","",IF(C2034="",0,C2034))</f>
        <v/>
      </c>
    </row>
    <row r="2035">
      <c r="A2035" s="58" t="n"/>
      <c r="B2035" s="49">
        <f>IF(A2035="","",CHOOSE(WEEKDAY(A2035,2),"Пн","Вт","Ср","Чт","Пт","Сб","Вс"))</f>
        <v/>
      </c>
      <c r="C2035" s="59" t="n"/>
      <c r="D2035" s="59" t="n"/>
      <c r="E2035" s="60">
        <f>IF(OR(C2035="",D2035=""),"",MOD(D2035-C2035,1)*24)</f>
        <v/>
      </c>
      <c r="F2035" s="50" t="n"/>
      <c r="G2035" s="51" t="n"/>
      <c r="H2035" s="51" t="n"/>
      <c r="I2035" s="51" t="n"/>
      <c r="J2035" s="51" t="n"/>
      <c r="K2035" s="51" t="n"/>
      <c r="L2035" s="54">
        <f>IF(OR(A2035="",C2035="",D2035=""),"",IF(COUNTIFS($A$5:$A$3004,A2035,$C$5:$C$3004,"&lt;"&amp;D2035,$D$5:$D$3004,"&gt;"&amp;C2035)&gt;1,"⚠️ пересечение",""))</f>
        <v/>
      </c>
      <c r="M2035" s="54">
        <f>IF(F2035="","",IF(J2035="✅ Сделано","✔ ",IF(J2035="❌ Пропущено","✖ ","⏰ "))&amp;IF(C2035="","",RIGHT("0"&amp;HOUR(C2035),2)&amp;":"&amp;RIGHT("0"&amp;MINUTE(C2035),2)&amp;IF(D2035="","","–"&amp;RIGHT("0"&amp;HOUR(D2035),2)&amp;":"&amp;RIGHT("0"&amp;MINUTE(D2035),2))&amp;" ")&amp;F2035)</f>
        <v/>
      </c>
      <c r="N2035" s="54">
        <f>IF(OR(A2035="",F2035=""),"",A2035&amp;"#"&amp;(COUNTIFS($A$5:$A$3004,A2035,$F$5:$F$3004,"?*",$O$5:$O$3004,"&lt;"&amp;O2035)+COUNTIFS($A$5:A2035,A2035,$F$5:F2035,"?*",$O$5:O2035,O2035)))</f>
        <v/>
      </c>
      <c r="O2035" s="54">
        <f>IF(A2035="","",IF(C2035="",0,C2035))</f>
        <v/>
      </c>
    </row>
    <row r="2036">
      <c r="A2036" s="58" t="n"/>
      <c r="B2036" s="49">
        <f>IF(A2036="","",CHOOSE(WEEKDAY(A2036,2),"Пн","Вт","Ср","Чт","Пт","Сб","Вс"))</f>
        <v/>
      </c>
      <c r="C2036" s="59" t="n"/>
      <c r="D2036" s="59" t="n"/>
      <c r="E2036" s="60">
        <f>IF(OR(C2036="",D2036=""),"",MOD(D2036-C2036,1)*24)</f>
        <v/>
      </c>
      <c r="F2036" s="50" t="n"/>
      <c r="G2036" s="51" t="n"/>
      <c r="H2036" s="51" t="n"/>
      <c r="I2036" s="51" t="n"/>
      <c r="J2036" s="51" t="n"/>
      <c r="K2036" s="51" t="n"/>
      <c r="L2036" s="54">
        <f>IF(OR(A2036="",C2036="",D2036=""),"",IF(COUNTIFS($A$5:$A$3004,A2036,$C$5:$C$3004,"&lt;"&amp;D2036,$D$5:$D$3004,"&gt;"&amp;C2036)&gt;1,"⚠️ пересечение",""))</f>
        <v/>
      </c>
      <c r="M2036" s="54">
        <f>IF(F2036="","",IF(J2036="✅ Сделано","✔ ",IF(J2036="❌ Пропущено","✖ ","⏰ "))&amp;IF(C2036="","",RIGHT("0"&amp;HOUR(C2036),2)&amp;":"&amp;RIGHT("0"&amp;MINUTE(C2036),2)&amp;IF(D2036="","","–"&amp;RIGHT("0"&amp;HOUR(D2036),2)&amp;":"&amp;RIGHT("0"&amp;MINUTE(D2036),2))&amp;" ")&amp;F2036)</f>
        <v/>
      </c>
      <c r="N2036" s="54">
        <f>IF(OR(A2036="",F2036=""),"",A2036&amp;"#"&amp;(COUNTIFS($A$5:$A$3004,A2036,$F$5:$F$3004,"?*",$O$5:$O$3004,"&lt;"&amp;O2036)+COUNTIFS($A$5:A2036,A2036,$F$5:F2036,"?*",$O$5:O2036,O2036)))</f>
        <v/>
      </c>
      <c r="O2036" s="54">
        <f>IF(A2036="","",IF(C2036="",0,C2036))</f>
        <v/>
      </c>
    </row>
    <row r="2037">
      <c r="A2037" s="58" t="n"/>
      <c r="B2037" s="49">
        <f>IF(A2037="","",CHOOSE(WEEKDAY(A2037,2),"Пн","Вт","Ср","Чт","Пт","Сб","Вс"))</f>
        <v/>
      </c>
      <c r="C2037" s="59" t="n"/>
      <c r="D2037" s="59" t="n"/>
      <c r="E2037" s="60">
        <f>IF(OR(C2037="",D2037=""),"",MOD(D2037-C2037,1)*24)</f>
        <v/>
      </c>
      <c r="F2037" s="50" t="n"/>
      <c r="G2037" s="51" t="n"/>
      <c r="H2037" s="51" t="n"/>
      <c r="I2037" s="51" t="n"/>
      <c r="J2037" s="51" t="n"/>
      <c r="K2037" s="51" t="n"/>
      <c r="L2037" s="54">
        <f>IF(OR(A2037="",C2037="",D2037=""),"",IF(COUNTIFS($A$5:$A$3004,A2037,$C$5:$C$3004,"&lt;"&amp;D2037,$D$5:$D$3004,"&gt;"&amp;C2037)&gt;1,"⚠️ пересечение",""))</f>
        <v/>
      </c>
      <c r="M2037" s="54">
        <f>IF(F2037="","",IF(J2037="✅ Сделано","✔ ",IF(J2037="❌ Пропущено","✖ ","⏰ "))&amp;IF(C2037="","",RIGHT("0"&amp;HOUR(C2037),2)&amp;":"&amp;RIGHT("0"&amp;MINUTE(C2037),2)&amp;IF(D2037="","","–"&amp;RIGHT("0"&amp;HOUR(D2037),2)&amp;":"&amp;RIGHT("0"&amp;MINUTE(D2037),2))&amp;" ")&amp;F2037)</f>
        <v/>
      </c>
      <c r="N2037" s="54">
        <f>IF(OR(A2037="",F2037=""),"",A2037&amp;"#"&amp;(COUNTIFS($A$5:$A$3004,A2037,$F$5:$F$3004,"?*",$O$5:$O$3004,"&lt;"&amp;O2037)+COUNTIFS($A$5:A2037,A2037,$F$5:F2037,"?*",$O$5:O2037,O2037)))</f>
        <v/>
      </c>
      <c r="O2037" s="54">
        <f>IF(A2037="","",IF(C2037="",0,C2037))</f>
        <v/>
      </c>
    </row>
    <row r="2038">
      <c r="A2038" s="58" t="n"/>
      <c r="B2038" s="49">
        <f>IF(A2038="","",CHOOSE(WEEKDAY(A2038,2),"Пн","Вт","Ср","Чт","Пт","Сб","Вс"))</f>
        <v/>
      </c>
      <c r="C2038" s="59" t="n"/>
      <c r="D2038" s="59" t="n"/>
      <c r="E2038" s="60">
        <f>IF(OR(C2038="",D2038=""),"",MOD(D2038-C2038,1)*24)</f>
        <v/>
      </c>
      <c r="F2038" s="50" t="n"/>
      <c r="G2038" s="51" t="n"/>
      <c r="H2038" s="51" t="n"/>
      <c r="I2038" s="51" t="n"/>
      <c r="J2038" s="51" t="n"/>
      <c r="K2038" s="51" t="n"/>
      <c r="L2038" s="54">
        <f>IF(OR(A2038="",C2038="",D2038=""),"",IF(COUNTIFS($A$5:$A$3004,A2038,$C$5:$C$3004,"&lt;"&amp;D2038,$D$5:$D$3004,"&gt;"&amp;C2038)&gt;1,"⚠️ пересечение",""))</f>
        <v/>
      </c>
      <c r="M2038" s="54">
        <f>IF(F2038="","",IF(J2038="✅ Сделано","✔ ",IF(J2038="❌ Пропущено","✖ ","⏰ "))&amp;IF(C2038="","",RIGHT("0"&amp;HOUR(C2038),2)&amp;":"&amp;RIGHT("0"&amp;MINUTE(C2038),2)&amp;IF(D2038="","","–"&amp;RIGHT("0"&amp;HOUR(D2038),2)&amp;":"&amp;RIGHT("0"&amp;MINUTE(D2038),2))&amp;" ")&amp;F2038)</f>
        <v/>
      </c>
      <c r="N2038" s="54">
        <f>IF(OR(A2038="",F2038=""),"",A2038&amp;"#"&amp;(COUNTIFS($A$5:$A$3004,A2038,$F$5:$F$3004,"?*",$O$5:$O$3004,"&lt;"&amp;O2038)+COUNTIFS($A$5:A2038,A2038,$F$5:F2038,"?*",$O$5:O2038,O2038)))</f>
        <v/>
      </c>
      <c r="O2038" s="54">
        <f>IF(A2038="","",IF(C2038="",0,C2038))</f>
        <v/>
      </c>
    </row>
    <row r="2039">
      <c r="A2039" s="58" t="n"/>
      <c r="B2039" s="49">
        <f>IF(A2039="","",CHOOSE(WEEKDAY(A2039,2),"Пн","Вт","Ср","Чт","Пт","Сб","Вс"))</f>
        <v/>
      </c>
      <c r="C2039" s="59" t="n"/>
      <c r="D2039" s="59" t="n"/>
      <c r="E2039" s="60">
        <f>IF(OR(C2039="",D2039=""),"",MOD(D2039-C2039,1)*24)</f>
        <v/>
      </c>
      <c r="F2039" s="50" t="n"/>
      <c r="G2039" s="51" t="n"/>
      <c r="H2039" s="51" t="n"/>
      <c r="I2039" s="51" t="n"/>
      <c r="J2039" s="51" t="n"/>
      <c r="K2039" s="51" t="n"/>
      <c r="L2039" s="54">
        <f>IF(OR(A2039="",C2039="",D2039=""),"",IF(COUNTIFS($A$5:$A$3004,A2039,$C$5:$C$3004,"&lt;"&amp;D2039,$D$5:$D$3004,"&gt;"&amp;C2039)&gt;1,"⚠️ пересечение",""))</f>
        <v/>
      </c>
      <c r="M2039" s="54">
        <f>IF(F2039="","",IF(J2039="✅ Сделано","✔ ",IF(J2039="❌ Пропущено","✖ ","⏰ "))&amp;IF(C2039="","",RIGHT("0"&amp;HOUR(C2039),2)&amp;":"&amp;RIGHT("0"&amp;MINUTE(C2039),2)&amp;IF(D2039="","","–"&amp;RIGHT("0"&amp;HOUR(D2039),2)&amp;":"&amp;RIGHT("0"&amp;MINUTE(D2039),2))&amp;" ")&amp;F2039)</f>
        <v/>
      </c>
      <c r="N2039" s="54">
        <f>IF(OR(A2039="",F2039=""),"",A2039&amp;"#"&amp;(COUNTIFS($A$5:$A$3004,A2039,$F$5:$F$3004,"?*",$O$5:$O$3004,"&lt;"&amp;O2039)+COUNTIFS($A$5:A2039,A2039,$F$5:F2039,"?*",$O$5:O2039,O2039)))</f>
        <v/>
      </c>
      <c r="O2039" s="54">
        <f>IF(A2039="","",IF(C2039="",0,C2039))</f>
        <v/>
      </c>
    </row>
    <row r="2040">
      <c r="A2040" s="58" t="n"/>
      <c r="B2040" s="49">
        <f>IF(A2040="","",CHOOSE(WEEKDAY(A2040,2),"Пн","Вт","Ср","Чт","Пт","Сб","Вс"))</f>
        <v/>
      </c>
      <c r="C2040" s="59" t="n"/>
      <c r="D2040" s="59" t="n"/>
      <c r="E2040" s="60">
        <f>IF(OR(C2040="",D2040=""),"",MOD(D2040-C2040,1)*24)</f>
        <v/>
      </c>
      <c r="F2040" s="50" t="n"/>
      <c r="G2040" s="51" t="n"/>
      <c r="H2040" s="51" t="n"/>
      <c r="I2040" s="51" t="n"/>
      <c r="J2040" s="51" t="n"/>
      <c r="K2040" s="51" t="n"/>
      <c r="L2040" s="54">
        <f>IF(OR(A2040="",C2040="",D2040=""),"",IF(COUNTIFS($A$5:$A$3004,A2040,$C$5:$C$3004,"&lt;"&amp;D2040,$D$5:$D$3004,"&gt;"&amp;C2040)&gt;1,"⚠️ пересечение",""))</f>
        <v/>
      </c>
      <c r="M2040" s="54">
        <f>IF(F2040="","",IF(J2040="✅ Сделано","✔ ",IF(J2040="❌ Пропущено","✖ ","⏰ "))&amp;IF(C2040="","",RIGHT("0"&amp;HOUR(C2040),2)&amp;":"&amp;RIGHT("0"&amp;MINUTE(C2040),2)&amp;IF(D2040="","","–"&amp;RIGHT("0"&amp;HOUR(D2040),2)&amp;":"&amp;RIGHT("0"&amp;MINUTE(D2040),2))&amp;" ")&amp;F2040)</f>
        <v/>
      </c>
      <c r="N2040" s="54">
        <f>IF(OR(A2040="",F2040=""),"",A2040&amp;"#"&amp;(COUNTIFS($A$5:$A$3004,A2040,$F$5:$F$3004,"?*",$O$5:$O$3004,"&lt;"&amp;O2040)+COUNTIFS($A$5:A2040,A2040,$F$5:F2040,"?*",$O$5:O2040,O2040)))</f>
        <v/>
      </c>
      <c r="O2040" s="54">
        <f>IF(A2040="","",IF(C2040="",0,C2040))</f>
        <v/>
      </c>
    </row>
    <row r="2041">
      <c r="A2041" s="58" t="n"/>
      <c r="B2041" s="49">
        <f>IF(A2041="","",CHOOSE(WEEKDAY(A2041,2),"Пн","Вт","Ср","Чт","Пт","Сб","Вс"))</f>
        <v/>
      </c>
      <c r="C2041" s="59" t="n"/>
      <c r="D2041" s="59" t="n"/>
      <c r="E2041" s="60">
        <f>IF(OR(C2041="",D2041=""),"",MOD(D2041-C2041,1)*24)</f>
        <v/>
      </c>
      <c r="F2041" s="50" t="n"/>
      <c r="G2041" s="51" t="n"/>
      <c r="H2041" s="51" t="n"/>
      <c r="I2041" s="51" t="n"/>
      <c r="J2041" s="51" t="n"/>
      <c r="K2041" s="51" t="n"/>
      <c r="L2041" s="54">
        <f>IF(OR(A2041="",C2041="",D2041=""),"",IF(COUNTIFS($A$5:$A$3004,A2041,$C$5:$C$3004,"&lt;"&amp;D2041,$D$5:$D$3004,"&gt;"&amp;C2041)&gt;1,"⚠️ пересечение",""))</f>
        <v/>
      </c>
      <c r="M2041" s="54">
        <f>IF(F2041="","",IF(J2041="✅ Сделано","✔ ",IF(J2041="❌ Пропущено","✖ ","⏰ "))&amp;IF(C2041="","",RIGHT("0"&amp;HOUR(C2041),2)&amp;":"&amp;RIGHT("0"&amp;MINUTE(C2041),2)&amp;IF(D2041="","","–"&amp;RIGHT("0"&amp;HOUR(D2041),2)&amp;":"&amp;RIGHT("0"&amp;MINUTE(D2041),2))&amp;" ")&amp;F2041)</f>
        <v/>
      </c>
      <c r="N2041" s="54">
        <f>IF(OR(A2041="",F2041=""),"",A2041&amp;"#"&amp;(COUNTIFS($A$5:$A$3004,A2041,$F$5:$F$3004,"?*",$O$5:$O$3004,"&lt;"&amp;O2041)+COUNTIFS($A$5:A2041,A2041,$F$5:F2041,"?*",$O$5:O2041,O2041)))</f>
        <v/>
      </c>
      <c r="O2041" s="54">
        <f>IF(A2041="","",IF(C2041="",0,C2041))</f>
        <v/>
      </c>
    </row>
    <row r="2042">
      <c r="A2042" s="58" t="n"/>
      <c r="B2042" s="49">
        <f>IF(A2042="","",CHOOSE(WEEKDAY(A2042,2),"Пн","Вт","Ср","Чт","Пт","Сб","Вс"))</f>
        <v/>
      </c>
      <c r="C2042" s="59" t="n"/>
      <c r="D2042" s="59" t="n"/>
      <c r="E2042" s="60">
        <f>IF(OR(C2042="",D2042=""),"",MOD(D2042-C2042,1)*24)</f>
        <v/>
      </c>
      <c r="F2042" s="50" t="n"/>
      <c r="G2042" s="51" t="n"/>
      <c r="H2042" s="51" t="n"/>
      <c r="I2042" s="51" t="n"/>
      <c r="J2042" s="51" t="n"/>
      <c r="K2042" s="51" t="n"/>
      <c r="L2042" s="54">
        <f>IF(OR(A2042="",C2042="",D2042=""),"",IF(COUNTIFS($A$5:$A$3004,A2042,$C$5:$C$3004,"&lt;"&amp;D2042,$D$5:$D$3004,"&gt;"&amp;C2042)&gt;1,"⚠️ пересечение",""))</f>
        <v/>
      </c>
      <c r="M2042" s="54">
        <f>IF(F2042="","",IF(J2042="✅ Сделано","✔ ",IF(J2042="❌ Пропущено","✖ ","⏰ "))&amp;IF(C2042="","",RIGHT("0"&amp;HOUR(C2042),2)&amp;":"&amp;RIGHT("0"&amp;MINUTE(C2042),2)&amp;IF(D2042="","","–"&amp;RIGHT("0"&amp;HOUR(D2042),2)&amp;":"&amp;RIGHT("0"&amp;MINUTE(D2042),2))&amp;" ")&amp;F2042)</f>
        <v/>
      </c>
      <c r="N2042" s="54">
        <f>IF(OR(A2042="",F2042=""),"",A2042&amp;"#"&amp;(COUNTIFS($A$5:$A$3004,A2042,$F$5:$F$3004,"?*",$O$5:$O$3004,"&lt;"&amp;O2042)+COUNTIFS($A$5:A2042,A2042,$F$5:F2042,"?*",$O$5:O2042,O2042)))</f>
        <v/>
      </c>
      <c r="O2042" s="54">
        <f>IF(A2042="","",IF(C2042="",0,C2042))</f>
        <v/>
      </c>
    </row>
    <row r="2043">
      <c r="A2043" s="58" t="n"/>
      <c r="B2043" s="49">
        <f>IF(A2043="","",CHOOSE(WEEKDAY(A2043,2),"Пн","Вт","Ср","Чт","Пт","Сб","Вс"))</f>
        <v/>
      </c>
      <c r="C2043" s="59" t="n"/>
      <c r="D2043" s="59" t="n"/>
      <c r="E2043" s="60">
        <f>IF(OR(C2043="",D2043=""),"",MOD(D2043-C2043,1)*24)</f>
        <v/>
      </c>
      <c r="F2043" s="50" t="n"/>
      <c r="G2043" s="51" t="n"/>
      <c r="H2043" s="51" t="n"/>
      <c r="I2043" s="51" t="n"/>
      <c r="J2043" s="51" t="n"/>
      <c r="K2043" s="51" t="n"/>
      <c r="L2043" s="54">
        <f>IF(OR(A2043="",C2043="",D2043=""),"",IF(COUNTIFS($A$5:$A$3004,A2043,$C$5:$C$3004,"&lt;"&amp;D2043,$D$5:$D$3004,"&gt;"&amp;C2043)&gt;1,"⚠️ пересечение",""))</f>
        <v/>
      </c>
      <c r="M2043" s="54">
        <f>IF(F2043="","",IF(J2043="✅ Сделано","✔ ",IF(J2043="❌ Пропущено","✖ ","⏰ "))&amp;IF(C2043="","",RIGHT("0"&amp;HOUR(C2043),2)&amp;":"&amp;RIGHT("0"&amp;MINUTE(C2043),2)&amp;IF(D2043="","","–"&amp;RIGHT("0"&amp;HOUR(D2043),2)&amp;":"&amp;RIGHT("0"&amp;MINUTE(D2043),2))&amp;" ")&amp;F2043)</f>
        <v/>
      </c>
      <c r="N2043" s="54">
        <f>IF(OR(A2043="",F2043=""),"",A2043&amp;"#"&amp;(COUNTIFS($A$5:$A$3004,A2043,$F$5:$F$3004,"?*",$O$5:$O$3004,"&lt;"&amp;O2043)+COUNTIFS($A$5:A2043,A2043,$F$5:F2043,"?*",$O$5:O2043,O2043)))</f>
        <v/>
      </c>
      <c r="O2043" s="54">
        <f>IF(A2043="","",IF(C2043="",0,C2043))</f>
        <v/>
      </c>
    </row>
    <row r="2044">
      <c r="A2044" s="58" t="n"/>
      <c r="B2044" s="49">
        <f>IF(A2044="","",CHOOSE(WEEKDAY(A2044,2),"Пн","Вт","Ср","Чт","Пт","Сб","Вс"))</f>
        <v/>
      </c>
      <c r="C2044" s="59" t="n"/>
      <c r="D2044" s="59" t="n"/>
      <c r="E2044" s="60">
        <f>IF(OR(C2044="",D2044=""),"",MOD(D2044-C2044,1)*24)</f>
        <v/>
      </c>
      <c r="F2044" s="50" t="n"/>
      <c r="G2044" s="51" t="n"/>
      <c r="H2044" s="51" t="n"/>
      <c r="I2044" s="51" t="n"/>
      <c r="J2044" s="51" t="n"/>
      <c r="K2044" s="51" t="n"/>
      <c r="L2044" s="54">
        <f>IF(OR(A2044="",C2044="",D2044=""),"",IF(COUNTIFS($A$5:$A$3004,A2044,$C$5:$C$3004,"&lt;"&amp;D2044,$D$5:$D$3004,"&gt;"&amp;C2044)&gt;1,"⚠️ пересечение",""))</f>
        <v/>
      </c>
      <c r="M2044" s="54">
        <f>IF(F2044="","",IF(J2044="✅ Сделано","✔ ",IF(J2044="❌ Пропущено","✖ ","⏰ "))&amp;IF(C2044="","",RIGHT("0"&amp;HOUR(C2044),2)&amp;":"&amp;RIGHT("0"&amp;MINUTE(C2044),2)&amp;IF(D2044="","","–"&amp;RIGHT("0"&amp;HOUR(D2044),2)&amp;":"&amp;RIGHT("0"&amp;MINUTE(D2044),2))&amp;" ")&amp;F2044)</f>
        <v/>
      </c>
      <c r="N2044" s="54">
        <f>IF(OR(A2044="",F2044=""),"",A2044&amp;"#"&amp;(COUNTIFS($A$5:$A$3004,A2044,$F$5:$F$3004,"?*",$O$5:$O$3004,"&lt;"&amp;O2044)+COUNTIFS($A$5:A2044,A2044,$F$5:F2044,"?*",$O$5:O2044,O2044)))</f>
        <v/>
      </c>
      <c r="O2044" s="54">
        <f>IF(A2044="","",IF(C2044="",0,C2044))</f>
        <v/>
      </c>
    </row>
    <row r="2045">
      <c r="A2045" s="58" t="n"/>
      <c r="B2045" s="49">
        <f>IF(A2045="","",CHOOSE(WEEKDAY(A2045,2),"Пн","Вт","Ср","Чт","Пт","Сб","Вс"))</f>
        <v/>
      </c>
      <c r="C2045" s="59" t="n"/>
      <c r="D2045" s="59" t="n"/>
      <c r="E2045" s="60">
        <f>IF(OR(C2045="",D2045=""),"",MOD(D2045-C2045,1)*24)</f>
        <v/>
      </c>
      <c r="F2045" s="50" t="n"/>
      <c r="G2045" s="51" t="n"/>
      <c r="H2045" s="51" t="n"/>
      <c r="I2045" s="51" t="n"/>
      <c r="J2045" s="51" t="n"/>
      <c r="K2045" s="51" t="n"/>
      <c r="L2045" s="54">
        <f>IF(OR(A2045="",C2045="",D2045=""),"",IF(COUNTIFS($A$5:$A$3004,A2045,$C$5:$C$3004,"&lt;"&amp;D2045,$D$5:$D$3004,"&gt;"&amp;C2045)&gt;1,"⚠️ пересечение",""))</f>
        <v/>
      </c>
      <c r="M2045" s="54">
        <f>IF(F2045="","",IF(J2045="✅ Сделано","✔ ",IF(J2045="❌ Пропущено","✖ ","⏰ "))&amp;IF(C2045="","",RIGHT("0"&amp;HOUR(C2045),2)&amp;":"&amp;RIGHT("0"&amp;MINUTE(C2045),2)&amp;IF(D2045="","","–"&amp;RIGHT("0"&amp;HOUR(D2045),2)&amp;":"&amp;RIGHT("0"&amp;MINUTE(D2045),2))&amp;" ")&amp;F2045)</f>
        <v/>
      </c>
      <c r="N2045" s="54">
        <f>IF(OR(A2045="",F2045=""),"",A2045&amp;"#"&amp;(COUNTIFS($A$5:$A$3004,A2045,$F$5:$F$3004,"?*",$O$5:$O$3004,"&lt;"&amp;O2045)+COUNTIFS($A$5:A2045,A2045,$F$5:F2045,"?*",$O$5:O2045,O2045)))</f>
        <v/>
      </c>
      <c r="O2045" s="54">
        <f>IF(A2045="","",IF(C2045="",0,C2045))</f>
        <v/>
      </c>
    </row>
    <row r="2046">
      <c r="A2046" s="58" t="n"/>
      <c r="B2046" s="49">
        <f>IF(A2046="","",CHOOSE(WEEKDAY(A2046,2),"Пн","Вт","Ср","Чт","Пт","Сб","Вс"))</f>
        <v/>
      </c>
      <c r="C2046" s="59" t="n"/>
      <c r="D2046" s="59" t="n"/>
      <c r="E2046" s="60">
        <f>IF(OR(C2046="",D2046=""),"",MOD(D2046-C2046,1)*24)</f>
        <v/>
      </c>
      <c r="F2046" s="50" t="n"/>
      <c r="G2046" s="51" t="n"/>
      <c r="H2046" s="51" t="n"/>
      <c r="I2046" s="51" t="n"/>
      <c r="J2046" s="51" t="n"/>
      <c r="K2046" s="51" t="n"/>
      <c r="L2046" s="54">
        <f>IF(OR(A2046="",C2046="",D2046=""),"",IF(COUNTIFS($A$5:$A$3004,A2046,$C$5:$C$3004,"&lt;"&amp;D2046,$D$5:$D$3004,"&gt;"&amp;C2046)&gt;1,"⚠️ пересечение",""))</f>
        <v/>
      </c>
      <c r="M2046" s="54">
        <f>IF(F2046="","",IF(J2046="✅ Сделано","✔ ",IF(J2046="❌ Пропущено","✖ ","⏰ "))&amp;IF(C2046="","",RIGHT("0"&amp;HOUR(C2046),2)&amp;":"&amp;RIGHT("0"&amp;MINUTE(C2046),2)&amp;IF(D2046="","","–"&amp;RIGHT("0"&amp;HOUR(D2046),2)&amp;":"&amp;RIGHT("0"&amp;MINUTE(D2046),2))&amp;" ")&amp;F2046)</f>
        <v/>
      </c>
      <c r="N2046" s="54">
        <f>IF(OR(A2046="",F2046=""),"",A2046&amp;"#"&amp;(COUNTIFS($A$5:$A$3004,A2046,$F$5:$F$3004,"?*",$O$5:$O$3004,"&lt;"&amp;O2046)+COUNTIFS($A$5:A2046,A2046,$F$5:F2046,"?*",$O$5:O2046,O2046)))</f>
        <v/>
      </c>
      <c r="O2046" s="54">
        <f>IF(A2046="","",IF(C2046="",0,C2046))</f>
        <v/>
      </c>
    </row>
    <row r="2047">
      <c r="A2047" s="58" t="n"/>
      <c r="B2047" s="49">
        <f>IF(A2047="","",CHOOSE(WEEKDAY(A2047,2),"Пн","Вт","Ср","Чт","Пт","Сб","Вс"))</f>
        <v/>
      </c>
      <c r="C2047" s="59" t="n"/>
      <c r="D2047" s="59" t="n"/>
      <c r="E2047" s="60">
        <f>IF(OR(C2047="",D2047=""),"",MOD(D2047-C2047,1)*24)</f>
        <v/>
      </c>
      <c r="F2047" s="50" t="n"/>
      <c r="G2047" s="51" t="n"/>
      <c r="H2047" s="51" t="n"/>
      <c r="I2047" s="51" t="n"/>
      <c r="J2047" s="51" t="n"/>
      <c r="K2047" s="51" t="n"/>
      <c r="L2047" s="54">
        <f>IF(OR(A2047="",C2047="",D2047=""),"",IF(COUNTIFS($A$5:$A$3004,A2047,$C$5:$C$3004,"&lt;"&amp;D2047,$D$5:$D$3004,"&gt;"&amp;C2047)&gt;1,"⚠️ пересечение",""))</f>
        <v/>
      </c>
      <c r="M2047" s="54">
        <f>IF(F2047="","",IF(J2047="✅ Сделано","✔ ",IF(J2047="❌ Пропущено","✖ ","⏰ "))&amp;IF(C2047="","",RIGHT("0"&amp;HOUR(C2047),2)&amp;":"&amp;RIGHT("0"&amp;MINUTE(C2047),2)&amp;IF(D2047="","","–"&amp;RIGHT("0"&amp;HOUR(D2047),2)&amp;":"&amp;RIGHT("0"&amp;MINUTE(D2047),2))&amp;" ")&amp;F2047)</f>
        <v/>
      </c>
      <c r="N2047" s="54">
        <f>IF(OR(A2047="",F2047=""),"",A2047&amp;"#"&amp;(COUNTIFS($A$5:$A$3004,A2047,$F$5:$F$3004,"?*",$O$5:$O$3004,"&lt;"&amp;O2047)+COUNTIFS($A$5:A2047,A2047,$F$5:F2047,"?*",$O$5:O2047,O2047)))</f>
        <v/>
      </c>
      <c r="O2047" s="54">
        <f>IF(A2047="","",IF(C2047="",0,C2047))</f>
        <v/>
      </c>
    </row>
    <row r="2048">
      <c r="A2048" s="58" t="n"/>
      <c r="B2048" s="49">
        <f>IF(A2048="","",CHOOSE(WEEKDAY(A2048,2),"Пн","Вт","Ср","Чт","Пт","Сб","Вс"))</f>
        <v/>
      </c>
      <c r="C2048" s="59" t="n"/>
      <c r="D2048" s="59" t="n"/>
      <c r="E2048" s="60">
        <f>IF(OR(C2048="",D2048=""),"",MOD(D2048-C2048,1)*24)</f>
        <v/>
      </c>
      <c r="F2048" s="50" t="n"/>
      <c r="G2048" s="51" t="n"/>
      <c r="H2048" s="51" t="n"/>
      <c r="I2048" s="51" t="n"/>
      <c r="J2048" s="51" t="n"/>
      <c r="K2048" s="51" t="n"/>
      <c r="L2048" s="54">
        <f>IF(OR(A2048="",C2048="",D2048=""),"",IF(COUNTIFS($A$5:$A$3004,A2048,$C$5:$C$3004,"&lt;"&amp;D2048,$D$5:$D$3004,"&gt;"&amp;C2048)&gt;1,"⚠️ пересечение",""))</f>
        <v/>
      </c>
      <c r="M2048" s="54">
        <f>IF(F2048="","",IF(J2048="✅ Сделано","✔ ",IF(J2048="❌ Пропущено","✖ ","⏰ "))&amp;IF(C2048="","",RIGHT("0"&amp;HOUR(C2048),2)&amp;":"&amp;RIGHT("0"&amp;MINUTE(C2048),2)&amp;IF(D2048="","","–"&amp;RIGHT("0"&amp;HOUR(D2048),2)&amp;":"&amp;RIGHT("0"&amp;MINUTE(D2048),2))&amp;" ")&amp;F2048)</f>
        <v/>
      </c>
      <c r="N2048" s="54">
        <f>IF(OR(A2048="",F2048=""),"",A2048&amp;"#"&amp;(COUNTIFS($A$5:$A$3004,A2048,$F$5:$F$3004,"?*",$O$5:$O$3004,"&lt;"&amp;O2048)+COUNTIFS($A$5:A2048,A2048,$F$5:F2048,"?*",$O$5:O2048,O2048)))</f>
        <v/>
      </c>
      <c r="O2048" s="54">
        <f>IF(A2048="","",IF(C2048="",0,C2048))</f>
        <v/>
      </c>
    </row>
    <row r="2049">
      <c r="A2049" s="58" t="n"/>
      <c r="B2049" s="49">
        <f>IF(A2049="","",CHOOSE(WEEKDAY(A2049,2),"Пн","Вт","Ср","Чт","Пт","Сб","Вс"))</f>
        <v/>
      </c>
      <c r="C2049" s="59" t="n"/>
      <c r="D2049" s="59" t="n"/>
      <c r="E2049" s="60">
        <f>IF(OR(C2049="",D2049=""),"",MOD(D2049-C2049,1)*24)</f>
        <v/>
      </c>
      <c r="F2049" s="50" t="n"/>
      <c r="G2049" s="51" t="n"/>
      <c r="H2049" s="51" t="n"/>
      <c r="I2049" s="51" t="n"/>
      <c r="J2049" s="51" t="n"/>
      <c r="K2049" s="51" t="n"/>
      <c r="L2049" s="54">
        <f>IF(OR(A2049="",C2049="",D2049=""),"",IF(COUNTIFS($A$5:$A$3004,A2049,$C$5:$C$3004,"&lt;"&amp;D2049,$D$5:$D$3004,"&gt;"&amp;C2049)&gt;1,"⚠️ пересечение",""))</f>
        <v/>
      </c>
      <c r="M2049" s="54">
        <f>IF(F2049="","",IF(J2049="✅ Сделано","✔ ",IF(J2049="❌ Пропущено","✖ ","⏰ "))&amp;IF(C2049="","",RIGHT("0"&amp;HOUR(C2049),2)&amp;":"&amp;RIGHT("0"&amp;MINUTE(C2049),2)&amp;IF(D2049="","","–"&amp;RIGHT("0"&amp;HOUR(D2049),2)&amp;":"&amp;RIGHT("0"&amp;MINUTE(D2049),2))&amp;" ")&amp;F2049)</f>
        <v/>
      </c>
      <c r="N2049" s="54">
        <f>IF(OR(A2049="",F2049=""),"",A2049&amp;"#"&amp;(COUNTIFS($A$5:$A$3004,A2049,$F$5:$F$3004,"?*",$O$5:$O$3004,"&lt;"&amp;O2049)+COUNTIFS($A$5:A2049,A2049,$F$5:F2049,"?*",$O$5:O2049,O2049)))</f>
        <v/>
      </c>
      <c r="O2049" s="54">
        <f>IF(A2049="","",IF(C2049="",0,C2049))</f>
        <v/>
      </c>
    </row>
    <row r="2050">
      <c r="A2050" s="58" t="n"/>
      <c r="B2050" s="49">
        <f>IF(A2050="","",CHOOSE(WEEKDAY(A2050,2),"Пн","Вт","Ср","Чт","Пт","Сб","Вс"))</f>
        <v/>
      </c>
      <c r="C2050" s="59" t="n"/>
      <c r="D2050" s="59" t="n"/>
      <c r="E2050" s="60">
        <f>IF(OR(C2050="",D2050=""),"",MOD(D2050-C2050,1)*24)</f>
        <v/>
      </c>
      <c r="F2050" s="50" t="n"/>
      <c r="G2050" s="51" t="n"/>
      <c r="H2050" s="51" t="n"/>
      <c r="I2050" s="51" t="n"/>
      <c r="J2050" s="51" t="n"/>
      <c r="K2050" s="51" t="n"/>
      <c r="L2050" s="54">
        <f>IF(OR(A2050="",C2050="",D2050=""),"",IF(COUNTIFS($A$5:$A$3004,A2050,$C$5:$C$3004,"&lt;"&amp;D2050,$D$5:$D$3004,"&gt;"&amp;C2050)&gt;1,"⚠️ пересечение",""))</f>
        <v/>
      </c>
      <c r="M2050" s="54">
        <f>IF(F2050="","",IF(J2050="✅ Сделано","✔ ",IF(J2050="❌ Пропущено","✖ ","⏰ "))&amp;IF(C2050="","",RIGHT("0"&amp;HOUR(C2050),2)&amp;":"&amp;RIGHT("0"&amp;MINUTE(C2050),2)&amp;IF(D2050="","","–"&amp;RIGHT("0"&amp;HOUR(D2050),2)&amp;":"&amp;RIGHT("0"&amp;MINUTE(D2050),2))&amp;" ")&amp;F2050)</f>
        <v/>
      </c>
      <c r="N2050" s="54">
        <f>IF(OR(A2050="",F2050=""),"",A2050&amp;"#"&amp;(COUNTIFS($A$5:$A$3004,A2050,$F$5:$F$3004,"?*",$O$5:$O$3004,"&lt;"&amp;O2050)+COUNTIFS($A$5:A2050,A2050,$F$5:F2050,"?*",$O$5:O2050,O2050)))</f>
        <v/>
      </c>
      <c r="O2050" s="54">
        <f>IF(A2050="","",IF(C2050="",0,C2050))</f>
        <v/>
      </c>
    </row>
    <row r="2051">
      <c r="A2051" s="58" t="n"/>
      <c r="B2051" s="49">
        <f>IF(A2051="","",CHOOSE(WEEKDAY(A2051,2),"Пн","Вт","Ср","Чт","Пт","Сб","Вс"))</f>
        <v/>
      </c>
      <c r="C2051" s="59" t="n"/>
      <c r="D2051" s="59" t="n"/>
      <c r="E2051" s="60">
        <f>IF(OR(C2051="",D2051=""),"",MOD(D2051-C2051,1)*24)</f>
        <v/>
      </c>
      <c r="F2051" s="50" t="n"/>
      <c r="G2051" s="51" t="n"/>
      <c r="H2051" s="51" t="n"/>
      <c r="I2051" s="51" t="n"/>
      <c r="J2051" s="51" t="n"/>
      <c r="K2051" s="51" t="n"/>
      <c r="L2051" s="54">
        <f>IF(OR(A2051="",C2051="",D2051=""),"",IF(COUNTIFS($A$5:$A$3004,A2051,$C$5:$C$3004,"&lt;"&amp;D2051,$D$5:$D$3004,"&gt;"&amp;C2051)&gt;1,"⚠️ пересечение",""))</f>
        <v/>
      </c>
      <c r="M2051" s="54">
        <f>IF(F2051="","",IF(J2051="✅ Сделано","✔ ",IF(J2051="❌ Пропущено","✖ ","⏰ "))&amp;IF(C2051="","",RIGHT("0"&amp;HOUR(C2051),2)&amp;":"&amp;RIGHT("0"&amp;MINUTE(C2051),2)&amp;IF(D2051="","","–"&amp;RIGHT("0"&amp;HOUR(D2051),2)&amp;":"&amp;RIGHT("0"&amp;MINUTE(D2051),2))&amp;" ")&amp;F2051)</f>
        <v/>
      </c>
      <c r="N2051" s="54">
        <f>IF(OR(A2051="",F2051=""),"",A2051&amp;"#"&amp;(COUNTIFS($A$5:$A$3004,A2051,$F$5:$F$3004,"?*",$O$5:$O$3004,"&lt;"&amp;O2051)+COUNTIFS($A$5:A2051,A2051,$F$5:F2051,"?*",$O$5:O2051,O2051)))</f>
        <v/>
      </c>
      <c r="O2051" s="54">
        <f>IF(A2051="","",IF(C2051="",0,C2051))</f>
        <v/>
      </c>
    </row>
    <row r="2052">
      <c r="A2052" s="58" t="n"/>
      <c r="B2052" s="49">
        <f>IF(A2052="","",CHOOSE(WEEKDAY(A2052,2),"Пн","Вт","Ср","Чт","Пт","Сб","Вс"))</f>
        <v/>
      </c>
      <c r="C2052" s="59" t="n"/>
      <c r="D2052" s="59" t="n"/>
      <c r="E2052" s="60">
        <f>IF(OR(C2052="",D2052=""),"",MOD(D2052-C2052,1)*24)</f>
        <v/>
      </c>
      <c r="F2052" s="50" t="n"/>
      <c r="G2052" s="51" t="n"/>
      <c r="H2052" s="51" t="n"/>
      <c r="I2052" s="51" t="n"/>
      <c r="J2052" s="51" t="n"/>
      <c r="K2052" s="51" t="n"/>
      <c r="L2052" s="54">
        <f>IF(OR(A2052="",C2052="",D2052=""),"",IF(COUNTIFS($A$5:$A$3004,A2052,$C$5:$C$3004,"&lt;"&amp;D2052,$D$5:$D$3004,"&gt;"&amp;C2052)&gt;1,"⚠️ пересечение",""))</f>
        <v/>
      </c>
      <c r="M2052" s="54">
        <f>IF(F2052="","",IF(J2052="✅ Сделано","✔ ",IF(J2052="❌ Пропущено","✖ ","⏰ "))&amp;IF(C2052="","",RIGHT("0"&amp;HOUR(C2052),2)&amp;":"&amp;RIGHT("0"&amp;MINUTE(C2052),2)&amp;IF(D2052="","","–"&amp;RIGHT("0"&amp;HOUR(D2052),2)&amp;":"&amp;RIGHT("0"&amp;MINUTE(D2052),2))&amp;" ")&amp;F2052)</f>
        <v/>
      </c>
      <c r="N2052" s="54">
        <f>IF(OR(A2052="",F2052=""),"",A2052&amp;"#"&amp;(COUNTIFS($A$5:$A$3004,A2052,$F$5:$F$3004,"?*",$O$5:$O$3004,"&lt;"&amp;O2052)+COUNTIFS($A$5:A2052,A2052,$F$5:F2052,"?*",$O$5:O2052,O2052)))</f>
        <v/>
      </c>
      <c r="O2052" s="54">
        <f>IF(A2052="","",IF(C2052="",0,C2052))</f>
        <v/>
      </c>
    </row>
    <row r="2053">
      <c r="A2053" s="58" t="n"/>
      <c r="B2053" s="49">
        <f>IF(A2053="","",CHOOSE(WEEKDAY(A2053,2),"Пн","Вт","Ср","Чт","Пт","Сб","Вс"))</f>
        <v/>
      </c>
      <c r="C2053" s="59" t="n"/>
      <c r="D2053" s="59" t="n"/>
      <c r="E2053" s="60">
        <f>IF(OR(C2053="",D2053=""),"",MOD(D2053-C2053,1)*24)</f>
        <v/>
      </c>
      <c r="F2053" s="50" t="n"/>
      <c r="G2053" s="51" t="n"/>
      <c r="H2053" s="51" t="n"/>
      <c r="I2053" s="51" t="n"/>
      <c r="J2053" s="51" t="n"/>
      <c r="K2053" s="51" t="n"/>
      <c r="L2053" s="54">
        <f>IF(OR(A2053="",C2053="",D2053=""),"",IF(COUNTIFS($A$5:$A$3004,A2053,$C$5:$C$3004,"&lt;"&amp;D2053,$D$5:$D$3004,"&gt;"&amp;C2053)&gt;1,"⚠️ пересечение",""))</f>
        <v/>
      </c>
      <c r="M2053" s="54">
        <f>IF(F2053="","",IF(J2053="✅ Сделано","✔ ",IF(J2053="❌ Пропущено","✖ ","⏰ "))&amp;IF(C2053="","",RIGHT("0"&amp;HOUR(C2053),2)&amp;":"&amp;RIGHT("0"&amp;MINUTE(C2053),2)&amp;IF(D2053="","","–"&amp;RIGHT("0"&amp;HOUR(D2053),2)&amp;":"&amp;RIGHT("0"&amp;MINUTE(D2053),2))&amp;" ")&amp;F2053)</f>
        <v/>
      </c>
      <c r="N2053" s="54">
        <f>IF(OR(A2053="",F2053=""),"",A2053&amp;"#"&amp;(COUNTIFS($A$5:$A$3004,A2053,$F$5:$F$3004,"?*",$O$5:$O$3004,"&lt;"&amp;O2053)+COUNTIFS($A$5:A2053,A2053,$F$5:F2053,"?*",$O$5:O2053,O2053)))</f>
        <v/>
      </c>
      <c r="O2053" s="54">
        <f>IF(A2053="","",IF(C2053="",0,C2053))</f>
        <v/>
      </c>
    </row>
    <row r="2054">
      <c r="A2054" s="58" t="n"/>
      <c r="B2054" s="49">
        <f>IF(A2054="","",CHOOSE(WEEKDAY(A2054,2),"Пн","Вт","Ср","Чт","Пт","Сб","Вс"))</f>
        <v/>
      </c>
      <c r="C2054" s="59" t="n"/>
      <c r="D2054" s="59" t="n"/>
      <c r="E2054" s="60">
        <f>IF(OR(C2054="",D2054=""),"",MOD(D2054-C2054,1)*24)</f>
        <v/>
      </c>
      <c r="F2054" s="50" t="n"/>
      <c r="G2054" s="51" t="n"/>
      <c r="H2054" s="51" t="n"/>
      <c r="I2054" s="51" t="n"/>
      <c r="J2054" s="51" t="n"/>
      <c r="K2054" s="51" t="n"/>
      <c r="L2054" s="54">
        <f>IF(OR(A2054="",C2054="",D2054=""),"",IF(COUNTIFS($A$5:$A$3004,A2054,$C$5:$C$3004,"&lt;"&amp;D2054,$D$5:$D$3004,"&gt;"&amp;C2054)&gt;1,"⚠️ пересечение",""))</f>
        <v/>
      </c>
      <c r="M2054" s="54">
        <f>IF(F2054="","",IF(J2054="✅ Сделано","✔ ",IF(J2054="❌ Пропущено","✖ ","⏰ "))&amp;IF(C2054="","",RIGHT("0"&amp;HOUR(C2054),2)&amp;":"&amp;RIGHT("0"&amp;MINUTE(C2054),2)&amp;IF(D2054="","","–"&amp;RIGHT("0"&amp;HOUR(D2054),2)&amp;":"&amp;RIGHT("0"&amp;MINUTE(D2054),2))&amp;" ")&amp;F2054)</f>
        <v/>
      </c>
      <c r="N2054" s="54">
        <f>IF(OR(A2054="",F2054=""),"",A2054&amp;"#"&amp;(COUNTIFS($A$5:$A$3004,A2054,$F$5:$F$3004,"?*",$O$5:$O$3004,"&lt;"&amp;O2054)+COUNTIFS($A$5:A2054,A2054,$F$5:F2054,"?*",$O$5:O2054,O2054)))</f>
        <v/>
      </c>
      <c r="O2054" s="54">
        <f>IF(A2054="","",IF(C2054="",0,C2054))</f>
        <v/>
      </c>
    </row>
    <row r="2055">
      <c r="A2055" s="58" t="n"/>
      <c r="B2055" s="49">
        <f>IF(A2055="","",CHOOSE(WEEKDAY(A2055,2),"Пн","Вт","Ср","Чт","Пт","Сб","Вс"))</f>
        <v/>
      </c>
      <c r="C2055" s="59" t="n"/>
      <c r="D2055" s="59" t="n"/>
      <c r="E2055" s="60">
        <f>IF(OR(C2055="",D2055=""),"",MOD(D2055-C2055,1)*24)</f>
        <v/>
      </c>
      <c r="F2055" s="50" t="n"/>
      <c r="G2055" s="51" t="n"/>
      <c r="H2055" s="51" t="n"/>
      <c r="I2055" s="51" t="n"/>
      <c r="J2055" s="51" t="n"/>
      <c r="K2055" s="51" t="n"/>
      <c r="L2055" s="54">
        <f>IF(OR(A2055="",C2055="",D2055=""),"",IF(COUNTIFS($A$5:$A$3004,A2055,$C$5:$C$3004,"&lt;"&amp;D2055,$D$5:$D$3004,"&gt;"&amp;C2055)&gt;1,"⚠️ пересечение",""))</f>
        <v/>
      </c>
      <c r="M2055" s="54">
        <f>IF(F2055="","",IF(J2055="✅ Сделано","✔ ",IF(J2055="❌ Пропущено","✖ ","⏰ "))&amp;IF(C2055="","",RIGHT("0"&amp;HOUR(C2055),2)&amp;":"&amp;RIGHT("0"&amp;MINUTE(C2055),2)&amp;IF(D2055="","","–"&amp;RIGHT("0"&amp;HOUR(D2055),2)&amp;":"&amp;RIGHT("0"&amp;MINUTE(D2055),2))&amp;" ")&amp;F2055)</f>
        <v/>
      </c>
      <c r="N2055" s="54">
        <f>IF(OR(A2055="",F2055=""),"",A2055&amp;"#"&amp;(COUNTIFS($A$5:$A$3004,A2055,$F$5:$F$3004,"?*",$O$5:$O$3004,"&lt;"&amp;O2055)+COUNTIFS($A$5:A2055,A2055,$F$5:F2055,"?*",$O$5:O2055,O2055)))</f>
        <v/>
      </c>
      <c r="O2055" s="54">
        <f>IF(A2055="","",IF(C2055="",0,C2055))</f>
        <v/>
      </c>
    </row>
    <row r="2056">
      <c r="A2056" s="58" t="n"/>
      <c r="B2056" s="49">
        <f>IF(A2056="","",CHOOSE(WEEKDAY(A2056,2),"Пн","Вт","Ср","Чт","Пт","Сб","Вс"))</f>
        <v/>
      </c>
      <c r="C2056" s="59" t="n"/>
      <c r="D2056" s="59" t="n"/>
      <c r="E2056" s="60">
        <f>IF(OR(C2056="",D2056=""),"",MOD(D2056-C2056,1)*24)</f>
        <v/>
      </c>
      <c r="F2056" s="50" t="n"/>
      <c r="G2056" s="51" t="n"/>
      <c r="H2056" s="51" t="n"/>
      <c r="I2056" s="51" t="n"/>
      <c r="J2056" s="51" t="n"/>
      <c r="K2056" s="51" t="n"/>
      <c r="L2056" s="54">
        <f>IF(OR(A2056="",C2056="",D2056=""),"",IF(COUNTIFS($A$5:$A$3004,A2056,$C$5:$C$3004,"&lt;"&amp;D2056,$D$5:$D$3004,"&gt;"&amp;C2056)&gt;1,"⚠️ пересечение",""))</f>
        <v/>
      </c>
      <c r="M2056" s="54">
        <f>IF(F2056="","",IF(J2056="✅ Сделано","✔ ",IF(J2056="❌ Пропущено","✖ ","⏰ "))&amp;IF(C2056="","",RIGHT("0"&amp;HOUR(C2056),2)&amp;":"&amp;RIGHT("0"&amp;MINUTE(C2056),2)&amp;IF(D2056="","","–"&amp;RIGHT("0"&amp;HOUR(D2056),2)&amp;":"&amp;RIGHT("0"&amp;MINUTE(D2056),2))&amp;" ")&amp;F2056)</f>
        <v/>
      </c>
      <c r="N2056" s="54">
        <f>IF(OR(A2056="",F2056=""),"",A2056&amp;"#"&amp;(COUNTIFS($A$5:$A$3004,A2056,$F$5:$F$3004,"?*",$O$5:$O$3004,"&lt;"&amp;O2056)+COUNTIFS($A$5:A2056,A2056,$F$5:F2056,"?*",$O$5:O2056,O2056)))</f>
        <v/>
      </c>
      <c r="O2056" s="54">
        <f>IF(A2056="","",IF(C2056="",0,C2056))</f>
        <v/>
      </c>
    </row>
    <row r="2057">
      <c r="A2057" s="58" t="n"/>
      <c r="B2057" s="49">
        <f>IF(A2057="","",CHOOSE(WEEKDAY(A2057,2),"Пн","Вт","Ср","Чт","Пт","Сб","Вс"))</f>
        <v/>
      </c>
      <c r="C2057" s="59" t="n"/>
      <c r="D2057" s="59" t="n"/>
      <c r="E2057" s="60">
        <f>IF(OR(C2057="",D2057=""),"",MOD(D2057-C2057,1)*24)</f>
        <v/>
      </c>
      <c r="F2057" s="50" t="n"/>
      <c r="G2057" s="51" t="n"/>
      <c r="H2057" s="51" t="n"/>
      <c r="I2057" s="51" t="n"/>
      <c r="J2057" s="51" t="n"/>
      <c r="K2057" s="51" t="n"/>
      <c r="L2057" s="54">
        <f>IF(OR(A2057="",C2057="",D2057=""),"",IF(COUNTIFS($A$5:$A$3004,A2057,$C$5:$C$3004,"&lt;"&amp;D2057,$D$5:$D$3004,"&gt;"&amp;C2057)&gt;1,"⚠️ пересечение",""))</f>
        <v/>
      </c>
      <c r="M2057" s="54">
        <f>IF(F2057="","",IF(J2057="✅ Сделано","✔ ",IF(J2057="❌ Пропущено","✖ ","⏰ "))&amp;IF(C2057="","",RIGHT("0"&amp;HOUR(C2057),2)&amp;":"&amp;RIGHT("0"&amp;MINUTE(C2057),2)&amp;IF(D2057="","","–"&amp;RIGHT("0"&amp;HOUR(D2057),2)&amp;":"&amp;RIGHT("0"&amp;MINUTE(D2057),2))&amp;" ")&amp;F2057)</f>
        <v/>
      </c>
      <c r="N2057" s="54">
        <f>IF(OR(A2057="",F2057=""),"",A2057&amp;"#"&amp;(COUNTIFS($A$5:$A$3004,A2057,$F$5:$F$3004,"?*",$O$5:$O$3004,"&lt;"&amp;O2057)+COUNTIFS($A$5:A2057,A2057,$F$5:F2057,"?*",$O$5:O2057,O2057)))</f>
        <v/>
      </c>
      <c r="O2057" s="54">
        <f>IF(A2057="","",IF(C2057="",0,C2057))</f>
        <v/>
      </c>
    </row>
    <row r="2058">
      <c r="A2058" s="58" t="n"/>
      <c r="B2058" s="49">
        <f>IF(A2058="","",CHOOSE(WEEKDAY(A2058,2),"Пн","Вт","Ср","Чт","Пт","Сб","Вс"))</f>
        <v/>
      </c>
      <c r="C2058" s="59" t="n"/>
      <c r="D2058" s="59" t="n"/>
      <c r="E2058" s="60">
        <f>IF(OR(C2058="",D2058=""),"",MOD(D2058-C2058,1)*24)</f>
        <v/>
      </c>
      <c r="F2058" s="50" t="n"/>
      <c r="G2058" s="51" t="n"/>
      <c r="H2058" s="51" t="n"/>
      <c r="I2058" s="51" t="n"/>
      <c r="J2058" s="51" t="n"/>
      <c r="K2058" s="51" t="n"/>
      <c r="L2058" s="54">
        <f>IF(OR(A2058="",C2058="",D2058=""),"",IF(COUNTIFS($A$5:$A$3004,A2058,$C$5:$C$3004,"&lt;"&amp;D2058,$D$5:$D$3004,"&gt;"&amp;C2058)&gt;1,"⚠️ пересечение",""))</f>
        <v/>
      </c>
      <c r="M2058" s="54">
        <f>IF(F2058="","",IF(J2058="✅ Сделано","✔ ",IF(J2058="❌ Пропущено","✖ ","⏰ "))&amp;IF(C2058="","",RIGHT("0"&amp;HOUR(C2058),2)&amp;":"&amp;RIGHT("0"&amp;MINUTE(C2058),2)&amp;IF(D2058="","","–"&amp;RIGHT("0"&amp;HOUR(D2058),2)&amp;":"&amp;RIGHT("0"&amp;MINUTE(D2058),2))&amp;" ")&amp;F2058)</f>
        <v/>
      </c>
      <c r="N2058" s="54">
        <f>IF(OR(A2058="",F2058=""),"",A2058&amp;"#"&amp;(COUNTIFS($A$5:$A$3004,A2058,$F$5:$F$3004,"?*",$O$5:$O$3004,"&lt;"&amp;O2058)+COUNTIFS($A$5:A2058,A2058,$F$5:F2058,"?*",$O$5:O2058,O2058)))</f>
        <v/>
      </c>
      <c r="O2058" s="54">
        <f>IF(A2058="","",IF(C2058="",0,C2058))</f>
        <v/>
      </c>
    </row>
    <row r="2059">
      <c r="A2059" s="58" t="n"/>
      <c r="B2059" s="49">
        <f>IF(A2059="","",CHOOSE(WEEKDAY(A2059,2),"Пн","Вт","Ср","Чт","Пт","Сб","Вс"))</f>
        <v/>
      </c>
      <c r="C2059" s="59" t="n"/>
      <c r="D2059" s="59" t="n"/>
      <c r="E2059" s="60">
        <f>IF(OR(C2059="",D2059=""),"",MOD(D2059-C2059,1)*24)</f>
        <v/>
      </c>
      <c r="F2059" s="50" t="n"/>
      <c r="G2059" s="51" t="n"/>
      <c r="H2059" s="51" t="n"/>
      <c r="I2059" s="51" t="n"/>
      <c r="J2059" s="51" t="n"/>
      <c r="K2059" s="51" t="n"/>
      <c r="L2059" s="54">
        <f>IF(OR(A2059="",C2059="",D2059=""),"",IF(COUNTIFS($A$5:$A$3004,A2059,$C$5:$C$3004,"&lt;"&amp;D2059,$D$5:$D$3004,"&gt;"&amp;C2059)&gt;1,"⚠️ пересечение",""))</f>
        <v/>
      </c>
      <c r="M2059" s="54">
        <f>IF(F2059="","",IF(J2059="✅ Сделано","✔ ",IF(J2059="❌ Пропущено","✖ ","⏰ "))&amp;IF(C2059="","",RIGHT("0"&amp;HOUR(C2059),2)&amp;":"&amp;RIGHT("0"&amp;MINUTE(C2059),2)&amp;IF(D2059="","","–"&amp;RIGHT("0"&amp;HOUR(D2059),2)&amp;":"&amp;RIGHT("0"&amp;MINUTE(D2059),2))&amp;" ")&amp;F2059)</f>
        <v/>
      </c>
      <c r="N2059" s="54">
        <f>IF(OR(A2059="",F2059=""),"",A2059&amp;"#"&amp;(COUNTIFS($A$5:$A$3004,A2059,$F$5:$F$3004,"?*",$O$5:$O$3004,"&lt;"&amp;O2059)+COUNTIFS($A$5:A2059,A2059,$F$5:F2059,"?*",$O$5:O2059,O2059)))</f>
        <v/>
      </c>
      <c r="O2059" s="54">
        <f>IF(A2059="","",IF(C2059="",0,C2059))</f>
        <v/>
      </c>
    </row>
    <row r="2060">
      <c r="A2060" s="58" t="n"/>
      <c r="B2060" s="49">
        <f>IF(A2060="","",CHOOSE(WEEKDAY(A2060,2),"Пн","Вт","Ср","Чт","Пт","Сб","Вс"))</f>
        <v/>
      </c>
      <c r="C2060" s="59" t="n"/>
      <c r="D2060" s="59" t="n"/>
      <c r="E2060" s="60">
        <f>IF(OR(C2060="",D2060=""),"",MOD(D2060-C2060,1)*24)</f>
        <v/>
      </c>
      <c r="F2060" s="50" t="n"/>
      <c r="G2060" s="51" t="n"/>
      <c r="H2060" s="51" t="n"/>
      <c r="I2060" s="51" t="n"/>
      <c r="J2060" s="51" t="n"/>
      <c r="K2060" s="51" t="n"/>
      <c r="L2060" s="54">
        <f>IF(OR(A2060="",C2060="",D2060=""),"",IF(COUNTIFS($A$5:$A$3004,A2060,$C$5:$C$3004,"&lt;"&amp;D2060,$D$5:$D$3004,"&gt;"&amp;C2060)&gt;1,"⚠️ пересечение",""))</f>
        <v/>
      </c>
      <c r="M2060" s="54">
        <f>IF(F2060="","",IF(J2060="✅ Сделано","✔ ",IF(J2060="❌ Пропущено","✖ ","⏰ "))&amp;IF(C2060="","",RIGHT("0"&amp;HOUR(C2060),2)&amp;":"&amp;RIGHT("0"&amp;MINUTE(C2060),2)&amp;IF(D2060="","","–"&amp;RIGHT("0"&amp;HOUR(D2060),2)&amp;":"&amp;RIGHT("0"&amp;MINUTE(D2060),2))&amp;" ")&amp;F2060)</f>
        <v/>
      </c>
      <c r="N2060" s="54">
        <f>IF(OR(A2060="",F2060=""),"",A2060&amp;"#"&amp;(COUNTIFS($A$5:$A$3004,A2060,$F$5:$F$3004,"?*",$O$5:$O$3004,"&lt;"&amp;O2060)+COUNTIFS($A$5:A2060,A2060,$F$5:F2060,"?*",$O$5:O2060,O2060)))</f>
        <v/>
      </c>
      <c r="O2060" s="54">
        <f>IF(A2060="","",IF(C2060="",0,C2060))</f>
        <v/>
      </c>
    </row>
    <row r="2061">
      <c r="A2061" s="58" t="n"/>
      <c r="B2061" s="49">
        <f>IF(A2061="","",CHOOSE(WEEKDAY(A2061,2),"Пн","Вт","Ср","Чт","Пт","Сб","Вс"))</f>
        <v/>
      </c>
      <c r="C2061" s="59" t="n"/>
      <c r="D2061" s="59" t="n"/>
      <c r="E2061" s="60">
        <f>IF(OR(C2061="",D2061=""),"",MOD(D2061-C2061,1)*24)</f>
        <v/>
      </c>
      <c r="F2061" s="50" t="n"/>
      <c r="G2061" s="51" t="n"/>
      <c r="H2061" s="51" t="n"/>
      <c r="I2061" s="51" t="n"/>
      <c r="J2061" s="51" t="n"/>
      <c r="K2061" s="51" t="n"/>
      <c r="L2061" s="54">
        <f>IF(OR(A2061="",C2061="",D2061=""),"",IF(COUNTIFS($A$5:$A$3004,A2061,$C$5:$C$3004,"&lt;"&amp;D2061,$D$5:$D$3004,"&gt;"&amp;C2061)&gt;1,"⚠️ пересечение",""))</f>
        <v/>
      </c>
      <c r="M2061" s="54">
        <f>IF(F2061="","",IF(J2061="✅ Сделано","✔ ",IF(J2061="❌ Пропущено","✖ ","⏰ "))&amp;IF(C2061="","",RIGHT("0"&amp;HOUR(C2061),2)&amp;":"&amp;RIGHT("0"&amp;MINUTE(C2061),2)&amp;IF(D2061="","","–"&amp;RIGHT("0"&amp;HOUR(D2061),2)&amp;":"&amp;RIGHT("0"&amp;MINUTE(D2061),2))&amp;" ")&amp;F2061)</f>
        <v/>
      </c>
      <c r="N2061" s="54">
        <f>IF(OR(A2061="",F2061=""),"",A2061&amp;"#"&amp;(COUNTIFS($A$5:$A$3004,A2061,$F$5:$F$3004,"?*",$O$5:$O$3004,"&lt;"&amp;O2061)+COUNTIFS($A$5:A2061,A2061,$F$5:F2061,"?*",$O$5:O2061,O2061)))</f>
        <v/>
      </c>
      <c r="O2061" s="54">
        <f>IF(A2061="","",IF(C2061="",0,C2061))</f>
        <v/>
      </c>
    </row>
    <row r="2062">
      <c r="A2062" s="58" t="n"/>
      <c r="B2062" s="49">
        <f>IF(A2062="","",CHOOSE(WEEKDAY(A2062,2),"Пн","Вт","Ср","Чт","Пт","Сб","Вс"))</f>
        <v/>
      </c>
      <c r="C2062" s="59" t="n"/>
      <c r="D2062" s="59" t="n"/>
      <c r="E2062" s="60">
        <f>IF(OR(C2062="",D2062=""),"",MOD(D2062-C2062,1)*24)</f>
        <v/>
      </c>
      <c r="F2062" s="50" t="n"/>
      <c r="G2062" s="51" t="n"/>
      <c r="H2062" s="51" t="n"/>
      <c r="I2062" s="51" t="n"/>
      <c r="J2062" s="51" t="n"/>
      <c r="K2062" s="51" t="n"/>
      <c r="L2062" s="54">
        <f>IF(OR(A2062="",C2062="",D2062=""),"",IF(COUNTIFS($A$5:$A$3004,A2062,$C$5:$C$3004,"&lt;"&amp;D2062,$D$5:$D$3004,"&gt;"&amp;C2062)&gt;1,"⚠️ пересечение",""))</f>
        <v/>
      </c>
      <c r="M2062" s="54">
        <f>IF(F2062="","",IF(J2062="✅ Сделано","✔ ",IF(J2062="❌ Пропущено","✖ ","⏰ "))&amp;IF(C2062="","",RIGHT("0"&amp;HOUR(C2062),2)&amp;":"&amp;RIGHT("0"&amp;MINUTE(C2062),2)&amp;IF(D2062="","","–"&amp;RIGHT("0"&amp;HOUR(D2062),2)&amp;":"&amp;RIGHT("0"&amp;MINUTE(D2062),2))&amp;" ")&amp;F2062)</f>
        <v/>
      </c>
      <c r="N2062" s="54">
        <f>IF(OR(A2062="",F2062=""),"",A2062&amp;"#"&amp;(COUNTIFS($A$5:$A$3004,A2062,$F$5:$F$3004,"?*",$O$5:$O$3004,"&lt;"&amp;O2062)+COUNTIFS($A$5:A2062,A2062,$F$5:F2062,"?*",$O$5:O2062,O2062)))</f>
        <v/>
      </c>
      <c r="O2062" s="54">
        <f>IF(A2062="","",IF(C2062="",0,C2062))</f>
        <v/>
      </c>
    </row>
    <row r="2063">
      <c r="A2063" s="58" t="n"/>
      <c r="B2063" s="49">
        <f>IF(A2063="","",CHOOSE(WEEKDAY(A2063,2),"Пн","Вт","Ср","Чт","Пт","Сб","Вс"))</f>
        <v/>
      </c>
      <c r="C2063" s="59" t="n"/>
      <c r="D2063" s="59" t="n"/>
      <c r="E2063" s="60">
        <f>IF(OR(C2063="",D2063=""),"",MOD(D2063-C2063,1)*24)</f>
        <v/>
      </c>
      <c r="F2063" s="50" t="n"/>
      <c r="G2063" s="51" t="n"/>
      <c r="H2063" s="51" t="n"/>
      <c r="I2063" s="51" t="n"/>
      <c r="J2063" s="51" t="n"/>
      <c r="K2063" s="51" t="n"/>
      <c r="L2063" s="54">
        <f>IF(OR(A2063="",C2063="",D2063=""),"",IF(COUNTIFS($A$5:$A$3004,A2063,$C$5:$C$3004,"&lt;"&amp;D2063,$D$5:$D$3004,"&gt;"&amp;C2063)&gt;1,"⚠️ пересечение",""))</f>
        <v/>
      </c>
      <c r="M2063" s="54">
        <f>IF(F2063="","",IF(J2063="✅ Сделано","✔ ",IF(J2063="❌ Пропущено","✖ ","⏰ "))&amp;IF(C2063="","",RIGHT("0"&amp;HOUR(C2063),2)&amp;":"&amp;RIGHT("0"&amp;MINUTE(C2063),2)&amp;IF(D2063="","","–"&amp;RIGHT("0"&amp;HOUR(D2063),2)&amp;":"&amp;RIGHT("0"&amp;MINUTE(D2063),2))&amp;" ")&amp;F2063)</f>
        <v/>
      </c>
      <c r="N2063" s="54">
        <f>IF(OR(A2063="",F2063=""),"",A2063&amp;"#"&amp;(COUNTIFS($A$5:$A$3004,A2063,$F$5:$F$3004,"?*",$O$5:$O$3004,"&lt;"&amp;O2063)+COUNTIFS($A$5:A2063,A2063,$F$5:F2063,"?*",$O$5:O2063,O2063)))</f>
        <v/>
      </c>
      <c r="O2063" s="54">
        <f>IF(A2063="","",IF(C2063="",0,C2063))</f>
        <v/>
      </c>
    </row>
    <row r="2064">
      <c r="A2064" s="58" t="n"/>
      <c r="B2064" s="49">
        <f>IF(A2064="","",CHOOSE(WEEKDAY(A2064,2),"Пн","Вт","Ср","Чт","Пт","Сб","Вс"))</f>
        <v/>
      </c>
      <c r="C2064" s="59" t="n"/>
      <c r="D2064" s="59" t="n"/>
      <c r="E2064" s="60">
        <f>IF(OR(C2064="",D2064=""),"",MOD(D2064-C2064,1)*24)</f>
        <v/>
      </c>
      <c r="F2064" s="50" t="n"/>
      <c r="G2064" s="51" t="n"/>
      <c r="H2064" s="51" t="n"/>
      <c r="I2064" s="51" t="n"/>
      <c r="J2064" s="51" t="n"/>
      <c r="K2064" s="51" t="n"/>
      <c r="L2064" s="54">
        <f>IF(OR(A2064="",C2064="",D2064=""),"",IF(COUNTIFS($A$5:$A$3004,A2064,$C$5:$C$3004,"&lt;"&amp;D2064,$D$5:$D$3004,"&gt;"&amp;C2064)&gt;1,"⚠️ пересечение",""))</f>
        <v/>
      </c>
      <c r="M2064" s="54">
        <f>IF(F2064="","",IF(J2064="✅ Сделано","✔ ",IF(J2064="❌ Пропущено","✖ ","⏰ "))&amp;IF(C2064="","",RIGHT("0"&amp;HOUR(C2064),2)&amp;":"&amp;RIGHT("0"&amp;MINUTE(C2064),2)&amp;IF(D2064="","","–"&amp;RIGHT("0"&amp;HOUR(D2064),2)&amp;":"&amp;RIGHT("0"&amp;MINUTE(D2064),2))&amp;" ")&amp;F2064)</f>
        <v/>
      </c>
      <c r="N2064" s="54">
        <f>IF(OR(A2064="",F2064=""),"",A2064&amp;"#"&amp;(COUNTIFS($A$5:$A$3004,A2064,$F$5:$F$3004,"?*",$O$5:$O$3004,"&lt;"&amp;O2064)+COUNTIFS($A$5:A2064,A2064,$F$5:F2064,"?*",$O$5:O2064,O2064)))</f>
        <v/>
      </c>
      <c r="O2064" s="54">
        <f>IF(A2064="","",IF(C2064="",0,C2064))</f>
        <v/>
      </c>
    </row>
    <row r="2065">
      <c r="A2065" s="58" t="n"/>
      <c r="B2065" s="49">
        <f>IF(A2065="","",CHOOSE(WEEKDAY(A2065,2),"Пн","Вт","Ср","Чт","Пт","Сб","Вс"))</f>
        <v/>
      </c>
      <c r="C2065" s="59" t="n"/>
      <c r="D2065" s="59" t="n"/>
      <c r="E2065" s="60">
        <f>IF(OR(C2065="",D2065=""),"",MOD(D2065-C2065,1)*24)</f>
        <v/>
      </c>
      <c r="F2065" s="50" t="n"/>
      <c r="G2065" s="51" t="n"/>
      <c r="H2065" s="51" t="n"/>
      <c r="I2065" s="51" t="n"/>
      <c r="J2065" s="51" t="n"/>
      <c r="K2065" s="51" t="n"/>
      <c r="L2065" s="54">
        <f>IF(OR(A2065="",C2065="",D2065=""),"",IF(COUNTIFS($A$5:$A$3004,A2065,$C$5:$C$3004,"&lt;"&amp;D2065,$D$5:$D$3004,"&gt;"&amp;C2065)&gt;1,"⚠️ пересечение",""))</f>
        <v/>
      </c>
      <c r="M2065" s="54">
        <f>IF(F2065="","",IF(J2065="✅ Сделано","✔ ",IF(J2065="❌ Пропущено","✖ ","⏰ "))&amp;IF(C2065="","",RIGHT("0"&amp;HOUR(C2065),2)&amp;":"&amp;RIGHT("0"&amp;MINUTE(C2065),2)&amp;IF(D2065="","","–"&amp;RIGHT("0"&amp;HOUR(D2065),2)&amp;":"&amp;RIGHT("0"&amp;MINUTE(D2065),2))&amp;" ")&amp;F2065)</f>
        <v/>
      </c>
      <c r="N2065" s="54">
        <f>IF(OR(A2065="",F2065=""),"",A2065&amp;"#"&amp;(COUNTIFS($A$5:$A$3004,A2065,$F$5:$F$3004,"?*",$O$5:$O$3004,"&lt;"&amp;O2065)+COUNTIFS($A$5:A2065,A2065,$F$5:F2065,"?*",$O$5:O2065,O2065)))</f>
        <v/>
      </c>
      <c r="O2065" s="54">
        <f>IF(A2065="","",IF(C2065="",0,C2065))</f>
        <v/>
      </c>
    </row>
    <row r="2066">
      <c r="A2066" s="58" t="n"/>
      <c r="B2066" s="49">
        <f>IF(A2066="","",CHOOSE(WEEKDAY(A2066,2),"Пн","Вт","Ср","Чт","Пт","Сб","Вс"))</f>
        <v/>
      </c>
      <c r="C2066" s="59" t="n"/>
      <c r="D2066" s="59" t="n"/>
      <c r="E2066" s="60">
        <f>IF(OR(C2066="",D2066=""),"",MOD(D2066-C2066,1)*24)</f>
        <v/>
      </c>
      <c r="F2066" s="50" t="n"/>
      <c r="G2066" s="51" t="n"/>
      <c r="H2066" s="51" t="n"/>
      <c r="I2066" s="51" t="n"/>
      <c r="J2066" s="51" t="n"/>
      <c r="K2066" s="51" t="n"/>
      <c r="L2066" s="54">
        <f>IF(OR(A2066="",C2066="",D2066=""),"",IF(COUNTIFS($A$5:$A$3004,A2066,$C$5:$C$3004,"&lt;"&amp;D2066,$D$5:$D$3004,"&gt;"&amp;C2066)&gt;1,"⚠️ пересечение",""))</f>
        <v/>
      </c>
      <c r="M2066" s="54">
        <f>IF(F2066="","",IF(J2066="✅ Сделано","✔ ",IF(J2066="❌ Пропущено","✖ ","⏰ "))&amp;IF(C2066="","",RIGHT("0"&amp;HOUR(C2066),2)&amp;":"&amp;RIGHT("0"&amp;MINUTE(C2066),2)&amp;IF(D2066="","","–"&amp;RIGHT("0"&amp;HOUR(D2066),2)&amp;":"&amp;RIGHT("0"&amp;MINUTE(D2066),2))&amp;" ")&amp;F2066)</f>
        <v/>
      </c>
      <c r="N2066" s="54">
        <f>IF(OR(A2066="",F2066=""),"",A2066&amp;"#"&amp;(COUNTIFS($A$5:$A$3004,A2066,$F$5:$F$3004,"?*",$O$5:$O$3004,"&lt;"&amp;O2066)+COUNTIFS($A$5:A2066,A2066,$F$5:F2066,"?*",$O$5:O2066,O2066)))</f>
        <v/>
      </c>
      <c r="O2066" s="54">
        <f>IF(A2066="","",IF(C2066="",0,C2066))</f>
        <v/>
      </c>
    </row>
    <row r="2067">
      <c r="A2067" s="58" t="n"/>
      <c r="B2067" s="49">
        <f>IF(A2067="","",CHOOSE(WEEKDAY(A2067,2),"Пн","Вт","Ср","Чт","Пт","Сб","Вс"))</f>
        <v/>
      </c>
      <c r="C2067" s="59" t="n"/>
      <c r="D2067" s="59" t="n"/>
      <c r="E2067" s="60">
        <f>IF(OR(C2067="",D2067=""),"",MOD(D2067-C2067,1)*24)</f>
        <v/>
      </c>
      <c r="F2067" s="50" t="n"/>
      <c r="G2067" s="51" t="n"/>
      <c r="H2067" s="51" t="n"/>
      <c r="I2067" s="51" t="n"/>
      <c r="J2067" s="51" t="n"/>
      <c r="K2067" s="51" t="n"/>
      <c r="L2067" s="54">
        <f>IF(OR(A2067="",C2067="",D2067=""),"",IF(COUNTIFS($A$5:$A$3004,A2067,$C$5:$C$3004,"&lt;"&amp;D2067,$D$5:$D$3004,"&gt;"&amp;C2067)&gt;1,"⚠️ пересечение",""))</f>
        <v/>
      </c>
      <c r="M2067" s="54">
        <f>IF(F2067="","",IF(J2067="✅ Сделано","✔ ",IF(J2067="❌ Пропущено","✖ ","⏰ "))&amp;IF(C2067="","",RIGHT("0"&amp;HOUR(C2067),2)&amp;":"&amp;RIGHT("0"&amp;MINUTE(C2067),2)&amp;IF(D2067="","","–"&amp;RIGHT("0"&amp;HOUR(D2067),2)&amp;":"&amp;RIGHT("0"&amp;MINUTE(D2067),2))&amp;" ")&amp;F2067)</f>
        <v/>
      </c>
      <c r="N2067" s="54">
        <f>IF(OR(A2067="",F2067=""),"",A2067&amp;"#"&amp;(COUNTIFS($A$5:$A$3004,A2067,$F$5:$F$3004,"?*",$O$5:$O$3004,"&lt;"&amp;O2067)+COUNTIFS($A$5:A2067,A2067,$F$5:F2067,"?*",$O$5:O2067,O2067)))</f>
        <v/>
      </c>
      <c r="O2067" s="54">
        <f>IF(A2067="","",IF(C2067="",0,C2067))</f>
        <v/>
      </c>
    </row>
    <row r="2068">
      <c r="A2068" s="58" t="n"/>
      <c r="B2068" s="49">
        <f>IF(A2068="","",CHOOSE(WEEKDAY(A2068,2),"Пн","Вт","Ср","Чт","Пт","Сб","Вс"))</f>
        <v/>
      </c>
      <c r="C2068" s="59" t="n"/>
      <c r="D2068" s="59" t="n"/>
      <c r="E2068" s="60">
        <f>IF(OR(C2068="",D2068=""),"",MOD(D2068-C2068,1)*24)</f>
        <v/>
      </c>
      <c r="F2068" s="50" t="n"/>
      <c r="G2068" s="51" t="n"/>
      <c r="H2068" s="51" t="n"/>
      <c r="I2068" s="51" t="n"/>
      <c r="J2068" s="51" t="n"/>
      <c r="K2068" s="51" t="n"/>
      <c r="L2068" s="54">
        <f>IF(OR(A2068="",C2068="",D2068=""),"",IF(COUNTIFS($A$5:$A$3004,A2068,$C$5:$C$3004,"&lt;"&amp;D2068,$D$5:$D$3004,"&gt;"&amp;C2068)&gt;1,"⚠️ пересечение",""))</f>
        <v/>
      </c>
      <c r="M2068" s="54">
        <f>IF(F2068="","",IF(J2068="✅ Сделано","✔ ",IF(J2068="❌ Пропущено","✖ ","⏰ "))&amp;IF(C2068="","",RIGHT("0"&amp;HOUR(C2068),2)&amp;":"&amp;RIGHT("0"&amp;MINUTE(C2068),2)&amp;IF(D2068="","","–"&amp;RIGHT("0"&amp;HOUR(D2068),2)&amp;":"&amp;RIGHT("0"&amp;MINUTE(D2068),2))&amp;" ")&amp;F2068)</f>
        <v/>
      </c>
      <c r="N2068" s="54">
        <f>IF(OR(A2068="",F2068=""),"",A2068&amp;"#"&amp;(COUNTIFS($A$5:$A$3004,A2068,$F$5:$F$3004,"?*",$O$5:$O$3004,"&lt;"&amp;O2068)+COUNTIFS($A$5:A2068,A2068,$F$5:F2068,"?*",$O$5:O2068,O2068)))</f>
        <v/>
      </c>
      <c r="O2068" s="54">
        <f>IF(A2068="","",IF(C2068="",0,C2068))</f>
        <v/>
      </c>
    </row>
    <row r="2069">
      <c r="A2069" s="58" t="n"/>
      <c r="B2069" s="49">
        <f>IF(A2069="","",CHOOSE(WEEKDAY(A2069,2),"Пн","Вт","Ср","Чт","Пт","Сб","Вс"))</f>
        <v/>
      </c>
      <c r="C2069" s="59" t="n"/>
      <c r="D2069" s="59" t="n"/>
      <c r="E2069" s="60">
        <f>IF(OR(C2069="",D2069=""),"",MOD(D2069-C2069,1)*24)</f>
        <v/>
      </c>
      <c r="F2069" s="50" t="n"/>
      <c r="G2069" s="51" t="n"/>
      <c r="H2069" s="51" t="n"/>
      <c r="I2069" s="51" t="n"/>
      <c r="J2069" s="51" t="n"/>
      <c r="K2069" s="51" t="n"/>
      <c r="L2069" s="54">
        <f>IF(OR(A2069="",C2069="",D2069=""),"",IF(COUNTIFS($A$5:$A$3004,A2069,$C$5:$C$3004,"&lt;"&amp;D2069,$D$5:$D$3004,"&gt;"&amp;C2069)&gt;1,"⚠️ пересечение",""))</f>
        <v/>
      </c>
      <c r="M2069" s="54">
        <f>IF(F2069="","",IF(J2069="✅ Сделано","✔ ",IF(J2069="❌ Пропущено","✖ ","⏰ "))&amp;IF(C2069="","",RIGHT("0"&amp;HOUR(C2069),2)&amp;":"&amp;RIGHT("0"&amp;MINUTE(C2069),2)&amp;IF(D2069="","","–"&amp;RIGHT("0"&amp;HOUR(D2069),2)&amp;":"&amp;RIGHT("0"&amp;MINUTE(D2069),2))&amp;" ")&amp;F2069)</f>
        <v/>
      </c>
      <c r="N2069" s="54">
        <f>IF(OR(A2069="",F2069=""),"",A2069&amp;"#"&amp;(COUNTIFS($A$5:$A$3004,A2069,$F$5:$F$3004,"?*",$O$5:$O$3004,"&lt;"&amp;O2069)+COUNTIFS($A$5:A2069,A2069,$F$5:F2069,"?*",$O$5:O2069,O2069)))</f>
        <v/>
      </c>
      <c r="O2069" s="54">
        <f>IF(A2069="","",IF(C2069="",0,C2069))</f>
        <v/>
      </c>
    </row>
    <row r="2070">
      <c r="A2070" s="58" t="n"/>
      <c r="B2070" s="49">
        <f>IF(A2070="","",CHOOSE(WEEKDAY(A2070,2),"Пн","Вт","Ср","Чт","Пт","Сб","Вс"))</f>
        <v/>
      </c>
      <c r="C2070" s="59" t="n"/>
      <c r="D2070" s="59" t="n"/>
      <c r="E2070" s="60">
        <f>IF(OR(C2070="",D2070=""),"",MOD(D2070-C2070,1)*24)</f>
        <v/>
      </c>
      <c r="F2070" s="50" t="n"/>
      <c r="G2070" s="51" t="n"/>
      <c r="H2070" s="51" t="n"/>
      <c r="I2070" s="51" t="n"/>
      <c r="J2070" s="51" t="n"/>
      <c r="K2070" s="51" t="n"/>
      <c r="L2070" s="54">
        <f>IF(OR(A2070="",C2070="",D2070=""),"",IF(COUNTIFS($A$5:$A$3004,A2070,$C$5:$C$3004,"&lt;"&amp;D2070,$D$5:$D$3004,"&gt;"&amp;C2070)&gt;1,"⚠️ пересечение",""))</f>
        <v/>
      </c>
      <c r="M2070" s="54">
        <f>IF(F2070="","",IF(J2070="✅ Сделано","✔ ",IF(J2070="❌ Пропущено","✖ ","⏰ "))&amp;IF(C2070="","",RIGHT("0"&amp;HOUR(C2070),2)&amp;":"&amp;RIGHT("0"&amp;MINUTE(C2070),2)&amp;IF(D2070="","","–"&amp;RIGHT("0"&amp;HOUR(D2070),2)&amp;":"&amp;RIGHT("0"&amp;MINUTE(D2070),2))&amp;" ")&amp;F2070)</f>
        <v/>
      </c>
      <c r="N2070" s="54">
        <f>IF(OR(A2070="",F2070=""),"",A2070&amp;"#"&amp;(COUNTIFS($A$5:$A$3004,A2070,$F$5:$F$3004,"?*",$O$5:$O$3004,"&lt;"&amp;O2070)+COUNTIFS($A$5:A2070,A2070,$F$5:F2070,"?*",$O$5:O2070,O2070)))</f>
        <v/>
      </c>
      <c r="O2070" s="54">
        <f>IF(A2070="","",IF(C2070="",0,C2070))</f>
        <v/>
      </c>
    </row>
    <row r="2071">
      <c r="A2071" s="58" t="n"/>
      <c r="B2071" s="49">
        <f>IF(A2071="","",CHOOSE(WEEKDAY(A2071,2),"Пн","Вт","Ср","Чт","Пт","Сб","Вс"))</f>
        <v/>
      </c>
      <c r="C2071" s="59" t="n"/>
      <c r="D2071" s="59" t="n"/>
      <c r="E2071" s="60">
        <f>IF(OR(C2071="",D2071=""),"",MOD(D2071-C2071,1)*24)</f>
        <v/>
      </c>
      <c r="F2071" s="50" t="n"/>
      <c r="G2071" s="51" t="n"/>
      <c r="H2071" s="51" t="n"/>
      <c r="I2071" s="51" t="n"/>
      <c r="J2071" s="51" t="n"/>
      <c r="K2071" s="51" t="n"/>
      <c r="L2071" s="54">
        <f>IF(OR(A2071="",C2071="",D2071=""),"",IF(COUNTIFS($A$5:$A$3004,A2071,$C$5:$C$3004,"&lt;"&amp;D2071,$D$5:$D$3004,"&gt;"&amp;C2071)&gt;1,"⚠️ пересечение",""))</f>
        <v/>
      </c>
      <c r="M2071" s="54">
        <f>IF(F2071="","",IF(J2071="✅ Сделано","✔ ",IF(J2071="❌ Пропущено","✖ ","⏰ "))&amp;IF(C2071="","",RIGHT("0"&amp;HOUR(C2071),2)&amp;":"&amp;RIGHT("0"&amp;MINUTE(C2071),2)&amp;IF(D2071="","","–"&amp;RIGHT("0"&amp;HOUR(D2071),2)&amp;":"&amp;RIGHT("0"&amp;MINUTE(D2071),2))&amp;" ")&amp;F2071)</f>
        <v/>
      </c>
      <c r="N2071" s="54">
        <f>IF(OR(A2071="",F2071=""),"",A2071&amp;"#"&amp;(COUNTIFS($A$5:$A$3004,A2071,$F$5:$F$3004,"?*",$O$5:$O$3004,"&lt;"&amp;O2071)+COUNTIFS($A$5:A2071,A2071,$F$5:F2071,"?*",$O$5:O2071,O2071)))</f>
        <v/>
      </c>
      <c r="O2071" s="54">
        <f>IF(A2071="","",IF(C2071="",0,C2071))</f>
        <v/>
      </c>
    </row>
    <row r="2072">
      <c r="A2072" s="58" t="n"/>
      <c r="B2072" s="49">
        <f>IF(A2072="","",CHOOSE(WEEKDAY(A2072,2),"Пн","Вт","Ср","Чт","Пт","Сб","Вс"))</f>
        <v/>
      </c>
      <c r="C2072" s="59" t="n"/>
      <c r="D2072" s="59" t="n"/>
      <c r="E2072" s="60">
        <f>IF(OR(C2072="",D2072=""),"",MOD(D2072-C2072,1)*24)</f>
        <v/>
      </c>
      <c r="F2072" s="50" t="n"/>
      <c r="G2072" s="51" t="n"/>
      <c r="H2072" s="51" t="n"/>
      <c r="I2072" s="51" t="n"/>
      <c r="J2072" s="51" t="n"/>
      <c r="K2072" s="51" t="n"/>
      <c r="L2072" s="54">
        <f>IF(OR(A2072="",C2072="",D2072=""),"",IF(COUNTIFS($A$5:$A$3004,A2072,$C$5:$C$3004,"&lt;"&amp;D2072,$D$5:$D$3004,"&gt;"&amp;C2072)&gt;1,"⚠️ пересечение",""))</f>
        <v/>
      </c>
      <c r="M2072" s="54">
        <f>IF(F2072="","",IF(J2072="✅ Сделано","✔ ",IF(J2072="❌ Пропущено","✖ ","⏰ "))&amp;IF(C2072="","",RIGHT("0"&amp;HOUR(C2072),2)&amp;":"&amp;RIGHT("0"&amp;MINUTE(C2072),2)&amp;IF(D2072="","","–"&amp;RIGHT("0"&amp;HOUR(D2072),2)&amp;":"&amp;RIGHT("0"&amp;MINUTE(D2072),2))&amp;" ")&amp;F2072)</f>
        <v/>
      </c>
      <c r="N2072" s="54">
        <f>IF(OR(A2072="",F2072=""),"",A2072&amp;"#"&amp;(COUNTIFS($A$5:$A$3004,A2072,$F$5:$F$3004,"?*",$O$5:$O$3004,"&lt;"&amp;O2072)+COUNTIFS($A$5:A2072,A2072,$F$5:F2072,"?*",$O$5:O2072,O2072)))</f>
        <v/>
      </c>
      <c r="O2072" s="54">
        <f>IF(A2072="","",IF(C2072="",0,C2072))</f>
        <v/>
      </c>
    </row>
    <row r="2073">
      <c r="A2073" s="58" t="n"/>
      <c r="B2073" s="49">
        <f>IF(A2073="","",CHOOSE(WEEKDAY(A2073,2),"Пн","Вт","Ср","Чт","Пт","Сб","Вс"))</f>
        <v/>
      </c>
      <c r="C2073" s="59" t="n"/>
      <c r="D2073" s="59" t="n"/>
      <c r="E2073" s="60">
        <f>IF(OR(C2073="",D2073=""),"",MOD(D2073-C2073,1)*24)</f>
        <v/>
      </c>
      <c r="F2073" s="50" t="n"/>
      <c r="G2073" s="51" t="n"/>
      <c r="H2073" s="51" t="n"/>
      <c r="I2073" s="51" t="n"/>
      <c r="J2073" s="51" t="n"/>
      <c r="K2073" s="51" t="n"/>
      <c r="L2073" s="54">
        <f>IF(OR(A2073="",C2073="",D2073=""),"",IF(COUNTIFS($A$5:$A$3004,A2073,$C$5:$C$3004,"&lt;"&amp;D2073,$D$5:$D$3004,"&gt;"&amp;C2073)&gt;1,"⚠️ пересечение",""))</f>
        <v/>
      </c>
      <c r="M2073" s="54">
        <f>IF(F2073="","",IF(J2073="✅ Сделано","✔ ",IF(J2073="❌ Пропущено","✖ ","⏰ "))&amp;IF(C2073="","",RIGHT("0"&amp;HOUR(C2073),2)&amp;":"&amp;RIGHT("0"&amp;MINUTE(C2073),2)&amp;IF(D2073="","","–"&amp;RIGHT("0"&amp;HOUR(D2073),2)&amp;":"&amp;RIGHT("0"&amp;MINUTE(D2073),2))&amp;" ")&amp;F2073)</f>
        <v/>
      </c>
      <c r="N2073" s="54">
        <f>IF(OR(A2073="",F2073=""),"",A2073&amp;"#"&amp;(COUNTIFS($A$5:$A$3004,A2073,$F$5:$F$3004,"?*",$O$5:$O$3004,"&lt;"&amp;O2073)+COUNTIFS($A$5:A2073,A2073,$F$5:F2073,"?*",$O$5:O2073,O2073)))</f>
        <v/>
      </c>
      <c r="O2073" s="54">
        <f>IF(A2073="","",IF(C2073="",0,C2073))</f>
        <v/>
      </c>
    </row>
    <row r="2074">
      <c r="A2074" s="58" t="n"/>
      <c r="B2074" s="49">
        <f>IF(A2074="","",CHOOSE(WEEKDAY(A2074,2),"Пн","Вт","Ср","Чт","Пт","Сб","Вс"))</f>
        <v/>
      </c>
      <c r="C2074" s="59" t="n"/>
      <c r="D2074" s="59" t="n"/>
      <c r="E2074" s="60">
        <f>IF(OR(C2074="",D2074=""),"",MOD(D2074-C2074,1)*24)</f>
        <v/>
      </c>
      <c r="F2074" s="50" t="n"/>
      <c r="G2074" s="51" t="n"/>
      <c r="H2074" s="51" t="n"/>
      <c r="I2074" s="51" t="n"/>
      <c r="J2074" s="51" t="n"/>
      <c r="K2074" s="51" t="n"/>
      <c r="L2074" s="54">
        <f>IF(OR(A2074="",C2074="",D2074=""),"",IF(COUNTIFS($A$5:$A$3004,A2074,$C$5:$C$3004,"&lt;"&amp;D2074,$D$5:$D$3004,"&gt;"&amp;C2074)&gt;1,"⚠️ пересечение",""))</f>
        <v/>
      </c>
      <c r="M2074" s="54">
        <f>IF(F2074="","",IF(J2074="✅ Сделано","✔ ",IF(J2074="❌ Пропущено","✖ ","⏰ "))&amp;IF(C2074="","",RIGHT("0"&amp;HOUR(C2074),2)&amp;":"&amp;RIGHT("0"&amp;MINUTE(C2074),2)&amp;IF(D2074="","","–"&amp;RIGHT("0"&amp;HOUR(D2074),2)&amp;":"&amp;RIGHT("0"&amp;MINUTE(D2074),2))&amp;" ")&amp;F2074)</f>
        <v/>
      </c>
      <c r="N2074" s="54">
        <f>IF(OR(A2074="",F2074=""),"",A2074&amp;"#"&amp;(COUNTIFS($A$5:$A$3004,A2074,$F$5:$F$3004,"?*",$O$5:$O$3004,"&lt;"&amp;O2074)+COUNTIFS($A$5:A2074,A2074,$F$5:F2074,"?*",$O$5:O2074,O2074)))</f>
        <v/>
      </c>
      <c r="O2074" s="54">
        <f>IF(A2074="","",IF(C2074="",0,C2074))</f>
        <v/>
      </c>
    </row>
    <row r="2075">
      <c r="A2075" s="58" t="n"/>
      <c r="B2075" s="49">
        <f>IF(A2075="","",CHOOSE(WEEKDAY(A2075,2),"Пн","Вт","Ср","Чт","Пт","Сб","Вс"))</f>
        <v/>
      </c>
      <c r="C2075" s="59" t="n"/>
      <c r="D2075" s="59" t="n"/>
      <c r="E2075" s="60">
        <f>IF(OR(C2075="",D2075=""),"",MOD(D2075-C2075,1)*24)</f>
        <v/>
      </c>
      <c r="F2075" s="50" t="n"/>
      <c r="G2075" s="51" t="n"/>
      <c r="H2075" s="51" t="n"/>
      <c r="I2075" s="51" t="n"/>
      <c r="J2075" s="51" t="n"/>
      <c r="K2075" s="51" t="n"/>
      <c r="L2075" s="54">
        <f>IF(OR(A2075="",C2075="",D2075=""),"",IF(COUNTIFS($A$5:$A$3004,A2075,$C$5:$C$3004,"&lt;"&amp;D2075,$D$5:$D$3004,"&gt;"&amp;C2075)&gt;1,"⚠️ пересечение",""))</f>
        <v/>
      </c>
      <c r="M2075" s="54">
        <f>IF(F2075="","",IF(J2075="✅ Сделано","✔ ",IF(J2075="❌ Пропущено","✖ ","⏰ "))&amp;IF(C2075="","",RIGHT("0"&amp;HOUR(C2075),2)&amp;":"&amp;RIGHT("0"&amp;MINUTE(C2075),2)&amp;IF(D2075="","","–"&amp;RIGHT("0"&amp;HOUR(D2075),2)&amp;":"&amp;RIGHT("0"&amp;MINUTE(D2075),2))&amp;" ")&amp;F2075)</f>
        <v/>
      </c>
      <c r="N2075" s="54">
        <f>IF(OR(A2075="",F2075=""),"",A2075&amp;"#"&amp;(COUNTIFS($A$5:$A$3004,A2075,$F$5:$F$3004,"?*",$O$5:$O$3004,"&lt;"&amp;O2075)+COUNTIFS($A$5:A2075,A2075,$F$5:F2075,"?*",$O$5:O2075,O2075)))</f>
        <v/>
      </c>
      <c r="O2075" s="54">
        <f>IF(A2075="","",IF(C2075="",0,C2075))</f>
        <v/>
      </c>
    </row>
    <row r="2076">
      <c r="A2076" s="58" t="n"/>
      <c r="B2076" s="49">
        <f>IF(A2076="","",CHOOSE(WEEKDAY(A2076,2),"Пн","Вт","Ср","Чт","Пт","Сб","Вс"))</f>
        <v/>
      </c>
      <c r="C2076" s="59" t="n"/>
      <c r="D2076" s="59" t="n"/>
      <c r="E2076" s="60">
        <f>IF(OR(C2076="",D2076=""),"",MOD(D2076-C2076,1)*24)</f>
        <v/>
      </c>
      <c r="F2076" s="50" t="n"/>
      <c r="G2076" s="51" t="n"/>
      <c r="H2076" s="51" t="n"/>
      <c r="I2076" s="51" t="n"/>
      <c r="J2076" s="51" t="n"/>
      <c r="K2076" s="51" t="n"/>
      <c r="L2076" s="54">
        <f>IF(OR(A2076="",C2076="",D2076=""),"",IF(COUNTIFS($A$5:$A$3004,A2076,$C$5:$C$3004,"&lt;"&amp;D2076,$D$5:$D$3004,"&gt;"&amp;C2076)&gt;1,"⚠️ пересечение",""))</f>
        <v/>
      </c>
      <c r="M2076" s="54">
        <f>IF(F2076="","",IF(J2076="✅ Сделано","✔ ",IF(J2076="❌ Пропущено","✖ ","⏰ "))&amp;IF(C2076="","",RIGHT("0"&amp;HOUR(C2076),2)&amp;":"&amp;RIGHT("0"&amp;MINUTE(C2076),2)&amp;IF(D2076="","","–"&amp;RIGHT("0"&amp;HOUR(D2076),2)&amp;":"&amp;RIGHT("0"&amp;MINUTE(D2076),2))&amp;" ")&amp;F2076)</f>
        <v/>
      </c>
      <c r="N2076" s="54">
        <f>IF(OR(A2076="",F2076=""),"",A2076&amp;"#"&amp;(COUNTIFS($A$5:$A$3004,A2076,$F$5:$F$3004,"?*",$O$5:$O$3004,"&lt;"&amp;O2076)+COUNTIFS($A$5:A2076,A2076,$F$5:F2076,"?*",$O$5:O2076,O2076)))</f>
        <v/>
      </c>
      <c r="O2076" s="54">
        <f>IF(A2076="","",IF(C2076="",0,C2076))</f>
        <v/>
      </c>
    </row>
    <row r="2077">
      <c r="A2077" s="58" t="n"/>
      <c r="B2077" s="49">
        <f>IF(A2077="","",CHOOSE(WEEKDAY(A2077,2),"Пн","Вт","Ср","Чт","Пт","Сб","Вс"))</f>
        <v/>
      </c>
      <c r="C2077" s="59" t="n"/>
      <c r="D2077" s="59" t="n"/>
      <c r="E2077" s="60">
        <f>IF(OR(C2077="",D2077=""),"",MOD(D2077-C2077,1)*24)</f>
        <v/>
      </c>
      <c r="F2077" s="50" t="n"/>
      <c r="G2077" s="51" t="n"/>
      <c r="H2077" s="51" t="n"/>
      <c r="I2077" s="51" t="n"/>
      <c r="J2077" s="51" t="n"/>
      <c r="K2077" s="51" t="n"/>
      <c r="L2077" s="54">
        <f>IF(OR(A2077="",C2077="",D2077=""),"",IF(COUNTIFS($A$5:$A$3004,A2077,$C$5:$C$3004,"&lt;"&amp;D2077,$D$5:$D$3004,"&gt;"&amp;C2077)&gt;1,"⚠️ пересечение",""))</f>
        <v/>
      </c>
      <c r="M2077" s="54">
        <f>IF(F2077="","",IF(J2077="✅ Сделано","✔ ",IF(J2077="❌ Пропущено","✖ ","⏰ "))&amp;IF(C2077="","",RIGHT("0"&amp;HOUR(C2077),2)&amp;":"&amp;RIGHT("0"&amp;MINUTE(C2077),2)&amp;IF(D2077="","","–"&amp;RIGHT("0"&amp;HOUR(D2077),2)&amp;":"&amp;RIGHT("0"&amp;MINUTE(D2077),2))&amp;" ")&amp;F2077)</f>
        <v/>
      </c>
      <c r="N2077" s="54">
        <f>IF(OR(A2077="",F2077=""),"",A2077&amp;"#"&amp;(COUNTIFS($A$5:$A$3004,A2077,$F$5:$F$3004,"?*",$O$5:$O$3004,"&lt;"&amp;O2077)+COUNTIFS($A$5:A2077,A2077,$F$5:F2077,"?*",$O$5:O2077,O2077)))</f>
        <v/>
      </c>
      <c r="O2077" s="54">
        <f>IF(A2077="","",IF(C2077="",0,C2077))</f>
        <v/>
      </c>
    </row>
    <row r="2078">
      <c r="A2078" s="58" t="n"/>
      <c r="B2078" s="49">
        <f>IF(A2078="","",CHOOSE(WEEKDAY(A2078,2),"Пн","Вт","Ср","Чт","Пт","Сб","Вс"))</f>
        <v/>
      </c>
      <c r="C2078" s="59" t="n"/>
      <c r="D2078" s="59" t="n"/>
      <c r="E2078" s="60">
        <f>IF(OR(C2078="",D2078=""),"",MOD(D2078-C2078,1)*24)</f>
        <v/>
      </c>
      <c r="F2078" s="50" t="n"/>
      <c r="G2078" s="51" t="n"/>
      <c r="H2078" s="51" t="n"/>
      <c r="I2078" s="51" t="n"/>
      <c r="J2078" s="51" t="n"/>
      <c r="K2078" s="51" t="n"/>
      <c r="L2078" s="54">
        <f>IF(OR(A2078="",C2078="",D2078=""),"",IF(COUNTIFS($A$5:$A$3004,A2078,$C$5:$C$3004,"&lt;"&amp;D2078,$D$5:$D$3004,"&gt;"&amp;C2078)&gt;1,"⚠️ пересечение",""))</f>
        <v/>
      </c>
      <c r="M2078" s="54">
        <f>IF(F2078="","",IF(J2078="✅ Сделано","✔ ",IF(J2078="❌ Пропущено","✖ ","⏰ "))&amp;IF(C2078="","",RIGHT("0"&amp;HOUR(C2078),2)&amp;":"&amp;RIGHT("0"&amp;MINUTE(C2078),2)&amp;IF(D2078="","","–"&amp;RIGHT("0"&amp;HOUR(D2078),2)&amp;":"&amp;RIGHT("0"&amp;MINUTE(D2078),2))&amp;" ")&amp;F2078)</f>
        <v/>
      </c>
      <c r="N2078" s="54">
        <f>IF(OR(A2078="",F2078=""),"",A2078&amp;"#"&amp;(COUNTIFS($A$5:$A$3004,A2078,$F$5:$F$3004,"?*",$O$5:$O$3004,"&lt;"&amp;O2078)+COUNTIFS($A$5:A2078,A2078,$F$5:F2078,"?*",$O$5:O2078,O2078)))</f>
        <v/>
      </c>
      <c r="O2078" s="54">
        <f>IF(A2078="","",IF(C2078="",0,C2078))</f>
        <v/>
      </c>
    </row>
    <row r="2079">
      <c r="A2079" s="58" t="n"/>
      <c r="B2079" s="49">
        <f>IF(A2079="","",CHOOSE(WEEKDAY(A2079,2),"Пн","Вт","Ср","Чт","Пт","Сб","Вс"))</f>
        <v/>
      </c>
      <c r="C2079" s="59" t="n"/>
      <c r="D2079" s="59" t="n"/>
      <c r="E2079" s="60">
        <f>IF(OR(C2079="",D2079=""),"",MOD(D2079-C2079,1)*24)</f>
        <v/>
      </c>
      <c r="F2079" s="50" t="n"/>
      <c r="G2079" s="51" t="n"/>
      <c r="H2079" s="51" t="n"/>
      <c r="I2079" s="51" t="n"/>
      <c r="J2079" s="51" t="n"/>
      <c r="K2079" s="51" t="n"/>
      <c r="L2079" s="54">
        <f>IF(OR(A2079="",C2079="",D2079=""),"",IF(COUNTIFS($A$5:$A$3004,A2079,$C$5:$C$3004,"&lt;"&amp;D2079,$D$5:$D$3004,"&gt;"&amp;C2079)&gt;1,"⚠️ пересечение",""))</f>
        <v/>
      </c>
      <c r="M2079" s="54">
        <f>IF(F2079="","",IF(J2079="✅ Сделано","✔ ",IF(J2079="❌ Пропущено","✖ ","⏰ "))&amp;IF(C2079="","",RIGHT("0"&amp;HOUR(C2079),2)&amp;":"&amp;RIGHT("0"&amp;MINUTE(C2079),2)&amp;IF(D2079="","","–"&amp;RIGHT("0"&amp;HOUR(D2079),2)&amp;":"&amp;RIGHT("0"&amp;MINUTE(D2079),2))&amp;" ")&amp;F2079)</f>
        <v/>
      </c>
      <c r="N2079" s="54">
        <f>IF(OR(A2079="",F2079=""),"",A2079&amp;"#"&amp;(COUNTIFS($A$5:$A$3004,A2079,$F$5:$F$3004,"?*",$O$5:$O$3004,"&lt;"&amp;O2079)+COUNTIFS($A$5:A2079,A2079,$F$5:F2079,"?*",$O$5:O2079,O2079)))</f>
        <v/>
      </c>
      <c r="O2079" s="54">
        <f>IF(A2079="","",IF(C2079="",0,C2079))</f>
        <v/>
      </c>
    </row>
    <row r="2080">
      <c r="A2080" s="58" t="n"/>
      <c r="B2080" s="49">
        <f>IF(A2080="","",CHOOSE(WEEKDAY(A2080,2),"Пн","Вт","Ср","Чт","Пт","Сб","Вс"))</f>
        <v/>
      </c>
      <c r="C2080" s="59" t="n"/>
      <c r="D2080" s="59" t="n"/>
      <c r="E2080" s="60">
        <f>IF(OR(C2080="",D2080=""),"",MOD(D2080-C2080,1)*24)</f>
        <v/>
      </c>
      <c r="F2080" s="50" t="n"/>
      <c r="G2080" s="51" t="n"/>
      <c r="H2080" s="51" t="n"/>
      <c r="I2080" s="51" t="n"/>
      <c r="J2080" s="51" t="n"/>
      <c r="K2080" s="51" t="n"/>
      <c r="L2080" s="54">
        <f>IF(OR(A2080="",C2080="",D2080=""),"",IF(COUNTIFS($A$5:$A$3004,A2080,$C$5:$C$3004,"&lt;"&amp;D2080,$D$5:$D$3004,"&gt;"&amp;C2080)&gt;1,"⚠️ пересечение",""))</f>
        <v/>
      </c>
      <c r="M2080" s="54">
        <f>IF(F2080="","",IF(J2080="✅ Сделано","✔ ",IF(J2080="❌ Пропущено","✖ ","⏰ "))&amp;IF(C2080="","",RIGHT("0"&amp;HOUR(C2080),2)&amp;":"&amp;RIGHT("0"&amp;MINUTE(C2080),2)&amp;IF(D2080="","","–"&amp;RIGHT("0"&amp;HOUR(D2080),2)&amp;":"&amp;RIGHT("0"&amp;MINUTE(D2080),2))&amp;" ")&amp;F2080)</f>
        <v/>
      </c>
      <c r="N2080" s="54">
        <f>IF(OR(A2080="",F2080=""),"",A2080&amp;"#"&amp;(COUNTIFS($A$5:$A$3004,A2080,$F$5:$F$3004,"?*",$O$5:$O$3004,"&lt;"&amp;O2080)+COUNTIFS($A$5:A2080,A2080,$F$5:F2080,"?*",$O$5:O2080,O2080)))</f>
        <v/>
      </c>
      <c r="O2080" s="54">
        <f>IF(A2080="","",IF(C2080="",0,C2080))</f>
        <v/>
      </c>
    </row>
    <row r="2081">
      <c r="A2081" s="58" t="n"/>
      <c r="B2081" s="49">
        <f>IF(A2081="","",CHOOSE(WEEKDAY(A2081,2),"Пн","Вт","Ср","Чт","Пт","Сб","Вс"))</f>
        <v/>
      </c>
      <c r="C2081" s="59" t="n"/>
      <c r="D2081" s="59" t="n"/>
      <c r="E2081" s="60">
        <f>IF(OR(C2081="",D2081=""),"",MOD(D2081-C2081,1)*24)</f>
        <v/>
      </c>
      <c r="F2081" s="50" t="n"/>
      <c r="G2081" s="51" t="n"/>
      <c r="H2081" s="51" t="n"/>
      <c r="I2081" s="51" t="n"/>
      <c r="J2081" s="51" t="n"/>
      <c r="K2081" s="51" t="n"/>
      <c r="L2081" s="54">
        <f>IF(OR(A2081="",C2081="",D2081=""),"",IF(COUNTIFS($A$5:$A$3004,A2081,$C$5:$C$3004,"&lt;"&amp;D2081,$D$5:$D$3004,"&gt;"&amp;C2081)&gt;1,"⚠️ пересечение",""))</f>
        <v/>
      </c>
      <c r="M2081" s="54">
        <f>IF(F2081="","",IF(J2081="✅ Сделано","✔ ",IF(J2081="❌ Пропущено","✖ ","⏰ "))&amp;IF(C2081="","",RIGHT("0"&amp;HOUR(C2081),2)&amp;":"&amp;RIGHT("0"&amp;MINUTE(C2081),2)&amp;IF(D2081="","","–"&amp;RIGHT("0"&amp;HOUR(D2081),2)&amp;":"&amp;RIGHT("0"&amp;MINUTE(D2081),2))&amp;" ")&amp;F2081)</f>
        <v/>
      </c>
      <c r="N2081" s="54">
        <f>IF(OR(A2081="",F2081=""),"",A2081&amp;"#"&amp;(COUNTIFS($A$5:$A$3004,A2081,$F$5:$F$3004,"?*",$O$5:$O$3004,"&lt;"&amp;O2081)+COUNTIFS($A$5:A2081,A2081,$F$5:F2081,"?*",$O$5:O2081,O2081)))</f>
        <v/>
      </c>
      <c r="O2081" s="54">
        <f>IF(A2081="","",IF(C2081="",0,C2081))</f>
        <v/>
      </c>
    </row>
    <row r="2082">
      <c r="A2082" s="58" t="n"/>
      <c r="B2082" s="49">
        <f>IF(A2082="","",CHOOSE(WEEKDAY(A2082,2),"Пн","Вт","Ср","Чт","Пт","Сб","Вс"))</f>
        <v/>
      </c>
      <c r="C2082" s="59" t="n"/>
      <c r="D2082" s="59" t="n"/>
      <c r="E2082" s="60">
        <f>IF(OR(C2082="",D2082=""),"",MOD(D2082-C2082,1)*24)</f>
        <v/>
      </c>
      <c r="F2082" s="50" t="n"/>
      <c r="G2082" s="51" t="n"/>
      <c r="H2082" s="51" t="n"/>
      <c r="I2082" s="51" t="n"/>
      <c r="J2082" s="51" t="n"/>
      <c r="K2082" s="51" t="n"/>
      <c r="L2082" s="54">
        <f>IF(OR(A2082="",C2082="",D2082=""),"",IF(COUNTIFS($A$5:$A$3004,A2082,$C$5:$C$3004,"&lt;"&amp;D2082,$D$5:$D$3004,"&gt;"&amp;C2082)&gt;1,"⚠️ пересечение",""))</f>
        <v/>
      </c>
      <c r="M2082" s="54">
        <f>IF(F2082="","",IF(J2082="✅ Сделано","✔ ",IF(J2082="❌ Пропущено","✖ ","⏰ "))&amp;IF(C2082="","",RIGHT("0"&amp;HOUR(C2082),2)&amp;":"&amp;RIGHT("0"&amp;MINUTE(C2082),2)&amp;IF(D2082="","","–"&amp;RIGHT("0"&amp;HOUR(D2082),2)&amp;":"&amp;RIGHT("0"&amp;MINUTE(D2082),2))&amp;" ")&amp;F2082)</f>
        <v/>
      </c>
      <c r="N2082" s="54">
        <f>IF(OR(A2082="",F2082=""),"",A2082&amp;"#"&amp;(COUNTIFS($A$5:$A$3004,A2082,$F$5:$F$3004,"?*",$O$5:$O$3004,"&lt;"&amp;O2082)+COUNTIFS($A$5:A2082,A2082,$F$5:F2082,"?*",$O$5:O2082,O2082)))</f>
        <v/>
      </c>
      <c r="O2082" s="54">
        <f>IF(A2082="","",IF(C2082="",0,C2082))</f>
        <v/>
      </c>
    </row>
    <row r="2083">
      <c r="A2083" s="58" t="n"/>
      <c r="B2083" s="49">
        <f>IF(A2083="","",CHOOSE(WEEKDAY(A2083,2),"Пн","Вт","Ср","Чт","Пт","Сб","Вс"))</f>
        <v/>
      </c>
      <c r="C2083" s="59" t="n"/>
      <c r="D2083" s="59" t="n"/>
      <c r="E2083" s="60">
        <f>IF(OR(C2083="",D2083=""),"",MOD(D2083-C2083,1)*24)</f>
        <v/>
      </c>
      <c r="F2083" s="50" t="n"/>
      <c r="G2083" s="51" t="n"/>
      <c r="H2083" s="51" t="n"/>
      <c r="I2083" s="51" t="n"/>
      <c r="J2083" s="51" t="n"/>
      <c r="K2083" s="51" t="n"/>
      <c r="L2083" s="54">
        <f>IF(OR(A2083="",C2083="",D2083=""),"",IF(COUNTIFS($A$5:$A$3004,A2083,$C$5:$C$3004,"&lt;"&amp;D2083,$D$5:$D$3004,"&gt;"&amp;C2083)&gt;1,"⚠️ пересечение",""))</f>
        <v/>
      </c>
      <c r="M2083" s="54">
        <f>IF(F2083="","",IF(J2083="✅ Сделано","✔ ",IF(J2083="❌ Пропущено","✖ ","⏰ "))&amp;IF(C2083="","",RIGHT("0"&amp;HOUR(C2083),2)&amp;":"&amp;RIGHT("0"&amp;MINUTE(C2083),2)&amp;IF(D2083="","","–"&amp;RIGHT("0"&amp;HOUR(D2083),2)&amp;":"&amp;RIGHT("0"&amp;MINUTE(D2083),2))&amp;" ")&amp;F2083)</f>
        <v/>
      </c>
      <c r="N2083" s="54">
        <f>IF(OR(A2083="",F2083=""),"",A2083&amp;"#"&amp;(COUNTIFS($A$5:$A$3004,A2083,$F$5:$F$3004,"?*",$O$5:$O$3004,"&lt;"&amp;O2083)+COUNTIFS($A$5:A2083,A2083,$F$5:F2083,"?*",$O$5:O2083,O2083)))</f>
        <v/>
      </c>
      <c r="O2083" s="54">
        <f>IF(A2083="","",IF(C2083="",0,C2083))</f>
        <v/>
      </c>
    </row>
    <row r="2084">
      <c r="A2084" s="58" t="n"/>
      <c r="B2084" s="49">
        <f>IF(A2084="","",CHOOSE(WEEKDAY(A2084,2),"Пн","Вт","Ср","Чт","Пт","Сб","Вс"))</f>
        <v/>
      </c>
      <c r="C2084" s="59" t="n"/>
      <c r="D2084" s="59" t="n"/>
      <c r="E2084" s="60">
        <f>IF(OR(C2084="",D2084=""),"",MOD(D2084-C2084,1)*24)</f>
        <v/>
      </c>
      <c r="F2084" s="50" t="n"/>
      <c r="G2084" s="51" t="n"/>
      <c r="H2084" s="51" t="n"/>
      <c r="I2084" s="51" t="n"/>
      <c r="J2084" s="51" t="n"/>
      <c r="K2084" s="51" t="n"/>
      <c r="L2084" s="54">
        <f>IF(OR(A2084="",C2084="",D2084=""),"",IF(COUNTIFS($A$5:$A$3004,A2084,$C$5:$C$3004,"&lt;"&amp;D2084,$D$5:$D$3004,"&gt;"&amp;C2084)&gt;1,"⚠️ пересечение",""))</f>
        <v/>
      </c>
      <c r="M2084" s="54">
        <f>IF(F2084="","",IF(J2084="✅ Сделано","✔ ",IF(J2084="❌ Пропущено","✖ ","⏰ "))&amp;IF(C2084="","",RIGHT("0"&amp;HOUR(C2084),2)&amp;":"&amp;RIGHT("0"&amp;MINUTE(C2084),2)&amp;IF(D2084="","","–"&amp;RIGHT("0"&amp;HOUR(D2084),2)&amp;":"&amp;RIGHT("0"&amp;MINUTE(D2084),2))&amp;" ")&amp;F2084)</f>
        <v/>
      </c>
      <c r="N2084" s="54">
        <f>IF(OR(A2084="",F2084=""),"",A2084&amp;"#"&amp;(COUNTIFS($A$5:$A$3004,A2084,$F$5:$F$3004,"?*",$O$5:$O$3004,"&lt;"&amp;O2084)+COUNTIFS($A$5:A2084,A2084,$F$5:F2084,"?*",$O$5:O2084,O2084)))</f>
        <v/>
      </c>
      <c r="O2084" s="54">
        <f>IF(A2084="","",IF(C2084="",0,C2084))</f>
        <v/>
      </c>
    </row>
    <row r="2085">
      <c r="A2085" s="58" t="n"/>
      <c r="B2085" s="49">
        <f>IF(A2085="","",CHOOSE(WEEKDAY(A2085,2),"Пн","Вт","Ср","Чт","Пт","Сб","Вс"))</f>
        <v/>
      </c>
      <c r="C2085" s="59" t="n"/>
      <c r="D2085" s="59" t="n"/>
      <c r="E2085" s="60">
        <f>IF(OR(C2085="",D2085=""),"",MOD(D2085-C2085,1)*24)</f>
        <v/>
      </c>
      <c r="F2085" s="50" t="n"/>
      <c r="G2085" s="51" t="n"/>
      <c r="H2085" s="51" t="n"/>
      <c r="I2085" s="51" t="n"/>
      <c r="J2085" s="51" t="n"/>
      <c r="K2085" s="51" t="n"/>
      <c r="L2085" s="54">
        <f>IF(OR(A2085="",C2085="",D2085=""),"",IF(COUNTIFS($A$5:$A$3004,A2085,$C$5:$C$3004,"&lt;"&amp;D2085,$D$5:$D$3004,"&gt;"&amp;C2085)&gt;1,"⚠️ пересечение",""))</f>
        <v/>
      </c>
      <c r="M2085" s="54">
        <f>IF(F2085="","",IF(J2085="✅ Сделано","✔ ",IF(J2085="❌ Пропущено","✖ ","⏰ "))&amp;IF(C2085="","",RIGHT("0"&amp;HOUR(C2085),2)&amp;":"&amp;RIGHT("0"&amp;MINUTE(C2085),2)&amp;IF(D2085="","","–"&amp;RIGHT("0"&amp;HOUR(D2085),2)&amp;":"&amp;RIGHT("0"&amp;MINUTE(D2085),2))&amp;" ")&amp;F2085)</f>
        <v/>
      </c>
      <c r="N2085" s="54">
        <f>IF(OR(A2085="",F2085=""),"",A2085&amp;"#"&amp;(COUNTIFS($A$5:$A$3004,A2085,$F$5:$F$3004,"?*",$O$5:$O$3004,"&lt;"&amp;O2085)+COUNTIFS($A$5:A2085,A2085,$F$5:F2085,"?*",$O$5:O2085,O2085)))</f>
        <v/>
      </c>
      <c r="O2085" s="54">
        <f>IF(A2085="","",IF(C2085="",0,C2085))</f>
        <v/>
      </c>
    </row>
    <row r="2086">
      <c r="A2086" s="58" t="n"/>
      <c r="B2086" s="49">
        <f>IF(A2086="","",CHOOSE(WEEKDAY(A2086,2),"Пн","Вт","Ср","Чт","Пт","Сб","Вс"))</f>
        <v/>
      </c>
      <c r="C2086" s="59" t="n"/>
      <c r="D2086" s="59" t="n"/>
      <c r="E2086" s="60">
        <f>IF(OR(C2086="",D2086=""),"",MOD(D2086-C2086,1)*24)</f>
        <v/>
      </c>
      <c r="F2086" s="50" t="n"/>
      <c r="G2086" s="51" t="n"/>
      <c r="H2086" s="51" t="n"/>
      <c r="I2086" s="51" t="n"/>
      <c r="J2086" s="51" t="n"/>
      <c r="K2086" s="51" t="n"/>
      <c r="L2086" s="54">
        <f>IF(OR(A2086="",C2086="",D2086=""),"",IF(COUNTIFS($A$5:$A$3004,A2086,$C$5:$C$3004,"&lt;"&amp;D2086,$D$5:$D$3004,"&gt;"&amp;C2086)&gt;1,"⚠️ пересечение",""))</f>
        <v/>
      </c>
      <c r="M2086" s="54">
        <f>IF(F2086="","",IF(J2086="✅ Сделано","✔ ",IF(J2086="❌ Пропущено","✖ ","⏰ "))&amp;IF(C2086="","",RIGHT("0"&amp;HOUR(C2086),2)&amp;":"&amp;RIGHT("0"&amp;MINUTE(C2086),2)&amp;IF(D2086="","","–"&amp;RIGHT("0"&amp;HOUR(D2086),2)&amp;":"&amp;RIGHT("0"&amp;MINUTE(D2086),2))&amp;" ")&amp;F2086)</f>
        <v/>
      </c>
      <c r="N2086" s="54">
        <f>IF(OR(A2086="",F2086=""),"",A2086&amp;"#"&amp;(COUNTIFS($A$5:$A$3004,A2086,$F$5:$F$3004,"?*",$O$5:$O$3004,"&lt;"&amp;O2086)+COUNTIFS($A$5:A2086,A2086,$F$5:F2086,"?*",$O$5:O2086,O2086)))</f>
        <v/>
      </c>
      <c r="O2086" s="54">
        <f>IF(A2086="","",IF(C2086="",0,C2086))</f>
        <v/>
      </c>
    </row>
    <row r="2087">
      <c r="A2087" s="58" t="n"/>
      <c r="B2087" s="49">
        <f>IF(A2087="","",CHOOSE(WEEKDAY(A2087,2),"Пн","Вт","Ср","Чт","Пт","Сб","Вс"))</f>
        <v/>
      </c>
      <c r="C2087" s="59" t="n"/>
      <c r="D2087" s="59" t="n"/>
      <c r="E2087" s="60">
        <f>IF(OR(C2087="",D2087=""),"",MOD(D2087-C2087,1)*24)</f>
        <v/>
      </c>
      <c r="F2087" s="50" t="n"/>
      <c r="G2087" s="51" t="n"/>
      <c r="H2087" s="51" t="n"/>
      <c r="I2087" s="51" t="n"/>
      <c r="J2087" s="51" t="n"/>
      <c r="K2087" s="51" t="n"/>
      <c r="L2087" s="54">
        <f>IF(OR(A2087="",C2087="",D2087=""),"",IF(COUNTIFS($A$5:$A$3004,A2087,$C$5:$C$3004,"&lt;"&amp;D2087,$D$5:$D$3004,"&gt;"&amp;C2087)&gt;1,"⚠️ пересечение",""))</f>
        <v/>
      </c>
      <c r="M2087" s="54">
        <f>IF(F2087="","",IF(J2087="✅ Сделано","✔ ",IF(J2087="❌ Пропущено","✖ ","⏰ "))&amp;IF(C2087="","",RIGHT("0"&amp;HOUR(C2087),2)&amp;":"&amp;RIGHT("0"&amp;MINUTE(C2087),2)&amp;IF(D2087="","","–"&amp;RIGHT("0"&amp;HOUR(D2087),2)&amp;":"&amp;RIGHT("0"&amp;MINUTE(D2087),2))&amp;" ")&amp;F2087)</f>
        <v/>
      </c>
      <c r="N2087" s="54">
        <f>IF(OR(A2087="",F2087=""),"",A2087&amp;"#"&amp;(COUNTIFS($A$5:$A$3004,A2087,$F$5:$F$3004,"?*",$O$5:$O$3004,"&lt;"&amp;O2087)+COUNTIFS($A$5:A2087,A2087,$F$5:F2087,"?*",$O$5:O2087,O2087)))</f>
        <v/>
      </c>
      <c r="O2087" s="54">
        <f>IF(A2087="","",IF(C2087="",0,C2087))</f>
        <v/>
      </c>
    </row>
    <row r="2088">
      <c r="A2088" s="58" t="n"/>
      <c r="B2088" s="49">
        <f>IF(A2088="","",CHOOSE(WEEKDAY(A2088,2),"Пн","Вт","Ср","Чт","Пт","Сб","Вс"))</f>
        <v/>
      </c>
      <c r="C2088" s="59" t="n"/>
      <c r="D2088" s="59" t="n"/>
      <c r="E2088" s="60">
        <f>IF(OR(C2088="",D2088=""),"",MOD(D2088-C2088,1)*24)</f>
        <v/>
      </c>
      <c r="F2088" s="50" t="n"/>
      <c r="G2088" s="51" t="n"/>
      <c r="H2088" s="51" t="n"/>
      <c r="I2088" s="51" t="n"/>
      <c r="J2088" s="51" t="n"/>
      <c r="K2088" s="51" t="n"/>
      <c r="L2088" s="54">
        <f>IF(OR(A2088="",C2088="",D2088=""),"",IF(COUNTIFS($A$5:$A$3004,A2088,$C$5:$C$3004,"&lt;"&amp;D2088,$D$5:$D$3004,"&gt;"&amp;C2088)&gt;1,"⚠️ пересечение",""))</f>
        <v/>
      </c>
      <c r="M2088" s="54">
        <f>IF(F2088="","",IF(J2088="✅ Сделано","✔ ",IF(J2088="❌ Пропущено","✖ ","⏰ "))&amp;IF(C2088="","",RIGHT("0"&amp;HOUR(C2088),2)&amp;":"&amp;RIGHT("0"&amp;MINUTE(C2088),2)&amp;IF(D2088="","","–"&amp;RIGHT("0"&amp;HOUR(D2088),2)&amp;":"&amp;RIGHT("0"&amp;MINUTE(D2088),2))&amp;" ")&amp;F2088)</f>
        <v/>
      </c>
      <c r="N2088" s="54">
        <f>IF(OR(A2088="",F2088=""),"",A2088&amp;"#"&amp;(COUNTIFS($A$5:$A$3004,A2088,$F$5:$F$3004,"?*",$O$5:$O$3004,"&lt;"&amp;O2088)+COUNTIFS($A$5:A2088,A2088,$F$5:F2088,"?*",$O$5:O2088,O2088)))</f>
        <v/>
      </c>
      <c r="O2088" s="54">
        <f>IF(A2088="","",IF(C2088="",0,C2088))</f>
        <v/>
      </c>
    </row>
    <row r="2089">
      <c r="A2089" s="58" t="n"/>
      <c r="B2089" s="49">
        <f>IF(A2089="","",CHOOSE(WEEKDAY(A2089,2),"Пн","Вт","Ср","Чт","Пт","Сб","Вс"))</f>
        <v/>
      </c>
      <c r="C2089" s="59" t="n"/>
      <c r="D2089" s="59" t="n"/>
      <c r="E2089" s="60">
        <f>IF(OR(C2089="",D2089=""),"",MOD(D2089-C2089,1)*24)</f>
        <v/>
      </c>
      <c r="F2089" s="50" t="n"/>
      <c r="G2089" s="51" t="n"/>
      <c r="H2089" s="51" t="n"/>
      <c r="I2089" s="51" t="n"/>
      <c r="J2089" s="51" t="n"/>
      <c r="K2089" s="51" t="n"/>
      <c r="L2089" s="54">
        <f>IF(OR(A2089="",C2089="",D2089=""),"",IF(COUNTIFS($A$5:$A$3004,A2089,$C$5:$C$3004,"&lt;"&amp;D2089,$D$5:$D$3004,"&gt;"&amp;C2089)&gt;1,"⚠️ пересечение",""))</f>
        <v/>
      </c>
      <c r="M2089" s="54">
        <f>IF(F2089="","",IF(J2089="✅ Сделано","✔ ",IF(J2089="❌ Пропущено","✖ ","⏰ "))&amp;IF(C2089="","",RIGHT("0"&amp;HOUR(C2089),2)&amp;":"&amp;RIGHT("0"&amp;MINUTE(C2089),2)&amp;IF(D2089="","","–"&amp;RIGHT("0"&amp;HOUR(D2089),2)&amp;":"&amp;RIGHT("0"&amp;MINUTE(D2089),2))&amp;" ")&amp;F2089)</f>
        <v/>
      </c>
      <c r="N2089" s="54">
        <f>IF(OR(A2089="",F2089=""),"",A2089&amp;"#"&amp;(COUNTIFS($A$5:$A$3004,A2089,$F$5:$F$3004,"?*",$O$5:$O$3004,"&lt;"&amp;O2089)+COUNTIFS($A$5:A2089,A2089,$F$5:F2089,"?*",$O$5:O2089,O2089)))</f>
        <v/>
      </c>
      <c r="O2089" s="54">
        <f>IF(A2089="","",IF(C2089="",0,C2089))</f>
        <v/>
      </c>
    </row>
    <row r="2090">
      <c r="A2090" s="58" t="n"/>
      <c r="B2090" s="49">
        <f>IF(A2090="","",CHOOSE(WEEKDAY(A2090,2),"Пн","Вт","Ср","Чт","Пт","Сб","Вс"))</f>
        <v/>
      </c>
      <c r="C2090" s="59" t="n"/>
      <c r="D2090" s="59" t="n"/>
      <c r="E2090" s="60">
        <f>IF(OR(C2090="",D2090=""),"",MOD(D2090-C2090,1)*24)</f>
        <v/>
      </c>
      <c r="F2090" s="50" t="n"/>
      <c r="G2090" s="51" t="n"/>
      <c r="H2090" s="51" t="n"/>
      <c r="I2090" s="51" t="n"/>
      <c r="J2090" s="51" t="n"/>
      <c r="K2090" s="51" t="n"/>
      <c r="L2090" s="54">
        <f>IF(OR(A2090="",C2090="",D2090=""),"",IF(COUNTIFS($A$5:$A$3004,A2090,$C$5:$C$3004,"&lt;"&amp;D2090,$D$5:$D$3004,"&gt;"&amp;C2090)&gt;1,"⚠️ пересечение",""))</f>
        <v/>
      </c>
      <c r="M2090" s="54">
        <f>IF(F2090="","",IF(J2090="✅ Сделано","✔ ",IF(J2090="❌ Пропущено","✖ ","⏰ "))&amp;IF(C2090="","",RIGHT("0"&amp;HOUR(C2090),2)&amp;":"&amp;RIGHT("0"&amp;MINUTE(C2090),2)&amp;IF(D2090="","","–"&amp;RIGHT("0"&amp;HOUR(D2090),2)&amp;":"&amp;RIGHT("0"&amp;MINUTE(D2090),2))&amp;" ")&amp;F2090)</f>
        <v/>
      </c>
      <c r="N2090" s="54">
        <f>IF(OR(A2090="",F2090=""),"",A2090&amp;"#"&amp;(COUNTIFS($A$5:$A$3004,A2090,$F$5:$F$3004,"?*",$O$5:$O$3004,"&lt;"&amp;O2090)+COUNTIFS($A$5:A2090,A2090,$F$5:F2090,"?*",$O$5:O2090,O2090)))</f>
        <v/>
      </c>
      <c r="O2090" s="54">
        <f>IF(A2090="","",IF(C2090="",0,C2090))</f>
        <v/>
      </c>
    </row>
    <row r="2091">
      <c r="A2091" s="58" t="n"/>
      <c r="B2091" s="49">
        <f>IF(A2091="","",CHOOSE(WEEKDAY(A2091,2),"Пн","Вт","Ср","Чт","Пт","Сб","Вс"))</f>
        <v/>
      </c>
      <c r="C2091" s="59" t="n"/>
      <c r="D2091" s="59" t="n"/>
      <c r="E2091" s="60">
        <f>IF(OR(C2091="",D2091=""),"",MOD(D2091-C2091,1)*24)</f>
        <v/>
      </c>
      <c r="F2091" s="50" t="n"/>
      <c r="G2091" s="51" t="n"/>
      <c r="H2091" s="51" t="n"/>
      <c r="I2091" s="51" t="n"/>
      <c r="J2091" s="51" t="n"/>
      <c r="K2091" s="51" t="n"/>
      <c r="L2091" s="54">
        <f>IF(OR(A2091="",C2091="",D2091=""),"",IF(COUNTIFS($A$5:$A$3004,A2091,$C$5:$C$3004,"&lt;"&amp;D2091,$D$5:$D$3004,"&gt;"&amp;C2091)&gt;1,"⚠️ пересечение",""))</f>
        <v/>
      </c>
      <c r="M2091" s="54">
        <f>IF(F2091="","",IF(J2091="✅ Сделано","✔ ",IF(J2091="❌ Пропущено","✖ ","⏰ "))&amp;IF(C2091="","",RIGHT("0"&amp;HOUR(C2091),2)&amp;":"&amp;RIGHT("0"&amp;MINUTE(C2091),2)&amp;IF(D2091="","","–"&amp;RIGHT("0"&amp;HOUR(D2091),2)&amp;":"&amp;RIGHT("0"&amp;MINUTE(D2091),2))&amp;" ")&amp;F2091)</f>
        <v/>
      </c>
      <c r="N2091" s="54">
        <f>IF(OR(A2091="",F2091=""),"",A2091&amp;"#"&amp;(COUNTIFS($A$5:$A$3004,A2091,$F$5:$F$3004,"?*",$O$5:$O$3004,"&lt;"&amp;O2091)+COUNTIFS($A$5:A2091,A2091,$F$5:F2091,"?*",$O$5:O2091,O2091)))</f>
        <v/>
      </c>
      <c r="O2091" s="54">
        <f>IF(A2091="","",IF(C2091="",0,C2091))</f>
        <v/>
      </c>
    </row>
    <row r="2092">
      <c r="A2092" s="58" t="n"/>
      <c r="B2092" s="49">
        <f>IF(A2092="","",CHOOSE(WEEKDAY(A2092,2),"Пн","Вт","Ср","Чт","Пт","Сб","Вс"))</f>
        <v/>
      </c>
      <c r="C2092" s="59" t="n"/>
      <c r="D2092" s="59" t="n"/>
      <c r="E2092" s="60">
        <f>IF(OR(C2092="",D2092=""),"",MOD(D2092-C2092,1)*24)</f>
        <v/>
      </c>
      <c r="F2092" s="50" t="n"/>
      <c r="G2092" s="51" t="n"/>
      <c r="H2092" s="51" t="n"/>
      <c r="I2092" s="51" t="n"/>
      <c r="J2092" s="51" t="n"/>
      <c r="K2092" s="51" t="n"/>
      <c r="L2092" s="54">
        <f>IF(OR(A2092="",C2092="",D2092=""),"",IF(COUNTIFS($A$5:$A$3004,A2092,$C$5:$C$3004,"&lt;"&amp;D2092,$D$5:$D$3004,"&gt;"&amp;C2092)&gt;1,"⚠️ пересечение",""))</f>
        <v/>
      </c>
      <c r="M2092" s="54">
        <f>IF(F2092="","",IF(J2092="✅ Сделано","✔ ",IF(J2092="❌ Пропущено","✖ ","⏰ "))&amp;IF(C2092="","",RIGHT("0"&amp;HOUR(C2092),2)&amp;":"&amp;RIGHT("0"&amp;MINUTE(C2092),2)&amp;IF(D2092="","","–"&amp;RIGHT("0"&amp;HOUR(D2092),2)&amp;":"&amp;RIGHT("0"&amp;MINUTE(D2092),2))&amp;" ")&amp;F2092)</f>
        <v/>
      </c>
      <c r="N2092" s="54">
        <f>IF(OR(A2092="",F2092=""),"",A2092&amp;"#"&amp;(COUNTIFS($A$5:$A$3004,A2092,$F$5:$F$3004,"?*",$O$5:$O$3004,"&lt;"&amp;O2092)+COUNTIFS($A$5:A2092,A2092,$F$5:F2092,"?*",$O$5:O2092,O2092)))</f>
        <v/>
      </c>
      <c r="O2092" s="54">
        <f>IF(A2092="","",IF(C2092="",0,C2092))</f>
        <v/>
      </c>
    </row>
    <row r="2093">
      <c r="A2093" s="58" t="n"/>
      <c r="B2093" s="49">
        <f>IF(A2093="","",CHOOSE(WEEKDAY(A2093,2),"Пн","Вт","Ср","Чт","Пт","Сб","Вс"))</f>
        <v/>
      </c>
      <c r="C2093" s="59" t="n"/>
      <c r="D2093" s="59" t="n"/>
      <c r="E2093" s="60">
        <f>IF(OR(C2093="",D2093=""),"",MOD(D2093-C2093,1)*24)</f>
        <v/>
      </c>
      <c r="F2093" s="50" t="n"/>
      <c r="G2093" s="51" t="n"/>
      <c r="H2093" s="51" t="n"/>
      <c r="I2093" s="51" t="n"/>
      <c r="J2093" s="51" t="n"/>
      <c r="K2093" s="51" t="n"/>
      <c r="L2093" s="54">
        <f>IF(OR(A2093="",C2093="",D2093=""),"",IF(COUNTIFS($A$5:$A$3004,A2093,$C$5:$C$3004,"&lt;"&amp;D2093,$D$5:$D$3004,"&gt;"&amp;C2093)&gt;1,"⚠️ пересечение",""))</f>
        <v/>
      </c>
      <c r="M2093" s="54">
        <f>IF(F2093="","",IF(J2093="✅ Сделано","✔ ",IF(J2093="❌ Пропущено","✖ ","⏰ "))&amp;IF(C2093="","",RIGHT("0"&amp;HOUR(C2093),2)&amp;":"&amp;RIGHT("0"&amp;MINUTE(C2093),2)&amp;IF(D2093="","","–"&amp;RIGHT("0"&amp;HOUR(D2093),2)&amp;":"&amp;RIGHT("0"&amp;MINUTE(D2093),2))&amp;" ")&amp;F2093)</f>
        <v/>
      </c>
      <c r="N2093" s="54">
        <f>IF(OR(A2093="",F2093=""),"",A2093&amp;"#"&amp;(COUNTIFS($A$5:$A$3004,A2093,$F$5:$F$3004,"?*",$O$5:$O$3004,"&lt;"&amp;O2093)+COUNTIFS($A$5:A2093,A2093,$F$5:F2093,"?*",$O$5:O2093,O2093)))</f>
        <v/>
      </c>
      <c r="O2093" s="54">
        <f>IF(A2093="","",IF(C2093="",0,C2093))</f>
        <v/>
      </c>
    </row>
    <row r="2094">
      <c r="A2094" s="58" t="n"/>
      <c r="B2094" s="49">
        <f>IF(A2094="","",CHOOSE(WEEKDAY(A2094,2),"Пн","Вт","Ср","Чт","Пт","Сб","Вс"))</f>
        <v/>
      </c>
      <c r="C2094" s="59" t="n"/>
      <c r="D2094" s="59" t="n"/>
      <c r="E2094" s="60">
        <f>IF(OR(C2094="",D2094=""),"",MOD(D2094-C2094,1)*24)</f>
        <v/>
      </c>
      <c r="F2094" s="50" t="n"/>
      <c r="G2094" s="51" t="n"/>
      <c r="H2094" s="51" t="n"/>
      <c r="I2094" s="51" t="n"/>
      <c r="J2094" s="51" t="n"/>
      <c r="K2094" s="51" t="n"/>
      <c r="L2094" s="54">
        <f>IF(OR(A2094="",C2094="",D2094=""),"",IF(COUNTIFS($A$5:$A$3004,A2094,$C$5:$C$3004,"&lt;"&amp;D2094,$D$5:$D$3004,"&gt;"&amp;C2094)&gt;1,"⚠️ пересечение",""))</f>
        <v/>
      </c>
      <c r="M2094" s="54">
        <f>IF(F2094="","",IF(J2094="✅ Сделано","✔ ",IF(J2094="❌ Пропущено","✖ ","⏰ "))&amp;IF(C2094="","",RIGHT("0"&amp;HOUR(C2094),2)&amp;":"&amp;RIGHT("0"&amp;MINUTE(C2094),2)&amp;IF(D2094="","","–"&amp;RIGHT("0"&amp;HOUR(D2094),2)&amp;":"&amp;RIGHT("0"&amp;MINUTE(D2094),2))&amp;" ")&amp;F2094)</f>
        <v/>
      </c>
      <c r="N2094" s="54">
        <f>IF(OR(A2094="",F2094=""),"",A2094&amp;"#"&amp;(COUNTIFS($A$5:$A$3004,A2094,$F$5:$F$3004,"?*",$O$5:$O$3004,"&lt;"&amp;O2094)+COUNTIFS($A$5:A2094,A2094,$F$5:F2094,"?*",$O$5:O2094,O2094)))</f>
        <v/>
      </c>
      <c r="O2094" s="54">
        <f>IF(A2094="","",IF(C2094="",0,C2094))</f>
        <v/>
      </c>
    </row>
    <row r="2095">
      <c r="A2095" s="58" t="n"/>
      <c r="B2095" s="49">
        <f>IF(A2095="","",CHOOSE(WEEKDAY(A2095,2),"Пн","Вт","Ср","Чт","Пт","Сб","Вс"))</f>
        <v/>
      </c>
      <c r="C2095" s="59" t="n"/>
      <c r="D2095" s="59" t="n"/>
      <c r="E2095" s="60">
        <f>IF(OR(C2095="",D2095=""),"",MOD(D2095-C2095,1)*24)</f>
        <v/>
      </c>
      <c r="F2095" s="50" t="n"/>
      <c r="G2095" s="51" t="n"/>
      <c r="H2095" s="51" t="n"/>
      <c r="I2095" s="51" t="n"/>
      <c r="J2095" s="51" t="n"/>
      <c r="K2095" s="51" t="n"/>
      <c r="L2095" s="54">
        <f>IF(OR(A2095="",C2095="",D2095=""),"",IF(COUNTIFS($A$5:$A$3004,A2095,$C$5:$C$3004,"&lt;"&amp;D2095,$D$5:$D$3004,"&gt;"&amp;C2095)&gt;1,"⚠️ пересечение",""))</f>
        <v/>
      </c>
      <c r="M2095" s="54">
        <f>IF(F2095="","",IF(J2095="✅ Сделано","✔ ",IF(J2095="❌ Пропущено","✖ ","⏰ "))&amp;IF(C2095="","",RIGHT("0"&amp;HOUR(C2095),2)&amp;":"&amp;RIGHT("0"&amp;MINUTE(C2095),2)&amp;IF(D2095="","","–"&amp;RIGHT("0"&amp;HOUR(D2095),2)&amp;":"&amp;RIGHT("0"&amp;MINUTE(D2095),2))&amp;" ")&amp;F2095)</f>
        <v/>
      </c>
      <c r="N2095" s="54">
        <f>IF(OR(A2095="",F2095=""),"",A2095&amp;"#"&amp;(COUNTIFS($A$5:$A$3004,A2095,$F$5:$F$3004,"?*",$O$5:$O$3004,"&lt;"&amp;O2095)+COUNTIFS($A$5:A2095,A2095,$F$5:F2095,"?*",$O$5:O2095,O2095)))</f>
        <v/>
      </c>
      <c r="O2095" s="54">
        <f>IF(A2095="","",IF(C2095="",0,C2095))</f>
        <v/>
      </c>
    </row>
    <row r="2096">
      <c r="A2096" s="58" t="n"/>
      <c r="B2096" s="49">
        <f>IF(A2096="","",CHOOSE(WEEKDAY(A2096,2),"Пн","Вт","Ср","Чт","Пт","Сб","Вс"))</f>
        <v/>
      </c>
      <c r="C2096" s="59" t="n"/>
      <c r="D2096" s="59" t="n"/>
      <c r="E2096" s="60">
        <f>IF(OR(C2096="",D2096=""),"",MOD(D2096-C2096,1)*24)</f>
        <v/>
      </c>
      <c r="F2096" s="50" t="n"/>
      <c r="G2096" s="51" t="n"/>
      <c r="H2096" s="51" t="n"/>
      <c r="I2096" s="51" t="n"/>
      <c r="J2096" s="51" t="n"/>
      <c r="K2096" s="51" t="n"/>
      <c r="L2096" s="54">
        <f>IF(OR(A2096="",C2096="",D2096=""),"",IF(COUNTIFS($A$5:$A$3004,A2096,$C$5:$C$3004,"&lt;"&amp;D2096,$D$5:$D$3004,"&gt;"&amp;C2096)&gt;1,"⚠️ пересечение",""))</f>
        <v/>
      </c>
      <c r="M2096" s="54">
        <f>IF(F2096="","",IF(J2096="✅ Сделано","✔ ",IF(J2096="❌ Пропущено","✖ ","⏰ "))&amp;IF(C2096="","",RIGHT("0"&amp;HOUR(C2096),2)&amp;":"&amp;RIGHT("0"&amp;MINUTE(C2096),2)&amp;IF(D2096="","","–"&amp;RIGHT("0"&amp;HOUR(D2096),2)&amp;":"&amp;RIGHT("0"&amp;MINUTE(D2096),2))&amp;" ")&amp;F2096)</f>
        <v/>
      </c>
      <c r="N2096" s="54">
        <f>IF(OR(A2096="",F2096=""),"",A2096&amp;"#"&amp;(COUNTIFS($A$5:$A$3004,A2096,$F$5:$F$3004,"?*",$O$5:$O$3004,"&lt;"&amp;O2096)+COUNTIFS($A$5:A2096,A2096,$F$5:F2096,"?*",$O$5:O2096,O2096)))</f>
        <v/>
      </c>
      <c r="O2096" s="54">
        <f>IF(A2096="","",IF(C2096="",0,C2096))</f>
        <v/>
      </c>
    </row>
    <row r="2097">
      <c r="A2097" s="58" t="n"/>
      <c r="B2097" s="49">
        <f>IF(A2097="","",CHOOSE(WEEKDAY(A2097,2),"Пн","Вт","Ср","Чт","Пт","Сб","Вс"))</f>
        <v/>
      </c>
      <c r="C2097" s="59" t="n"/>
      <c r="D2097" s="59" t="n"/>
      <c r="E2097" s="60">
        <f>IF(OR(C2097="",D2097=""),"",MOD(D2097-C2097,1)*24)</f>
        <v/>
      </c>
      <c r="F2097" s="50" t="n"/>
      <c r="G2097" s="51" t="n"/>
      <c r="H2097" s="51" t="n"/>
      <c r="I2097" s="51" t="n"/>
      <c r="J2097" s="51" t="n"/>
      <c r="K2097" s="51" t="n"/>
      <c r="L2097" s="54">
        <f>IF(OR(A2097="",C2097="",D2097=""),"",IF(COUNTIFS($A$5:$A$3004,A2097,$C$5:$C$3004,"&lt;"&amp;D2097,$D$5:$D$3004,"&gt;"&amp;C2097)&gt;1,"⚠️ пересечение",""))</f>
        <v/>
      </c>
      <c r="M2097" s="54">
        <f>IF(F2097="","",IF(J2097="✅ Сделано","✔ ",IF(J2097="❌ Пропущено","✖ ","⏰ "))&amp;IF(C2097="","",RIGHT("0"&amp;HOUR(C2097),2)&amp;":"&amp;RIGHT("0"&amp;MINUTE(C2097),2)&amp;IF(D2097="","","–"&amp;RIGHT("0"&amp;HOUR(D2097),2)&amp;":"&amp;RIGHT("0"&amp;MINUTE(D2097),2))&amp;" ")&amp;F2097)</f>
        <v/>
      </c>
      <c r="N2097" s="54">
        <f>IF(OR(A2097="",F2097=""),"",A2097&amp;"#"&amp;(COUNTIFS($A$5:$A$3004,A2097,$F$5:$F$3004,"?*",$O$5:$O$3004,"&lt;"&amp;O2097)+COUNTIFS($A$5:A2097,A2097,$F$5:F2097,"?*",$O$5:O2097,O2097)))</f>
        <v/>
      </c>
      <c r="O2097" s="54">
        <f>IF(A2097="","",IF(C2097="",0,C2097))</f>
        <v/>
      </c>
    </row>
    <row r="2098">
      <c r="A2098" s="58" t="n"/>
      <c r="B2098" s="49">
        <f>IF(A2098="","",CHOOSE(WEEKDAY(A2098,2),"Пн","Вт","Ср","Чт","Пт","Сб","Вс"))</f>
        <v/>
      </c>
      <c r="C2098" s="59" t="n"/>
      <c r="D2098" s="59" t="n"/>
      <c r="E2098" s="60">
        <f>IF(OR(C2098="",D2098=""),"",MOD(D2098-C2098,1)*24)</f>
        <v/>
      </c>
      <c r="F2098" s="50" t="n"/>
      <c r="G2098" s="51" t="n"/>
      <c r="H2098" s="51" t="n"/>
      <c r="I2098" s="51" t="n"/>
      <c r="J2098" s="51" t="n"/>
      <c r="K2098" s="51" t="n"/>
      <c r="L2098" s="54">
        <f>IF(OR(A2098="",C2098="",D2098=""),"",IF(COUNTIFS($A$5:$A$3004,A2098,$C$5:$C$3004,"&lt;"&amp;D2098,$D$5:$D$3004,"&gt;"&amp;C2098)&gt;1,"⚠️ пересечение",""))</f>
        <v/>
      </c>
      <c r="M2098" s="54">
        <f>IF(F2098="","",IF(J2098="✅ Сделано","✔ ",IF(J2098="❌ Пропущено","✖ ","⏰ "))&amp;IF(C2098="","",RIGHT("0"&amp;HOUR(C2098),2)&amp;":"&amp;RIGHT("0"&amp;MINUTE(C2098),2)&amp;IF(D2098="","","–"&amp;RIGHT("0"&amp;HOUR(D2098),2)&amp;":"&amp;RIGHT("0"&amp;MINUTE(D2098),2))&amp;" ")&amp;F2098)</f>
        <v/>
      </c>
      <c r="N2098" s="54">
        <f>IF(OR(A2098="",F2098=""),"",A2098&amp;"#"&amp;(COUNTIFS($A$5:$A$3004,A2098,$F$5:$F$3004,"?*",$O$5:$O$3004,"&lt;"&amp;O2098)+COUNTIFS($A$5:A2098,A2098,$F$5:F2098,"?*",$O$5:O2098,O2098)))</f>
        <v/>
      </c>
      <c r="O2098" s="54">
        <f>IF(A2098="","",IF(C2098="",0,C2098))</f>
        <v/>
      </c>
    </row>
    <row r="2099">
      <c r="A2099" s="58" t="n"/>
      <c r="B2099" s="49">
        <f>IF(A2099="","",CHOOSE(WEEKDAY(A2099,2),"Пн","Вт","Ср","Чт","Пт","Сб","Вс"))</f>
        <v/>
      </c>
      <c r="C2099" s="59" t="n"/>
      <c r="D2099" s="59" t="n"/>
      <c r="E2099" s="60">
        <f>IF(OR(C2099="",D2099=""),"",MOD(D2099-C2099,1)*24)</f>
        <v/>
      </c>
      <c r="F2099" s="50" t="n"/>
      <c r="G2099" s="51" t="n"/>
      <c r="H2099" s="51" t="n"/>
      <c r="I2099" s="51" t="n"/>
      <c r="J2099" s="51" t="n"/>
      <c r="K2099" s="51" t="n"/>
      <c r="L2099" s="54">
        <f>IF(OR(A2099="",C2099="",D2099=""),"",IF(COUNTIFS($A$5:$A$3004,A2099,$C$5:$C$3004,"&lt;"&amp;D2099,$D$5:$D$3004,"&gt;"&amp;C2099)&gt;1,"⚠️ пересечение",""))</f>
        <v/>
      </c>
      <c r="M2099" s="54">
        <f>IF(F2099="","",IF(J2099="✅ Сделано","✔ ",IF(J2099="❌ Пропущено","✖ ","⏰ "))&amp;IF(C2099="","",RIGHT("0"&amp;HOUR(C2099),2)&amp;":"&amp;RIGHT("0"&amp;MINUTE(C2099),2)&amp;IF(D2099="","","–"&amp;RIGHT("0"&amp;HOUR(D2099),2)&amp;":"&amp;RIGHT("0"&amp;MINUTE(D2099),2))&amp;" ")&amp;F2099)</f>
        <v/>
      </c>
      <c r="N2099" s="54">
        <f>IF(OR(A2099="",F2099=""),"",A2099&amp;"#"&amp;(COUNTIFS($A$5:$A$3004,A2099,$F$5:$F$3004,"?*",$O$5:$O$3004,"&lt;"&amp;O2099)+COUNTIFS($A$5:A2099,A2099,$F$5:F2099,"?*",$O$5:O2099,O2099)))</f>
        <v/>
      </c>
      <c r="O2099" s="54">
        <f>IF(A2099="","",IF(C2099="",0,C2099))</f>
        <v/>
      </c>
    </row>
    <row r="2100">
      <c r="A2100" s="58" t="n"/>
      <c r="B2100" s="49">
        <f>IF(A2100="","",CHOOSE(WEEKDAY(A2100,2),"Пн","Вт","Ср","Чт","Пт","Сб","Вс"))</f>
        <v/>
      </c>
      <c r="C2100" s="59" t="n"/>
      <c r="D2100" s="59" t="n"/>
      <c r="E2100" s="60">
        <f>IF(OR(C2100="",D2100=""),"",MOD(D2100-C2100,1)*24)</f>
        <v/>
      </c>
      <c r="F2100" s="50" t="n"/>
      <c r="G2100" s="51" t="n"/>
      <c r="H2100" s="51" t="n"/>
      <c r="I2100" s="51" t="n"/>
      <c r="J2100" s="51" t="n"/>
      <c r="K2100" s="51" t="n"/>
      <c r="L2100" s="54">
        <f>IF(OR(A2100="",C2100="",D2100=""),"",IF(COUNTIFS($A$5:$A$3004,A2100,$C$5:$C$3004,"&lt;"&amp;D2100,$D$5:$D$3004,"&gt;"&amp;C2100)&gt;1,"⚠️ пересечение",""))</f>
        <v/>
      </c>
      <c r="M2100" s="54">
        <f>IF(F2100="","",IF(J2100="✅ Сделано","✔ ",IF(J2100="❌ Пропущено","✖ ","⏰ "))&amp;IF(C2100="","",RIGHT("0"&amp;HOUR(C2100),2)&amp;":"&amp;RIGHT("0"&amp;MINUTE(C2100),2)&amp;IF(D2100="","","–"&amp;RIGHT("0"&amp;HOUR(D2100),2)&amp;":"&amp;RIGHT("0"&amp;MINUTE(D2100),2))&amp;" ")&amp;F2100)</f>
        <v/>
      </c>
      <c r="N2100" s="54">
        <f>IF(OR(A2100="",F2100=""),"",A2100&amp;"#"&amp;(COUNTIFS($A$5:$A$3004,A2100,$F$5:$F$3004,"?*",$O$5:$O$3004,"&lt;"&amp;O2100)+COUNTIFS($A$5:A2100,A2100,$F$5:F2100,"?*",$O$5:O2100,O2100)))</f>
        <v/>
      </c>
      <c r="O2100" s="54">
        <f>IF(A2100="","",IF(C2100="",0,C2100))</f>
        <v/>
      </c>
    </row>
    <row r="2101">
      <c r="A2101" s="58" t="n"/>
      <c r="B2101" s="49">
        <f>IF(A2101="","",CHOOSE(WEEKDAY(A2101,2),"Пн","Вт","Ср","Чт","Пт","Сб","Вс"))</f>
        <v/>
      </c>
      <c r="C2101" s="59" t="n"/>
      <c r="D2101" s="59" t="n"/>
      <c r="E2101" s="60">
        <f>IF(OR(C2101="",D2101=""),"",MOD(D2101-C2101,1)*24)</f>
        <v/>
      </c>
      <c r="F2101" s="50" t="n"/>
      <c r="G2101" s="51" t="n"/>
      <c r="H2101" s="51" t="n"/>
      <c r="I2101" s="51" t="n"/>
      <c r="J2101" s="51" t="n"/>
      <c r="K2101" s="51" t="n"/>
      <c r="L2101" s="54">
        <f>IF(OR(A2101="",C2101="",D2101=""),"",IF(COUNTIFS($A$5:$A$3004,A2101,$C$5:$C$3004,"&lt;"&amp;D2101,$D$5:$D$3004,"&gt;"&amp;C2101)&gt;1,"⚠️ пересечение",""))</f>
        <v/>
      </c>
      <c r="M2101" s="54">
        <f>IF(F2101="","",IF(J2101="✅ Сделано","✔ ",IF(J2101="❌ Пропущено","✖ ","⏰ "))&amp;IF(C2101="","",RIGHT("0"&amp;HOUR(C2101),2)&amp;":"&amp;RIGHT("0"&amp;MINUTE(C2101),2)&amp;IF(D2101="","","–"&amp;RIGHT("0"&amp;HOUR(D2101),2)&amp;":"&amp;RIGHT("0"&amp;MINUTE(D2101),2))&amp;" ")&amp;F2101)</f>
        <v/>
      </c>
      <c r="N2101" s="54">
        <f>IF(OR(A2101="",F2101=""),"",A2101&amp;"#"&amp;(COUNTIFS($A$5:$A$3004,A2101,$F$5:$F$3004,"?*",$O$5:$O$3004,"&lt;"&amp;O2101)+COUNTIFS($A$5:A2101,A2101,$F$5:F2101,"?*",$O$5:O2101,O2101)))</f>
        <v/>
      </c>
      <c r="O2101" s="54">
        <f>IF(A2101="","",IF(C2101="",0,C2101))</f>
        <v/>
      </c>
    </row>
    <row r="2102">
      <c r="A2102" s="58" t="n"/>
      <c r="B2102" s="49">
        <f>IF(A2102="","",CHOOSE(WEEKDAY(A2102,2),"Пн","Вт","Ср","Чт","Пт","Сб","Вс"))</f>
        <v/>
      </c>
      <c r="C2102" s="59" t="n"/>
      <c r="D2102" s="59" t="n"/>
      <c r="E2102" s="60">
        <f>IF(OR(C2102="",D2102=""),"",MOD(D2102-C2102,1)*24)</f>
        <v/>
      </c>
      <c r="F2102" s="50" t="n"/>
      <c r="G2102" s="51" t="n"/>
      <c r="H2102" s="51" t="n"/>
      <c r="I2102" s="51" t="n"/>
      <c r="J2102" s="51" t="n"/>
      <c r="K2102" s="51" t="n"/>
      <c r="L2102" s="54">
        <f>IF(OR(A2102="",C2102="",D2102=""),"",IF(COUNTIFS($A$5:$A$3004,A2102,$C$5:$C$3004,"&lt;"&amp;D2102,$D$5:$D$3004,"&gt;"&amp;C2102)&gt;1,"⚠️ пересечение",""))</f>
        <v/>
      </c>
      <c r="M2102" s="54">
        <f>IF(F2102="","",IF(J2102="✅ Сделано","✔ ",IF(J2102="❌ Пропущено","✖ ","⏰ "))&amp;IF(C2102="","",RIGHT("0"&amp;HOUR(C2102),2)&amp;":"&amp;RIGHT("0"&amp;MINUTE(C2102),2)&amp;IF(D2102="","","–"&amp;RIGHT("0"&amp;HOUR(D2102),2)&amp;":"&amp;RIGHT("0"&amp;MINUTE(D2102),2))&amp;" ")&amp;F2102)</f>
        <v/>
      </c>
      <c r="N2102" s="54">
        <f>IF(OR(A2102="",F2102=""),"",A2102&amp;"#"&amp;(COUNTIFS($A$5:$A$3004,A2102,$F$5:$F$3004,"?*",$O$5:$O$3004,"&lt;"&amp;O2102)+COUNTIFS($A$5:A2102,A2102,$F$5:F2102,"?*",$O$5:O2102,O2102)))</f>
        <v/>
      </c>
      <c r="O2102" s="54">
        <f>IF(A2102="","",IF(C2102="",0,C2102))</f>
        <v/>
      </c>
    </row>
    <row r="2103">
      <c r="A2103" s="58" t="n"/>
      <c r="B2103" s="49">
        <f>IF(A2103="","",CHOOSE(WEEKDAY(A2103,2),"Пн","Вт","Ср","Чт","Пт","Сб","Вс"))</f>
        <v/>
      </c>
      <c r="C2103" s="59" t="n"/>
      <c r="D2103" s="59" t="n"/>
      <c r="E2103" s="60">
        <f>IF(OR(C2103="",D2103=""),"",MOD(D2103-C2103,1)*24)</f>
        <v/>
      </c>
      <c r="F2103" s="50" t="n"/>
      <c r="G2103" s="51" t="n"/>
      <c r="H2103" s="51" t="n"/>
      <c r="I2103" s="51" t="n"/>
      <c r="J2103" s="51" t="n"/>
      <c r="K2103" s="51" t="n"/>
      <c r="L2103" s="54">
        <f>IF(OR(A2103="",C2103="",D2103=""),"",IF(COUNTIFS($A$5:$A$3004,A2103,$C$5:$C$3004,"&lt;"&amp;D2103,$D$5:$D$3004,"&gt;"&amp;C2103)&gt;1,"⚠️ пересечение",""))</f>
        <v/>
      </c>
      <c r="M2103" s="54">
        <f>IF(F2103="","",IF(J2103="✅ Сделано","✔ ",IF(J2103="❌ Пропущено","✖ ","⏰ "))&amp;IF(C2103="","",RIGHT("0"&amp;HOUR(C2103),2)&amp;":"&amp;RIGHT("0"&amp;MINUTE(C2103),2)&amp;IF(D2103="","","–"&amp;RIGHT("0"&amp;HOUR(D2103),2)&amp;":"&amp;RIGHT("0"&amp;MINUTE(D2103),2))&amp;" ")&amp;F2103)</f>
        <v/>
      </c>
      <c r="N2103" s="54">
        <f>IF(OR(A2103="",F2103=""),"",A2103&amp;"#"&amp;(COUNTIFS($A$5:$A$3004,A2103,$F$5:$F$3004,"?*",$O$5:$O$3004,"&lt;"&amp;O2103)+COUNTIFS($A$5:A2103,A2103,$F$5:F2103,"?*",$O$5:O2103,O2103)))</f>
        <v/>
      </c>
      <c r="O2103" s="54">
        <f>IF(A2103="","",IF(C2103="",0,C2103))</f>
        <v/>
      </c>
    </row>
    <row r="2104">
      <c r="A2104" s="58" t="n"/>
      <c r="B2104" s="49">
        <f>IF(A2104="","",CHOOSE(WEEKDAY(A2104,2),"Пн","Вт","Ср","Чт","Пт","Сб","Вс"))</f>
        <v/>
      </c>
      <c r="C2104" s="59" t="n"/>
      <c r="D2104" s="59" t="n"/>
      <c r="E2104" s="60">
        <f>IF(OR(C2104="",D2104=""),"",MOD(D2104-C2104,1)*24)</f>
        <v/>
      </c>
      <c r="F2104" s="50" t="n"/>
      <c r="G2104" s="51" t="n"/>
      <c r="H2104" s="51" t="n"/>
      <c r="I2104" s="51" t="n"/>
      <c r="J2104" s="51" t="n"/>
      <c r="K2104" s="51" t="n"/>
      <c r="L2104" s="54">
        <f>IF(OR(A2104="",C2104="",D2104=""),"",IF(COUNTIFS($A$5:$A$3004,A2104,$C$5:$C$3004,"&lt;"&amp;D2104,$D$5:$D$3004,"&gt;"&amp;C2104)&gt;1,"⚠️ пересечение",""))</f>
        <v/>
      </c>
      <c r="M2104" s="54">
        <f>IF(F2104="","",IF(J2104="✅ Сделано","✔ ",IF(J2104="❌ Пропущено","✖ ","⏰ "))&amp;IF(C2104="","",RIGHT("0"&amp;HOUR(C2104),2)&amp;":"&amp;RIGHT("0"&amp;MINUTE(C2104),2)&amp;IF(D2104="","","–"&amp;RIGHT("0"&amp;HOUR(D2104),2)&amp;":"&amp;RIGHT("0"&amp;MINUTE(D2104),2))&amp;" ")&amp;F2104)</f>
        <v/>
      </c>
      <c r="N2104" s="54">
        <f>IF(OR(A2104="",F2104=""),"",A2104&amp;"#"&amp;(COUNTIFS($A$5:$A$3004,A2104,$F$5:$F$3004,"?*",$O$5:$O$3004,"&lt;"&amp;O2104)+COUNTIFS($A$5:A2104,A2104,$F$5:F2104,"?*",$O$5:O2104,O2104)))</f>
        <v/>
      </c>
      <c r="O2104" s="54">
        <f>IF(A2104="","",IF(C2104="",0,C2104))</f>
        <v/>
      </c>
    </row>
    <row r="2105">
      <c r="A2105" s="58" t="n"/>
      <c r="B2105" s="49">
        <f>IF(A2105="","",CHOOSE(WEEKDAY(A2105,2),"Пн","Вт","Ср","Чт","Пт","Сб","Вс"))</f>
        <v/>
      </c>
      <c r="C2105" s="59" t="n"/>
      <c r="D2105" s="59" t="n"/>
      <c r="E2105" s="60">
        <f>IF(OR(C2105="",D2105=""),"",MOD(D2105-C2105,1)*24)</f>
        <v/>
      </c>
      <c r="F2105" s="50" t="n"/>
      <c r="G2105" s="51" t="n"/>
      <c r="H2105" s="51" t="n"/>
      <c r="I2105" s="51" t="n"/>
      <c r="J2105" s="51" t="n"/>
      <c r="K2105" s="51" t="n"/>
      <c r="L2105" s="54">
        <f>IF(OR(A2105="",C2105="",D2105=""),"",IF(COUNTIFS($A$5:$A$3004,A2105,$C$5:$C$3004,"&lt;"&amp;D2105,$D$5:$D$3004,"&gt;"&amp;C2105)&gt;1,"⚠️ пересечение",""))</f>
        <v/>
      </c>
      <c r="M2105" s="54">
        <f>IF(F2105="","",IF(J2105="✅ Сделано","✔ ",IF(J2105="❌ Пропущено","✖ ","⏰ "))&amp;IF(C2105="","",RIGHT("0"&amp;HOUR(C2105),2)&amp;":"&amp;RIGHT("0"&amp;MINUTE(C2105),2)&amp;IF(D2105="","","–"&amp;RIGHT("0"&amp;HOUR(D2105),2)&amp;":"&amp;RIGHT("0"&amp;MINUTE(D2105),2))&amp;" ")&amp;F2105)</f>
        <v/>
      </c>
      <c r="N2105" s="54">
        <f>IF(OR(A2105="",F2105=""),"",A2105&amp;"#"&amp;(COUNTIFS($A$5:$A$3004,A2105,$F$5:$F$3004,"?*",$O$5:$O$3004,"&lt;"&amp;O2105)+COUNTIFS($A$5:A2105,A2105,$F$5:F2105,"?*",$O$5:O2105,O2105)))</f>
        <v/>
      </c>
      <c r="O2105" s="54">
        <f>IF(A2105="","",IF(C2105="",0,C2105))</f>
        <v/>
      </c>
    </row>
    <row r="2106">
      <c r="A2106" s="58" t="n"/>
      <c r="B2106" s="49">
        <f>IF(A2106="","",CHOOSE(WEEKDAY(A2106,2),"Пн","Вт","Ср","Чт","Пт","Сб","Вс"))</f>
        <v/>
      </c>
      <c r="C2106" s="59" t="n"/>
      <c r="D2106" s="59" t="n"/>
      <c r="E2106" s="60">
        <f>IF(OR(C2106="",D2106=""),"",MOD(D2106-C2106,1)*24)</f>
        <v/>
      </c>
      <c r="F2106" s="50" t="n"/>
      <c r="G2106" s="51" t="n"/>
      <c r="H2106" s="51" t="n"/>
      <c r="I2106" s="51" t="n"/>
      <c r="J2106" s="51" t="n"/>
      <c r="K2106" s="51" t="n"/>
      <c r="L2106" s="54">
        <f>IF(OR(A2106="",C2106="",D2106=""),"",IF(COUNTIFS($A$5:$A$3004,A2106,$C$5:$C$3004,"&lt;"&amp;D2106,$D$5:$D$3004,"&gt;"&amp;C2106)&gt;1,"⚠️ пересечение",""))</f>
        <v/>
      </c>
      <c r="M2106" s="54">
        <f>IF(F2106="","",IF(J2106="✅ Сделано","✔ ",IF(J2106="❌ Пропущено","✖ ","⏰ "))&amp;IF(C2106="","",RIGHT("0"&amp;HOUR(C2106),2)&amp;":"&amp;RIGHT("0"&amp;MINUTE(C2106),2)&amp;IF(D2106="","","–"&amp;RIGHT("0"&amp;HOUR(D2106),2)&amp;":"&amp;RIGHT("0"&amp;MINUTE(D2106),2))&amp;" ")&amp;F2106)</f>
        <v/>
      </c>
      <c r="N2106" s="54">
        <f>IF(OR(A2106="",F2106=""),"",A2106&amp;"#"&amp;(COUNTIFS($A$5:$A$3004,A2106,$F$5:$F$3004,"?*",$O$5:$O$3004,"&lt;"&amp;O2106)+COUNTIFS($A$5:A2106,A2106,$F$5:F2106,"?*",$O$5:O2106,O2106)))</f>
        <v/>
      </c>
      <c r="O2106" s="54">
        <f>IF(A2106="","",IF(C2106="",0,C2106))</f>
        <v/>
      </c>
    </row>
    <row r="2107">
      <c r="A2107" s="58" t="n"/>
      <c r="B2107" s="49">
        <f>IF(A2107="","",CHOOSE(WEEKDAY(A2107,2),"Пн","Вт","Ср","Чт","Пт","Сб","Вс"))</f>
        <v/>
      </c>
      <c r="C2107" s="59" t="n"/>
      <c r="D2107" s="59" t="n"/>
      <c r="E2107" s="60">
        <f>IF(OR(C2107="",D2107=""),"",MOD(D2107-C2107,1)*24)</f>
        <v/>
      </c>
      <c r="F2107" s="50" t="n"/>
      <c r="G2107" s="51" t="n"/>
      <c r="H2107" s="51" t="n"/>
      <c r="I2107" s="51" t="n"/>
      <c r="J2107" s="51" t="n"/>
      <c r="K2107" s="51" t="n"/>
      <c r="L2107" s="54">
        <f>IF(OR(A2107="",C2107="",D2107=""),"",IF(COUNTIFS($A$5:$A$3004,A2107,$C$5:$C$3004,"&lt;"&amp;D2107,$D$5:$D$3004,"&gt;"&amp;C2107)&gt;1,"⚠️ пересечение",""))</f>
        <v/>
      </c>
      <c r="M2107" s="54">
        <f>IF(F2107="","",IF(J2107="✅ Сделано","✔ ",IF(J2107="❌ Пропущено","✖ ","⏰ "))&amp;IF(C2107="","",RIGHT("0"&amp;HOUR(C2107),2)&amp;":"&amp;RIGHT("0"&amp;MINUTE(C2107),2)&amp;IF(D2107="","","–"&amp;RIGHT("0"&amp;HOUR(D2107),2)&amp;":"&amp;RIGHT("0"&amp;MINUTE(D2107),2))&amp;" ")&amp;F2107)</f>
        <v/>
      </c>
      <c r="N2107" s="54">
        <f>IF(OR(A2107="",F2107=""),"",A2107&amp;"#"&amp;(COUNTIFS($A$5:$A$3004,A2107,$F$5:$F$3004,"?*",$O$5:$O$3004,"&lt;"&amp;O2107)+COUNTIFS($A$5:A2107,A2107,$F$5:F2107,"?*",$O$5:O2107,O2107)))</f>
        <v/>
      </c>
      <c r="O2107" s="54">
        <f>IF(A2107="","",IF(C2107="",0,C2107))</f>
        <v/>
      </c>
    </row>
    <row r="2108">
      <c r="A2108" s="58" t="n"/>
      <c r="B2108" s="49">
        <f>IF(A2108="","",CHOOSE(WEEKDAY(A2108,2),"Пн","Вт","Ср","Чт","Пт","Сб","Вс"))</f>
        <v/>
      </c>
      <c r="C2108" s="59" t="n"/>
      <c r="D2108" s="59" t="n"/>
      <c r="E2108" s="60">
        <f>IF(OR(C2108="",D2108=""),"",MOD(D2108-C2108,1)*24)</f>
        <v/>
      </c>
      <c r="F2108" s="50" t="n"/>
      <c r="G2108" s="51" t="n"/>
      <c r="H2108" s="51" t="n"/>
      <c r="I2108" s="51" t="n"/>
      <c r="J2108" s="51" t="n"/>
      <c r="K2108" s="51" t="n"/>
      <c r="L2108" s="54">
        <f>IF(OR(A2108="",C2108="",D2108=""),"",IF(COUNTIFS($A$5:$A$3004,A2108,$C$5:$C$3004,"&lt;"&amp;D2108,$D$5:$D$3004,"&gt;"&amp;C2108)&gt;1,"⚠️ пересечение",""))</f>
        <v/>
      </c>
      <c r="M2108" s="54">
        <f>IF(F2108="","",IF(J2108="✅ Сделано","✔ ",IF(J2108="❌ Пропущено","✖ ","⏰ "))&amp;IF(C2108="","",RIGHT("0"&amp;HOUR(C2108),2)&amp;":"&amp;RIGHT("0"&amp;MINUTE(C2108),2)&amp;IF(D2108="","","–"&amp;RIGHT("0"&amp;HOUR(D2108),2)&amp;":"&amp;RIGHT("0"&amp;MINUTE(D2108),2))&amp;" ")&amp;F2108)</f>
        <v/>
      </c>
      <c r="N2108" s="54">
        <f>IF(OR(A2108="",F2108=""),"",A2108&amp;"#"&amp;(COUNTIFS($A$5:$A$3004,A2108,$F$5:$F$3004,"?*",$O$5:$O$3004,"&lt;"&amp;O2108)+COUNTIFS($A$5:A2108,A2108,$F$5:F2108,"?*",$O$5:O2108,O2108)))</f>
        <v/>
      </c>
      <c r="O2108" s="54">
        <f>IF(A2108="","",IF(C2108="",0,C2108))</f>
        <v/>
      </c>
    </row>
    <row r="2109">
      <c r="A2109" s="58" t="n"/>
      <c r="B2109" s="49">
        <f>IF(A2109="","",CHOOSE(WEEKDAY(A2109,2),"Пн","Вт","Ср","Чт","Пт","Сб","Вс"))</f>
        <v/>
      </c>
      <c r="C2109" s="59" t="n"/>
      <c r="D2109" s="59" t="n"/>
      <c r="E2109" s="60">
        <f>IF(OR(C2109="",D2109=""),"",MOD(D2109-C2109,1)*24)</f>
        <v/>
      </c>
      <c r="F2109" s="50" t="n"/>
      <c r="G2109" s="51" t="n"/>
      <c r="H2109" s="51" t="n"/>
      <c r="I2109" s="51" t="n"/>
      <c r="J2109" s="51" t="n"/>
      <c r="K2109" s="51" t="n"/>
      <c r="L2109" s="54">
        <f>IF(OR(A2109="",C2109="",D2109=""),"",IF(COUNTIFS($A$5:$A$3004,A2109,$C$5:$C$3004,"&lt;"&amp;D2109,$D$5:$D$3004,"&gt;"&amp;C2109)&gt;1,"⚠️ пересечение",""))</f>
        <v/>
      </c>
      <c r="M2109" s="54">
        <f>IF(F2109="","",IF(J2109="✅ Сделано","✔ ",IF(J2109="❌ Пропущено","✖ ","⏰ "))&amp;IF(C2109="","",RIGHT("0"&amp;HOUR(C2109),2)&amp;":"&amp;RIGHT("0"&amp;MINUTE(C2109),2)&amp;IF(D2109="","","–"&amp;RIGHT("0"&amp;HOUR(D2109),2)&amp;":"&amp;RIGHT("0"&amp;MINUTE(D2109),2))&amp;" ")&amp;F2109)</f>
        <v/>
      </c>
      <c r="N2109" s="54">
        <f>IF(OR(A2109="",F2109=""),"",A2109&amp;"#"&amp;(COUNTIFS($A$5:$A$3004,A2109,$F$5:$F$3004,"?*",$O$5:$O$3004,"&lt;"&amp;O2109)+COUNTIFS($A$5:A2109,A2109,$F$5:F2109,"?*",$O$5:O2109,O2109)))</f>
        <v/>
      </c>
      <c r="O2109" s="54">
        <f>IF(A2109="","",IF(C2109="",0,C2109))</f>
        <v/>
      </c>
    </row>
    <row r="2110">
      <c r="A2110" s="58" t="n"/>
      <c r="B2110" s="49">
        <f>IF(A2110="","",CHOOSE(WEEKDAY(A2110,2),"Пн","Вт","Ср","Чт","Пт","Сб","Вс"))</f>
        <v/>
      </c>
      <c r="C2110" s="59" t="n"/>
      <c r="D2110" s="59" t="n"/>
      <c r="E2110" s="60">
        <f>IF(OR(C2110="",D2110=""),"",MOD(D2110-C2110,1)*24)</f>
        <v/>
      </c>
      <c r="F2110" s="50" t="n"/>
      <c r="G2110" s="51" t="n"/>
      <c r="H2110" s="51" t="n"/>
      <c r="I2110" s="51" t="n"/>
      <c r="J2110" s="51" t="n"/>
      <c r="K2110" s="51" t="n"/>
      <c r="L2110" s="54">
        <f>IF(OR(A2110="",C2110="",D2110=""),"",IF(COUNTIFS($A$5:$A$3004,A2110,$C$5:$C$3004,"&lt;"&amp;D2110,$D$5:$D$3004,"&gt;"&amp;C2110)&gt;1,"⚠️ пересечение",""))</f>
        <v/>
      </c>
      <c r="M2110" s="54">
        <f>IF(F2110="","",IF(J2110="✅ Сделано","✔ ",IF(J2110="❌ Пропущено","✖ ","⏰ "))&amp;IF(C2110="","",RIGHT("0"&amp;HOUR(C2110),2)&amp;":"&amp;RIGHT("0"&amp;MINUTE(C2110),2)&amp;IF(D2110="","","–"&amp;RIGHT("0"&amp;HOUR(D2110),2)&amp;":"&amp;RIGHT("0"&amp;MINUTE(D2110),2))&amp;" ")&amp;F2110)</f>
        <v/>
      </c>
      <c r="N2110" s="54">
        <f>IF(OR(A2110="",F2110=""),"",A2110&amp;"#"&amp;(COUNTIFS($A$5:$A$3004,A2110,$F$5:$F$3004,"?*",$O$5:$O$3004,"&lt;"&amp;O2110)+COUNTIFS($A$5:A2110,A2110,$F$5:F2110,"?*",$O$5:O2110,O2110)))</f>
        <v/>
      </c>
      <c r="O2110" s="54">
        <f>IF(A2110="","",IF(C2110="",0,C2110))</f>
        <v/>
      </c>
    </row>
    <row r="2111">
      <c r="A2111" s="58" t="n"/>
      <c r="B2111" s="49">
        <f>IF(A2111="","",CHOOSE(WEEKDAY(A2111,2),"Пн","Вт","Ср","Чт","Пт","Сб","Вс"))</f>
        <v/>
      </c>
      <c r="C2111" s="59" t="n"/>
      <c r="D2111" s="59" t="n"/>
      <c r="E2111" s="60">
        <f>IF(OR(C2111="",D2111=""),"",MOD(D2111-C2111,1)*24)</f>
        <v/>
      </c>
      <c r="F2111" s="50" t="n"/>
      <c r="G2111" s="51" t="n"/>
      <c r="H2111" s="51" t="n"/>
      <c r="I2111" s="51" t="n"/>
      <c r="J2111" s="51" t="n"/>
      <c r="K2111" s="51" t="n"/>
      <c r="L2111" s="54">
        <f>IF(OR(A2111="",C2111="",D2111=""),"",IF(COUNTIFS($A$5:$A$3004,A2111,$C$5:$C$3004,"&lt;"&amp;D2111,$D$5:$D$3004,"&gt;"&amp;C2111)&gt;1,"⚠️ пересечение",""))</f>
        <v/>
      </c>
      <c r="M2111" s="54">
        <f>IF(F2111="","",IF(J2111="✅ Сделано","✔ ",IF(J2111="❌ Пропущено","✖ ","⏰ "))&amp;IF(C2111="","",RIGHT("0"&amp;HOUR(C2111),2)&amp;":"&amp;RIGHT("0"&amp;MINUTE(C2111),2)&amp;IF(D2111="","","–"&amp;RIGHT("0"&amp;HOUR(D2111),2)&amp;":"&amp;RIGHT("0"&amp;MINUTE(D2111),2))&amp;" ")&amp;F2111)</f>
        <v/>
      </c>
      <c r="N2111" s="54">
        <f>IF(OR(A2111="",F2111=""),"",A2111&amp;"#"&amp;(COUNTIFS($A$5:$A$3004,A2111,$F$5:$F$3004,"?*",$O$5:$O$3004,"&lt;"&amp;O2111)+COUNTIFS($A$5:A2111,A2111,$F$5:F2111,"?*",$O$5:O2111,O2111)))</f>
        <v/>
      </c>
      <c r="O2111" s="54">
        <f>IF(A2111="","",IF(C2111="",0,C2111))</f>
        <v/>
      </c>
    </row>
    <row r="2112">
      <c r="A2112" s="58" t="n"/>
      <c r="B2112" s="49">
        <f>IF(A2112="","",CHOOSE(WEEKDAY(A2112,2),"Пн","Вт","Ср","Чт","Пт","Сб","Вс"))</f>
        <v/>
      </c>
      <c r="C2112" s="59" t="n"/>
      <c r="D2112" s="59" t="n"/>
      <c r="E2112" s="60">
        <f>IF(OR(C2112="",D2112=""),"",MOD(D2112-C2112,1)*24)</f>
        <v/>
      </c>
      <c r="F2112" s="50" t="n"/>
      <c r="G2112" s="51" t="n"/>
      <c r="H2112" s="51" t="n"/>
      <c r="I2112" s="51" t="n"/>
      <c r="J2112" s="51" t="n"/>
      <c r="K2112" s="51" t="n"/>
      <c r="L2112" s="54">
        <f>IF(OR(A2112="",C2112="",D2112=""),"",IF(COUNTIFS($A$5:$A$3004,A2112,$C$5:$C$3004,"&lt;"&amp;D2112,$D$5:$D$3004,"&gt;"&amp;C2112)&gt;1,"⚠️ пересечение",""))</f>
        <v/>
      </c>
      <c r="M2112" s="54">
        <f>IF(F2112="","",IF(J2112="✅ Сделано","✔ ",IF(J2112="❌ Пропущено","✖ ","⏰ "))&amp;IF(C2112="","",RIGHT("0"&amp;HOUR(C2112),2)&amp;":"&amp;RIGHT("0"&amp;MINUTE(C2112),2)&amp;IF(D2112="","","–"&amp;RIGHT("0"&amp;HOUR(D2112),2)&amp;":"&amp;RIGHT("0"&amp;MINUTE(D2112),2))&amp;" ")&amp;F2112)</f>
        <v/>
      </c>
      <c r="N2112" s="54">
        <f>IF(OR(A2112="",F2112=""),"",A2112&amp;"#"&amp;(COUNTIFS($A$5:$A$3004,A2112,$F$5:$F$3004,"?*",$O$5:$O$3004,"&lt;"&amp;O2112)+COUNTIFS($A$5:A2112,A2112,$F$5:F2112,"?*",$O$5:O2112,O2112)))</f>
        <v/>
      </c>
      <c r="O2112" s="54">
        <f>IF(A2112="","",IF(C2112="",0,C2112))</f>
        <v/>
      </c>
    </row>
    <row r="2113">
      <c r="A2113" s="58" t="n"/>
      <c r="B2113" s="49">
        <f>IF(A2113="","",CHOOSE(WEEKDAY(A2113,2),"Пн","Вт","Ср","Чт","Пт","Сб","Вс"))</f>
        <v/>
      </c>
      <c r="C2113" s="59" t="n"/>
      <c r="D2113" s="59" t="n"/>
      <c r="E2113" s="60">
        <f>IF(OR(C2113="",D2113=""),"",MOD(D2113-C2113,1)*24)</f>
        <v/>
      </c>
      <c r="F2113" s="50" t="n"/>
      <c r="G2113" s="51" t="n"/>
      <c r="H2113" s="51" t="n"/>
      <c r="I2113" s="51" t="n"/>
      <c r="J2113" s="51" t="n"/>
      <c r="K2113" s="51" t="n"/>
      <c r="L2113" s="54">
        <f>IF(OR(A2113="",C2113="",D2113=""),"",IF(COUNTIFS($A$5:$A$3004,A2113,$C$5:$C$3004,"&lt;"&amp;D2113,$D$5:$D$3004,"&gt;"&amp;C2113)&gt;1,"⚠️ пересечение",""))</f>
        <v/>
      </c>
      <c r="M2113" s="54">
        <f>IF(F2113="","",IF(J2113="✅ Сделано","✔ ",IF(J2113="❌ Пропущено","✖ ","⏰ "))&amp;IF(C2113="","",RIGHT("0"&amp;HOUR(C2113),2)&amp;":"&amp;RIGHT("0"&amp;MINUTE(C2113),2)&amp;IF(D2113="","","–"&amp;RIGHT("0"&amp;HOUR(D2113),2)&amp;":"&amp;RIGHT("0"&amp;MINUTE(D2113),2))&amp;" ")&amp;F2113)</f>
        <v/>
      </c>
      <c r="N2113" s="54">
        <f>IF(OR(A2113="",F2113=""),"",A2113&amp;"#"&amp;(COUNTIFS($A$5:$A$3004,A2113,$F$5:$F$3004,"?*",$O$5:$O$3004,"&lt;"&amp;O2113)+COUNTIFS($A$5:A2113,A2113,$F$5:F2113,"?*",$O$5:O2113,O2113)))</f>
        <v/>
      </c>
      <c r="O2113" s="54">
        <f>IF(A2113="","",IF(C2113="",0,C2113))</f>
        <v/>
      </c>
    </row>
    <row r="2114">
      <c r="A2114" s="58" t="n"/>
      <c r="B2114" s="49">
        <f>IF(A2114="","",CHOOSE(WEEKDAY(A2114,2),"Пн","Вт","Ср","Чт","Пт","Сб","Вс"))</f>
        <v/>
      </c>
      <c r="C2114" s="59" t="n"/>
      <c r="D2114" s="59" t="n"/>
      <c r="E2114" s="60">
        <f>IF(OR(C2114="",D2114=""),"",MOD(D2114-C2114,1)*24)</f>
        <v/>
      </c>
      <c r="F2114" s="50" t="n"/>
      <c r="G2114" s="51" t="n"/>
      <c r="H2114" s="51" t="n"/>
      <c r="I2114" s="51" t="n"/>
      <c r="J2114" s="51" t="n"/>
      <c r="K2114" s="51" t="n"/>
      <c r="L2114" s="54">
        <f>IF(OR(A2114="",C2114="",D2114=""),"",IF(COUNTIFS($A$5:$A$3004,A2114,$C$5:$C$3004,"&lt;"&amp;D2114,$D$5:$D$3004,"&gt;"&amp;C2114)&gt;1,"⚠️ пересечение",""))</f>
        <v/>
      </c>
      <c r="M2114" s="54">
        <f>IF(F2114="","",IF(J2114="✅ Сделано","✔ ",IF(J2114="❌ Пропущено","✖ ","⏰ "))&amp;IF(C2114="","",RIGHT("0"&amp;HOUR(C2114),2)&amp;":"&amp;RIGHT("0"&amp;MINUTE(C2114),2)&amp;IF(D2114="","","–"&amp;RIGHT("0"&amp;HOUR(D2114),2)&amp;":"&amp;RIGHT("0"&amp;MINUTE(D2114),2))&amp;" ")&amp;F2114)</f>
        <v/>
      </c>
      <c r="N2114" s="54">
        <f>IF(OR(A2114="",F2114=""),"",A2114&amp;"#"&amp;(COUNTIFS($A$5:$A$3004,A2114,$F$5:$F$3004,"?*",$O$5:$O$3004,"&lt;"&amp;O2114)+COUNTIFS($A$5:A2114,A2114,$F$5:F2114,"?*",$O$5:O2114,O2114)))</f>
        <v/>
      </c>
      <c r="O2114" s="54">
        <f>IF(A2114="","",IF(C2114="",0,C2114))</f>
        <v/>
      </c>
    </row>
    <row r="2115">
      <c r="A2115" s="58" t="n"/>
      <c r="B2115" s="49">
        <f>IF(A2115="","",CHOOSE(WEEKDAY(A2115,2),"Пн","Вт","Ср","Чт","Пт","Сб","Вс"))</f>
        <v/>
      </c>
      <c r="C2115" s="59" t="n"/>
      <c r="D2115" s="59" t="n"/>
      <c r="E2115" s="60">
        <f>IF(OR(C2115="",D2115=""),"",MOD(D2115-C2115,1)*24)</f>
        <v/>
      </c>
      <c r="F2115" s="50" t="n"/>
      <c r="G2115" s="51" t="n"/>
      <c r="H2115" s="51" t="n"/>
      <c r="I2115" s="51" t="n"/>
      <c r="J2115" s="51" t="n"/>
      <c r="K2115" s="51" t="n"/>
      <c r="L2115" s="54">
        <f>IF(OR(A2115="",C2115="",D2115=""),"",IF(COUNTIFS($A$5:$A$3004,A2115,$C$5:$C$3004,"&lt;"&amp;D2115,$D$5:$D$3004,"&gt;"&amp;C2115)&gt;1,"⚠️ пересечение",""))</f>
        <v/>
      </c>
      <c r="M2115" s="54">
        <f>IF(F2115="","",IF(J2115="✅ Сделано","✔ ",IF(J2115="❌ Пропущено","✖ ","⏰ "))&amp;IF(C2115="","",RIGHT("0"&amp;HOUR(C2115),2)&amp;":"&amp;RIGHT("0"&amp;MINUTE(C2115),2)&amp;IF(D2115="","","–"&amp;RIGHT("0"&amp;HOUR(D2115),2)&amp;":"&amp;RIGHT("0"&amp;MINUTE(D2115),2))&amp;" ")&amp;F2115)</f>
        <v/>
      </c>
      <c r="N2115" s="54">
        <f>IF(OR(A2115="",F2115=""),"",A2115&amp;"#"&amp;(COUNTIFS($A$5:$A$3004,A2115,$F$5:$F$3004,"?*",$O$5:$O$3004,"&lt;"&amp;O2115)+COUNTIFS($A$5:A2115,A2115,$F$5:F2115,"?*",$O$5:O2115,O2115)))</f>
        <v/>
      </c>
      <c r="O2115" s="54">
        <f>IF(A2115="","",IF(C2115="",0,C2115))</f>
        <v/>
      </c>
    </row>
    <row r="2116">
      <c r="A2116" s="58" t="n"/>
      <c r="B2116" s="49">
        <f>IF(A2116="","",CHOOSE(WEEKDAY(A2116,2),"Пн","Вт","Ср","Чт","Пт","Сб","Вс"))</f>
        <v/>
      </c>
      <c r="C2116" s="59" t="n"/>
      <c r="D2116" s="59" t="n"/>
      <c r="E2116" s="60">
        <f>IF(OR(C2116="",D2116=""),"",MOD(D2116-C2116,1)*24)</f>
        <v/>
      </c>
      <c r="F2116" s="50" t="n"/>
      <c r="G2116" s="51" t="n"/>
      <c r="H2116" s="51" t="n"/>
      <c r="I2116" s="51" t="n"/>
      <c r="J2116" s="51" t="n"/>
      <c r="K2116" s="51" t="n"/>
      <c r="L2116" s="54">
        <f>IF(OR(A2116="",C2116="",D2116=""),"",IF(COUNTIFS($A$5:$A$3004,A2116,$C$5:$C$3004,"&lt;"&amp;D2116,$D$5:$D$3004,"&gt;"&amp;C2116)&gt;1,"⚠️ пересечение",""))</f>
        <v/>
      </c>
      <c r="M2116" s="54">
        <f>IF(F2116="","",IF(J2116="✅ Сделано","✔ ",IF(J2116="❌ Пропущено","✖ ","⏰ "))&amp;IF(C2116="","",RIGHT("0"&amp;HOUR(C2116),2)&amp;":"&amp;RIGHT("0"&amp;MINUTE(C2116),2)&amp;IF(D2116="","","–"&amp;RIGHT("0"&amp;HOUR(D2116),2)&amp;":"&amp;RIGHT("0"&amp;MINUTE(D2116),2))&amp;" ")&amp;F2116)</f>
        <v/>
      </c>
      <c r="N2116" s="54">
        <f>IF(OR(A2116="",F2116=""),"",A2116&amp;"#"&amp;(COUNTIFS($A$5:$A$3004,A2116,$F$5:$F$3004,"?*",$O$5:$O$3004,"&lt;"&amp;O2116)+COUNTIFS($A$5:A2116,A2116,$F$5:F2116,"?*",$O$5:O2116,O2116)))</f>
        <v/>
      </c>
      <c r="O2116" s="54">
        <f>IF(A2116="","",IF(C2116="",0,C2116))</f>
        <v/>
      </c>
    </row>
    <row r="2117">
      <c r="A2117" s="58" t="n"/>
      <c r="B2117" s="49">
        <f>IF(A2117="","",CHOOSE(WEEKDAY(A2117,2),"Пн","Вт","Ср","Чт","Пт","Сб","Вс"))</f>
        <v/>
      </c>
      <c r="C2117" s="59" t="n"/>
      <c r="D2117" s="59" t="n"/>
      <c r="E2117" s="60">
        <f>IF(OR(C2117="",D2117=""),"",MOD(D2117-C2117,1)*24)</f>
        <v/>
      </c>
      <c r="F2117" s="50" t="n"/>
      <c r="G2117" s="51" t="n"/>
      <c r="H2117" s="51" t="n"/>
      <c r="I2117" s="51" t="n"/>
      <c r="J2117" s="51" t="n"/>
      <c r="K2117" s="51" t="n"/>
      <c r="L2117" s="54">
        <f>IF(OR(A2117="",C2117="",D2117=""),"",IF(COUNTIFS($A$5:$A$3004,A2117,$C$5:$C$3004,"&lt;"&amp;D2117,$D$5:$D$3004,"&gt;"&amp;C2117)&gt;1,"⚠️ пересечение",""))</f>
        <v/>
      </c>
      <c r="M2117" s="54">
        <f>IF(F2117="","",IF(J2117="✅ Сделано","✔ ",IF(J2117="❌ Пропущено","✖ ","⏰ "))&amp;IF(C2117="","",RIGHT("0"&amp;HOUR(C2117),2)&amp;":"&amp;RIGHT("0"&amp;MINUTE(C2117),2)&amp;IF(D2117="","","–"&amp;RIGHT("0"&amp;HOUR(D2117),2)&amp;":"&amp;RIGHT("0"&amp;MINUTE(D2117),2))&amp;" ")&amp;F2117)</f>
        <v/>
      </c>
      <c r="N2117" s="54">
        <f>IF(OR(A2117="",F2117=""),"",A2117&amp;"#"&amp;(COUNTIFS($A$5:$A$3004,A2117,$F$5:$F$3004,"?*",$O$5:$O$3004,"&lt;"&amp;O2117)+COUNTIFS($A$5:A2117,A2117,$F$5:F2117,"?*",$O$5:O2117,O2117)))</f>
        <v/>
      </c>
      <c r="O2117" s="54">
        <f>IF(A2117="","",IF(C2117="",0,C2117))</f>
        <v/>
      </c>
    </row>
    <row r="2118">
      <c r="A2118" s="58" t="n"/>
      <c r="B2118" s="49">
        <f>IF(A2118="","",CHOOSE(WEEKDAY(A2118,2),"Пн","Вт","Ср","Чт","Пт","Сб","Вс"))</f>
        <v/>
      </c>
      <c r="C2118" s="59" t="n"/>
      <c r="D2118" s="59" t="n"/>
      <c r="E2118" s="60">
        <f>IF(OR(C2118="",D2118=""),"",MOD(D2118-C2118,1)*24)</f>
        <v/>
      </c>
      <c r="F2118" s="50" t="n"/>
      <c r="G2118" s="51" t="n"/>
      <c r="H2118" s="51" t="n"/>
      <c r="I2118" s="51" t="n"/>
      <c r="J2118" s="51" t="n"/>
      <c r="K2118" s="51" t="n"/>
      <c r="L2118" s="54">
        <f>IF(OR(A2118="",C2118="",D2118=""),"",IF(COUNTIFS($A$5:$A$3004,A2118,$C$5:$C$3004,"&lt;"&amp;D2118,$D$5:$D$3004,"&gt;"&amp;C2118)&gt;1,"⚠️ пересечение",""))</f>
        <v/>
      </c>
      <c r="M2118" s="54">
        <f>IF(F2118="","",IF(J2118="✅ Сделано","✔ ",IF(J2118="❌ Пропущено","✖ ","⏰ "))&amp;IF(C2118="","",RIGHT("0"&amp;HOUR(C2118),2)&amp;":"&amp;RIGHT("0"&amp;MINUTE(C2118),2)&amp;IF(D2118="","","–"&amp;RIGHT("0"&amp;HOUR(D2118),2)&amp;":"&amp;RIGHT("0"&amp;MINUTE(D2118),2))&amp;" ")&amp;F2118)</f>
        <v/>
      </c>
      <c r="N2118" s="54">
        <f>IF(OR(A2118="",F2118=""),"",A2118&amp;"#"&amp;(COUNTIFS($A$5:$A$3004,A2118,$F$5:$F$3004,"?*",$O$5:$O$3004,"&lt;"&amp;O2118)+COUNTIFS($A$5:A2118,A2118,$F$5:F2118,"?*",$O$5:O2118,O2118)))</f>
        <v/>
      </c>
      <c r="O2118" s="54">
        <f>IF(A2118="","",IF(C2118="",0,C2118))</f>
        <v/>
      </c>
    </row>
    <row r="2119">
      <c r="A2119" s="58" t="n"/>
      <c r="B2119" s="49">
        <f>IF(A2119="","",CHOOSE(WEEKDAY(A2119,2),"Пн","Вт","Ср","Чт","Пт","Сб","Вс"))</f>
        <v/>
      </c>
      <c r="C2119" s="59" t="n"/>
      <c r="D2119" s="59" t="n"/>
      <c r="E2119" s="60">
        <f>IF(OR(C2119="",D2119=""),"",MOD(D2119-C2119,1)*24)</f>
        <v/>
      </c>
      <c r="F2119" s="50" t="n"/>
      <c r="G2119" s="51" t="n"/>
      <c r="H2119" s="51" t="n"/>
      <c r="I2119" s="51" t="n"/>
      <c r="J2119" s="51" t="n"/>
      <c r="K2119" s="51" t="n"/>
      <c r="L2119" s="54">
        <f>IF(OR(A2119="",C2119="",D2119=""),"",IF(COUNTIFS($A$5:$A$3004,A2119,$C$5:$C$3004,"&lt;"&amp;D2119,$D$5:$D$3004,"&gt;"&amp;C2119)&gt;1,"⚠️ пересечение",""))</f>
        <v/>
      </c>
      <c r="M2119" s="54">
        <f>IF(F2119="","",IF(J2119="✅ Сделано","✔ ",IF(J2119="❌ Пропущено","✖ ","⏰ "))&amp;IF(C2119="","",RIGHT("0"&amp;HOUR(C2119),2)&amp;":"&amp;RIGHT("0"&amp;MINUTE(C2119),2)&amp;IF(D2119="","","–"&amp;RIGHT("0"&amp;HOUR(D2119),2)&amp;":"&amp;RIGHT("0"&amp;MINUTE(D2119),2))&amp;" ")&amp;F2119)</f>
        <v/>
      </c>
      <c r="N2119" s="54">
        <f>IF(OR(A2119="",F2119=""),"",A2119&amp;"#"&amp;(COUNTIFS($A$5:$A$3004,A2119,$F$5:$F$3004,"?*",$O$5:$O$3004,"&lt;"&amp;O2119)+COUNTIFS($A$5:A2119,A2119,$F$5:F2119,"?*",$O$5:O2119,O2119)))</f>
        <v/>
      </c>
      <c r="O2119" s="54">
        <f>IF(A2119="","",IF(C2119="",0,C2119))</f>
        <v/>
      </c>
    </row>
    <row r="2120">
      <c r="A2120" s="58" t="n"/>
      <c r="B2120" s="49">
        <f>IF(A2120="","",CHOOSE(WEEKDAY(A2120,2),"Пн","Вт","Ср","Чт","Пт","Сб","Вс"))</f>
        <v/>
      </c>
      <c r="C2120" s="59" t="n"/>
      <c r="D2120" s="59" t="n"/>
      <c r="E2120" s="60">
        <f>IF(OR(C2120="",D2120=""),"",MOD(D2120-C2120,1)*24)</f>
        <v/>
      </c>
      <c r="F2120" s="50" t="n"/>
      <c r="G2120" s="51" t="n"/>
      <c r="H2120" s="51" t="n"/>
      <c r="I2120" s="51" t="n"/>
      <c r="J2120" s="51" t="n"/>
      <c r="K2120" s="51" t="n"/>
      <c r="L2120" s="54">
        <f>IF(OR(A2120="",C2120="",D2120=""),"",IF(COUNTIFS($A$5:$A$3004,A2120,$C$5:$C$3004,"&lt;"&amp;D2120,$D$5:$D$3004,"&gt;"&amp;C2120)&gt;1,"⚠️ пересечение",""))</f>
        <v/>
      </c>
      <c r="M2120" s="54">
        <f>IF(F2120="","",IF(J2120="✅ Сделано","✔ ",IF(J2120="❌ Пропущено","✖ ","⏰ "))&amp;IF(C2120="","",RIGHT("0"&amp;HOUR(C2120),2)&amp;":"&amp;RIGHT("0"&amp;MINUTE(C2120),2)&amp;IF(D2120="","","–"&amp;RIGHT("0"&amp;HOUR(D2120),2)&amp;":"&amp;RIGHT("0"&amp;MINUTE(D2120),2))&amp;" ")&amp;F2120)</f>
        <v/>
      </c>
      <c r="N2120" s="54">
        <f>IF(OR(A2120="",F2120=""),"",A2120&amp;"#"&amp;(COUNTIFS($A$5:$A$3004,A2120,$F$5:$F$3004,"?*",$O$5:$O$3004,"&lt;"&amp;O2120)+COUNTIFS($A$5:A2120,A2120,$F$5:F2120,"?*",$O$5:O2120,O2120)))</f>
        <v/>
      </c>
      <c r="O2120" s="54">
        <f>IF(A2120="","",IF(C2120="",0,C2120))</f>
        <v/>
      </c>
    </row>
    <row r="2121">
      <c r="A2121" s="58" t="n"/>
      <c r="B2121" s="49">
        <f>IF(A2121="","",CHOOSE(WEEKDAY(A2121,2),"Пн","Вт","Ср","Чт","Пт","Сб","Вс"))</f>
        <v/>
      </c>
      <c r="C2121" s="59" t="n"/>
      <c r="D2121" s="59" t="n"/>
      <c r="E2121" s="60">
        <f>IF(OR(C2121="",D2121=""),"",MOD(D2121-C2121,1)*24)</f>
        <v/>
      </c>
      <c r="F2121" s="50" t="n"/>
      <c r="G2121" s="51" t="n"/>
      <c r="H2121" s="51" t="n"/>
      <c r="I2121" s="51" t="n"/>
      <c r="J2121" s="51" t="n"/>
      <c r="K2121" s="51" t="n"/>
      <c r="L2121" s="54">
        <f>IF(OR(A2121="",C2121="",D2121=""),"",IF(COUNTIFS($A$5:$A$3004,A2121,$C$5:$C$3004,"&lt;"&amp;D2121,$D$5:$D$3004,"&gt;"&amp;C2121)&gt;1,"⚠️ пересечение",""))</f>
        <v/>
      </c>
      <c r="M2121" s="54">
        <f>IF(F2121="","",IF(J2121="✅ Сделано","✔ ",IF(J2121="❌ Пропущено","✖ ","⏰ "))&amp;IF(C2121="","",RIGHT("0"&amp;HOUR(C2121),2)&amp;":"&amp;RIGHT("0"&amp;MINUTE(C2121),2)&amp;IF(D2121="","","–"&amp;RIGHT("0"&amp;HOUR(D2121),2)&amp;":"&amp;RIGHT("0"&amp;MINUTE(D2121),2))&amp;" ")&amp;F2121)</f>
        <v/>
      </c>
      <c r="N2121" s="54">
        <f>IF(OR(A2121="",F2121=""),"",A2121&amp;"#"&amp;(COUNTIFS($A$5:$A$3004,A2121,$F$5:$F$3004,"?*",$O$5:$O$3004,"&lt;"&amp;O2121)+COUNTIFS($A$5:A2121,A2121,$F$5:F2121,"?*",$O$5:O2121,O2121)))</f>
        <v/>
      </c>
      <c r="O2121" s="54">
        <f>IF(A2121="","",IF(C2121="",0,C2121))</f>
        <v/>
      </c>
    </row>
    <row r="2122">
      <c r="A2122" s="58" t="n"/>
      <c r="B2122" s="49">
        <f>IF(A2122="","",CHOOSE(WEEKDAY(A2122,2),"Пн","Вт","Ср","Чт","Пт","Сб","Вс"))</f>
        <v/>
      </c>
      <c r="C2122" s="59" t="n"/>
      <c r="D2122" s="59" t="n"/>
      <c r="E2122" s="60">
        <f>IF(OR(C2122="",D2122=""),"",MOD(D2122-C2122,1)*24)</f>
        <v/>
      </c>
      <c r="F2122" s="50" t="n"/>
      <c r="G2122" s="51" t="n"/>
      <c r="H2122" s="51" t="n"/>
      <c r="I2122" s="51" t="n"/>
      <c r="J2122" s="51" t="n"/>
      <c r="K2122" s="51" t="n"/>
      <c r="L2122" s="54">
        <f>IF(OR(A2122="",C2122="",D2122=""),"",IF(COUNTIFS($A$5:$A$3004,A2122,$C$5:$C$3004,"&lt;"&amp;D2122,$D$5:$D$3004,"&gt;"&amp;C2122)&gt;1,"⚠️ пересечение",""))</f>
        <v/>
      </c>
      <c r="M2122" s="54">
        <f>IF(F2122="","",IF(J2122="✅ Сделано","✔ ",IF(J2122="❌ Пропущено","✖ ","⏰ "))&amp;IF(C2122="","",RIGHT("0"&amp;HOUR(C2122),2)&amp;":"&amp;RIGHT("0"&amp;MINUTE(C2122),2)&amp;IF(D2122="","","–"&amp;RIGHT("0"&amp;HOUR(D2122),2)&amp;":"&amp;RIGHT("0"&amp;MINUTE(D2122),2))&amp;" ")&amp;F2122)</f>
        <v/>
      </c>
      <c r="N2122" s="54">
        <f>IF(OR(A2122="",F2122=""),"",A2122&amp;"#"&amp;(COUNTIFS($A$5:$A$3004,A2122,$F$5:$F$3004,"?*",$O$5:$O$3004,"&lt;"&amp;O2122)+COUNTIFS($A$5:A2122,A2122,$F$5:F2122,"?*",$O$5:O2122,O2122)))</f>
        <v/>
      </c>
      <c r="O2122" s="54">
        <f>IF(A2122="","",IF(C2122="",0,C2122))</f>
        <v/>
      </c>
    </row>
    <row r="2123">
      <c r="A2123" s="58" t="n"/>
      <c r="B2123" s="49">
        <f>IF(A2123="","",CHOOSE(WEEKDAY(A2123,2),"Пн","Вт","Ср","Чт","Пт","Сб","Вс"))</f>
        <v/>
      </c>
      <c r="C2123" s="59" t="n"/>
      <c r="D2123" s="59" t="n"/>
      <c r="E2123" s="60">
        <f>IF(OR(C2123="",D2123=""),"",MOD(D2123-C2123,1)*24)</f>
        <v/>
      </c>
      <c r="F2123" s="50" t="n"/>
      <c r="G2123" s="51" t="n"/>
      <c r="H2123" s="51" t="n"/>
      <c r="I2123" s="51" t="n"/>
      <c r="J2123" s="51" t="n"/>
      <c r="K2123" s="51" t="n"/>
      <c r="L2123" s="54">
        <f>IF(OR(A2123="",C2123="",D2123=""),"",IF(COUNTIFS($A$5:$A$3004,A2123,$C$5:$C$3004,"&lt;"&amp;D2123,$D$5:$D$3004,"&gt;"&amp;C2123)&gt;1,"⚠️ пересечение",""))</f>
        <v/>
      </c>
      <c r="M2123" s="54">
        <f>IF(F2123="","",IF(J2123="✅ Сделано","✔ ",IF(J2123="❌ Пропущено","✖ ","⏰ "))&amp;IF(C2123="","",RIGHT("0"&amp;HOUR(C2123),2)&amp;":"&amp;RIGHT("0"&amp;MINUTE(C2123),2)&amp;IF(D2123="","","–"&amp;RIGHT("0"&amp;HOUR(D2123),2)&amp;":"&amp;RIGHT("0"&amp;MINUTE(D2123),2))&amp;" ")&amp;F2123)</f>
        <v/>
      </c>
      <c r="N2123" s="54">
        <f>IF(OR(A2123="",F2123=""),"",A2123&amp;"#"&amp;(COUNTIFS($A$5:$A$3004,A2123,$F$5:$F$3004,"?*",$O$5:$O$3004,"&lt;"&amp;O2123)+COUNTIFS($A$5:A2123,A2123,$F$5:F2123,"?*",$O$5:O2123,O2123)))</f>
        <v/>
      </c>
      <c r="O2123" s="54">
        <f>IF(A2123="","",IF(C2123="",0,C2123))</f>
        <v/>
      </c>
    </row>
    <row r="2124">
      <c r="A2124" s="58" t="n"/>
      <c r="B2124" s="49">
        <f>IF(A2124="","",CHOOSE(WEEKDAY(A2124,2),"Пн","Вт","Ср","Чт","Пт","Сб","Вс"))</f>
        <v/>
      </c>
      <c r="C2124" s="59" t="n"/>
      <c r="D2124" s="59" t="n"/>
      <c r="E2124" s="60">
        <f>IF(OR(C2124="",D2124=""),"",MOD(D2124-C2124,1)*24)</f>
        <v/>
      </c>
      <c r="F2124" s="50" t="n"/>
      <c r="G2124" s="51" t="n"/>
      <c r="H2124" s="51" t="n"/>
      <c r="I2124" s="51" t="n"/>
      <c r="J2124" s="51" t="n"/>
      <c r="K2124" s="51" t="n"/>
      <c r="L2124" s="54">
        <f>IF(OR(A2124="",C2124="",D2124=""),"",IF(COUNTIFS($A$5:$A$3004,A2124,$C$5:$C$3004,"&lt;"&amp;D2124,$D$5:$D$3004,"&gt;"&amp;C2124)&gt;1,"⚠️ пересечение",""))</f>
        <v/>
      </c>
      <c r="M2124" s="54">
        <f>IF(F2124="","",IF(J2124="✅ Сделано","✔ ",IF(J2124="❌ Пропущено","✖ ","⏰ "))&amp;IF(C2124="","",RIGHT("0"&amp;HOUR(C2124),2)&amp;":"&amp;RIGHT("0"&amp;MINUTE(C2124),2)&amp;IF(D2124="","","–"&amp;RIGHT("0"&amp;HOUR(D2124),2)&amp;":"&amp;RIGHT("0"&amp;MINUTE(D2124),2))&amp;" ")&amp;F2124)</f>
        <v/>
      </c>
      <c r="N2124" s="54">
        <f>IF(OR(A2124="",F2124=""),"",A2124&amp;"#"&amp;(COUNTIFS($A$5:$A$3004,A2124,$F$5:$F$3004,"?*",$O$5:$O$3004,"&lt;"&amp;O2124)+COUNTIFS($A$5:A2124,A2124,$F$5:F2124,"?*",$O$5:O2124,O2124)))</f>
        <v/>
      </c>
      <c r="O2124" s="54">
        <f>IF(A2124="","",IF(C2124="",0,C2124))</f>
        <v/>
      </c>
    </row>
    <row r="2125">
      <c r="A2125" s="58" t="n"/>
      <c r="B2125" s="49">
        <f>IF(A2125="","",CHOOSE(WEEKDAY(A2125,2),"Пн","Вт","Ср","Чт","Пт","Сб","Вс"))</f>
        <v/>
      </c>
      <c r="C2125" s="59" t="n"/>
      <c r="D2125" s="59" t="n"/>
      <c r="E2125" s="60">
        <f>IF(OR(C2125="",D2125=""),"",MOD(D2125-C2125,1)*24)</f>
        <v/>
      </c>
      <c r="F2125" s="50" t="n"/>
      <c r="G2125" s="51" t="n"/>
      <c r="H2125" s="51" t="n"/>
      <c r="I2125" s="51" t="n"/>
      <c r="J2125" s="51" t="n"/>
      <c r="K2125" s="51" t="n"/>
      <c r="L2125" s="54">
        <f>IF(OR(A2125="",C2125="",D2125=""),"",IF(COUNTIFS($A$5:$A$3004,A2125,$C$5:$C$3004,"&lt;"&amp;D2125,$D$5:$D$3004,"&gt;"&amp;C2125)&gt;1,"⚠️ пересечение",""))</f>
        <v/>
      </c>
      <c r="M2125" s="54">
        <f>IF(F2125="","",IF(J2125="✅ Сделано","✔ ",IF(J2125="❌ Пропущено","✖ ","⏰ "))&amp;IF(C2125="","",RIGHT("0"&amp;HOUR(C2125),2)&amp;":"&amp;RIGHT("0"&amp;MINUTE(C2125),2)&amp;IF(D2125="","","–"&amp;RIGHT("0"&amp;HOUR(D2125),2)&amp;":"&amp;RIGHT("0"&amp;MINUTE(D2125),2))&amp;" ")&amp;F2125)</f>
        <v/>
      </c>
      <c r="N2125" s="54">
        <f>IF(OR(A2125="",F2125=""),"",A2125&amp;"#"&amp;(COUNTIFS($A$5:$A$3004,A2125,$F$5:$F$3004,"?*",$O$5:$O$3004,"&lt;"&amp;O2125)+COUNTIFS($A$5:A2125,A2125,$F$5:F2125,"?*",$O$5:O2125,O2125)))</f>
        <v/>
      </c>
      <c r="O2125" s="54">
        <f>IF(A2125="","",IF(C2125="",0,C2125))</f>
        <v/>
      </c>
    </row>
    <row r="2126">
      <c r="A2126" s="58" t="n"/>
      <c r="B2126" s="49">
        <f>IF(A2126="","",CHOOSE(WEEKDAY(A2126,2),"Пн","Вт","Ср","Чт","Пт","Сб","Вс"))</f>
        <v/>
      </c>
      <c r="C2126" s="59" t="n"/>
      <c r="D2126" s="59" t="n"/>
      <c r="E2126" s="60">
        <f>IF(OR(C2126="",D2126=""),"",MOD(D2126-C2126,1)*24)</f>
        <v/>
      </c>
      <c r="F2126" s="50" t="n"/>
      <c r="G2126" s="51" t="n"/>
      <c r="H2126" s="51" t="n"/>
      <c r="I2126" s="51" t="n"/>
      <c r="J2126" s="51" t="n"/>
      <c r="K2126" s="51" t="n"/>
      <c r="L2126" s="54">
        <f>IF(OR(A2126="",C2126="",D2126=""),"",IF(COUNTIFS($A$5:$A$3004,A2126,$C$5:$C$3004,"&lt;"&amp;D2126,$D$5:$D$3004,"&gt;"&amp;C2126)&gt;1,"⚠️ пересечение",""))</f>
        <v/>
      </c>
      <c r="M2126" s="54">
        <f>IF(F2126="","",IF(J2126="✅ Сделано","✔ ",IF(J2126="❌ Пропущено","✖ ","⏰ "))&amp;IF(C2126="","",RIGHT("0"&amp;HOUR(C2126),2)&amp;":"&amp;RIGHT("0"&amp;MINUTE(C2126),2)&amp;IF(D2126="","","–"&amp;RIGHT("0"&amp;HOUR(D2126),2)&amp;":"&amp;RIGHT("0"&amp;MINUTE(D2126),2))&amp;" ")&amp;F2126)</f>
        <v/>
      </c>
      <c r="N2126" s="54">
        <f>IF(OR(A2126="",F2126=""),"",A2126&amp;"#"&amp;(COUNTIFS($A$5:$A$3004,A2126,$F$5:$F$3004,"?*",$O$5:$O$3004,"&lt;"&amp;O2126)+COUNTIFS($A$5:A2126,A2126,$F$5:F2126,"?*",$O$5:O2126,O2126)))</f>
        <v/>
      </c>
      <c r="O2126" s="54">
        <f>IF(A2126="","",IF(C2126="",0,C2126))</f>
        <v/>
      </c>
    </row>
    <row r="2127">
      <c r="A2127" s="58" t="n"/>
      <c r="B2127" s="49">
        <f>IF(A2127="","",CHOOSE(WEEKDAY(A2127,2),"Пн","Вт","Ср","Чт","Пт","Сб","Вс"))</f>
        <v/>
      </c>
      <c r="C2127" s="59" t="n"/>
      <c r="D2127" s="59" t="n"/>
      <c r="E2127" s="60">
        <f>IF(OR(C2127="",D2127=""),"",MOD(D2127-C2127,1)*24)</f>
        <v/>
      </c>
      <c r="F2127" s="50" t="n"/>
      <c r="G2127" s="51" t="n"/>
      <c r="H2127" s="51" t="n"/>
      <c r="I2127" s="51" t="n"/>
      <c r="J2127" s="51" t="n"/>
      <c r="K2127" s="51" t="n"/>
      <c r="L2127" s="54">
        <f>IF(OR(A2127="",C2127="",D2127=""),"",IF(COUNTIFS($A$5:$A$3004,A2127,$C$5:$C$3004,"&lt;"&amp;D2127,$D$5:$D$3004,"&gt;"&amp;C2127)&gt;1,"⚠️ пересечение",""))</f>
        <v/>
      </c>
      <c r="M2127" s="54">
        <f>IF(F2127="","",IF(J2127="✅ Сделано","✔ ",IF(J2127="❌ Пропущено","✖ ","⏰ "))&amp;IF(C2127="","",RIGHT("0"&amp;HOUR(C2127),2)&amp;":"&amp;RIGHT("0"&amp;MINUTE(C2127),2)&amp;IF(D2127="","","–"&amp;RIGHT("0"&amp;HOUR(D2127),2)&amp;":"&amp;RIGHT("0"&amp;MINUTE(D2127),2))&amp;" ")&amp;F2127)</f>
        <v/>
      </c>
      <c r="N2127" s="54">
        <f>IF(OR(A2127="",F2127=""),"",A2127&amp;"#"&amp;(COUNTIFS($A$5:$A$3004,A2127,$F$5:$F$3004,"?*",$O$5:$O$3004,"&lt;"&amp;O2127)+COUNTIFS($A$5:A2127,A2127,$F$5:F2127,"?*",$O$5:O2127,O2127)))</f>
        <v/>
      </c>
      <c r="O2127" s="54">
        <f>IF(A2127="","",IF(C2127="",0,C2127))</f>
        <v/>
      </c>
    </row>
    <row r="2128">
      <c r="A2128" s="58" t="n"/>
      <c r="B2128" s="49">
        <f>IF(A2128="","",CHOOSE(WEEKDAY(A2128,2),"Пн","Вт","Ср","Чт","Пт","Сб","Вс"))</f>
        <v/>
      </c>
      <c r="C2128" s="59" t="n"/>
      <c r="D2128" s="59" t="n"/>
      <c r="E2128" s="60">
        <f>IF(OR(C2128="",D2128=""),"",MOD(D2128-C2128,1)*24)</f>
        <v/>
      </c>
      <c r="F2128" s="50" t="n"/>
      <c r="G2128" s="51" t="n"/>
      <c r="H2128" s="51" t="n"/>
      <c r="I2128" s="51" t="n"/>
      <c r="J2128" s="51" t="n"/>
      <c r="K2128" s="51" t="n"/>
      <c r="L2128" s="54">
        <f>IF(OR(A2128="",C2128="",D2128=""),"",IF(COUNTIFS($A$5:$A$3004,A2128,$C$5:$C$3004,"&lt;"&amp;D2128,$D$5:$D$3004,"&gt;"&amp;C2128)&gt;1,"⚠️ пересечение",""))</f>
        <v/>
      </c>
      <c r="M2128" s="54">
        <f>IF(F2128="","",IF(J2128="✅ Сделано","✔ ",IF(J2128="❌ Пропущено","✖ ","⏰ "))&amp;IF(C2128="","",RIGHT("0"&amp;HOUR(C2128),2)&amp;":"&amp;RIGHT("0"&amp;MINUTE(C2128),2)&amp;IF(D2128="","","–"&amp;RIGHT("0"&amp;HOUR(D2128),2)&amp;":"&amp;RIGHT("0"&amp;MINUTE(D2128),2))&amp;" ")&amp;F2128)</f>
        <v/>
      </c>
      <c r="N2128" s="54">
        <f>IF(OR(A2128="",F2128=""),"",A2128&amp;"#"&amp;(COUNTIFS($A$5:$A$3004,A2128,$F$5:$F$3004,"?*",$O$5:$O$3004,"&lt;"&amp;O2128)+COUNTIFS($A$5:A2128,A2128,$F$5:F2128,"?*",$O$5:O2128,O2128)))</f>
        <v/>
      </c>
      <c r="O2128" s="54">
        <f>IF(A2128="","",IF(C2128="",0,C2128))</f>
        <v/>
      </c>
    </row>
    <row r="2129">
      <c r="A2129" s="58" t="n"/>
      <c r="B2129" s="49">
        <f>IF(A2129="","",CHOOSE(WEEKDAY(A2129,2),"Пн","Вт","Ср","Чт","Пт","Сб","Вс"))</f>
        <v/>
      </c>
      <c r="C2129" s="59" t="n"/>
      <c r="D2129" s="59" t="n"/>
      <c r="E2129" s="60">
        <f>IF(OR(C2129="",D2129=""),"",MOD(D2129-C2129,1)*24)</f>
        <v/>
      </c>
      <c r="F2129" s="50" t="n"/>
      <c r="G2129" s="51" t="n"/>
      <c r="H2129" s="51" t="n"/>
      <c r="I2129" s="51" t="n"/>
      <c r="J2129" s="51" t="n"/>
      <c r="K2129" s="51" t="n"/>
      <c r="L2129" s="54">
        <f>IF(OR(A2129="",C2129="",D2129=""),"",IF(COUNTIFS($A$5:$A$3004,A2129,$C$5:$C$3004,"&lt;"&amp;D2129,$D$5:$D$3004,"&gt;"&amp;C2129)&gt;1,"⚠️ пересечение",""))</f>
        <v/>
      </c>
      <c r="M2129" s="54">
        <f>IF(F2129="","",IF(J2129="✅ Сделано","✔ ",IF(J2129="❌ Пропущено","✖ ","⏰ "))&amp;IF(C2129="","",RIGHT("0"&amp;HOUR(C2129),2)&amp;":"&amp;RIGHT("0"&amp;MINUTE(C2129),2)&amp;IF(D2129="","","–"&amp;RIGHT("0"&amp;HOUR(D2129),2)&amp;":"&amp;RIGHT("0"&amp;MINUTE(D2129),2))&amp;" ")&amp;F2129)</f>
        <v/>
      </c>
      <c r="N2129" s="54">
        <f>IF(OR(A2129="",F2129=""),"",A2129&amp;"#"&amp;(COUNTIFS($A$5:$A$3004,A2129,$F$5:$F$3004,"?*",$O$5:$O$3004,"&lt;"&amp;O2129)+COUNTIFS($A$5:A2129,A2129,$F$5:F2129,"?*",$O$5:O2129,O2129)))</f>
        <v/>
      </c>
      <c r="O2129" s="54">
        <f>IF(A2129="","",IF(C2129="",0,C2129))</f>
        <v/>
      </c>
    </row>
    <row r="2130">
      <c r="A2130" s="58" t="n"/>
      <c r="B2130" s="49">
        <f>IF(A2130="","",CHOOSE(WEEKDAY(A2130,2),"Пн","Вт","Ср","Чт","Пт","Сб","Вс"))</f>
        <v/>
      </c>
      <c r="C2130" s="59" t="n"/>
      <c r="D2130" s="59" t="n"/>
      <c r="E2130" s="60">
        <f>IF(OR(C2130="",D2130=""),"",MOD(D2130-C2130,1)*24)</f>
        <v/>
      </c>
      <c r="F2130" s="50" t="n"/>
      <c r="G2130" s="51" t="n"/>
      <c r="H2130" s="51" t="n"/>
      <c r="I2130" s="51" t="n"/>
      <c r="J2130" s="51" t="n"/>
      <c r="K2130" s="51" t="n"/>
      <c r="L2130" s="54">
        <f>IF(OR(A2130="",C2130="",D2130=""),"",IF(COUNTIFS($A$5:$A$3004,A2130,$C$5:$C$3004,"&lt;"&amp;D2130,$D$5:$D$3004,"&gt;"&amp;C2130)&gt;1,"⚠️ пересечение",""))</f>
        <v/>
      </c>
      <c r="M2130" s="54">
        <f>IF(F2130="","",IF(J2130="✅ Сделано","✔ ",IF(J2130="❌ Пропущено","✖ ","⏰ "))&amp;IF(C2130="","",RIGHT("0"&amp;HOUR(C2130),2)&amp;":"&amp;RIGHT("0"&amp;MINUTE(C2130),2)&amp;IF(D2130="","","–"&amp;RIGHT("0"&amp;HOUR(D2130),2)&amp;":"&amp;RIGHT("0"&amp;MINUTE(D2130),2))&amp;" ")&amp;F2130)</f>
        <v/>
      </c>
      <c r="N2130" s="54">
        <f>IF(OR(A2130="",F2130=""),"",A2130&amp;"#"&amp;(COUNTIFS($A$5:$A$3004,A2130,$F$5:$F$3004,"?*",$O$5:$O$3004,"&lt;"&amp;O2130)+COUNTIFS($A$5:A2130,A2130,$F$5:F2130,"?*",$O$5:O2130,O2130)))</f>
        <v/>
      </c>
      <c r="O2130" s="54">
        <f>IF(A2130="","",IF(C2130="",0,C2130))</f>
        <v/>
      </c>
    </row>
    <row r="2131">
      <c r="A2131" s="58" t="n"/>
      <c r="B2131" s="49">
        <f>IF(A2131="","",CHOOSE(WEEKDAY(A2131,2),"Пн","Вт","Ср","Чт","Пт","Сб","Вс"))</f>
        <v/>
      </c>
      <c r="C2131" s="59" t="n"/>
      <c r="D2131" s="59" t="n"/>
      <c r="E2131" s="60">
        <f>IF(OR(C2131="",D2131=""),"",MOD(D2131-C2131,1)*24)</f>
        <v/>
      </c>
      <c r="F2131" s="50" t="n"/>
      <c r="G2131" s="51" t="n"/>
      <c r="H2131" s="51" t="n"/>
      <c r="I2131" s="51" t="n"/>
      <c r="J2131" s="51" t="n"/>
      <c r="K2131" s="51" t="n"/>
      <c r="L2131" s="54">
        <f>IF(OR(A2131="",C2131="",D2131=""),"",IF(COUNTIFS($A$5:$A$3004,A2131,$C$5:$C$3004,"&lt;"&amp;D2131,$D$5:$D$3004,"&gt;"&amp;C2131)&gt;1,"⚠️ пересечение",""))</f>
        <v/>
      </c>
      <c r="M2131" s="54">
        <f>IF(F2131="","",IF(J2131="✅ Сделано","✔ ",IF(J2131="❌ Пропущено","✖ ","⏰ "))&amp;IF(C2131="","",RIGHT("0"&amp;HOUR(C2131),2)&amp;":"&amp;RIGHT("0"&amp;MINUTE(C2131),2)&amp;IF(D2131="","","–"&amp;RIGHT("0"&amp;HOUR(D2131),2)&amp;":"&amp;RIGHT("0"&amp;MINUTE(D2131),2))&amp;" ")&amp;F2131)</f>
        <v/>
      </c>
      <c r="N2131" s="54">
        <f>IF(OR(A2131="",F2131=""),"",A2131&amp;"#"&amp;(COUNTIFS($A$5:$A$3004,A2131,$F$5:$F$3004,"?*",$O$5:$O$3004,"&lt;"&amp;O2131)+COUNTIFS($A$5:A2131,A2131,$F$5:F2131,"?*",$O$5:O2131,O2131)))</f>
        <v/>
      </c>
      <c r="O2131" s="54">
        <f>IF(A2131="","",IF(C2131="",0,C2131))</f>
        <v/>
      </c>
    </row>
    <row r="2132">
      <c r="A2132" s="58" t="n"/>
      <c r="B2132" s="49">
        <f>IF(A2132="","",CHOOSE(WEEKDAY(A2132,2),"Пн","Вт","Ср","Чт","Пт","Сб","Вс"))</f>
        <v/>
      </c>
      <c r="C2132" s="59" t="n"/>
      <c r="D2132" s="59" t="n"/>
      <c r="E2132" s="60">
        <f>IF(OR(C2132="",D2132=""),"",MOD(D2132-C2132,1)*24)</f>
        <v/>
      </c>
      <c r="F2132" s="50" t="n"/>
      <c r="G2132" s="51" t="n"/>
      <c r="H2132" s="51" t="n"/>
      <c r="I2132" s="51" t="n"/>
      <c r="J2132" s="51" t="n"/>
      <c r="K2132" s="51" t="n"/>
      <c r="L2132" s="54">
        <f>IF(OR(A2132="",C2132="",D2132=""),"",IF(COUNTIFS($A$5:$A$3004,A2132,$C$5:$C$3004,"&lt;"&amp;D2132,$D$5:$D$3004,"&gt;"&amp;C2132)&gt;1,"⚠️ пересечение",""))</f>
        <v/>
      </c>
      <c r="M2132" s="54">
        <f>IF(F2132="","",IF(J2132="✅ Сделано","✔ ",IF(J2132="❌ Пропущено","✖ ","⏰ "))&amp;IF(C2132="","",RIGHT("0"&amp;HOUR(C2132),2)&amp;":"&amp;RIGHT("0"&amp;MINUTE(C2132),2)&amp;IF(D2132="","","–"&amp;RIGHT("0"&amp;HOUR(D2132),2)&amp;":"&amp;RIGHT("0"&amp;MINUTE(D2132),2))&amp;" ")&amp;F2132)</f>
        <v/>
      </c>
      <c r="N2132" s="54">
        <f>IF(OR(A2132="",F2132=""),"",A2132&amp;"#"&amp;(COUNTIFS($A$5:$A$3004,A2132,$F$5:$F$3004,"?*",$O$5:$O$3004,"&lt;"&amp;O2132)+COUNTIFS($A$5:A2132,A2132,$F$5:F2132,"?*",$O$5:O2132,O2132)))</f>
        <v/>
      </c>
      <c r="O2132" s="54">
        <f>IF(A2132="","",IF(C2132="",0,C2132))</f>
        <v/>
      </c>
    </row>
    <row r="2133">
      <c r="A2133" s="58" t="n"/>
      <c r="B2133" s="49">
        <f>IF(A2133="","",CHOOSE(WEEKDAY(A2133,2),"Пн","Вт","Ср","Чт","Пт","Сб","Вс"))</f>
        <v/>
      </c>
      <c r="C2133" s="59" t="n"/>
      <c r="D2133" s="59" t="n"/>
      <c r="E2133" s="60">
        <f>IF(OR(C2133="",D2133=""),"",MOD(D2133-C2133,1)*24)</f>
        <v/>
      </c>
      <c r="F2133" s="50" t="n"/>
      <c r="G2133" s="51" t="n"/>
      <c r="H2133" s="51" t="n"/>
      <c r="I2133" s="51" t="n"/>
      <c r="J2133" s="51" t="n"/>
      <c r="K2133" s="51" t="n"/>
      <c r="L2133" s="54">
        <f>IF(OR(A2133="",C2133="",D2133=""),"",IF(COUNTIFS($A$5:$A$3004,A2133,$C$5:$C$3004,"&lt;"&amp;D2133,$D$5:$D$3004,"&gt;"&amp;C2133)&gt;1,"⚠️ пересечение",""))</f>
        <v/>
      </c>
      <c r="M2133" s="54">
        <f>IF(F2133="","",IF(J2133="✅ Сделано","✔ ",IF(J2133="❌ Пропущено","✖ ","⏰ "))&amp;IF(C2133="","",RIGHT("0"&amp;HOUR(C2133),2)&amp;":"&amp;RIGHT("0"&amp;MINUTE(C2133),2)&amp;IF(D2133="","","–"&amp;RIGHT("0"&amp;HOUR(D2133),2)&amp;":"&amp;RIGHT("0"&amp;MINUTE(D2133),2))&amp;" ")&amp;F2133)</f>
        <v/>
      </c>
      <c r="N2133" s="54">
        <f>IF(OR(A2133="",F2133=""),"",A2133&amp;"#"&amp;(COUNTIFS($A$5:$A$3004,A2133,$F$5:$F$3004,"?*",$O$5:$O$3004,"&lt;"&amp;O2133)+COUNTIFS($A$5:A2133,A2133,$F$5:F2133,"?*",$O$5:O2133,O2133)))</f>
        <v/>
      </c>
      <c r="O2133" s="54">
        <f>IF(A2133="","",IF(C2133="",0,C2133))</f>
        <v/>
      </c>
    </row>
    <row r="2134">
      <c r="A2134" s="58" t="n"/>
      <c r="B2134" s="49">
        <f>IF(A2134="","",CHOOSE(WEEKDAY(A2134,2),"Пн","Вт","Ср","Чт","Пт","Сб","Вс"))</f>
        <v/>
      </c>
      <c r="C2134" s="59" t="n"/>
      <c r="D2134" s="59" t="n"/>
      <c r="E2134" s="60">
        <f>IF(OR(C2134="",D2134=""),"",MOD(D2134-C2134,1)*24)</f>
        <v/>
      </c>
      <c r="F2134" s="50" t="n"/>
      <c r="G2134" s="51" t="n"/>
      <c r="H2134" s="51" t="n"/>
      <c r="I2134" s="51" t="n"/>
      <c r="J2134" s="51" t="n"/>
      <c r="K2134" s="51" t="n"/>
      <c r="L2134" s="54">
        <f>IF(OR(A2134="",C2134="",D2134=""),"",IF(COUNTIFS($A$5:$A$3004,A2134,$C$5:$C$3004,"&lt;"&amp;D2134,$D$5:$D$3004,"&gt;"&amp;C2134)&gt;1,"⚠️ пересечение",""))</f>
        <v/>
      </c>
      <c r="M2134" s="54">
        <f>IF(F2134="","",IF(J2134="✅ Сделано","✔ ",IF(J2134="❌ Пропущено","✖ ","⏰ "))&amp;IF(C2134="","",RIGHT("0"&amp;HOUR(C2134),2)&amp;":"&amp;RIGHT("0"&amp;MINUTE(C2134),2)&amp;IF(D2134="","","–"&amp;RIGHT("0"&amp;HOUR(D2134),2)&amp;":"&amp;RIGHT("0"&amp;MINUTE(D2134),2))&amp;" ")&amp;F2134)</f>
        <v/>
      </c>
      <c r="N2134" s="54">
        <f>IF(OR(A2134="",F2134=""),"",A2134&amp;"#"&amp;(COUNTIFS($A$5:$A$3004,A2134,$F$5:$F$3004,"?*",$O$5:$O$3004,"&lt;"&amp;O2134)+COUNTIFS($A$5:A2134,A2134,$F$5:F2134,"?*",$O$5:O2134,O2134)))</f>
        <v/>
      </c>
      <c r="O2134" s="54">
        <f>IF(A2134="","",IF(C2134="",0,C2134))</f>
        <v/>
      </c>
    </row>
    <row r="2135">
      <c r="A2135" s="58" t="n"/>
      <c r="B2135" s="49">
        <f>IF(A2135="","",CHOOSE(WEEKDAY(A2135,2),"Пн","Вт","Ср","Чт","Пт","Сб","Вс"))</f>
        <v/>
      </c>
      <c r="C2135" s="59" t="n"/>
      <c r="D2135" s="59" t="n"/>
      <c r="E2135" s="60">
        <f>IF(OR(C2135="",D2135=""),"",MOD(D2135-C2135,1)*24)</f>
        <v/>
      </c>
      <c r="F2135" s="50" t="n"/>
      <c r="G2135" s="51" t="n"/>
      <c r="H2135" s="51" t="n"/>
      <c r="I2135" s="51" t="n"/>
      <c r="J2135" s="51" t="n"/>
      <c r="K2135" s="51" t="n"/>
      <c r="L2135" s="54">
        <f>IF(OR(A2135="",C2135="",D2135=""),"",IF(COUNTIFS($A$5:$A$3004,A2135,$C$5:$C$3004,"&lt;"&amp;D2135,$D$5:$D$3004,"&gt;"&amp;C2135)&gt;1,"⚠️ пересечение",""))</f>
        <v/>
      </c>
      <c r="M2135" s="54">
        <f>IF(F2135="","",IF(J2135="✅ Сделано","✔ ",IF(J2135="❌ Пропущено","✖ ","⏰ "))&amp;IF(C2135="","",RIGHT("0"&amp;HOUR(C2135),2)&amp;":"&amp;RIGHT("0"&amp;MINUTE(C2135),2)&amp;IF(D2135="","","–"&amp;RIGHT("0"&amp;HOUR(D2135),2)&amp;":"&amp;RIGHT("0"&amp;MINUTE(D2135),2))&amp;" ")&amp;F2135)</f>
        <v/>
      </c>
      <c r="N2135" s="54">
        <f>IF(OR(A2135="",F2135=""),"",A2135&amp;"#"&amp;(COUNTIFS($A$5:$A$3004,A2135,$F$5:$F$3004,"?*",$O$5:$O$3004,"&lt;"&amp;O2135)+COUNTIFS($A$5:A2135,A2135,$F$5:F2135,"?*",$O$5:O2135,O2135)))</f>
        <v/>
      </c>
      <c r="O2135" s="54">
        <f>IF(A2135="","",IF(C2135="",0,C2135))</f>
        <v/>
      </c>
    </row>
    <row r="2136">
      <c r="A2136" s="58" t="n"/>
      <c r="B2136" s="49">
        <f>IF(A2136="","",CHOOSE(WEEKDAY(A2136,2),"Пн","Вт","Ср","Чт","Пт","Сб","Вс"))</f>
        <v/>
      </c>
      <c r="C2136" s="59" t="n"/>
      <c r="D2136" s="59" t="n"/>
      <c r="E2136" s="60">
        <f>IF(OR(C2136="",D2136=""),"",MOD(D2136-C2136,1)*24)</f>
        <v/>
      </c>
      <c r="F2136" s="50" t="n"/>
      <c r="G2136" s="51" t="n"/>
      <c r="H2136" s="51" t="n"/>
      <c r="I2136" s="51" t="n"/>
      <c r="J2136" s="51" t="n"/>
      <c r="K2136" s="51" t="n"/>
      <c r="L2136" s="54">
        <f>IF(OR(A2136="",C2136="",D2136=""),"",IF(COUNTIFS($A$5:$A$3004,A2136,$C$5:$C$3004,"&lt;"&amp;D2136,$D$5:$D$3004,"&gt;"&amp;C2136)&gt;1,"⚠️ пересечение",""))</f>
        <v/>
      </c>
      <c r="M2136" s="54">
        <f>IF(F2136="","",IF(J2136="✅ Сделано","✔ ",IF(J2136="❌ Пропущено","✖ ","⏰ "))&amp;IF(C2136="","",RIGHT("0"&amp;HOUR(C2136),2)&amp;":"&amp;RIGHT("0"&amp;MINUTE(C2136),2)&amp;IF(D2136="","","–"&amp;RIGHT("0"&amp;HOUR(D2136),2)&amp;":"&amp;RIGHT("0"&amp;MINUTE(D2136),2))&amp;" ")&amp;F2136)</f>
        <v/>
      </c>
      <c r="N2136" s="54">
        <f>IF(OR(A2136="",F2136=""),"",A2136&amp;"#"&amp;(COUNTIFS($A$5:$A$3004,A2136,$F$5:$F$3004,"?*",$O$5:$O$3004,"&lt;"&amp;O2136)+COUNTIFS($A$5:A2136,A2136,$F$5:F2136,"?*",$O$5:O2136,O2136)))</f>
        <v/>
      </c>
      <c r="O2136" s="54">
        <f>IF(A2136="","",IF(C2136="",0,C2136))</f>
        <v/>
      </c>
    </row>
    <row r="2137">
      <c r="A2137" s="58" t="n"/>
      <c r="B2137" s="49">
        <f>IF(A2137="","",CHOOSE(WEEKDAY(A2137,2),"Пн","Вт","Ср","Чт","Пт","Сб","Вс"))</f>
        <v/>
      </c>
      <c r="C2137" s="59" t="n"/>
      <c r="D2137" s="59" t="n"/>
      <c r="E2137" s="60">
        <f>IF(OR(C2137="",D2137=""),"",MOD(D2137-C2137,1)*24)</f>
        <v/>
      </c>
      <c r="F2137" s="50" t="n"/>
      <c r="G2137" s="51" t="n"/>
      <c r="H2137" s="51" t="n"/>
      <c r="I2137" s="51" t="n"/>
      <c r="J2137" s="51" t="n"/>
      <c r="K2137" s="51" t="n"/>
      <c r="L2137" s="54">
        <f>IF(OR(A2137="",C2137="",D2137=""),"",IF(COUNTIFS($A$5:$A$3004,A2137,$C$5:$C$3004,"&lt;"&amp;D2137,$D$5:$D$3004,"&gt;"&amp;C2137)&gt;1,"⚠️ пересечение",""))</f>
        <v/>
      </c>
      <c r="M2137" s="54">
        <f>IF(F2137="","",IF(J2137="✅ Сделано","✔ ",IF(J2137="❌ Пропущено","✖ ","⏰ "))&amp;IF(C2137="","",RIGHT("0"&amp;HOUR(C2137),2)&amp;":"&amp;RIGHT("0"&amp;MINUTE(C2137),2)&amp;IF(D2137="","","–"&amp;RIGHT("0"&amp;HOUR(D2137),2)&amp;":"&amp;RIGHT("0"&amp;MINUTE(D2137),2))&amp;" ")&amp;F2137)</f>
        <v/>
      </c>
      <c r="N2137" s="54">
        <f>IF(OR(A2137="",F2137=""),"",A2137&amp;"#"&amp;(COUNTIFS($A$5:$A$3004,A2137,$F$5:$F$3004,"?*",$O$5:$O$3004,"&lt;"&amp;O2137)+COUNTIFS($A$5:A2137,A2137,$F$5:F2137,"?*",$O$5:O2137,O2137)))</f>
        <v/>
      </c>
      <c r="O2137" s="54">
        <f>IF(A2137="","",IF(C2137="",0,C2137))</f>
        <v/>
      </c>
    </row>
    <row r="2138">
      <c r="A2138" s="58" t="n"/>
      <c r="B2138" s="49">
        <f>IF(A2138="","",CHOOSE(WEEKDAY(A2138,2),"Пн","Вт","Ср","Чт","Пт","Сб","Вс"))</f>
        <v/>
      </c>
      <c r="C2138" s="59" t="n"/>
      <c r="D2138" s="59" t="n"/>
      <c r="E2138" s="60">
        <f>IF(OR(C2138="",D2138=""),"",MOD(D2138-C2138,1)*24)</f>
        <v/>
      </c>
      <c r="F2138" s="50" t="n"/>
      <c r="G2138" s="51" t="n"/>
      <c r="H2138" s="51" t="n"/>
      <c r="I2138" s="51" t="n"/>
      <c r="J2138" s="51" t="n"/>
      <c r="K2138" s="51" t="n"/>
      <c r="L2138" s="54">
        <f>IF(OR(A2138="",C2138="",D2138=""),"",IF(COUNTIFS($A$5:$A$3004,A2138,$C$5:$C$3004,"&lt;"&amp;D2138,$D$5:$D$3004,"&gt;"&amp;C2138)&gt;1,"⚠️ пересечение",""))</f>
        <v/>
      </c>
      <c r="M2138" s="54">
        <f>IF(F2138="","",IF(J2138="✅ Сделано","✔ ",IF(J2138="❌ Пропущено","✖ ","⏰ "))&amp;IF(C2138="","",RIGHT("0"&amp;HOUR(C2138),2)&amp;":"&amp;RIGHT("0"&amp;MINUTE(C2138),2)&amp;IF(D2138="","","–"&amp;RIGHT("0"&amp;HOUR(D2138),2)&amp;":"&amp;RIGHT("0"&amp;MINUTE(D2138),2))&amp;" ")&amp;F2138)</f>
        <v/>
      </c>
      <c r="N2138" s="54">
        <f>IF(OR(A2138="",F2138=""),"",A2138&amp;"#"&amp;(COUNTIFS($A$5:$A$3004,A2138,$F$5:$F$3004,"?*",$O$5:$O$3004,"&lt;"&amp;O2138)+COUNTIFS($A$5:A2138,A2138,$F$5:F2138,"?*",$O$5:O2138,O2138)))</f>
        <v/>
      </c>
      <c r="O2138" s="54">
        <f>IF(A2138="","",IF(C2138="",0,C2138))</f>
        <v/>
      </c>
    </row>
    <row r="2139">
      <c r="A2139" s="58" t="n"/>
      <c r="B2139" s="49">
        <f>IF(A2139="","",CHOOSE(WEEKDAY(A2139,2),"Пн","Вт","Ср","Чт","Пт","Сб","Вс"))</f>
        <v/>
      </c>
      <c r="C2139" s="59" t="n"/>
      <c r="D2139" s="59" t="n"/>
      <c r="E2139" s="60">
        <f>IF(OR(C2139="",D2139=""),"",MOD(D2139-C2139,1)*24)</f>
        <v/>
      </c>
      <c r="F2139" s="50" t="n"/>
      <c r="G2139" s="51" t="n"/>
      <c r="H2139" s="51" t="n"/>
      <c r="I2139" s="51" t="n"/>
      <c r="J2139" s="51" t="n"/>
      <c r="K2139" s="51" t="n"/>
      <c r="L2139" s="54">
        <f>IF(OR(A2139="",C2139="",D2139=""),"",IF(COUNTIFS($A$5:$A$3004,A2139,$C$5:$C$3004,"&lt;"&amp;D2139,$D$5:$D$3004,"&gt;"&amp;C2139)&gt;1,"⚠️ пересечение",""))</f>
        <v/>
      </c>
      <c r="M2139" s="54">
        <f>IF(F2139="","",IF(J2139="✅ Сделано","✔ ",IF(J2139="❌ Пропущено","✖ ","⏰ "))&amp;IF(C2139="","",RIGHT("0"&amp;HOUR(C2139),2)&amp;":"&amp;RIGHT("0"&amp;MINUTE(C2139),2)&amp;IF(D2139="","","–"&amp;RIGHT("0"&amp;HOUR(D2139),2)&amp;":"&amp;RIGHT("0"&amp;MINUTE(D2139),2))&amp;" ")&amp;F2139)</f>
        <v/>
      </c>
      <c r="N2139" s="54">
        <f>IF(OR(A2139="",F2139=""),"",A2139&amp;"#"&amp;(COUNTIFS($A$5:$A$3004,A2139,$F$5:$F$3004,"?*",$O$5:$O$3004,"&lt;"&amp;O2139)+COUNTIFS($A$5:A2139,A2139,$F$5:F2139,"?*",$O$5:O2139,O2139)))</f>
        <v/>
      </c>
      <c r="O2139" s="54">
        <f>IF(A2139="","",IF(C2139="",0,C2139))</f>
        <v/>
      </c>
    </row>
    <row r="2140">
      <c r="A2140" s="58" t="n"/>
      <c r="B2140" s="49">
        <f>IF(A2140="","",CHOOSE(WEEKDAY(A2140,2),"Пн","Вт","Ср","Чт","Пт","Сб","Вс"))</f>
        <v/>
      </c>
      <c r="C2140" s="59" t="n"/>
      <c r="D2140" s="59" t="n"/>
      <c r="E2140" s="60">
        <f>IF(OR(C2140="",D2140=""),"",MOD(D2140-C2140,1)*24)</f>
        <v/>
      </c>
      <c r="F2140" s="50" t="n"/>
      <c r="G2140" s="51" t="n"/>
      <c r="H2140" s="51" t="n"/>
      <c r="I2140" s="51" t="n"/>
      <c r="J2140" s="51" t="n"/>
      <c r="K2140" s="51" t="n"/>
      <c r="L2140" s="54">
        <f>IF(OR(A2140="",C2140="",D2140=""),"",IF(COUNTIFS($A$5:$A$3004,A2140,$C$5:$C$3004,"&lt;"&amp;D2140,$D$5:$D$3004,"&gt;"&amp;C2140)&gt;1,"⚠️ пересечение",""))</f>
        <v/>
      </c>
      <c r="M2140" s="54">
        <f>IF(F2140="","",IF(J2140="✅ Сделано","✔ ",IF(J2140="❌ Пропущено","✖ ","⏰ "))&amp;IF(C2140="","",RIGHT("0"&amp;HOUR(C2140),2)&amp;":"&amp;RIGHT("0"&amp;MINUTE(C2140),2)&amp;IF(D2140="","","–"&amp;RIGHT("0"&amp;HOUR(D2140),2)&amp;":"&amp;RIGHT("0"&amp;MINUTE(D2140),2))&amp;" ")&amp;F2140)</f>
        <v/>
      </c>
      <c r="N2140" s="54">
        <f>IF(OR(A2140="",F2140=""),"",A2140&amp;"#"&amp;(COUNTIFS($A$5:$A$3004,A2140,$F$5:$F$3004,"?*",$O$5:$O$3004,"&lt;"&amp;O2140)+COUNTIFS($A$5:A2140,A2140,$F$5:F2140,"?*",$O$5:O2140,O2140)))</f>
        <v/>
      </c>
      <c r="O2140" s="54">
        <f>IF(A2140="","",IF(C2140="",0,C2140))</f>
        <v/>
      </c>
    </row>
    <row r="2141">
      <c r="A2141" s="58" t="n"/>
      <c r="B2141" s="49">
        <f>IF(A2141="","",CHOOSE(WEEKDAY(A2141,2),"Пн","Вт","Ср","Чт","Пт","Сб","Вс"))</f>
        <v/>
      </c>
      <c r="C2141" s="59" t="n"/>
      <c r="D2141" s="59" t="n"/>
      <c r="E2141" s="60">
        <f>IF(OR(C2141="",D2141=""),"",MOD(D2141-C2141,1)*24)</f>
        <v/>
      </c>
      <c r="F2141" s="50" t="n"/>
      <c r="G2141" s="51" t="n"/>
      <c r="H2141" s="51" t="n"/>
      <c r="I2141" s="51" t="n"/>
      <c r="J2141" s="51" t="n"/>
      <c r="K2141" s="51" t="n"/>
      <c r="L2141" s="54">
        <f>IF(OR(A2141="",C2141="",D2141=""),"",IF(COUNTIFS($A$5:$A$3004,A2141,$C$5:$C$3004,"&lt;"&amp;D2141,$D$5:$D$3004,"&gt;"&amp;C2141)&gt;1,"⚠️ пересечение",""))</f>
        <v/>
      </c>
      <c r="M2141" s="54">
        <f>IF(F2141="","",IF(J2141="✅ Сделано","✔ ",IF(J2141="❌ Пропущено","✖ ","⏰ "))&amp;IF(C2141="","",RIGHT("0"&amp;HOUR(C2141),2)&amp;":"&amp;RIGHT("0"&amp;MINUTE(C2141),2)&amp;IF(D2141="","","–"&amp;RIGHT("0"&amp;HOUR(D2141),2)&amp;":"&amp;RIGHT("0"&amp;MINUTE(D2141),2))&amp;" ")&amp;F2141)</f>
        <v/>
      </c>
      <c r="N2141" s="54">
        <f>IF(OR(A2141="",F2141=""),"",A2141&amp;"#"&amp;(COUNTIFS($A$5:$A$3004,A2141,$F$5:$F$3004,"?*",$O$5:$O$3004,"&lt;"&amp;O2141)+COUNTIFS($A$5:A2141,A2141,$F$5:F2141,"?*",$O$5:O2141,O2141)))</f>
        <v/>
      </c>
      <c r="O2141" s="54">
        <f>IF(A2141="","",IF(C2141="",0,C2141))</f>
        <v/>
      </c>
    </row>
    <row r="2142">
      <c r="A2142" s="58" t="n"/>
      <c r="B2142" s="49">
        <f>IF(A2142="","",CHOOSE(WEEKDAY(A2142,2),"Пн","Вт","Ср","Чт","Пт","Сб","Вс"))</f>
        <v/>
      </c>
      <c r="C2142" s="59" t="n"/>
      <c r="D2142" s="59" t="n"/>
      <c r="E2142" s="60">
        <f>IF(OR(C2142="",D2142=""),"",MOD(D2142-C2142,1)*24)</f>
        <v/>
      </c>
      <c r="F2142" s="50" t="n"/>
      <c r="G2142" s="51" t="n"/>
      <c r="H2142" s="51" t="n"/>
      <c r="I2142" s="51" t="n"/>
      <c r="J2142" s="51" t="n"/>
      <c r="K2142" s="51" t="n"/>
      <c r="L2142" s="54">
        <f>IF(OR(A2142="",C2142="",D2142=""),"",IF(COUNTIFS($A$5:$A$3004,A2142,$C$5:$C$3004,"&lt;"&amp;D2142,$D$5:$D$3004,"&gt;"&amp;C2142)&gt;1,"⚠️ пересечение",""))</f>
        <v/>
      </c>
      <c r="M2142" s="54">
        <f>IF(F2142="","",IF(J2142="✅ Сделано","✔ ",IF(J2142="❌ Пропущено","✖ ","⏰ "))&amp;IF(C2142="","",RIGHT("0"&amp;HOUR(C2142),2)&amp;":"&amp;RIGHT("0"&amp;MINUTE(C2142),2)&amp;IF(D2142="","","–"&amp;RIGHT("0"&amp;HOUR(D2142),2)&amp;":"&amp;RIGHT("0"&amp;MINUTE(D2142),2))&amp;" ")&amp;F2142)</f>
        <v/>
      </c>
      <c r="N2142" s="54">
        <f>IF(OR(A2142="",F2142=""),"",A2142&amp;"#"&amp;(COUNTIFS($A$5:$A$3004,A2142,$F$5:$F$3004,"?*",$O$5:$O$3004,"&lt;"&amp;O2142)+COUNTIFS($A$5:A2142,A2142,$F$5:F2142,"?*",$O$5:O2142,O2142)))</f>
        <v/>
      </c>
      <c r="O2142" s="54">
        <f>IF(A2142="","",IF(C2142="",0,C2142))</f>
        <v/>
      </c>
    </row>
    <row r="2143">
      <c r="A2143" s="58" t="n"/>
      <c r="B2143" s="49">
        <f>IF(A2143="","",CHOOSE(WEEKDAY(A2143,2),"Пн","Вт","Ср","Чт","Пт","Сб","Вс"))</f>
        <v/>
      </c>
      <c r="C2143" s="59" t="n"/>
      <c r="D2143" s="59" t="n"/>
      <c r="E2143" s="60">
        <f>IF(OR(C2143="",D2143=""),"",MOD(D2143-C2143,1)*24)</f>
        <v/>
      </c>
      <c r="F2143" s="50" t="n"/>
      <c r="G2143" s="51" t="n"/>
      <c r="H2143" s="51" t="n"/>
      <c r="I2143" s="51" t="n"/>
      <c r="J2143" s="51" t="n"/>
      <c r="K2143" s="51" t="n"/>
      <c r="L2143" s="54">
        <f>IF(OR(A2143="",C2143="",D2143=""),"",IF(COUNTIFS($A$5:$A$3004,A2143,$C$5:$C$3004,"&lt;"&amp;D2143,$D$5:$D$3004,"&gt;"&amp;C2143)&gt;1,"⚠️ пересечение",""))</f>
        <v/>
      </c>
      <c r="M2143" s="54">
        <f>IF(F2143="","",IF(J2143="✅ Сделано","✔ ",IF(J2143="❌ Пропущено","✖ ","⏰ "))&amp;IF(C2143="","",RIGHT("0"&amp;HOUR(C2143),2)&amp;":"&amp;RIGHT("0"&amp;MINUTE(C2143),2)&amp;IF(D2143="","","–"&amp;RIGHT("0"&amp;HOUR(D2143),2)&amp;":"&amp;RIGHT("0"&amp;MINUTE(D2143),2))&amp;" ")&amp;F2143)</f>
        <v/>
      </c>
      <c r="N2143" s="54">
        <f>IF(OR(A2143="",F2143=""),"",A2143&amp;"#"&amp;(COUNTIFS($A$5:$A$3004,A2143,$F$5:$F$3004,"?*",$O$5:$O$3004,"&lt;"&amp;O2143)+COUNTIFS($A$5:A2143,A2143,$F$5:F2143,"?*",$O$5:O2143,O2143)))</f>
        <v/>
      </c>
      <c r="O2143" s="54">
        <f>IF(A2143="","",IF(C2143="",0,C2143))</f>
        <v/>
      </c>
    </row>
    <row r="2144">
      <c r="A2144" s="58" t="n"/>
      <c r="B2144" s="49">
        <f>IF(A2144="","",CHOOSE(WEEKDAY(A2144,2),"Пн","Вт","Ср","Чт","Пт","Сб","Вс"))</f>
        <v/>
      </c>
      <c r="C2144" s="59" t="n"/>
      <c r="D2144" s="59" t="n"/>
      <c r="E2144" s="60">
        <f>IF(OR(C2144="",D2144=""),"",MOD(D2144-C2144,1)*24)</f>
        <v/>
      </c>
      <c r="F2144" s="50" t="n"/>
      <c r="G2144" s="51" t="n"/>
      <c r="H2144" s="51" t="n"/>
      <c r="I2144" s="51" t="n"/>
      <c r="J2144" s="51" t="n"/>
      <c r="K2144" s="51" t="n"/>
      <c r="L2144" s="54">
        <f>IF(OR(A2144="",C2144="",D2144=""),"",IF(COUNTIFS($A$5:$A$3004,A2144,$C$5:$C$3004,"&lt;"&amp;D2144,$D$5:$D$3004,"&gt;"&amp;C2144)&gt;1,"⚠️ пересечение",""))</f>
        <v/>
      </c>
      <c r="M2144" s="54">
        <f>IF(F2144="","",IF(J2144="✅ Сделано","✔ ",IF(J2144="❌ Пропущено","✖ ","⏰ "))&amp;IF(C2144="","",RIGHT("0"&amp;HOUR(C2144),2)&amp;":"&amp;RIGHT("0"&amp;MINUTE(C2144),2)&amp;IF(D2144="","","–"&amp;RIGHT("0"&amp;HOUR(D2144),2)&amp;":"&amp;RIGHT("0"&amp;MINUTE(D2144),2))&amp;" ")&amp;F2144)</f>
        <v/>
      </c>
      <c r="N2144" s="54">
        <f>IF(OR(A2144="",F2144=""),"",A2144&amp;"#"&amp;(COUNTIFS($A$5:$A$3004,A2144,$F$5:$F$3004,"?*",$O$5:$O$3004,"&lt;"&amp;O2144)+COUNTIFS($A$5:A2144,A2144,$F$5:F2144,"?*",$O$5:O2144,O2144)))</f>
        <v/>
      </c>
      <c r="O2144" s="54">
        <f>IF(A2144="","",IF(C2144="",0,C2144))</f>
        <v/>
      </c>
    </row>
    <row r="2145">
      <c r="A2145" s="58" t="n"/>
      <c r="B2145" s="49">
        <f>IF(A2145="","",CHOOSE(WEEKDAY(A2145,2),"Пн","Вт","Ср","Чт","Пт","Сб","Вс"))</f>
        <v/>
      </c>
      <c r="C2145" s="59" t="n"/>
      <c r="D2145" s="59" t="n"/>
      <c r="E2145" s="60">
        <f>IF(OR(C2145="",D2145=""),"",MOD(D2145-C2145,1)*24)</f>
        <v/>
      </c>
      <c r="F2145" s="50" t="n"/>
      <c r="G2145" s="51" t="n"/>
      <c r="H2145" s="51" t="n"/>
      <c r="I2145" s="51" t="n"/>
      <c r="J2145" s="51" t="n"/>
      <c r="K2145" s="51" t="n"/>
      <c r="L2145" s="54">
        <f>IF(OR(A2145="",C2145="",D2145=""),"",IF(COUNTIFS($A$5:$A$3004,A2145,$C$5:$C$3004,"&lt;"&amp;D2145,$D$5:$D$3004,"&gt;"&amp;C2145)&gt;1,"⚠️ пересечение",""))</f>
        <v/>
      </c>
      <c r="M2145" s="54">
        <f>IF(F2145="","",IF(J2145="✅ Сделано","✔ ",IF(J2145="❌ Пропущено","✖ ","⏰ "))&amp;IF(C2145="","",RIGHT("0"&amp;HOUR(C2145),2)&amp;":"&amp;RIGHT("0"&amp;MINUTE(C2145),2)&amp;IF(D2145="","","–"&amp;RIGHT("0"&amp;HOUR(D2145),2)&amp;":"&amp;RIGHT("0"&amp;MINUTE(D2145),2))&amp;" ")&amp;F2145)</f>
        <v/>
      </c>
      <c r="N2145" s="54">
        <f>IF(OR(A2145="",F2145=""),"",A2145&amp;"#"&amp;(COUNTIFS($A$5:$A$3004,A2145,$F$5:$F$3004,"?*",$O$5:$O$3004,"&lt;"&amp;O2145)+COUNTIFS($A$5:A2145,A2145,$F$5:F2145,"?*",$O$5:O2145,O2145)))</f>
        <v/>
      </c>
      <c r="O2145" s="54">
        <f>IF(A2145="","",IF(C2145="",0,C2145))</f>
        <v/>
      </c>
    </row>
    <row r="2146">
      <c r="A2146" s="58" t="n"/>
      <c r="B2146" s="49">
        <f>IF(A2146="","",CHOOSE(WEEKDAY(A2146,2),"Пн","Вт","Ср","Чт","Пт","Сб","Вс"))</f>
        <v/>
      </c>
      <c r="C2146" s="59" t="n"/>
      <c r="D2146" s="59" t="n"/>
      <c r="E2146" s="60">
        <f>IF(OR(C2146="",D2146=""),"",MOD(D2146-C2146,1)*24)</f>
        <v/>
      </c>
      <c r="F2146" s="50" t="n"/>
      <c r="G2146" s="51" t="n"/>
      <c r="H2146" s="51" t="n"/>
      <c r="I2146" s="51" t="n"/>
      <c r="J2146" s="51" t="n"/>
      <c r="K2146" s="51" t="n"/>
      <c r="L2146" s="54">
        <f>IF(OR(A2146="",C2146="",D2146=""),"",IF(COUNTIFS($A$5:$A$3004,A2146,$C$5:$C$3004,"&lt;"&amp;D2146,$D$5:$D$3004,"&gt;"&amp;C2146)&gt;1,"⚠️ пересечение",""))</f>
        <v/>
      </c>
      <c r="M2146" s="54">
        <f>IF(F2146="","",IF(J2146="✅ Сделано","✔ ",IF(J2146="❌ Пропущено","✖ ","⏰ "))&amp;IF(C2146="","",RIGHT("0"&amp;HOUR(C2146),2)&amp;":"&amp;RIGHT("0"&amp;MINUTE(C2146),2)&amp;IF(D2146="","","–"&amp;RIGHT("0"&amp;HOUR(D2146),2)&amp;":"&amp;RIGHT("0"&amp;MINUTE(D2146),2))&amp;" ")&amp;F2146)</f>
        <v/>
      </c>
      <c r="N2146" s="54">
        <f>IF(OR(A2146="",F2146=""),"",A2146&amp;"#"&amp;(COUNTIFS($A$5:$A$3004,A2146,$F$5:$F$3004,"?*",$O$5:$O$3004,"&lt;"&amp;O2146)+COUNTIFS($A$5:A2146,A2146,$F$5:F2146,"?*",$O$5:O2146,O2146)))</f>
        <v/>
      </c>
      <c r="O2146" s="54">
        <f>IF(A2146="","",IF(C2146="",0,C2146))</f>
        <v/>
      </c>
    </row>
    <row r="2147">
      <c r="A2147" s="58" t="n"/>
      <c r="B2147" s="49">
        <f>IF(A2147="","",CHOOSE(WEEKDAY(A2147,2),"Пн","Вт","Ср","Чт","Пт","Сб","Вс"))</f>
        <v/>
      </c>
      <c r="C2147" s="59" t="n"/>
      <c r="D2147" s="59" t="n"/>
      <c r="E2147" s="60">
        <f>IF(OR(C2147="",D2147=""),"",MOD(D2147-C2147,1)*24)</f>
        <v/>
      </c>
      <c r="F2147" s="50" t="n"/>
      <c r="G2147" s="51" t="n"/>
      <c r="H2147" s="51" t="n"/>
      <c r="I2147" s="51" t="n"/>
      <c r="J2147" s="51" t="n"/>
      <c r="K2147" s="51" t="n"/>
      <c r="L2147" s="54">
        <f>IF(OR(A2147="",C2147="",D2147=""),"",IF(COUNTIFS($A$5:$A$3004,A2147,$C$5:$C$3004,"&lt;"&amp;D2147,$D$5:$D$3004,"&gt;"&amp;C2147)&gt;1,"⚠️ пересечение",""))</f>
        <v/>
      </c>
      <c r="M2147" s="54">
        <f>IF(F2147="","",IF(J2147="✅ Сделано","✔ ",IF(J2147="❌ Пропущено","✖ ","⏰ "))&amp;IF(C2147="","",RIGHT("0"&amp;HOUR(C2147),2)&amp;":"&amp;RIGHT("0"&amp;MINUTE(C2147),2)&amp;IF(D2147="","","–"&amp;RIGHT("0"&amp;HOUR(D2147),2)&amp;":"&amp;RIGHT("0"&amp;MINUTE(D2147),2))&amp;" ")&amp;F2147)</f>
        <v/>
      </c>
      <c r="N2147" s="54">
        <f>IF(OR(A2147="",F2147=""),"",A2147&amp;"#"&amp;(COUNTIFS($A$5:$A$3004,A2147,$F$5:$F$3004,"?*",$O$5:$O$3004,"&lt;"&amp;O2147)+COUNTIFS($A$5:A2147,A2147,$F$5:F2147,"?*",$O$5:O2147,O2147)))</f>
        <v/>
      </c>
      <c r="O2147" s="54">
        <f>IF(A2147="","",IF(C2147="",0,C2147))</f>
        <v/>
      </c>
    </row>
    <row r="2148">
      <c r="A2148" s="58" t="n"/>
      <c r="B2148" s="49">
        <f>IF(A2148="","",CHOOSE(WEEKDAY(A2148,2),"Пн","Вт","Ср","Чт","Пт","Сб","Вс"))</f>
        <v/>
      </c>
      <c r="C2148" s="59" t="n"/>
      <c r="D2148" s="59" t="n"/>
      <c r="E2148" s="60">
        <f>IF(OR(C2148="",D2148=""),"",MOD(D2148-C2148,1)*24)</f>
        <v/>
      </c>
      <c r="F2148" s="50" t="n"/>
      <c r="G2148" s="51" t="n"/>
      <c r="H2148" s="51" t="n"/>
      <c r="I2148" s="51" t="n"/>
      <c r="J2148" s="51" t="n"/>
      <c r="K2148" s="51" t="n"/>
      <c r="L2148" s="54">
        <f>IF(OR(A2148="",C2148="",D2148=""),"",IF(COUNTIFS($A$5:$A$3004,A2148,$C$5:$C$3004,"&lt;"&amp;D2148,$D$5:$D$3004,"&gt;"&amp;C2148)&gt;1,"⚠️ пересечение",""))</f>
        <v/>
      </c>
      <c r="M2148" s="54">
        <f>IF(F2148="","",IF(J2148="✅ Сделано","✔ ",IF(J2148="❌ Пропущено","✖ ","⏰ "))&amp;IF(C2148="","",RIGHT("0"&amp;HOUR(C2148),2)&amp;":"&amp;RIGHT("0"&amp;MINUTE(C2148),2)&amp;IF(D2148="","","–"&amp;RIGHT("0"&amp;HOUR(D2148),2)&amp;":"&amp;RIGHT("0"&amp;MINUTE(D2148),2))&amp;" ")&amp;F2148)</f>
        <v/>
      </c>
      <c r="N2148" s="54">
        <f>IF(OR(A2148="",F2148=""),"",A2148&amp;"#"&amp;(COUNTIFS($A$5:$A$3004,A2148,$F$5:$F$3004,"?*",$O$5:$O$3004,"&lt;"&amp;O2148)+COUNTIFS($A$5:A2148,A2148,$F$5:F2148,"?*",$O$5:O2148,O2148)))</f>
        <v/>
      </c>
      <c r="O2148" s="54">
        <f>IF(A2148="","",IF(C2148="",0,C2148))</f>
        <v/>
      </c>
    </row>
    <row r="2149">
      <c r="A2149" s="58" t="n"/>
      <c r="B2149" s="49">
        <f>IF(A2149="","",CHOOSE(WEEKDAY(A2149,2),"Пн","Вт","Ср","Чт","Пт","Сб","Вс"))</f>
        <v/>
      </c>
      <c r="C2149" s="59" t="n"/>
      <c r="D2149" s="59" t="n"/>
      <c r="E2149" s="60">
        <f>IF(OR(C2149="",D2149=""),"",MOD(D2149-C2149,1)*24)</f>
        <v/>
      </c>
      <c r="F2149" s="50" t="n"/>
      <c r="G2149" s="51" t="n"/>
      <c r="H2149" s="51" t="n"/>
      <c r="I2149" s="51" t="n"/>
      <c r="J2149" s="51" t="n"/>
      <c r="K2149" s="51" t="n"/>
      <c r="L2149" s="54">
        <f>IF(OR(A2149="",C2149="",D2149=""),"",IF(COUNTIFS($A$5:$A$3004,A2149,$C$5:$C$3004,"&lt;"&amp;D2149,$D$5:$D$3004,"&gt;"&amp;C2149)&gt;1,"⚠️ пересечение",""))</f>
        <v/>
      </c>
      <c r="M2149" s="54">
        <f>IF(F2149="","",IF(J2149="✅ Сделано","✔ ",IF(J2149="❌ Пропущено","✖ ","⏰ "))&amp;IF(C2149="","",RIGHT("0"&amp;HOUR(C2149),2)&amp;":"&amp;RIGHT("0"&amp;MINUTE(C2149),2)&amp;IF(D2149="","","–"&amp;RIGHT("0"&amp;HOUR(D2149),2)&amp;":"&amp;RIGHT("0"&amp;MINUTE(D2149),2))&amp;" ")&amp;F2149)</f>
        <v/>
      </c>
      <c r="N2149" s="54">
        <f>IF(OR(A2149="",F2149=""),"",A2149&amp;"#"&amp;(COUNTIFS($A$5:$A$3004,A2149,$F$5:$F$3004,"?*",$O$5:$O$3004,"&lt;"&amp;O2149)+COUNTIFS($A$5:A2149,A2149,$F$5:F2149,"?*",$O$5:O2149,O2149)))</f>
        <v/>
      </c>
      <c r="O2149" s="54">
        <f>IF(A2149="","",IF(C2149="",0,C2149))</f>
        <v/>
      </c>
    </row>
    <row r="2150">
      <c r="A2150" s="58" t="n"/>
      <c r="B2150" s="49">
        <f>IF(A2150="","",CHOOSE(WEEKDAY(A2150,2),"Пн","Вт","Ср","Чт","Пт","Сб","Вс"))</f>
        <v/>
      </c>
      <c r="C2150" s="59" t="n"/>
      <c r="D2150" s="59" t="n"/>
      <c r="E2150" s="60">
        <f>IF(OR(C2150="",D2150=""),"",MOD(D2150-C2150,1)*24)</f>
        <v/>
      </c>
      <c r="F2150" s="50" t="n"/>
      <c r="G2150" s="51" t="n"/>
      <c r="H2150" s="51" t="n"/>
      <c r="I2150" s="51" t="n"/>
      <c r="J2150" s="51" t="n"/>
      <c r="K2150" s="51" t="n"/>
      <c r="L2150" s="54">
        <f>IF(OR(A2150="",C2150="",D2150=""),"",IF(COUNTIFS($A$5:$A$3004,A2150,$C$5:$C$3004,"&lt;"&amp;D2150,$D$5:$D$3004,"&gt;"&amp;C2150)&gt;1,"⚠️ пересечение",""))</f>
        <v/>
      </c>
      <c r="M2150" s="54">
        <f>IF(F2150="","",IF(J2150="✅ Сделано","✔ ",IF(J2150="❌ Пропущено","✖ ","⏰ "))&amp;IF(C2150="","",RIGHT("0"&amp;HOUR(C2150),2)&amp;":"&amp;RIGHT("0"&amp;MINUTE(C2150),2)&amp;IF(D2150="","","–"&amp;RIGHT("0"&amp;HOUR(D2150),2)&amp;":"&amp;RIGHT("0"&amp;MINUTE(D2150),2))&amp;" ")&amp;F2150)</f>
        <v/>
      </c>
      <c r="N2150" s="54">
        <f>IF(OR(A2150="",F2150=""),"",A2150&amp;"#"&amp;(COUNTIFS($A$5:$A$3004,A2150,$F$5:$F$3004,"?*",$O$5:$O$3004,"&lt;"&amp;O2150)+COUNTIFS($A$5:A2150,A2150,$F$5:F2150,"?*",$O$5:O2150,O2150)))</f>
        <v/>
      </c>
      <c r="O2150" s="54">
        <f>IF(A2150="","",IF(C2150="",0,C2150))</f>
        <v/>
      </c>
    </row>
    <row r="2151">
      <c r="A2151" s="58" t="n"/>
      <c r="B2151" s="49">
        <f>IF(A2151="","",CHOOSE(WEEKDAY(A2151,2),"Пн","Вт","Ср","Чт","Пт","Сб","Вс"))</f>
        <v/>
      </c>
      <c r="C2151" s="59" t="n"/>
      <c r="D2151" s="59" t="n"/>
      <c r="E2151" s="60">
        <f>IF(OR(C2151="",D2151=""),"",MOD(D2151-C2151,1)*24)</f>
        <v/>
      </c>
      <c r="F2151" s="50" t="n"/>
      <c r="G2151" s="51" t="n"/>
      <c r="H2151" s="51" t="n"/>
      <c r="I2151" s="51" t="n"/>
      <c r="J2151" s="51" t="n"/>
      <c r="K2151" s="51" t="n"/>
      <c r="L2151" s="54">
        <f>IF(OR(A2151="",C2151="",D2151=""),"",IF(COUNTIFS($A$5:$A$3004,A2151,$C$5:$C$3004,"&lt;"&amp;D2151,$D$5:$D$3004,"&gt;"&amp;C2151)&gt;1,"⚠️ пересечение",""))</f>
        <v/>
      </c>
      <c r="M2151" s="54">
        <f>IF(F2151="","",IF(J2151="✅ Сделано","✔ ",IF(J2151="❌ Пропущено","✖ ","⏰ "))&amp;IF(C2151="","",RIGHT("0"&amp;HOUR(C2151),2)&amp;":"&amp;RIGHT("0"&amp;MINUTE(C2151),2)&amp;IF(D2151="","","–"&amp;RIGHT("0"&amp;HOUR(D2151),2)&amp;":"&amp;RIGHT("0"&amp;MINUTE(D2151),2))&amp;" ")&amp;F2151)</f>
        <v/>
      </c>
      <c r="N2151" s="54">
        <f>IF(OR(A2151="",F2151=""),"",A2151&amp;"#"&amp;(COUNTIFS($A$5:$A$3004,A2151,$F$5:$F$3004,"?*",$O$5:$O$3004,"&lt;"&amp;O2151)+COUNTIFS($A$5:A2151,A2151,$F$5:F2151,"?*",$O$5:O2151,O2151)))</f>
        <v/>
      </c>
      <c r="O2151" s="54">
        <f>IF(A2151="","",IF(C2151="",0,C2151))</f>
        <v/>
      </c>
    </row>
    <row r="2152">
      <c r="A2152" s="58" t="n"/>
      <c r="B2152" s="49">
        <f>IF(A2152="","",CHOOSE(WEEKDAY(A2152,2),"Пн","Вт","Ср","Чт","Пт","Сб","Вс"))</f>
        <v/>
      </c>
      <c r="C2152" s="59" t="n"/>
      <c r="D2152" s="59" t="n"/>
      <c r="E2152" s="60">
        <f>IF(OR(C2152="",D2152=""),"",MOD(D2152-C2152,1)*24)</f>
        <v/>
      </c>
      <c r="F2152" s="50" t="n"/>
      <c r="G2152" s="51" t="n"/>
      <c r="H2152" s="51" t="n"/>
      <c r="I2152" s="51" t="n"/>
      <c r="J2152" s="51" t="n"/>
      <c r="K2152" s="51" t="n"/>
      <c r="L2152" s="54">
        <f>IF(OR(A2152="",C2152="",D2152=""),"",IF(COUNTIFS($A$5:$A$3004,A2152,$C$5:$C$3004,"&lt;"&amp;D2152,$D$5:$D$3004,"&gt;"&amp;C2152)&gt;1,"⚠️ пересечение",""))</f>
        <v/>
      </c>
      <c r="M2152" s="54">
        <f>IF(F2152="","",IF(J2152="✅ Сделано","✔ ",IF(J2152="❌ Пропущено","✖ ","⏰ "))&amp;IF(C2152="","",RIGHT("0"&amp;HOUR(C2152),2)&amp;":"&amp;RIGHT("0"&amp;MINUTE(C2152),2)&amp;IF(D2152="","","–"&amp;RIGHT("0"&amp;HOUR(D2152),2)&amp;":"&amp;RIGHT("0"&amp;MINUTE(D2152),2))&amp;" ")&amp;F2152)</f>
        <v/>
      </c>
      <c r="N2152" s="54">
        <f>IF(OR(A2152="",F2152=""),"",A2152&amp;"#"&amp;(COUNTIFS($A$5:$A$3004,A2152,$F$5:$F$3004,"?*",$O$5:$O$3004,"&lt;"&amp;O2152)+COUNTIFS($A$5:A2152,A2152,$F$5:F2152,"?*",$O$5:O2152,O2152)))</f>
        <v/>
      </c>
      <c r="O2152" s="54">
        <f>IF(A2152="","",IF(C2152="",0,C2152))</f>
        <v/>
      </c>
    </row>
    <row r="2153">
      <c r="A2153" s="58" t="n"/>
      <c r="B2153" s="49">
        <f>IF(A2153="","",CHOOSE(WEEKDAY(A2153,2),"Пн","Вт","Ср","Чт","Пт","Сб","Вс"))</f>
        <v/>
      </c>
      <c r="C2153" s="59" t="n"/>
      <c r="D2153" s="59" t="n"/>
      <c r="E2153" s="60">
        <f>IF(OR(C2153="",D2153=""),"",MOD(D2153-C2153,1)*24)</f>
        <v/>
      </c>
      <c r="F2153" s="50" t="n"/>
      <c r="G2153" s="51" t="n"/>
      <c r="H2153" s="51" t="n"/>
      <c r="I2153" s="51" t="n"/>
      <c r="J2153" s="51" t="n"/>
      <c r="K2153" s="51" t="n"/>
      <c r="L2153" s="54">
        <f>IF(OR(A2153="",C2153="",D2153=""),"",IF(COUNTIFS($A$5:$A$3004,A2153,$C$5:$C$3004,"&lt;"&amp;D2153,$D$5:$D$3004,"&gt;"&amp;C2153)&gt;1,"⚠️ пересечение",""))</f>
        <v/>
      </c>
      <c r="M2153" s="54">
        <f>IF(F2153="","",IF(J2153="✅ Сделано","✔ ",IF(J2153="❌ Пропущено","✖ ","⏰ "))&amp;IF(C2153="","",RIGHT("0"&amp;HOUR(C2153),2)&amp;":"&amp;RIGHT("0"&amp;MINUTE(C2153),2)&amp;IF(D2153="","","–"&amp;RIGHT("0"&amp;HOUR(D2153),2)&amp;":"&amp;RIGHT("0"&amp;MINUTE(D2153),2))&amp;" ")&amp;F2153)</f>
        <v/>
      </c>
      <c r="N2153" s="54">
        <f>IF(OR(A2153="",F2153=""),"",A2153&amp;"#"&amp;(COUNTIFS($A$5:$A$3004,A2153,$F$5:$F$3004,"?*",$O$5:$O$3004,"&lt;"&amp;O2153)+COUNTIFS($A$5:A2153,A2153,$F$5:F2153,"?*",$O$5:O2153,O2153)))</f>
        <v/>
      </c>
      <c r="O2153" s="54">
        <f>IF(A2153="","",IF(C2153="",0,C2153))</f>
        <v/>
      </c>
    </row>
    <row r="2154">
      <c r="A2154" s="58" t="n"/>
      <c r="B2154" s="49">
        <f>IF(A2154="","",CHOOSE(WEEKDAY(A2154,2),"Пн","Вт","Ср","Чт","Пт","Сб","Вс"))</f>
        <v/>
      </c>
      <c r="C2154" s="59" t="n"/>
      <c r="D2154" s="59" t="n"/>
      <c r="E2154" s="60">
        <f>IF(OR(C2154="",D2154=""),"",MOD(D2154-C2154,1)*24)</f>
        <v/>
      </c>
      <c r="F2154" s="50" t="n"/>
      <c r="G2154" s="51" t="n"/>
      <c r="H2154" s="51" t="n"/>
      <c r="I2154" s="51" t="n"/>
      <c r="J2154" s="51" t="n"/>
      <c r="K2154" s="51" t="n"/>
      <c r="L2154" s="54">
        <f>IF(OR(A2154="",C2154="",D2154=""),"",IF(COUNTIFS($A$5:$A$3004,A2154,$C$5:$C$3004,"&lt;"&amp;D2154,$D$5:$D$3004,"&gt;"&amp;C2154)&gt;1,"⚠️ пересечение",""))</f>
        <v/>
      </c>
      <c r="M2154" s="54">
        <f>IF(F2154="","",IF(J2154="✅ Сделано","✔ ",IF(J2154="❌ Пропущено","✖ ","⏰ "))&amp;IF(C2154="","",RIGHT("0"&amp;HOUR(C2154),2)&amp;":"&amp;RIGHT("0"&amp;MINUTE(C2154),2)&amp;IF(D2154="","","–"&amp;RIGHT("0"&amp;HOUR(D2154),2)&amp;":"&amp;RIGHT("0"&amp;MINUTE(D2154),2))&amp;" ")&amp;F2154)</f>
        <v/>
      </c>
      <c r="N2154" s="54">
        <f>IF(OR(A2154="",F2154=""),"",A2154&amp;"#"&amp;(COUNTIFS($A$5:$A$3004,A2154,$F$5:$F$3004,"?*",$O$5:$O$3004,"&lt;"&amp;O2154)+COUNTIFS($A$5:A2154,A2154,$F$5:F2154,"?*",$O$5:O2154,O2154)))</f>
        <v/>
      </c>
      <c r="O2154" s="54">
        <f>IF(A2154="","",IF(C2154="",0,C2154))</f>
        <v/>
      </c>
    </row>
    <row r="2155">
      <c r="A2155" s="58" t="n"/>
      <c r="B2155" s="49">
        <f>IF(A2155="","",CHOOSE(WEEKDAY(A2155,2),"Пн","Вт","Ср","Чт","Пт","Сб","Вс"))</f>
        <v/>
      </c>
      <c r="C2155" s="59" t="n"/>
      <c r="D2155" s="59" t="n"/>
      <c r="E2155" s="60">
        <f>IF(OR(C2155="",D2155=""),"",MOD(D2155-C2155,1)*24)</f>
        <v/>
      </c>
      <c r="F2155" s="50" t="n"/>
      <c r="G2155" s="51" t="n"/>
      <c r="H2155" s="51" t="n"/>
      <c r="I2155" s="51" t="n"/>
      <c r="J2155" s="51" t="n"/>
      <c r="K2155" s="51" t="n"/>
      <c r="L2155" s="54">
        <f>IF(OR(A2155="",C2155="",D2155=""),"",IF(COUNTIFS($A$5:$A$3004,A2155,$C$5:$C$3004,"&lt;"&amp;D2155,$D$5:$D$3004,"&gt;"&amp;C2155)&gt;1,"⚠️ пересечение",""))</f>
        <v/>
      </c>
      <c r="M2155" s="54">
        <f>IF(F2155="","",IF(J2155="✅ Сделано","✔ ",IF(J2155="❌ Пропущено","✖ ","⏰ "))&amp;IF(C2155="","",RIGHT("0"&amp;HOUR(C2155),2)&amp;":"&amp;RIGHT("0"&amp;MINUTE(C2155),2)&amp;IF(D2155="","","–"&amp;RIGHT("0"&amp;HOUR(D2155),2)&amp;":"&amp;RIGHT("0"&amp;MINUTE(D2155),2))&amp;" ")&amp;F2155)</f>
        <v/>
      </c>
      <c r="N2155" s="54">
        <f>IF(OR(A2155="",F2155=""),"",A2155&amp;"#"&amp;(COUNTIFS($A$5:$A$3004,A2155,$F$5:$F$3004,"?*",$O$5:$O$3004,"&lt;"&amp;O2155)+COUNTIFS($A$5:A2155,A2155,$F$5:F2155,"?*",$O$5:O2155,O2155)))</f>
        <v/>
      </c>
      <c r="O2155" s="54">
        <f>IF(A2155="","",IF(C2155="",0,C2155))</f>
        <v/>
      </c>
    </row>
    <row r="2156">
      <c r="A2156" s="58" t="n"/>
      <c r="B2156" s="49">
        <f>IF(A2156="","",CHOOSE(WEEKDAY(A2156,2),"Пн","Вт","Ср","Чт","Пт","Сб","Вс"))</f>
        <v/>
      </c>
      <c r="C2156" s="59" t="n"/>
      <c r="D2156" s="59" t="n"/>
      <c r="E2156" s="60">
        <f>IF(OR(C2156="",D2156=""),"",MOD(D2156-C2156,1)*24)</f>
        <v/>
      </c>
      <c r="F2156" s="50" t="n"/>
      <c r="G2156" s="51" t="n"/>
      <c r="H2156" s="51" t="n"/>
      <c r="I2156" s="51" t="n"/>
      <c r="J2156" s="51" t="n"/>
      <c r="K2156" s="51" t="n"/>
      <c r="L2156" s="54">
        <f>IF(OR(A2156="",C2156="",D2156=""),"",IF(COUNTIFS($A$5:$A$3004,A2156,$C$5:$C$3004,"&lt;"&amp;D2156,$D$5:$D$3004,"&gt;"&amp;C2156)&gt;1,"⚠️ пересечение",""))</f>
        <v/>
      </c>
      <c r="M2156" s="54">
        <f>IF(F2156="","",IF(J2156="✅ Сделано","✔ ",IF(J2156="❌ Пропущено","✖ ","⏰ "))&amp;IF(C2156="","",RIGHT("0"&amp;HOUR(C2156),2)&amp;":"&amp;RIGHT("0"&amp;MINUTE(C2156),2)&amp;IF(D2156="","","–"&amp;RIGHT("0"&amp;HOUR(D2156),2)&amp;":"&amp;RIGHT("0"&amp;MINUTE(D2156),2))&amp;" ")&amp;F2156)</f>
        <v/>
      </c>
      <c r="N2156" s="54">
        <f>IF(OR(A2156="",F2156=""),"",A2156&amp;"#"&amp;(COUNTIFS($A$5:$A$3004,A2156,$F$5:$F$3004,"?*",$O$5:$O$3004,"&lt;"&amp;O2156)+COUNTIFS($A$5:A2156,A2156,$F$5:F2156,"?*",$O$5:O2156,O2156)))</f>
        <v/>
      </c>
      <c r="O2156" s="54">
        <f>IF(A2156="","",IF(C2156="",0,C2156))</f>
        <v/>
      </c>
    </row>
    <row r="2157">
      <c r="A2157" s="58" t="n"/>
      <c r="B2157" s="49">
        <f>IF(A2157="","",CHOOSE(WEEKDAY(A2157,2),"Пн","Вт","Ср","Чт","Пт","Сб","Вс"))</f>
        <v/>
      </c>
      <c r="C2157" s="59" t="n"/>
      <c r="D2157" s="59" t="n"/>
      <c r="E2157" s="60">
        <f>IF(OR(C2157="",D2157=""),"",MOD(D2157-C2157,1)*24)</f>
        <v/>
      </c>
      <c r="F2157" s="50" t="n"/>
      <c r="G2157" s="51" t="n"/>
      <c r="H2157" s="51" t="n"/>
      <c r="I2157" s="51" t="n"/>
      <c r="J2157" s="51" t="n"/>
      <c r="K2157" s="51" t="n"/>
      <c r="L2157" s="54">
        <f>IF(OR(A2157="",C2157="",D2157=""),"",IF(COUNTIFS($A$5:$A$3004,A2157,$C$5:$C$3004,"&lt;"&amp;D2157,$D$5:$D$3004,"&gt;"&amp;C2157)&gt;1,"⚠️ пересечение",""))</f>
        <v/>
      </c>
      <c r="M2157" s="54">
        <f>IF(F2157="","",IF(J2157="✅ Сделано","✔ ",IF(J2157="❌ Пропущено","✖ ","⏰ "))&amp;IF(C2157="","",RIGHT("0"&amp;HOUR(C2157),2)&amp;":"&amp;RIGHT("0"&amp;MINUTE(C2157),2)&amp;IF(D2157="","","–"&amp;RIGHT("0"&amp;HOUR(D2157),2)&amp;":"&amp;RIGHT("0"&amp;MINUTE(D2157),2))&amp;" ")&amp;F2157)</f>
        <v/>
      </c>
      <c r="N2157" s="54">
        <f>IF(OR(A2157="",F2157=""),"",A2157&amp;"#"&amp;(COUNTIFS($A$5:$A$3004,A2157,$F$5:$F$3004,"?*",$O$5:$O$3004,"&lt;"&amp;O2157)+COUNTIFS($A$5:A2157,A2157,$F$5:F2157,"?*",$O$5:O2157,O2157)))</f>
        <v/>
      </c>
      <c r="O2157" s="54">
        <f>IF(A2157="","",IF(C2157="",0,C2157))</f>
        <v/>
      </c>
    </row>
    <row r="2158">
      <c r="A2158" s="58" t="n"/>
      <c r="B2158" s="49">
        <f>IF(A2158="","",CHOOSE(WEEKDAY(A2158,2),"Пн","Вт","Ср","Чт","Пт","Сб","Вс"))</f>
        <v/>
      </c>
      <c r="C2158" s="59" t="n"/>
      <c r="D2158" s="59" t="n"/>
      <c r="E2158" s="60">
        <f>IF(OR(C2158="",D2158=""),"",MOD(D2158-C2158,1)*24)</f>
        <v/>
      </c>
      <c r="F2158" s="50" t="n"/>
      <c r="G2158" s="51" t="n"/>
      <c r="H2158" s="51" t="n"/>
      <c r="I2158" s="51" t="n"/>
      <c r="J2158" s="51" t="n"/>
      <c r="K2158" s="51" t="n"/>
      <c r="L2158" s="54">
        <f>IF(OR(A2158="",C2158="",D2158=""),"",IF(COUNTIFS($A$5:$A$3004,A2158,$C$5:$C$3004,"&lt;"&amp;D2158,$D$5:$D$3004,"&gt;"&amp;C2158)&gt;1,"⚠️ пересечение",""))</f>
        <v/>
      </c>
      <c r="M2158" s="54">
        <f>IF(F2158="","",IF(J2158="✅ Сделано","✔ ",IF(J2158="❌ Пропущено","✖ ","⏰ "))&amp;IF(C2158="","",RIGHT("0"&amp;HOUR(C2158),2)&amp;":"&amp;RIGHT("0"&amp;MINUTE(C2158),2)&amp;IF(D2158="","","–"&amp;RIGHT("0"&amp;HOUR(D2158),2)&amp;":"&amp;RIGHT("0"&amp;MINUTE(D2158),2))&amp;" ")&amp;F2158)</f>
        <v/>
      </c>
      <c r="N2158" s="54">
        <f>IF(OR(A2158="",F2158=""),"",A2158&amp;"#"&amp;(COUNTIFS($A$5:$A$3004,A2158,$F$5:$F$3004,"?*",$O$5:$O$3004,"&lt;"&amp;O2158)+COUNTIFS($A$5:A2158,A2158,$F$5:F2158,"?*",$O$5:O2158,O2158)))</f>
        <v/>
      </c>
      <c r="O2158" s="54">
        <f>IF(A2158="","",IF(C2158="",0,C2158))</f>
        <v/>
      </c>
    </row>
    <row r="2159">
      <c r="A2159" s="58" t="n"/>
      <c r="B2159" s="49">
        <f>IF(A2159="","",CHOOSE(WEEKDAY(A2159,2),"Пн","Вт","Ср","Чт","Пт","Сб","Вс"))</f>
        <v/>
      </c>
      <c r="C2159" s="59" t="n"/>
      <c r="D2159" s="59" t="n"/>
      <c r="E2159" s="60">
        <f>IF(OR(C2159="",D2159=""),"",MOD(D2159-C2159,1)*24)</f>
        <v/>
      </c>
      <c r="F2159" s="50" t="n"/>
      <c r="G2159" s="51" t="n"/>
      <c r="H2159" s="51" t="n"/>
      <c r="I2159" s="51" t="n"/>
      <c r="J2159" s="51" t="n"/>
      <c r="K2159" s="51" t="n"/>
      <c r="L2159" s="54">
        <f>IF(OR(A2159="",C2159="",D2159=""),"",IF(COUNTIFS($A$5:$A$3004,A2159,$C$5:$C$3004,"&lt;"&amp;D2159,$D$5:$D$3004,"&gt;"&amp;C2159)&gt;1,"⚠️ пересечение",""))</f>
        <v/>
      </c>
      <c r="M2159" s="54">
        <f>IF(F2159="","",IF(J2159="✅ Сделано","✔ ",IF(J2159="❌ Пропущено","✖ ","⏰ "))&amp;IF(C2159="","",RIGHT("0"&amp;HOUR(C2159),2)&amp;":"&amp;RIGHT("0"&amp;MINUTE(C2159),2)&amp;IF(D2159="","","–"&amp;RIGHT("0"&amp;HOUR(D2159),2)&amp;":"&amp;RIGHT("0"&amp;MINUTE(D2159),2))&amp;" ")&amp;F2159)</f>
        <v/>
      </c>
      <c r="N2159" s="54">
        <f>IF(OR(A2159="",F2159=""),"",A2159&amp;"#"&amp;(COUNTIFS($A$5:$A$3004,A2159,$F$5:$F$3004,"?*",$O$5:$O$3004,"&lt;"&amp;O2159)+COUNTIFS($A$5:A2159,A2159,$F$5:F2159,"?*",$O$5:O2159,O2159)))</f>
        <v/>
      </c>
      <c r="O2159" s="54">
        <f>IF(A2159="","",IF(C2159="",0,C2159))</f>
        <v/>
      </c>
    </row>
    <row r="2160">
      <c r="A2160" s="58" t="n"/>
      <c r="B2160" s="49">
        <f>IF(A2160="","",CHOOSE(WEEKDAY(A2160,2),"Пн","Вт","Ср","Чт","Пт","Сб","Вс"))</f>
        <v/>
      </c>
      <c r="C2160" s="59" t="n"/>
      <c r="D2160" s="59" t="n"/>
      <c r="E2160" s="60">
        <f>IF(OR(C2160="",D2160=""),"",MOD(D2160-C2160,1)*24)</f>
        <v/>
      </c>
      <c r="F2160" s="50" t="n"/>
      <c r="G2160" s="51" t="n"/>
      <c r="H2160" s="51" t="n"/>
      <c r="I2160" s="51" t="n"/>
      <c r="J2160" s="51" t="n"/>
      <c r="K2160" s="51" t="n"/>
      <c r="L2160" s="54">
        <f>IF(OR(A2160="",C2160="",D2160=""),"",IF(COUNTIFS($A$5:$A$3004,A2160,$C$5:$C$3004,"&lt;"&amp;D2160,$D$5:$D$3004,"&gt;"&amp;C2160)&gt;1,"⚠️ пересечение",""))</f>
        <v/>
      </c>
      <c r="M2160" s="54">
        <f>IF(F2160="","",IF(J2160="✅ Сделано","✔ ",IF(J2160="❌ Пропущено","✖ ","⏰ "))&amp;IF(C2160="","",RIGHT("0"&amp;HOUR(C2160),2)&amp;":"&amp;RIGHT("0"&amp;MINUTE(C2160),2)&amp;IF(D2160="","","–"&amp;RIGHT("0"&amp;HOUR(D2160),2)&amp;":"&amp;RIGHT("0"&amp;MINUTE(D2160),2))&amp;" ")&amp;F2160)</f>
        <v/>
      </c>
      <c r="N2160" s="54">
        <f>IF(OR(A2160="",F2160=""),"",A2160&amp;"#"&amp;(COUNTIFS($A$5:$A$3004,A2160,$F$5:$F$3004,"?*",$O$5:$O$3004,"&lt;"&amp;O2160)+COUNTIFS($A$5:A2160,A2160,$F$5:F2160,"?*",$O$5:O2160,O2160)))</f>
        <v/>
      </c>
      <c r="O2160" s="54">
        <f>IF(A2160="","",IF(C2160="",0,C2160))</f>
        <v/>
      </c>
    </row>
    <row r="2161">
      <c r="A2161" s="58" t="n"/>
      <c r="B2161" s="49">
        <f>IF(A2161="","",CHOOSE(WEEKDAY(A2161,2),"Пн","Вт","Ср","Чт","Пт","Сб","Вс"))</f>
        <v/>
      </c>
      <c r="C2161" s="59" t="n"/>
      <c r="D2161" s="59" t="n"/>
      <c r="E2161" s="60">
        <f>IF(OR(C2161="",D2161=""),"",MOD(D2161-C2161,1)*24)</f>
        <v/>
      </c>
      <c r="F2161" s="50" t="n"/>
      <c r="G2161" s="51" t="n"/>
      <c r="H2161" s="51" t="n"/>
      <c r="I2161" s="51" t="n"/>
      <c r="J2161" s="51" t="n"/>
      <c r="K2161" s="51" t="n"/>
      <c r="L2161" s="54">
        <f>IF(OR(A2161="",C2161="",D2161=""),"",IF(COUNTIFS($A$5:$A$3004,A2161,$C$5:$C$3004,"&lt;"&amp;D2161,$D$5:$D$3004,"&gt;"&amp;C2161)&gt;1,"⚠️ пересечение",""))</f>
        <v/>
      </c>
      <c r="M2161" s="54">
        <f>IF(F2161="","",IF(J2161="✅ Сделано","✔ ",IF(J2161="❌ Пропущено","✖ ","⏰ "))&amp;IF(C2161="","",RIGHT("0"&amp;HOUR(C2161),2)&amp;":"&amp;RIGHT("0"&amp;MINUTE(C2161),2)&amp;IF(D2161="","","–"&amp;RIGHT("0"&amp;HOUR(D2161),2)&amp;":"&amp;RIGHT("0"&amp;MINUTE(D2161),2))&amp;" ")&amp;F2161)</f>
        <v/>
      </c>
      <c r="N2161" s="54">
        <f>IF(OR(A2161="",F2161=""),"",A2161&amp;"#"&amp;(COUNTIFS($A$5:$A$3004,A2161,$F$5:$F$3004,"?*",$O$5:$O$3004,"&lt;"&amp;O2161)+COUNTIFS($A$5:A2161,A2161,$F$5:F2161,"?*",$O$5:O2161,O2161)))</f>
        <v/>
      </c>
      <c r="O2161" s="54">
        <f>IF(A2161="","",IF(C2161="",0,C2161))</f>
        <v/>
      </c>
    </row>
    <row r="2162">
      <c r="A2162" s="58" t="n"/>
      <c r="B2162" s="49">
        <f>IF(A2162="","",CHOOSE(WEEKDAY(A2162,2),"Пн","Вт","Ср","Чт","Пт","Сб","Вс"))</f>
        <v/>
      </c>
      <c r="C2162" s="59" t="n"/>
      <c r="D2162" s="59" t="n"/>
      <c r="E2162" s="60">
        <f>IF(OR(C2162="",D2162=""),"",MOD(D2162-C2162,1)*24)</f>
        <v/>
      </c>
      <c r="F2162" s="50" t="n"/>
      <c r="G2162" s="51" t="n"/>
      <c r="H2162" s="51" t="n"/>
      <c r="I2162" s="51" t="n"/>
      <c r="J2162" s="51" t="n"/>
      <c r="K2162" s="51" t="n"/>
      <c r="L2162" s="54">
        <f>IF(OR(A2162="",C2162="",D2162=""),"",IF(COUNTIFS($A$5:$A$3004,A2162,$C$5:$C$3004,"&lt;"&amp;D2162,$D$5:$D$3004,"&gt;"&amp;C2162)&gt;1,"⚠️ пересечение",""))</f>
        <v/>
      </c>
      <c r="M2162" s="54">
        <f>IF(F2162="","",IF(J2162="✅ Сделано","✔ ",IF(J2162="❌ Пропущено","✖ ","⏰ "))&amp;IF(C2162="","",RIGHT("0"&amp;HOUR(C2162),2)&amp;":"&amp;RIGHT("0"&amp;MINUTE(C2162),2)&amp;IF(D2162="","","–"&amp;RIGHT("0"&amp;HOUR(D2162),2)&amp;":"&amp;RIGHT("0"&amp;MINUTE(D2162),2))&amp;" ")&amp;F2162)</f>
        <v/>
      </c>
      <c r="N2162" s="54">
        <f>IF(OR(A2162="",F2162=""),"",A2162&amp;"#"&amp;(COUNTIFS($A$5:$A$3004,A2162,$F$5:$F$3004,"?*",$O$5:$O$3004,"&lt;"&amp;O2162)+COUNTIFS($A$5:A2162,A2162,$F$5:F2162,"?*",$O$5:O2162,O2162)))</f>
        <v/>
      </c>
      <c r="O2162" s="54">
        <f>IF(A2162="","",IF(C2162="",0,C2162))</f>
        <v/>
      </c>
    </row>
    <row r="2163">
      <c r="A2163" s="58" t="n"/>
      <c r="B2163" s="49">
        <f>IF(A2163="","",CHOOSE(WEEKDAY(A2163,2),"Пн","Вт","Ср","Чт","Пт","Сб","Вс"))</f>
        <v/>
      </c>
      <c r="C2163" s="59" t="n"/>
      <c r="D2163" s="59" t="n"/>
      <c r="E2163" s="60">
        <f>IF(OR(C2163="",D2163=""),"",MOD(D2163-C2163,1)*24)</f>
        <v/>
      </c>
      <c r="F2163" s="50" t="n"/>
      <c r="G2163" s="51" t="n"/>
      <c r="H2163" s="51" t="n"/>
      <c r="I2163" s="51" t="n"/>
      <c r="J2163" s="51" t="n"/>
      <c r="K2163" s="51" t="n"/>
      <c r="L2163" s="54">
        <f>IF(OR(A2163="",C2163="",D2163=""),"",IF(COUNTIFS($A$5:$A$3004,A2163,$C$5:$C$3004,"&lt;"&amp;D2163,$D$5:$D$3004,"&gt;"&amp;C2163)&gt;1,"⚠️ пересечение",""))</f>
        <v/>
      </c>
      <c r="M2163" s="54">
        <f>IF(F2163="","",IF(J2163="✅ Сделано","✔ ",IF(J2163="❌ Пропущено","✖ ","⏰ "))&amp;IF(C2163="","",RIGHT("0"&amp;HOUR(C2163),2)&amp;":"&amp;RIGHT("0"&amp;MINUTE(C2163),2)&amp;IF(D2163="","","–"&amp;RIGHT("0"&amp;HOUR(D2163),2)&amp;":"&amp;RIGHT("0"&amp;MINUTE(D2163),2))&amp;" ")&amp;F2163)</f>
        <v/>
      </c>
      <c r="N2163" s="54">
        <f>IF(OR(A2163="",F2163=""),"",A2163&amp;"#"&amp;(COUNTIFS($A$5:$A$3004,A2163,$F$5:$F$3004,"?*",$O$5:$O$3004,"&lt;"&amp;O2163)+COUNTIFS($A$5:A2163,A2163,$F$5:F2163,"?*",$O$5:O2163,O2163)))</f>
        <v/>
      </c>
      <c r="O2163" s="54">
        <f>IF(A2163="","",IF(C2163="",0,C2163))</f>
        <v/>
      </c>
    </row>
    <row r="2164">
      <c r="A2164" s="58" t="n"/>
      <c r="B2164" s="49">
        <f>IF(A2164="","",CHOOSE(WEEKDAY(A2164,2),"Пн","Вт","Ср","Чт","Пт","Сб","Вс"))</f>
        <v/>
      </c>
      <c r="C2164" s="59" t="n"/>
      <c r="D2164" s="59" t="n"/>
      <c r="E2164" s="60">
        <f>IF(OR(C2164="",D2164=""),"",MOD(D2164-C2164,1)*24)</f>
        <v/>
      </c>
      <c r="F2164" s="50" t="n"/>
      <c r="G2164" s="51" t="n"/>
      <c r="H2164" s="51" t="n"/>
      <c r="I2164" s="51" t="n"/>
      <c r="J2164" s="51" t="n"/>
      <c r="K2164" s="51" t="n"/>
      <c r="L2164" s="54">
        <f>IF(OR(A2164="",C2164="",D2164=""),"",IF(COUNTIFS($A$5:$A$3004,A2164,$C$5:$C$3004,"&lt;"&amp;D2164,$D$5:$D$3004,"&gt;"&amp;C2164)&gt;1,"⚠️ пересечение",""))</f>
        <v/>
      </c>
      <c r="M2164" s="54">
        <f>IF(F2164="","",IF(J2164="✅ Сделано","✔ ",IF(J2164="❌ Пропущено","✖ ","⏰ "))&amp;IF(C2164="","",RIGHT("0"&amp;HOUR(C2164),2)&amp;":"&amp;RIGHT("0"&amp;MINUTE(C2164),2)&amp;IF(D2164="","","–"&amp;RIGHT("0"&amp;HOUR(D2164),2)&amp;":"&amp;RIGHT("0"&amp;MINUTE(D2164),2))&amp;" ")&amp;F2164)</f>
        <v/>
      </c>
      <c r="N2164" s="54">
        <f>IF(OR(A2164="",F2164=""),"",A2164&amp;"#"&amp;(COUNTIFS($A$5:$A$3004,A2164,$F$5:$F$3004,"?*",$O$5:$O$3004,"&lt;"&amp;O2164)+COUNTIFS($A$5:A2164,A2164,$F$5:F2164,"?*",$O$5:O2164,O2164)))</f>
        <v/>
      </c>
      <c r="O2164" s="54">
        <f>IF(A2164="","",IF(C2164="",0,C2164))</f>
        <v/>
      </c>
    </row>
    <row r="2165">
      <c r="A2165" s="58" t="n"/>
      <c r="B2165" s="49">
        <f>IF(A2165="","",CHOOSE(WEEKDAY(A2165,2),"Пн","Вт","Ср","Чт","Пт","Сб","Вс"))</f>
        <v/>
      </c>
      <c r="C2165" s="59" t="n"/>
      <c r="D2165" s="59" t="n"/>
      <c r="E2165" s="60">
        <f>IF(OR(C2165="",D2165=""),"",MOD(D2165-C2165,1)*24)</f>
        <v/>
      </c>
      <c r="F2165" s="50" t="n"/>
      <c r="G2165" s="51" t="n"/>
      <c r="H2165" s="51" t="n"/>
      <c r="I2165" s="51" t="n"/>
      <c r="J2165" s="51" t="n"/>
      <c r="K2165" s="51" t="n"/>
      <c r="L2165" s="54">
        <f>IF(OR(A2165="",C2165="",D2165=""),"",IF(COUNTIFS($A$5:$A$3004,A2165,$C$5:$C$3004,"&lt;"&amp;D2165,$D$5:$D$3004,"&gt;"&amp;C2165)&gt;1,"⚠️ пересечение",""))</f>
        <v/>
      </c>
      <c r="M2165" s="54">
        <f>IF(F2165="","",IF(J2165="✅ Сделано","✔ ",IF(J2165="❌ Пропущено","✖ ","⏰ "))&amp;IF(C2165="","",RIGHT("0"&amp;HOUR(C2165),2)&amp;":"&amp;RIGHT("0"&amp;MINUTE(C2165),2)&amp;IF(D2165="","","–"&amp;RIGHT("0"&amp;HOUR(D2165),2)&amp;":"&amp;RIGHT("0"&amp;MINUTE(D2165),2))&amp;" ")&amp;F2165)</f>
        <v/>
      </c>
      <c r="N2165" s="54">
        <f>IF(OR(A2165="",F2165=""),"",A2165&amp;"#"&amp;(COUNTIFS($A$5:$A$3004,A2165,$F$5:$F$3004,"?*",$O$5:$O$3004,"&lt;"&amp;O2165)+COUNTIFS($A$5:A2165,A2165,$F$5:F2165,"?*",$O$5:O2165,O2165)))</f>
        <v/>
      </c>
      <c r="O2165" s="54">
        <f>IF(A2165="","",IF(C2165="",0,C2165))</f>
        <v/>
      </c>
    </row>
    <row r="2166">
      <c r="A2166" s="58" t="n"/>
      <c r="B2166" s="49">
        <f>IF(A2166="","",CHOOSE(WEEKDAY(A2166,2),"Пн","Вт","Ср","Чт","Пт","Сб","Вс"))</f>
        <v/>
      </c>
      <c r="C2166" s="59" t="n"/>
      <c r="D2166" s="59" t="n"/>
      <c r="E2166" s="60">
        <f>IF(OR(C2166="",D2166=""),"",MOD(D2166-C2166,1)*24)</f>
        <v/>
      </c>
      <c r="F2166" s="50" t="n"/>
      <c r="G2166" s="51" t="n"/>
      <c r="H2166" s="51" t="n"/>
      <c r="I2166" s="51" t="n"/>
      <c r="J2166" s="51" t="n"/>
      <c r="K2166" s="51" t="n"/>
      <c r="L2166" s="54">
        <f>IF(OR(A2166="",C2166="",D2166=""),"",IF(COUNTIFS($A$5:$A$3004,A2166,$C$5:$C$3004,"&lt;"&amp;D2166,$D$5:$D$3004,"&gt;"&amp;C2166)&gt;1,"⚠️ пересечение",""))</f>
        <v/>
      </c>
      <c r="M2166" s="54">
        <f>IF(F2166="","",IF(J2166="✅ Сделано","✔ ",IF(J2166="❌ Пропущено","✖ ","⏰ "))&amp;IF(C2166="","",RIGHT("0"&amp;HOUR(C2166),2)&amp;":"&amp;RIGHT("0"&amp;MINUTE(C2166),2)&amp;IF(D2166="","","–"&amp;RIGHT("0"&amp;HOUR(D2166),2)&amp;":"&amp;RIGHT("0"&amp;MINUTE(D2166),2))&amp;" ")&amp;F2166)</f>
        <v/>
      </c>
      <c r="N2166" s="54">
        <f>IF(OR(A2166="",F2166=""),"",A2166&amp;"#"&amp;(COUNTIFS($A$5:$A$3004,A2166,$F$5:$F$3004,"?*",$O$5:$O$3004,"&lt;"&amp;O2166)+COUNTIFS($A$5:A2166,A2166,$F$5:F2166,"?*",$O$5:O2166,O2166)))</f>
        <v/>
      </c>
      <c r="O2166" s="54">
        <f>IF(A2166="","",IF(C2166="",0,C2166))</f>
        <v/>
      </c>
    </row>
    <row r="2167">
      <c r="A2167" s="58" t="n"/>
      <c r="B2167" s="49">
        <f>IF(A2167="","",CHOOSE(WEEKDAY(A2167,2),"Пн","Вт","Ср","Чт","Пт","Сб","Вс"))</f>
        <v/>
      </c>
      <c r="C2167" s="59" t="n"/>
      <c r="D2167" s="59" t="n"/>
      <c r="E2167" s="60">
        <f>IF(OR(C2167="",D2167=""),"",MOD(D2167-C2167,1)*24)</f>
        <v/>
      </c>
      <c r="F2167" s="50" t="n"/>
      <c r="G2167" s="51" t="n"/>
      <c r="H2167" s="51" t="n"/>
      <c r="I2167" s="51" t="n"/>
      <c r="J2167" s="51" t="n"/>
      <c r="K2167" s="51" t="n"/>
      <c r="L2167" s="54">
        <f>IF(OR(A2167="",C2167="",D2167=""),"",IF(COUNTIFS($A$5:$A$3004,A2167,$C$5:$C$3004,"&lt;"&amp;D2167,$D$5:$D$3004,"&gt;"&amp;C2167)&gt;1,"⚠️ пересечение",""))</f>
        <v/>
      </c>
      <c r="M2167" s="54">
        <f>IF(F2167="","",IF(J2167="✅ Сделано","✔ ",IF(J2167="❌ Пропущено","✖ ","⏰ "))&amp;IF(C2167="","",RIGHT("0"&amp;HOUR(C2167),2)&amp;":"&amp;RIGHT("0"&amp;MINUTE(C2167),2)&amp;IF(D2167="","","–"&amp;RIGHT("0"&amp;HOUR(D2167),2)&amp;":"&amp;RIGHT("0"&amp;MINUTE(D2167),2))&amp;" ")&amp;F2167)</f>
        <v/>
      </c>
      <c r="N2167" s="54">
        <f>IF(OR(A2167="",F2167=""),"",A2167&amp;"#"&amp;(COUNTIFS($A$5:$A$3004,A2167,$F$5:$F$3004,"?*",$O$5:$O$3004,"&lt;"&amp;O2167)+COUNTIFS($A$5:A2167,A2167,$F$5:F2167,"?*",$O$5:O2167,O2167)))</f>
        <v/>
      </c>
      <c r="O2167" s="54">
        <f>IF(A2167="","",IF(C2167="",0,C2167))</f>
        <v/>
      </c>
    </row>
    <row r="2168">
      <c r="A2168" s="58" t="n"/>
      <c r="B2168" s="49">
        <f>IF(A2168="","",CHOOSE(WEEKDAY(A2168,2),"Пн","Вт","Ср","Чт","Пт","Сб","Вс"))</f>
        <v/>
      </c>
      <c r="C2168" s="59" t="n"/>
      <c r="D2168" s="59" t="n"/>
      <c r="E2168" s="60">
        <f>IF(OR(C2168="",D2168=""),"",MOD(D2168-C2168,1)*24)</f>
        <v/>
      </c>
      <c r="F2168" s="50" t="n"/>
      <c r="G2168" s="51" t="n"/>
      <c r="H2168" s="51" t="n"/>
      <c r="I2168" s="51" t="n"/>
      <c r="J2168" s="51" t="n"/>
      <c r="K2168" s="51" t="n"/>
      <c r="L2168" s="54">
        <f>IF(OR(A2168="",C2168="",D2168=""),"",IF(COUNTIFS($A$5:$A$3004,A2168,$C$5:$C$3004,"&lt;"&amp;D2168,$D$5:$D$3004,"&gt;"&amp;C2168)&gt;1,"⚠️ пересечение",""))</f>
        <v/>
      </c>
      <c r="M2168" s="54">
        <f>IF(F2168="","",IF(J2168="✅ Сделано","✔ ",IF(J2168="❌ Пропущено","✖ ","⏰ "))&amp;IF(C2168="","",RIGHT("0"&amp;HOUR(C2168),2)&amp;":"&amp;RIGHT("0"&amp;MINUTE(C2168),2)&amp;IF(D2168="","","–"&amp;RIGHT("0"&amp;HOUR(D2168),2)&amp;":"&amp;RIGHT("0"&amp;MINUTE(D2168),2))&amp;" ")&amp;F2168)</f>
        <v/>
      </c>
      <c r="N2168" s="54">
        <f>IF(OR(A2168="",F2168=""),"",A2168&amp;"#"&amp;(COUNTIFS($A$5:$A$3004,A2168,$F$5:$F$3004,"?*",$O$5:$O$3004,"&lt;"&amp;O2168)+COUNTIFS($A$5:A2168,A2168,$F$5:F2168,"?*",$O$5:O2168,O2168)))</f>
        <v/>
      </c>
      <c r="O2168" s="54">
        <f>IF(A2168="","",IF(C2168="",0,C2168))</f>
        <v/>
      </c>
    </row>
    <row r="2169">
      <c r="A2169" s="58" t="n"/>
      <c r="B2169" s="49">
        <f>IF(A2169="","",CHOOSE(WEEKDAY(A2169,2),"Пн","Вт","Ср","Чт","Пт","Сб","Вс"))</f>
        <v/>
      </c>
      <c r="C2169" s="59" t="n"/>
      <c r="D2169" s="59" t="n"/>
      <c r="E2169" s="60">
        <f>IF(OR(C2169="",D2169=""),"",MOD(D2169-C2169,1)*24)</f>
        <v/>
      </c>
      <c r="F2169" s="50" t="n"/>
      <c r="G2169" s="51" t="n"/>
      <c r="H2169" s="51" t="n"/>
      <c r="I2169" s="51" t="n"/>
      <c r="J2169" s="51" t="n"/>
      <c r="K2169" s="51" t="n"/>
      <c r="L2169" s="54">
        <f>IF(OR(A2169="",C2169="",D2169=""),"",IF(COUNTIFS($A$5:$A$3004,A2169,$C$5:$C$3004,"&lt;"&amp;D2169,$D$5:$D$3004,"&gt;"&amp;C2169)&gt;1,"⚠️ пересечение",""))</f>
        <v/>
      </c>
      <c r="M2169" s="54">
        <f>IF(F2169="","",IF(J2169="✅ Сделано","✔ ",IF(J2169="❌ Пропущено","✖ ","⏰ "))&amp;IF(C2169="","",RIGHT("0"&amp;HOUR(C2169),2)&amp;":"&amp;RIGHT("0"&amp;MINUTE(C2169),2)&amp;IF(D2169="","","–"&amp;RIGHT("0"&amp;HOUR(D2169),2)&amp;":"&amp;RIGHT("0"&amp;MINUTE(D2169),2))&amp;" ")&amp;F2169)</f>
        <v/>
      </c>
      <c r="N2169" s="54">
        <f>IF(OR(A2169="",F2169=""),"",A2169&amp;"#"&amp;(COUNTIFS($A$5:$A$3004,A2169,$F$5:$F$3004,"?*",$O$5:$O$3004,"&lt;"&amp;O2169)+COUNTIFS($A$5:A2169,A2169,$F$5:F2169,"?*",$O$5:O2169,O2169)))</f>
        <v/>
      </c>
      <c r="O2169" s="54">
        <f>IF(A2169="","",IF(C2169="",0,C2169))</f>
        <v/>
      </c>
    </row>
    <row r="2170">
      <c r="A2170" s="58" t="n"/>
      <c r="B2170" s="49">
        <f>IF(A2170="","",CHOOSE(WEEKDAY(A2170,2),"Пн","Вт","Ср","Чт","Пт","Сб","Вс"))</f>
        <v/>
      </c>
      <c r="C2170" s="59" t="n"/>
      <c r="D2170" s="59" t="n"/>
      <c r="E2170" s="60">
        <f>IF(OR(C2170="",D2170=""),"",MOD(D2170-C2170,1)*24)</f>
        <v/>
      </c>
      <c r="F2170" s="50" t="n"/>
      <c r="G2170" s="51" t="n"/>
      <c r="H2170" s="51" t="n"/>
      <c r="I2170" s="51" t="n"/>
      <c r="J2170" s="51" t="n"/>
      <c r="K2170" s="51" t="n"/>
      <c r="L2170" s="54">
        <f>IF(OR(A2170="",C2170="",D2170=""),"",IF(COUNTIFS($A$5:$A$3004,A2170,$C$5:$C$3004,"&lt;"&amp;D2170,$D$5:$D$3004,"&gt;"&amp;C2170)&gt;1,"⚠️ пересечение",""))</f>
        <v/>
      </c>
      <c r="M2170" s="54">
        <f>IF(F2170="","",IF(J2170="✅ Сделано","✔ ",IF(J2170="❌ Пропущено","✖ ","⏰ "))&amp;IF(C2170="","",RIGHT("0"&amp;HOUR(C2170),2)&amp;":"&amp;RIGHT("0"&amp;MINUTE(C2170),2)&amp;IF(D2170="","","–"&amp;RIGHT("0"&amp;HOUR(D2170),2)&amp;":"&amp;RIGHT("0"&amp;MINUTE(D2170),2))&amp;" ")&amp;F2170)</f>
        <v/>
      </c>
      <c r="N2170" s="54">
        <f>IF(OR(A2170="",F2170=""),"",A2170&amp;"#"&amp;(COUNTIFS($A$5:$A$3004,A2170,$F$5:$F$3004,"?*",$O$5:$O$3004,"&lt;"&amp;O2170)+COUNTIFS($A$5:A2170,A2170,$F$5:F2170,"?*",$O$5:O2170,O2170)))</f>
        <v/>
      </c>
      <c r="O2170" s="54">
        <f>IF(A2170="","",IF(C2170="",0,C2170))</f>
        <v/>
      </c>
    </row>
    <row r="2171">
      <c r="A2171" s="58" t="n"/>
      <c r="B2171" s="49">
        <f>IF(A2171="","",CHOOSE(WEEKDAY(A2171,2),"Пн","Вт","Ср","Чт","Пт","Сб","Вс"))</f>
        <v/>
      </c>
      <c r="C2171" s="59" t="n"/>
      <c r="D2171" s="59" t="n"/>
      <c r="E2171" s="60">
        <f>IF(OR(C2171="",D2171=""),"",MOD(D2171-C2171,1)*24)</f>
        <v/>
      </c>
      <c r="F2171" s="50" t="n"/>
      <c r="G2171" s="51" t="n"/>
      <c r="H2171" s="51" t="n"/>
      <c r="I2171" s="51" t="n"/>
      <c r="J2171" s="51" t="n"/>
      <c r="K2171" s="51" t="n"/>
      <c r="L2171" s="54">
        <f>IF(OR(A2171="",C2171="",D2171=""),"",IF(COUNTIFS($A$5:$A$3004,A2171,$C$5:$C$3004,"&lt;"&amp;D2171,$D$5:$D$3004,"&gt;"&amp;C2171)&gt;1,"⚠️ пересечение",""))</f>
        <v/>
      </c>
      <c r="M2171" s="54">
        <f>IF(F2171="","",IF(J2171="✅ Сделано","✔ ",IF(J2171="❌ Пропущено","✖ ","⏰ "))&amp;IF(C2171="","",RIGHT("0"&amp;HOUR(C2171),2)&amp;":"&amp;RIGHT("0"&amp;MINUTE(C2171),2)&amp;IF(D2171="","","–"&amp;RIGHT("0"&amp;HOUR(D2171),2)&amp;":"&amp;RIGHT("0"&amp;MINUTE(D2171),2))&amp;" ")&amp;F2171)</f>
        <v/>
      </c>
      <c r="N2171" s="54">
        <f>IF(OR(A2171="",F2171=""),"",A2171&amp;"#"&amp;(COUNTIFS($A$5:$A$3004,A2171,$F$5:$F$3004,"?*",$O$5:$O$3004,"&lt;"&amp;O2171)+COUNTIFS($A$5:A2171,A2171,$F$5:F2171,"?*",$O$5:O2171,O2171)))</f>
        <v/>
      </c>
      <c r="O2171" s="54">
        <f>IF(A2171="","",IF(C2171="",0,C2171))</f>
        <v/>
      </c>
    </row>
    <row r="2172">
      <c r="A2172" s="58" t="n"/>
      <c r="B2172" s="49">
        <f>IF(A2172="","",CHOOSE(WEEKDAY(A2172,2),"Пн","Вт","Ср","Чт","Пт","Сб","Вс"))</f>
        <v/>
      </c>
      <c r="C2172" s="59" t="n"/>
      <c r="D2172" s="59" t="n"/>
      <c r="E2172" s="60">
        <f>IF(OR(C2172="",D2172=""),"",MOD(D2172-C2172,1)*24)</f>
        <v/>
      </c>
      <c r="F2172" s="50" t="n"/>
      <c r="G2172" s="51" t="n"/>
      <c r="H2172" s="51" t="n"/>
      <c r="I2172" s="51" t="n"/>
      <c r="J2172" s="51" t="n"/>
      <c r="K2172" s="51" t="n"/>
      <c r="L2172" s="54">
        <f>IF(OR(A2172="",C2172="",D2172=""),"",IF(COUNTIFS($A$5:$A$3004,A2172,$C$5:$C$3004,"&lt;"&amp;D2172,$D$5:$D$3004,"&gt;"&amp;C2172)&gt;1,"⚠️ пересечение",""))</f>
        <v/>
      </c>
      <c r="M2172" s="54">
        <f>IF(F2172="","",IF(J2172="✅ Сделано","✔ ",IF(J2172="❌ Пропущено","✖ ","⏰ "))&amp;IF(C2172="","",RIGHT("0"&amp;HOUR(C2172),2)&amp;":"&amp;RIGHT("0"&amp;MINUTE(C2172),2)&amp;IF(D2172="","","–"&amp;RIGHT("0"&amp;HOUR(D2172),2)&amp;":"&amp;RIGHT("0"&amp;MINUTE(D2172),2))&amp;" ")&amp;F2172)</f>
        <v/>
      </c>
      <c r="N2172" s="54">
        <f>IF(OR(A2172="",F2172=""),"",A2172&amp;"#"&amp;(COUNTIFS($A$5:$A$3004,A2172,$F$5:$F$3004,"?*",$O$5:$O$3004,"&lt;"&amp;O2172)+COUNTIFS($A$5:A2172,A2172,$F$5:F2172,"?*",$O$5:O2172,O2172)))</f>
        <v/>
      </c>
      <c r="O2172" s="54">
        <f>IF(A2172="","",IF(C2172="",0,C2172))</f>
        <v/>
      </c>
    </row>
    <row r="2173">
      <c r="A2173" s="58" t="n"/>
      <c r="B2173" s="49">
        <f>IF(A2173="","",CHOOSE(WEEKDAY(A2173,2),"Пн","Вт","Ср","Чт","Пт","Сб","Вс"))</f>
        <v/>
      </c>
      <c r="C2173" s="59" t="n"/>
      <c r="D2173" s="59" t="n"/>
      <c r="E2173" s="60">
        <f>IF(OR(C2173="",D2173=""),"",MOD(D2173-C2173,1)*24)</f>
        <v/>
      </c>
      <c r="F2173" s="50" t="n"/>
      <c r="G2173" s="51" t="n"/>
      <c r="H2173" s="51" t="n"/>
      <c r="I2173" s="51" t="n"/>
      <c r="J2173" s="51" t="n"/>
      <c r="K2173" s="51" t="n"/>
      <c r="L2173" s="54">
        <f>IF(OR(A2173="",C2173="",D2173=""),"",IF(COUNTIFS($A$5:$A$3004,A2173,$C$5:$C$3004,"&lt;"&amp;D2173,$D$5:$D$3004,"&gt;"&amp;C2173)&gt;1,"⚠️ пересечение",""))</f>
        <v/>
      </c>
      <c r="M2173" s="54">
        <f>IF(F2173="","",IF(J2173="✅ Сделано","✔ ",IF(J2173="❌ Пропущено","✖ ","⏰ "))&amp;IF(C2173="","",RIGHT("0"&amp;HOUR(C2173),2)&amp;":"&amp;RIGHT("0"&amp;MINUTE(C2173),2)&amp;IF(D2173="","","–"&amp;RIGHT("0"&amp;HOUR(D2173),2)&amp;":"&amp;RIGHT("0"&amp;MINUTE(D2173),2))&amp;" ")&amp;F2173)</f>
        <v/>
      </c>
      <c r="N2173" s="54">
        <f>IF(OR(A2173="",F2173=""),"",A2173&amp;"#"&amp;(COUNTIFS($A$5:$A$3004,A2173,$F$5:$F$3004,"?*",$O$5:$O$3004,"&lt;"&amp;O2173)+COUNTIFS($A$5:A2173,A2173,$F$5:F2173,"?*",$O$5:O2173,O2173)))</f>
        <v/>
      </c>
      <c r="O2173" s="54">
        <f>IF(A2173="","",IF(C2173="",0,C2173))</f>
        <v/>
      </c>
    </row>
    <row r="2174">
      <c r="A2174" s="58" t="n"/>
      <c r="B2174" s="49">
        <f>IF(A2174="","",CHOOSE(WEEKDAY(A2174,2),"Пн","Вт","Ср","Чт","Пт","Сб","Вс"))</f>
        <v/>
      </c>
      <c r="C2174" s="59" t="n"/>
      <c r="D2174" s="59" t="n"/>
      <c r="E2174" s="60">
        <f>IF(OR(C2174="",D2174=""),"",MOD(D2174-C2174,1)*24)</f>
        <v/>
      </c>
      <c r="F2174" s="50" t="n"/>
      <c r="G2174" s="51" t="n"/>
      <c r="H2174" s="51" t="n"/>
      <c r="I2174" s="51" t="n"/>
      <c r="J2174" s="51" t="n"/>
      <c r="K2174" s="51" t="n"/>
      <c r="L2174" s="54">
        <f>IF(OR(A2174="",C2174="",D2174=""),"",IF(COUNTIFS($A$5:$A$3004,A2174,$C$5:$C$3004,"&lt;"&amp;D2174,$D$5:$D$3004,"&gt;"&amp;C2174)&gt;1,"⚠️ пересечение",""))</f>
        <v/>
      </c>
      <c r="M2174" s="54">
        <f>IF(F2174="","",IF(J2174="✅ Сделано","✔ ",IF(J2174="❌ Пропущено","✖ ","⏰ "))&amp;IF(C2174="","",RIGHT("0"&amp;HOUR(C2174),2)&amp;":"&amp;RIGHT("0"&amp;MINUTE(C2174),2)&amp;IF(D2174="","","–"&amp;RIGHT("0"&amp;HOUR(D2174),2)&amp;":"&amp;RIGHT("0"&amp;MINUTE(D2174),2))&amp;" ")&amp;F2174)</f>
        <v/>
      </c>
      <c r="N2174" s="54">
        <f>IF(OR(A2174="",F2174=""),"",A2174&amp;"#"&amp;(COUNTIFS($A$5:$A$3004,A2174,$F$5:$F$3004,"?*",$O$5:$O$3004,"&lt;"&amp;O2174)+COUNTIFS($A$5:A2174,A2174,$F$5:F2174,"?*",$O$5:O2174,O2174)))</f>
        <v/>
      </c>
      <c r="O2174" s="54">
        <f>IF(A2174="","",IF(C2174="",0,C2174))</f>
        <v/>
      </c>
    </row>
    <row r="2175">
      <c r="A2175" s="58" t="n"/>
      <c r="B2175" s="49">
        <f>IF(A2175="","",CHOOSE(WEEKDAY(A2175,2),"Пн","Вт","Ср","Чт","Пт","Сб","Вс"))</f>
        <v/>
      </c>
      <c r="C2175" s="59" t="n"/>
      <c r="D2175" s="59" t="n"/>
      <c r="E2175" s="60">
        <f>IF(OR(C2175="",D2175=""),"",MOD(D2175-C2175,1)*24)</f>
        <v/>
      </c>
      <c r="F2175" s="50" t="n"/>
      <c r="G2175" s="51" t="n"/>
      <c r="H2175" s="51" t="n"/>
      <c r="I2175" s="51" t="n"/>
      <c r="J2175" s="51" t="n"/>
      <c r="K2175" s="51" t="n"/>
      <c r="L2175" s="54">
        <f>IF(OR(A2175="",C2175="",D2175=""),"",IF(COUNTIFS($A$5:$A$3004,A2175,$C$5:$C$3004,"&lt;"&amp;D2175,$D$5:$D$3004,"&gt;"&amp;C2175)&gt;1,"⚠️ пересечение",""))</f>
        <v/>
      </c>
      <c r="M2175" s="54">
        <f>IF(F2175="","",IF(J2175="✅ Сделано","✔ ",IF(J2175="❌ Пропущено","✖ ","⏰ "))&amp;IF(C2175="","",RIGHT("0"&amp;HOUR(C2175),2)&amp;":"&amp;RIGHT("0"&amp;MINUTE(C2175),2)&amp;IF(D2175="","","–"&amp;RIGHT("0"&amp;HOUR(D2175),2)&amp;":"&amp;RIGHT("0"&amp;MINUTE(D2175),2))&amp;" ")&amp;F2175)</f>
        <v/>
      </c>
      <c r="N2175" s="54">
        <f>IF(OR(A2175="",F2175=""),"",A2175&amp;"#"&amp;(COUNTIFS($A$5:$A$3004,A2175,$F$5:$F$3004,"?*",$O$5:$O$3004,"&lt;"&amp;O2175)+COUNTIFS($A$5:A2175,A2175,$F$5:F2175,"?*",$O$5:O2175,O2175)))</f>
        <v/>
      </c>
      <c r="O2175" s="54">
        <f>IF(A2175="","",IF(C2175="",0,C2175))</f>
        <v/>
      </c>
    </row>
    <row r="2176">
      <c r="A2176" s="58" t="n"/>
      <c r="B2176" s="49">
        <f>IF(A2176="","",CHOOSE(WEEKDAY(A2176,2),"Пн","Вт","Ср","Чт","Пт","Сб","Вс"))</f>
        <v/>
      </c>
      <c r="C2176" s="59" t="n"/>
      <c r="D2176" s="59" t="n"/>
      <c r="E2176" s="60">
        <f>IF(OR(C2176="",D2176=""),"",MOD(D2176-C2176,1)*24)</f>
        <v/>
      </c>
      <c r="F2176" s="50" t="n"/>
      <c r="G2176" s="51" t="n"/>
      <c r="H2176" s="51" t="n"/>
      <c r="I2176" s="51" t="n"/>
      <c r="J2176" s="51" t="n"/>
      <c r="K2176" s="51" t="n"/>
      <c r="L2176" s="54">
        <f>IF(OR(A2176="",C2176="",D2176=""),"",IF(COUNTIFS($A$5:$A$3004,A2176,$C$5:$C$3004,"&lt;"&amp;D2176,$D$5:$D$3004,"&gt;"&amp;C2176)&gt;1,"⚠️ пересечение",""))</f>
        <v/>
      </c>
      <c r="M2176" s="54">
        <f>IF(F2176="","",IF(J2176="✅ Сделано","✔ ",IF(J2176="❌ Пропущено","✖ ","⏰ "))&amp;IF(C2176="","",RIGHT("0"&amp;HOUR(C2176),2)&amp;":"&amp;RIGHT("0"&amp;MINUTE(C2176),2)&amp;IF(D2176="","","–"&amp;RIGHT("0"&amp;HOUR(D2176),2)&amp;":"&amp;RIGHT("0"&amp;MINUTE(D2176),2))&amp;" ")&amp;F2176)</f>
        <v/>
      </c>
      <c r="N2176" s="54">
        <f>IF(OR(A2176="",F2176=""),"",A2176&amp;"#"&amp;(COUNTIFS($A$5:$A$3004,A2176,$F$5:$F$3004,"?*",$O$5:$O$3004,"&lt;"&amp;O2176)+COUNTIFS($A$5:A2176,A2176,$F$5:F2176,"?*",$O$5:O2176,O2176)))</f>
        <v/>
      </c>
      <c r="O2176" s="54">
        <f>IF(A2176="","",IF(C2176="",0,C2176))</f>
        <v/>
      </c>
    </row>
    <row r="2177">
      <c r="A2177" s="58" t="n"/>
      <c r="B2177" s="49">
        <f>IF(A2177="","",CHOOSE(WEEKDAY(A2177,2),"Пн","Вт","Ср","Чт","Пт","Сб","Вс"))</f>
        <v/>
      </c>
      <c r="C2177" s="59" t="n"/>
      <c r="D2177" s="59" t="n"/>
      <c r="E2177" s="60">
        <f>IF(OR(C2177="",D2177=""),"",MOD(D2177-C2177,1)*24)</f>
        <v/>
      </c>
      <c r="F2177" s="50" t="n"/>
      <c r="G2177" s="51" t="n"/>
      <c r="H2177" s="51" t="n"/>
      <c r="I2177" s="51" t="n"/>
      <c r="J2177" s="51" t="n"/>
      <c r="K2177" s="51" t="n"/>
      <c r="L2177" s="54">
        <f>IF(OR(A2177="",C2177="",D2177=""),"",IF(COUNTIFS($A$5:$A$3004,A2177,$C$5:$C$3004,"&lt;"&amp;D2177,$D$5:$D$3004,"&gt;"&amp;C2177)&gt;1,"⚠️ пересечение",""))</f>
        <v/>
      </c>
      <c r="M2177" s="54">
        <f>IF(F2177="","",IF(J2177="✅ Сделано","✔ ",IF(J2177="❌ Пропущено","✖ ","⏰ "))&amp;IF(C2177="","",RIGHT("0"&amp;HOUR(C2177),2)&amp;":"&amp;RIGHT("0"&amp;MINUTE(C2177),2)&amp;IF(D2177="","","–"&amp;RIGHT("0"&amp;HOUR(D2177),2)&amp;":"&amp;RIGHT("0"&amp;MINUTE(D2177),2))&amp;" ")&amp;F2177)</f>
        <v/>
      </c>
      <c r="N2177" s="54">
        <f>IF(OR(A2177="",F2177=""),"",A2177&amp;"#"&amp;(COUNTIFS($A$5:$A$3004,A2177,$F$5:$F$3004,"?*",$O$5:$O$3004,"&lt;"&amp;O2177)+COUNTIFS($A$5:A2177,A2177,$F$5:F2177,"?*",$O$5:O2177,O2177)))</f>
        <v/>
      </c>
      <c r="O2177" s="54">
        <f>IF(A2177="","",IF(C2177="",0,C2177))</f>
        <v/>
      </c>
    </row>
    <row r="2178">
      <c r="A2178" s="58" t="n"/>
      <c r="B2178" s="49">
        <f>IF(A2178="","",CHOOSE(WEEKDAY(A2178,2),"Пн","Вт","Ср","Чт","Пт","Сб","Вс"))</f>
        <v/>
      </c>
      <c r="C2178" s="59" t="n"/>
      <c r="D2178" s="59" t="n"/>
      <c r="E2178" s="60">
        <f>IF(OR(C2178="",D2178=""),"",MOD(D2178-C2178,1)*24)</f>
        <v/>
      </c>
      <c r="F2178" s="50" t="n"/>
      <c r="G2178" s="51" t="n"/>
      <c r="H2178" s="51" t="n"/>
      <c r="I2178" s="51" t="n"/>
      <c r="J2178" s="51" t="n"/>
      <c r="K2178" s="51" t="n"/>
      <c r="L2178" s="54">
        <f>IF(OR(A2178="",C2178="",D2178=""),"",IF(COUNTIFS($A$5:$A$3004,A2178,$C$5:$C$3004,"&lt;"&amp;D2178,$D$5:$D$3004,"&gt;"&amp;C2178)&gt;1,"⚠️ пересечение",""))</f>
        <v/>
      </c>
      <c r="M2178" s="54">
        <f>IF(F2178="","",IF(J2178="✅ Сделано","✔ ",IF(J2178="❌ Пропущено","✖ ","⏰ "))&amp;IF(C2178="","",RIGHT("0"&amp;HOUR(C2178),2)&amp;":"&amp;RIGHT("0"&amp;MINUTE(C2178),2)&amp;IF(D2178="","","–"&amp;RIGHT("0"&amp;HOUR(D2178),2)&amp;":"&amp;RIGHT("0"&amp;MINUTE(D2178),2))&amp;" ")&amp;F2178)</f>
        <v/>
      </c>
      <c r="N2178" s="54">
        <f>IF(OR(A2178="",F2178=""),"",A2178&amp;"#"&amp;(COUNTIFS($A$5:$A$3004,A2178,$F$5:$F$3004,"?*",$O$5:$O$3004,"&lt;"&amp;O2178)+COUNTIFS($A$5:A2178,A2178,$F$5:F2178,"?*",$O$5:O2178,O2178)))</f>
        <v/>
      </c>
      <c r="O2178" s="54">
        <f>IF(A2178="","",IF(C2178="",0,C2178))</f>
        <v/>
      </c>
    </row>
    <row r="2179">
      <c r="A2179" s="58" t="n"/>
      <c r="B2179" s="49">
        <f>IF(A2179="","",CHOOSE(WEEKDAY(A2179,2),"Пн","Вт","Ср","Чт","Пт","Сб","Вс"))</f>
        <v/>
      </c>
      <c r="C2179" s="59" t="n"/>
      <c r="D2179" s="59" t="n"/>
      <c r="E2179" s="60">
        <f>IF(OR(C2179="",D2179=""),"",MOD(D2179-C2179,1)*24)</f>
        <v/>
      </c>
      <c r="F2179" s="50" t="n"/>
      <c r="G2179" s="51" t="n"/>
      <c r="H2179" s="51" t="n"/>
      <c r="I2179" s="51" t="n"/>
      <c r="J2179" s="51" t="n"/>
      <c r="K2179" s="51" t="n"/>
      <c r="L2179" s="54">
        <f>IF(OR(A2179="",C2179="",D2179=""),"",IF(COUNTIFS($A$5:$A$3004,A2179,$C$5:$C$3004,"&lt;"&amp;D2179,$D$5:$D$3004,"&gt;"&amp;C2179)&gt;1,"⚠️ пересечение",""))</f>
        <v/>
      </c>
      <c r="M2179" s="54">
        <f>IF(F2179="","",IF(J2179="✅ Сделано","✔ ",IF(J2179="❌ Пропущено","✖ ","⏰ "))&amp;IF(C2179="","",RIGHT("0"&amp;HOUR(C2179),2)&amp;":"&amp;RIGHT("0"&amp;MINUTE(C2179),2)&amp;IF(D2179="","","–"&amp;RIGHT("0"&amp;HOUR(D2179),2)&amp;":"&amp;RIGHT("0"&amp;MINUTE(D2179),2))&amp;" ")&amp;F2179)</f>
        <v/>
      </c>
      <c r="N2179" s="54">
        <f>IF(OR(A2179="",F2179=""),"",A2179&amp;"#"&amp;(COUNTIFS($A$5:$A$3004,A2179,$F$5:$F$3004,"?*",$O$5:$O$3004,"&lt;"&amp;O2179)+COUNTIFS($A$5:A2179,A2179,$F$5:F2179,"?*",$O$5:O2179,O2179)))</f>
        <v/>
      </c>
      <c r="O2179" s="54">
        <f>IF(A2179="","",IF(C2179="",0,C2179))</f>
        <v/>
      </c>
    </row>
    <row r="2180">
      <c r="A2180" s="58" t="n"/>
      <c r="B2180" s="49">
        <f>IF(A2180="","",CHOOSE(WEEKDAY(A2180,2),"Пн","Вт","Ср","Чт","Пт","Сб","Вс"))</f>
        <v/>
      </c>
      <c r="C2180" s="59" t="n"/>
      <c r="D2180" s="59" t="n"/>
      <c r="E2180" s="60">
        <f>IF(OR(C2180="",D2180=""),"",MOD(D2180-C2180,1)*24)</f>
        <v/>
      </c>
      <c r="F2180" s="50" t="n"/>
      <c r="G2180" s="51" t="n"/>
      <c r="H2180" s="51" t="n"/>
      <c r="I2180" s="51" t="n"/>
      <c r="J2180" s="51" t="n"/>
      <c r="K2180" s="51" t="n"/>
      <c r="L2180" s="54">
        <f>IF(OR(A2180="",C2180="",D2180=""),"",IF(COUNTIFS($A$5:$A$3004,A2180,$C$5:$C$3004,"&lt;"&amp;D2180,$D$5:$D$3004,"&gt;"&amp;C2180)&gt;1,"⚠️ пересечение",""))</f>
        <v/>
      </c>
      <c r="M2180" s="54">
        <f>IF(F2180="","",IF(J2180="✅ Сделано","✔ ",IF(J2180="❌ Пропущено","✖ ","⏰ "))&amp;IF(C2180="","",RIGHT("0"&amp;HOUR(C2180),2)&amp;":"&amp;RIGHT("0"&amp;MINUTE(C2180),2)&amp;IF(D2180="","","–"&amp;RIGHT("0"&amp;HOUR(D2180),2)&amp;":"&amp;RIGHT("0"&amp;MINUTE(D2180),2))&amp;" ")&amp;F2180)</f>
        <v/>
      </c>
      <c r="N2180" s="54">
        <f>IF(OR(A2180="",F2180=""),"",A2180&amp;"#"&amp;(COUNTIFS($A$5:$A$3004,A2180,$F$5:$F$3004,"?*",$O$5:$O$3004,"&lt;"&amp;O2180)+COUNTIFS($A$5:A2180,A2180,$F$5:F2180,"?*",$O$5:O2180,O2180)))</f>
        <v/>
      </c>
      <c r="O2180" s="54">
        <f>IF(A2180="","",IF(C2180="",0,C2180))</f>
        <v/>
      </c>
    </row>
    <row r="2181">
      <c r="A2181" s="58" t="n"/>
      <c r="B2181" s="49">
        <f>IF(A2181="","",CHOOSE(WEEKDAY(A2181,2),"Пн","Вт","Ср","Чт","Пт","Сб","Вс"))</f>
        <v/>
      </c>
      <c r="C2181" s="59" t="n"/>
      <c r="D2181" s="59" t="n"/>
      <c r="E2181" s="60">
        <f>IF(OR(C2181="",D2181=""),"",MOD(D2181-C2181,1)*24)</f>
        <v/>
      </c>
      <c r="F2181" s="50" t="n"/>
      <c r="G2181" s="51" t="n"/>
      <c r="H2181" s="51" t="n"/>
      <c r="I2181" s="51" t="n"/>
      <c r="J2181" s="51" t="n"/>
      <c r="K2181" s="51" t="n"/>
      <c r="L2181" s="54">
        <f>IF(OR(A2181="",C2181="",D2181=""),"",IF(COUNTIFS($A$5:$A$3004,A2181,$C$5:$C$3004,"&lt;"&amp;D2181,$D$5:$D$3004,"&gt;"&amp;C2181)&gt;1,"⚠️ пересечение",""))</f>
        <v/>
      </c>
      <c r="M2181" s="54">
        <f>IF(F2181="","",IF(J2181="✅ Сделано","✔ ",IF(J2181="❌ Пропущено","✖ ","⏰ "))&amp;IF(C2181="","",RIGHT("0"&amp;HOUR(C2181),2)&amp;":"&amp;RIGHT("0"&amp;MINUTE(C2181),2)&amp;IF(D2181="","","–"&amp;RIGHT("0"&amp;HOUR(D2181),2)&amp;":"&amp;RIGHT("0"&amp;MINUTE(D2181),2))&amp;" ")&amp;F2181)</f>
        <v/>
      </c>
      <c r="N2181" s="54">
        <f>IF(OR(A2181="",F2181=""),"",A2181&amp;"#"&amp;(COUNTIFS($A$5:$A$3004,A2181,$F$5:$F$3004,"?*",$O$5:$O$3004,"&lt;"&amp;O2181)+COUNTIFS($A$5:A2181,A2181,$F$5:F2181,"?*",$O$5:O2181,O2181)))</f>
        <v/>
      </c>
      <c r="O2181" s="54">
        <f>IF(A2181="","",IF(C2181="",0,C2181))</f>
        <v/>
      </c>
    </row>
    <row r="2182">
      <c r="A2182" s="58" t="n"/>
      <c r="B2182" s="49">
        <f>IF(A2182="","",CHOOSE(WEEKDAY(A2182,2),"Пн","Вт","Ср","Чт","Пт","Сб","Вс"))</f>
        <v/>
      </c>
      <c r="C2182" s="59" t="n"/>
      <c r="D2182" s="59" t="n"/>
      <c r="E2182" s="60">
        <f>IF(OR(C2182="",D2182=""),"",MOD(D2182-C2182,1)*24)</f>
        <v/>
      </c>
      <c r="F2182" s="50" t="n"/>
      <c r="G2182" s="51" t="n"/>
      <c r="H2182" s="51" t="n"/>
      <c r="I2182" s="51" t="n"/>
      <c r="J2182" s="51" t="n"/>
      <c r="K2182" s="51" t="n"/>
      <c r="L2182" s="54">
        <f>IF(OR(A2182="",C2182="",D2182=""),"",IF(COUNTIFS($A$5:$A$3004,A2182,$C$5:$C$3004,"&lt;"&amp;D2182,$D$5:$D$3004,"&gt;"&amp;C2182)&gt;1,"⚠️ пересечение",""))</f>
        <v/>
      </c>
      <c r="M2182" s="54">
        <f>IF(F2182="","",IF(J2182="✅ Сделано","✔ ",IF(J2182="❌ Пропущено","✖ ","⏰ "))&amp;IF(C2182="","",RIGHT("0"&amp;HOUR(C2182),2)&amp;":"&amp;RIGHT("0"&amp;MINUTE(C2182),2)&amp;IF(D2182="","","–"&amp;RIGHT("0"&amp;HOUR(D2182),2)&amp;":"&amp;RIGHT("0"&amp;MINUTE(D2182),2))&amp;" ")&amp;F2182)</f>
        <v/>
      </c>
      <c r="N2182" s="54">
        <f>IF(OR(A2182="",F2182=""),"",A2182&amp;"#"&amp;(COUNTIFS($A$5:$A$3004,A2182,$F$5:$F$3004,"?*",$O$5:$O$3004,"&lt;"&amp;O2182)+COUNTIFS($A$5:A2182,A2182,$F$5:F2182,"?*",$O$5:O2182,O2182)))</f>
        <v/>
      </c>
      <c r="O2182" s="54">
        <f>IF(A2182="","",IF(C2182="",0,C2182))</f>
        <v/>
      </c>
    </row>
    <row r="2183">
      <c r="A2183" s="58" t="n"/>
      <c r="B2183" s="49">
        <f>IF(A2183="","",CHOOSE(WEEKDAY(A2183,2),"Пн","Вт","Ср","Чт","Пт","Сб","Вс"))</f>
        <v/>
      </c>
      <c r="C2183" s="59" t="n"/>
      <c r="D2183" s="59" t="n"/>
      <c r="E2183" s="60">
        <f>IF(OR(C2183="",D2183=""),"",MOD(D2183-C2183,1)*24)</f>
        <v/>
      </c>
      <c r="F2183" s="50" t="n"/>
      <c r="G2183" s="51" t="n"/>
      <c r="H2183" s="51" t="n"/>
      <c r="I2183" s="51" t="n"/>
      <c r="J2183" s="51" t="n"/>
      <c r="K2183" s="51" t="n"/>
      <c r="L2183" s="54">
        <f>IF(OR(A2183="",C2183="",D2183=""),"",IF(COUNTIFS($A$5:$A$3004,A2183,$C$5:$C$3004,"&lt;"&amp;D2183,$D$5:$D$3004,"&gt;"&amp;C2183)&gt;1,"⚠️ пересечение",""))</f>
        <v/>
      </c>
      <c r="M2183" s="54">
        <f>IF(F2183="","",IF(J2183="✅ Сделано","✔ ",IF(J2183="❌ Пропущено","✖ ","⏰ "))&amp;IF(C2183="","",RIGHT("0"&amp;HOUR(C2183),2)&amp;":"&amp;RIGHT("0"&amp;MINUTE(C2183),2)&amp;IF(D2183="","","–"&amp;RIGHT("0"&amp;HOUR(D2183),2)&amp;":"&amp;RIGHT("0"&amp;MINUTE(D2183),2))&amp;" ")&amp;F2183)</f>
        <v/>
      </c>
      <c r="N2183" s="54">
        <f>IF(OR(A2183="",F2183=""),"",A2183&amp;"#"&amp;(COUNTIFS($A$5:$A$3004,A2183,$F$5:$F$3004,"?*",$O$5:$O$3004,"&lt;"&amp;O2183)+COUNTIFS($A$5:A2183,A2183,$F$5:F2183,"?*",$O$5:O2183,O2183)))</f>
        <v/>
      </c>
      <c r="O2183" s="54">
        <f>IF(A2183="","",IF(C2183="",0,C2183))</f>
        <v/>
      </c>
    </row>
    <row r="2184">
      <c r="A2184" s="58" t="n"/>
      <c r="B2184" s="49">
        <f>IF(A2184="","",CHOOSE(WEEKDAY(A2184,2),"Пн","Вт","Ср","Чт","Пт","Сб","Вс"))</f>
        <v/>
      </c>
      <c r="C2184" s="59" t="n"/>
      <c r="D2184" s="59" t="n"/>
      <c r="E2184" s="60">
        <f>IF(OR(C2184="",D2184=""),"",MOD(D2184-C2184,1)*24)</f>
        <v/>
      </c>
      <c r="F2184" s="50" t="n"/>
      <c r="G2184" s="51" t="n"/>
      <c r="H2184" s="51" t="n"/>
      <c r="I2184" s="51" t="n"/>
      <c r="J2184" s="51" t="n"/>
      <c r="K2184" s="51" t="n"/>
      <c r="L2184" s="54">
        <f>IF(OR(A2184="",C2184="",D2184=""),"",IF(COUNTIFS($A$5:$A$3004,A2184,$C$5:$C$3004,"&lt;"&amp;D2184,$D$5:$D$3004,"&gt;"&amp;C2184)&gt;1,"⚠️ пересечение",""))</f>
        <v/>
      </c>
      <c r="M2184" s="54">
        <f>IF(F2184="","",IF(J2184="✅ Сделано","✔ ",IF(J2184="❌ Пропущено","✖ ","⏰ "))&amp;IF(C2184="","",RIGHT("0"&amp;HOUR(C2184),2)&amp;":"&amp;RIGHT("0"&amp;MINUTE(C2184),2)&amp;IF(D2184="","","–"&amp;RIGHT("0"&amp;HOUR(D2184),2)&amp;":"&amp;RIGHT("0"&amp;MINUTE(D2184),2))&amp;" ")&amp;F2184)</f>
        <v/>
      </c>
      <c r="N2184" s="54">
        <f>IF(OR(A2184="",F2184=""),"",A2184&amp;"#"&amp;(COUNTIFS($A$5:$A$3004,A2184,$F$5:$F$3004,"?*",$O$5:$O$3004,"&lt;"&amp;O2184)+COUNTIFS($A$5:A2184,A2184,$F$5:F2184,"?*",$O$5:O2184,O2184)))</f>
        <v/>
      </c>
      <c r="O2184" s="54">
        <f>IF(A2184="","",IF(C2184="",0,C2184))</f>
        <v/>
      </c>
    </row>
    <row r="2185">
      <c r="A2185" s="58" t="n"/>
      <c r="B2185" s="49">
        <f>IF(A2185="","",CHOOSE(WEEKDAY(A2185,2),"Пн","Вт","Ср","Чт","Пт","Сб","Вс"))</f>
        <v/>
      </c>
      <c r="C2185" s="59" t="n"/>
      <c r="D2185" s="59" t="n"/>
      <c r="E2185" s="60">
        <f>IF(OR(C2185="",D2185=""),"",MOD(D2185-C2185,1)*24)</f>
        <v/>
      </c>
      <c r="F2185" s="50" t="n"/>
      <c r="G2185" s="51" t="n"/>
      <c r="H2185" s="51" t="n"/>
      <c r="I2185" s="51" t="n"/>
      <c r="J2185" s="51" t="n"/>
      <c r="K2185" s="51" t="n"/>
      <c r="L2185" s="54">
        <f>IF(OR(A2185="",C2185="",D2185=""),"",IF(COUNTIFS($A$5:$A$3004,A2185,$C$5:$C$3004,"&lt;"&amp;D2185,$D$5:$D$3004,"&gt;"&amp;C2185)&gt;1,"⚠️ пересечение",""))</f>
        <v/>
      </c>
      <c r="M2185" s="54">
        <f>IF(F2185="","",IF(J2185="✅ Сделано","✔ ",IF(J2185="❌ Пропущено","✖ ","⏰ "))&amp;IF(C2185="","",RIGHT("0"&amp;HOUR(C2185),2)&amp;":"&amp;RIGHT("0"&amp;MINUTE(C2185),2)&amp;IF(D2185="","","–"&amp;RIGHT("0"&amp;HOUR(D2185),2)&amp;":"&amp;RIGHT("0"&amp;MINUTE(D2185),2))&amp;" ")&amp;F2185)</f>
        <v/>
      </c>
      <c r="N2185" s="54">
        <f>IF(OR(A2185="",F2185=""),"",A2185&amp;"#"&amp;(COUNTIFS($A$5:$A$3004,A2185,$F$5:$F$3004,"?*",$O$5:$O$3004,"&lt;"&amp;O2185)+COUNTIFS($A$5:A2185,A2185,$F$5:F2185,"?*",$O$5:O2185,O2185)))</f>
        <v/>
      </c>
      <c r="O2185" s="54">
        <f>IF(A2185="","",IF(C2185="",0,C2185))</f>
        <v/>
      </c>
    </row>
    <row r="2186">
      <c r="A2186" s="58" t="n"/>
      <c r="B2186" s="49">
        <f>IF(A2186="","",CHOOSE(WEEKDAY(A2186,2),"Пн","Вт","Ср","Чт","Пт","Сб","Вс"))</f>
        <v/>
      </c>
      <c r="C2186" s="59" t="n"/>
      <c r="D2186" s="59" t="n"/>
      <c r="E2186" s="60">
        <f>IF(OR(C2186="",D2186=""),"",MOD(D2186-C2186,1)*24)</f>
        <v/>
      </c>
      <c r="F2186" s="50" t="n"/>
      <c r="G2186" s="51" t="n"/>
      <c r="H2186" s="51" t="n"/>
      <c r="I2186" s="51" t="n"/>
      <c r="J2186" s="51" t="n"/>
      <c r="K2186" s="51" t="n"/>
      <c r="L2186" s="54">
        <f>IF(OR(A2186="",C2186="",D2186=""),"",IF(COUNTIFS($A$5:$A$3004,A2186,$C$5:$C$3004,"&lt;"&amp;D2186,$D$5:$D$3004,"&gt;"&amp;C2186)&gt;1,"⚠️ пересечение",""))</f>
        <v/>
      </c>
      <c r="M2186" s="54">
        <f>IF(F2186="","",IF(J2186="✅ Сделано","✔ ",IF(J2186="❌ Пропущено","✖ ","⏰ "))&amp;IF(C2186="","",RIGHT("0"&amp;HOUR(C2186),2)&amp;":"&amp;RIGHT("0"&amp;MINUTE(C2186),2)&amp;IF(D2186="","","–"&amp;RIGHT("0"&amp;HOUR(D2186),2)&amp;":"&amp;RIGHT("0"&amp;MINUTE(D2186),2))&amp;" ")&amp;F2186)</f>
        <v/>
      </c>
      <c r="N2186" s="54">
        <f>IF(OR(A2186="",F2186=""),"",A2186&amp;"#"&amp;(COUNTIFS($A$5:$A$3004,A2186,$F$5:$F$3004,"?*",$O$5:$O$3004,"&lt;"&amp;O2186)+COUNTIFS($A$5:A2186,A2186,$F$5:F2186,"?*",$O$5:O2186,O2186)))</f>
        <v/>
      </c>
      <c r="O2186" s="54">
        <f>IF(A2186="","",IF(C2186="",0,C2186))</f>
        <v/>
      </c>
    </row>
    <row r="2187">
      <c r="A2187" s="58" t="n"/>
      <c r="B2187" s="49">
        <f>IF(A2187="","",CHOOSE(WEEKDAY(A2187,2),"Пн","Вт","Ср","Чт","Пт","Сб","Вс"))</f>
        <v/>
      </c>
      <c r="C2187" s="59" t="n"/>
      <c r="D2187" s="59" t="n"/>
      <c r="E2187" s="60">
        <f>IF(OR(C2187="",D2187=""),"",MOD(D2187-C2187,1)*24)</f>
        <v/>
      </c>
      <c r="F2187" s="50" t="n"/>
      <c r="G2187" s="51" t="n"/>
      <c r="H2187" s="51" t="n"/>
      <c r="I2187" s="51" t="n"/>
      <c r="J2187" s="51" t="n"/>
      <c r="K2187" s="51" t="n"/>
      <c r="L2187" s="54">
        <f>IF(OR(A2187="",C2187="",D2187=""),"",IF(COUNTIFS($A$5:$A$3004,A2187,$C$5:$C$3004,"&lt;"&amp;D2187,$D$5:$D$3004,"&gt;"&amp;C2187)&gt;1,"⚠️ пересечение",""))</f>
        <v/>
      </c>
      <c r="M2187" s="54">
        <f>IF(F2187="","",IF(J2187="✅ Сделано","✔ ",IF(J2187="❌ Пропущено","✖ ","⏰ "))&amp;IF(C2187="","",RIGHT("0"&amp;HOUR(C2187),2)&amp;":"&amp;RIGHT("0"&amp;MINUTE(C2187),2)&amp;IF(D2187="","","–"&amp;RIGHT("0"&amp;HOUR(D2187),2)&amp;":"&amp;RIGHT("0"&amp;MINUTE(D2187),2))&amp;" ")&amp;F2187)</f>
        <v/>
      </c>
      <c r="N2187" s="54">
        <f>IF(OR(A2187="",F2187=""),"",A2187&amp;"#"&amp;(COUNTIFS($A$5:$A$3004,A2187,$F$5:$F$3004,"?*",$O$5:$O$3004,"&lt;"&amp;O2187)+COUNTIFS($A$5:A2187,A2187,$F$5:F2187,"?*",$O$5:O2187,O2187)))</f>
        <v/>
      </c>
      <c r="O2187" s="54">
        <f>IF(A2187="","",IF(C2187="",0,C2187))</f>
        <v/>
      </c>
    </row>
    <row r="2188">
      <c r="A2188" s="58" t="n"/>
      <c r="B2188" s="49">
        <f>IF(A2188="","",CHOOSE(WEEKDAY(A2188,2),"Пн","Вт","Ср","Чт","Пт","Сб","Вс"))</f>
        <v/>
      </c>
      <c r="C2188" s="59" t="n"/>
      <c r="D2188" s="59" t="n"/>
      <c r="E2188" s="60">
        <f>IF(OR(C2188="",D2188=""),"",MOD(D2188-C2188,1)*24)</f>
        <v/>
      </c>
      <c r="F2188" s="50" t="n"/>
      <c r="G2188" s="51" t="n"/>
      <c r="H2188" s="51" t="n"/>
      <c r="I2188" s="51" t="n"/>
      <c r="J2188" s="51" t="n"/>
      <c r="K2188" s="51" t="n"/>
      <c r="L2188" s="54">
        <f>IF(OR(A2188="",C2188="",D2188=""),"",IF(COUNTIFS($A$5:$A$3004,A2188,$C$5:$C$3004,"&lt;"&amp;D2188,$D$5:$D$3004,"&gt;"&amp;C2188)&gt;1,"⚠️ пересечение",""))</f>
        <v/>
      </c>
      <c r="M2188" s="54">
        <f>IF(F2188="","",IF(J2188="✅ Сделано","✔ ",IF(J2188="❌ Пропущено","✖ ","⏰ "))&amp;IF(C2188="","",RIGHT("0"&amp;HOUR(C2188),2)&amp;":"&amp;RIGHT("0"&amp;MINUTE(C2188),2)&amp;IF(D2188="","","–"&amp;RIGHT("0"&amp;HOUR(D2188),2)&amp;":"&amp;RIGHT("0"&amp;MINUTE(D2188),2))&amp;" ")&amp;F2188)</f>
        <v/>
      </c>
      <c r="N2188" s="54">
        <f>IF(OR(A2188="",F2188=""),"",A2188&amp;"#"&amp;(COUNTIFS($A$5:$A$3004,A2188,$F$5:$F$3004,"?*",$O$5:$O$3004,"&lt;"&amp;O2188)+COUNTIFS($A$5:A2188,A2188,$F$5:F2188,"?*",$O$5:O2188,O2188)))</f>
        <v/>
      </c>
      <c r="O2188" s="54">
        <f>IF(A2188="","",IF(C2188="",0,C2188))</f>
        <v/>
      </c>
    </row>
    <row r="2189">
      <c r="A2189" s="58" t="n"/>
      <c r="B2189" s="49">
        <f>IF(A2189="","",CHOOSE(WEEKDAY(A2189,2),"Пн","Вт","Ср","Чт","Пт","Сб","Вс"))</f>
        <v/>
      </c>
      <c r="C2189" s="59" t="n"/>
      <c r="D2189" s="59" t="n"/>
      <c r="E2189" s="60">
        <f>IF(OR(C2189="",D2189=""),"",MOD(D2189-C2189,1)*24)</f>
        <v/>
      </c>
      <c r="F2189" s="50" t="n"/>
      <c r="G2189" s="51" t="n"/>
      <c r="H2189" s="51" t="n"/>
      <c r="I2189" s="51" t="n"/>
      <c r="J2189" s="51" t="n"/>
      <c r="K2189" s="51" t="n"/>
      <c r="L2189" s="54">
        <f>IF(OR(A2189="",C2189="",D2189=""),"",IF(COUNTIFS($A$5:$A$3004,A2189,$C$5:$C$3004,"&lt;"&amp;D2189,$D$5:$D$3004,"&gt;"&amp;C2189)&gt;1,"⚠️ пересечение",""))</f>
        <v/>
      </c>
      <c r="M2189" s="54">
        <f>IF(F2189="","",IF(J2189="✅ Сделано","✔ ",IF(J2189="❌ Пропущено","✖ ","⏰ "))&amp;IF(C2189="","",RIGHT("0"&amp;HOUR(C2189),2)&amp;":"&amp;RIGHT("0"&amp;MINUTE(C2189),2)&amp;IF(D2189="","","–"&amp;RIGHT("0"&amp;HOUR(D2189),2)&amp;":"&amp;RIGHT("0"&amp;MINUTE(D2189),2))&amp;" ")&amp;F2189)</f>
        <v/>
      </c>
      <c r="N2189" s="54">
        <f>IF(OR(A2189="",F2189=""),"",A2189&amp;"#"&amp;(COUNTIFS($A$5:$A$3004,A2189,$F$5:$F$3004,"?*",$O$5:$O$3004,"&lt;"&amp;O2189)+COUNTIFS($A$5:A2189,A2189,$F$5:F2189,"?*",$O$5:O2189,O2189)))</f>
        <v/>
      </c>
      <c r="O2189" s="54">
        <f>IF(A2189="","",IF(C2189="",0,C2189))</f>
        <v/>
      </c>
    </row>
    <row r="2190">
      <c r="A2190" s="58" t="n"/>
      <c r="B2190" s="49">
        <f>IF(A2190="","",CHOOSE(WEEKDAY(A2190,2),"Пн","Вт","Ср","Чт","Пт","Сб","Вс"))</f>
        <v/>
      </c>
      <c r="C2190" s="59" t="n"/>
      <c r="D2190" s="59" t="n"/>
      <c r="E2190" s="60">
        <f>IF(OR(C2190="",D2190=""),"",MOD(D2190-C2190,1)*24)</f>
        <v/>
      </c>
      <c r="F2190" s="50" t="n"/>
      <c r="G2190" s="51" t="n"/>
      <c r="H2190" s="51" t="n"/>
      <c r="I2190" s="51" t="n"/>
      <c r="J2190" s="51" t="n"/>
      <c r="K2190" s="51" t="n"/>
      <c r="L2190" s="54">
        <f>IF(OR(A2190="",C2190="",D2190=""),"",IF(COUNTIFS($A$5:$A$3004,A2190,$C$5:$C$3004,"&lt;"&amp;D2190,$D$5:$D$3004,"&gt;"&amp;C2190)&gt;1,"⚠️ пересечение",""))</f>
        <v/>
      </c>
      <c r="M2190" s="54">
        <f>IF(F2190="","",IF(J2190="✅ Сделано","✔ ",IF(J2190="❌ Пропущено","✖ ","⏰ "))&amp;IF(C2190="","",RIGHT("0"&amp;HOUR(C2190),2)&amp;":"&amp;RIGHT("0"&amp;MINUTE(C2190),2)&amp;IF(D2190="","","–"&amp;RIGHT("0"&amp;HOUR(D2190),2)&amp;":"&amp;RIGHT("0"&amp;MINUTE(D2190),2))&amp;" ")&amp;F2190)</f>
        <v/>
      </c>
      <c r="N2190" s="54">
        <f>IF(OR(A2190="",F2190=""),"",A2190&amp;"#"&amp;(COUNTIFS($A$5:$A$3004,A2190,$F$5:$F$3004,"?*",$O$5:$O$3004,"&lt;"&amp;O2190)+COUNTIFS($A$5:A2190,A2190,$F$5:F2190,"?*",$O$5:O2190,O2190)))</f>
        <v/>
      </c>
      <c r="O2190" s="54">
        <f>IF(A2190="","",IF(C2190="",0,C2190))</f>
        <v/>
      </c>
    </row>
    <row r="2191">
      <c r="A2191" s="58" t="n"/>
      <c r="B2191" s="49">
        <f>IF(A2191="","",CHOOSE(WEEKDAY(A2191,2),"Пн","Вт","Ср","Чт","Пт","Сб","Вс"))</f>
        <v/>
      </c>
      <c r="C2191" s="59" t="n"/>
      <c r="D2191" s="59" t="n"/>
      <c r="E2191" s="60">
        <f>IF(OR(C2191="",D2191=""),"",MOD(D2191-C2191,1)*24)</f>
        <v/>
      </c>
      <c r="F2191" s="50" t="n"/>
      <c r="G2191" s="51" t="n"/>
      <c r="H2191" s="51" t="n"/>
      <c r="I2191" s="51" t="n"/>
      <c r="J2191" s="51" t="n"/>
      <c r="K2191" s="51" t="n"/>
      <c r="L2191" s="54">
        <f>IF(OR(A2191="",C2191="",D2191=""),"",IF(COUNTIFS($A$5:$A$3004,A2191,$C$5:$C$3004,"&lt;"&amp;D2191,$D$5:$D$3004,"&gt;"&amp;C2191)&gt;1,"⚠️ пересечение",""))</f>
        <v/>
      </c>
      <c r="M2191" s="54">
        <f>IF(F2191="","",IF(J2191="✅ Сделано","✔ ",IF(J2191="❌ Пропущено","✖ ","⏰ "))&amp;IF(C2191="","",RIGHT("0"&amp;HOUR(C2191),2)&amp;":"&amp;RIGHT("0"&amp;MINUTE(C2191),2)&amp;IF(D2191="","","–"&amp;RIGHT("0"&amp;HOUR(D2191),2)&amp;":"&amp;RIGHT("0"&amp;MINUTE(D2191),2))&amp;" ")&amp;F2191)</f>
        <v/>
      </c>
      <c r="N2191" s="54">
        <f>IF(OR(A2191="",F2191=""),"",A2191&amp;"#"&amp;(COUNTIFS($A$5:$A$3004,A2191,$F$5:$F$3004,"?*",$O$5:$O$3004,"&lt;"&amp;O2191)+COUNTIFS($A$5:A2191,A2191,$F$5:F2191,"?*",$O$5:O2191,O2191)))</f>
        <v/>
      </c>
      <c r="O2191" s="54">
        <f>IF(A2191="","",IF(C2191="",0,C2191))</f>
        <v/>
      </c>
    </row>
    <row r="2192">
      <c r="A2192" s="58" t="n"/>
      <c r="B2192" s="49">
        <f>IF(A2192="","",CHOOSE(WEEKDAY(A2192,2),"Пн","Вт","Ср","Чт","Пт","Сб","Вс"))</f>
        <v/>
      </c>
      <c r="C2192" s="59" t="n"/>
      <c r="D2192" s="59" t="n"/>
      <c r="E2192" s="60">
        <f>IF(OR(C2192="",D2192=""),"",MOD(D2192-C2192,1)*24)</f>
        <v/>
      </c>
      <c r="F2192" s="50" t="n"/>
      <c r="G2192" s="51" t="n"/>
      <c r="H2192" s="51" t="n"/>
      <c r="I2192" s="51" t="n"/>
      <c r="J2192" s="51" t="n"/>
      <c r="K2192" s="51" t="n"/>
      <c r="L2192" s="54">
        <f>IF(OR(A2192="",C2192="",D2192=""),"",IF(COUNTIFS($A$5:$A$3004,A2192,$C$5:$C$3004,"&lt;"&amp;D2192,$D$5:$D$3004,"&gt;"&amp;C2192)&gt;1,"⚠️ пересечение",""))</f>
        <v/>
      </c>
      <c r="M2192" s="54">
        <f>IF(F2192="","",IF(J2192="✅ Сделано","✔ ",IF(J2192="❌ Пропущено","✖ ","⏰ "))&amp;IF(C2192="","",RIGHT("0"&amp;HOUR(C2192),2)&amp;":"&amp;RIGHT("0"&amp;MINUTE(C2192),2)&amp;IF(D2192="","","–"&amp;RIGHT("0"&amp;HOUR(D2192),2)&amp;":"&amp;RIGHT("0"&amp;MINUTE(D2192),2))&amp;" ")&amp;F2192)</f>
        <v/>
      </c>
      <c r="N2192" s="54">
        <f>IF(OR(A2192="",F2192=""),"",A2192&amp;"#"&amp;(COUNTIFS($A$5:$A$3004,A2192,$F$5:$F$3004,"?*",$O$5:$O$3004,"&lt;"&amp;O2192)+COUNTIFS($A$5:A2192,A2192,$F$5:F2192,"?*",$O$5:O2192,O2192)))</f>
        <v/>
      </c>
      <c r="O2192" s="54">
        <f>IF(A2192="","",IF(C2192="",0,C2192))</f>
        <v/>
      </c>
    </row>
    <row r="2193">
      <c r="A2193" s="58" t="n"/>
      <c r="B2193" s="49">
        <f>IF(A2193="","",CHOOSE(WEEKDAY(A2193,2),"Пн","Вт","Ср","Чт","Пт","Сб","Вс"))</f>
        <v/>
      </c>
      <c r="C2193" s="59" t="n"/>
      <c r="D2193" s="59" t="n"/>
      <c r="E2193" s="60">
        <f>IF(OR(C2193="",D2193=""),"",MOD(D2193-C2193,1)*24)</f>
        <v/>
      </c>
      <c r="F2193" s="50" t="n"/>
      <c r="G2193" s="51" t="n"/>
      <c r="H2193" s="51" t="n"/>
      <c r="I2193" s="51" t="n"/>
      <c r="J2193" s="51" t="n"/>
      <c r="K2193" s="51" t="n"/>
      <c r="L2193" s="54">
        <f>IF(OR(A2193="",C2193="",D2193=""),"",IF(COUNTIFS($A$5:$A$3004,A2193,$C$5:$C$3004,"&lt;"&amp;D2193,$D$5:$D$3004,"&gt;"&amp;C2193)&gt;1,"⚠️ пересечение",""))</f>
        <v/>
      </c>
      <c r="M2193" s="54">
        <f>IF(F2193="","",IF(J2193="✅ Сделано","✔ ",IF(J2193="❌ Пропущено","✖ ","⏰ "))&amp;IF(C2193="","",RIGHT("0"&amp;HOUR(C2193),2)&amp;":"&amp;RIGHT("0"&amp;MINUTE(C2193),2)&amp;IF(D2193="","","–"&amp;RIGHT("0"&amp;HOUR(D2193),2)&amp;":"&amp;RIGHT("0"&amp;MINUTE(D2193),2))&amp;" ")&amp;F2193)</f>
        <v/>
      </c>
      <c r="N2193" s="54">
        <f>IF(OR(A2193="",F2193=""),"",A2193&amp;"#"&amp;(COUNTIFS($A$5:$A$3004,A2193,$F$5:$F$3004,"?*",$O$5:$O$3004,"&lt;"&amp;O2193)+COUNTIFS($A$5:A2193,A2193,$F$5:F2193,"?*",$O$5:O2193,O2193)))</f>
        <v/>
      </c>
      <c r="O2193" s="54">
        <f>IF(A2193="","",IF(C2193="",0,C2193))</f>
        <v/>
      </c>
    </row>
    <row r="2194">
      <c r="A2194" s="58" t="n"/>
      <c r="B2194" s="49">
        <f>IF(A2194="","",CHOOSE(WEEKDAY(A2194,2),"Пн","Вт","Ср","Чт","Пт","Сб","Вс"))</f>
        <v/>
      </c>
      <c r="C2194" s="59" t="n"/>
      <c r="D2194" s="59" t="n"/>
      <c r="E2194" s="60">
        <f>IF(OR(C2194="",D2194=""),"",MOD(D2194-C2194,1)*24)</f>
        <v/>
      </c>
      <c r="F2194" s="50" t="n"/>
      <c r="G2194" s="51" t="n"/>
      <c r="H2194" s="51" t="n"/>
      <c r="I2194" s="51" t="n"/>
      <c r="J2194" s="51" t="n"/>
      <c r="K2194" s="51" t="n"/>
      <c r="L2194" s="54">
        <f>IF(OR(A2194="",C2194="",D2194=""),"",IF(COUNTIFS($A$5:$A$3004,A2194,$C$5:$C$3004,"&lt;"&amp;D2194,$D$5:$D$3004,"&gt;"&amp;C2194)&gt;1,"⚠️ пересечение",""))</f>
        <v/>
      </c>
      <c r="M2194" s="54">
        <f>IF(F2194="","",IF(J2194="✅ Сделано","✔ ",IF(J2194="❌ Пропущено","✖ ","⏰ "))&amp;IF(C2194="","",RIGHT("0"&amp;HOUR(C2194),2)&amp;":"&amp;RIGHT("0"&amp;MINUTE(C2194),2)&amp;IF(D2194="","","–"&amp;RIGHT("0"&amp;HOUR(D2194),2)&amp;":"&amp;RIGHT("0"&amp;MINUTE(D2194),2))&amp;" ")&amp;F2194)</f>
        <v/>
      </c>
      <c r="N2194" s="54">
        <f>IF(OR(A2194="",F2194=""),"",A2194&amp;"#"&amp;(COUNTIFS($A$5:$A$3004,A2194,$F$5:$F$3004,"?*",$O$5:$O$3004,"&lt;"&amp;O2194)+COUNTIFS($A$5:A2194,A2194,$F$5:F2194,"?*",$O$5:O2194,O2194)))</f>
        <v/>
      </c>
      <c r="O2194" s="54">
        <f>IF(A2194="","",IF(C2194="",0,C2194))</f>
        <v/>
      </c>
    </row>
    <row r="2195">
      <c r="A2195" s="58" t="n"/>
      <c r="B2195" s="49">
        <f>IF(A2195="","",CHOOSE(WEEKDAY(A2195,2),"Пн","Вт","Ср","Чт","Пт","Сб","Вс"))</f>
        <v/>
      </c>
      <c r="C2195" s="59" t="n"/>
      <c r="D2195" s="59" t="n"/>
      <c r="E2195" s="60">
        <f>IF(OR(C2195="",D2195=""),"",MOD(D2195-C2195,1)*24)</f>
        <v/>
      </c>
      <c r="F2195" s="50" t="n"/>
      <c r="G2195" s="51" t="n"/>
      <c r="H2195" s="51" t="n"/>
      <c r="I2195" s="51" t="n"/>
      <c r="J2195" s="51" t="n"/>
      <c r="K2195" s="51" t="n"/>
      <c r="L2195" s="54">
        <f>IF(OR(A2195="",C2195="",D2195=""),"",IF(COUNTIFS($A$5:$A$3004,A2195,$C$5:$C$3004,"&lt;"&amp;D2195,$D$5:$D$3004,"&gt;"&amp;C2195)&gt;1,"⚠️ пересечение",""))</f>
        <v/>
      </c>
      <c r="M2195" s="54">
        <f>IF(F2195="","",IF(J2195="✅ Сделано","✔ ",IF(J2195="❌ Пропущено","✖ ","⏰ "))&amp;IF(C2195="","",RIGHT("0"&amp;HOUR(C2195),2)&amp;":"&amp;RIGHT("0"&amp;MINUTE(C2195),2)&amp;IF(D2195="","","–"&amp;RIGHT("0"&amp;HOUR(D2195),2)&amp;":"&amp;RIGHT("0"&amp;MINUTE(D2195),2))&amp;" ")&amp;F2195)</f>
        <v/>
      </c>
      <c r="N2195" s="54">
        <f>IF(OR(A2195="",F2195=""),"",A2195&amp;"#"&amp;(COUNTIFS($A$5:$A$3004,A2195,$F$5:$F$3004,"?*",$O$5:$O$3004,"&lt;"&amp;O2195)+COUNTIFS($A$5:A2195,A2195,$F$5:F2195,"?*",$O$5:O2195,O2195)))</f>
        <v/>
      </c>
      <c r="O2195" s="54">
        <f>IF(A2195="","",IF(C2195="",0,C2195))</f>
        <v/>
      </c>
    </row>
    <row r="2196">
      <c r="A2196" s="58" t="n"/>
      <c r="B2196" s="49">
        <f>IF(A2196="","",CHOOSE(WEEKDAY(A2196,2),"Пн","Вт","Ср","Чт","Пт","Сб","Вс"))</f>
        <v/>
      </c>
      <c r="C2196" s="59" t="n"/>
      <c r="D2196" s="59" t="n"/>
      <c r="E2196" s="60">
        <f>IF(OR(C2196="",D2196=""),"",MOD(D2196-C2196,1)*24)</f>
        <v/>
      </c>
      <c r="F2196" s="50" t="n"/>
      <c r="G2196" s="51" t="n"/>
      <c r="H2196" s="51" t="n"/>
      <c r="I2196" s="51" t="n"/>
      <c r="J2196" s="51" t="n"/>
      <c r="K2196" s="51" t="n"/>
      <c r="L2196" s="54">
        <f>IF(OR(A2196="",C2196="",D2196=""),"",IF(COUNTIFS($A$5:$A$3004,A2196,$C$5:$C$3004,"&lt;"&amp;D2196,$D$5:$D$3004,"&gt;"&amp;C2196)&gt;1,"⚠️ пересечение",""))</f>
        <v/>
      </c>
      <c r="M2196" s="54">
        <f>IF(F2196="","",IF(J2196="✅ Сделано","✔ ",IF(J2196="❌ Пропущено","✖ ","⏰ "))&amp;IF(C2196="","",RIGHT("0"&amp;HOUR(C2196),2)&amp;":"&amp;RIGHT("0"&amp;MINUTE(C2196),2)&amp;IF(D2196="","","–"&amp;RIGHT("0"&amp;HOUR(D2196),2)&amp;":"&amp;RIGHT("0"&amp;MINUTE(D2196),2))&amp;" ")&amp;F2196)</f>
        <v/>
      </c>
      <c r="N2196" s="54">
        <f>IF(OR(A2196="",F2196=""),"",A2196&amp;"#"&amp;(COUNTIFS($A$5:$A$3004,A2196,$F$5:$F$3004,"?*",$O$5:$O$3004,"&lt;"&amp;O2196)+COUNTIFS($A$5:A2196,A2196,$F$5:F2196,"?*",$O$5:O2196,O2196)))</f>
        <v/>
      </c>
      <c r="O2196" s="54">
        <f>IF(A2196="","",IF(C2196="",0,C2196))</f>
        <v/>
      </c>
    </row>
    <row r="2197">
      <c r="A2197" s="58" t="n"/>
      <c r="B2197" s="49">
        <f>IF(A2197="","",CHOOSE(WEEKDAY(A2197,2),"Пн","Вт","Ср","Чт","Пт","Сб","Вс"))</f>
        <v/>
      </c>
      <c r="C2197" s="59" t="n"/>
      <c r="D2197" s="59" t="n"/>
      <c r="E2197" s="60">
        <f>IF(OR(C2197="",D2197=""),"",MOD(D2197-C2197,1)*24)</f>
        <v/>
      </c>
      <c r="F2197" s="50" t="n"/>
      <c r="G2197" s="51" t="n"/>
      <c r="H2197" s="51" t="n"/>
      <c r="I2197" s="51" t="n"/>
      <c r="J2197" s="51" t="n"/>
      <c r="K2197" s="51" t="n"/>
      <c r="L2197" s="54">
        <f>IF(OR(A2197="",C2197="",D2197=""),"",IF(COUNTIFS($A$5:$A$3004,A2197,$C$5:$C$3004,"&lt;"&amp;D2197,$D$5:$D$3004,"&gt;"&amp;C2197)&gt;1,"⚠️ пересечение",""))</f>
        <v/>
      </c>
      <c r="M2197" s="54">
        <f>IF(F2197="","",IF(J2197="✅ Сделано","✔ ",IF(J2197="❌ Пропущено","✖ ","⏰ "))&amp;IF(C2197="","",RIGHT("0"&amp;HOUR(C2197),2)&amp;":"&amp;RIGHT("0"&amp;MINUTE(C2197),2)&amp;IF(D2197="","","–"&amp;RIGHT("0"&amp;HOUR(D2197),2)&amp;":"&amp;RIGHT("0"&amp;MINUTE(D2197),2))&amp;" ")&amp;F2197)</f>
        <v/>
      </c>
      <c r="N2197" s="54">
        <f>IF(OR(A2197="",F2197=""),"",A2197&amp;"#"&amp;(COUNTIFS($A$5:$A$3004,A2197,$F$5:$F$3004,"?*",$O$5:$O$3004,"&lt;"&amp;O2197)+COUNTIFS($A$5:A2197,A2197,$F$5:F2197,"?*",$O$5:O2197,O2197)))</f>
        <v/>
      </c>
      <c r="O2197" s="54">
        <f>IF(A2197="","",IF(C2197="",0,C2197))</f>
        <v/>
      </c>
    </row>
    <row r="2198">
      <c r="A2198" s="58" t="n"/>
      <c r="B2198" s="49">
        <f>IF(A2198="","",CHOOSE(WEEKDAY(A2198,2),"Пн","Вт","Ср","Чт","Пт","Сб","Вс"))</f>
        <v/>
      </c>
      <c r="C2198" s="59" t="n"/>
      <c r="D2198" s="59" t="n"/>
      <c r="E2198" s="60">
        <f>IF(OR(C2198="",D2198=""),"",MOD(D2198-C2198,1)*24)</f>
        <v/>
      </c>
      <c r="F2198" s="50" t="n"/>
      <c r="G2198" s="51" t="n"/>
      <c r="H2198" s="51" t="n"/>
      <c r="I2198" s="51" t="n"/>
      <c r="J2198" s="51" t="n"/>
      <c r="K2198" s="51" t="n"/>
      <c r="L2198" s="54">
        <f>IF(OR(A2198="",C2198="",D2198=""),"",IF(COUNTIFS($A$5:$A$3004,A2198,$C$5:$C$3004,"&lt;"&amp;D2198,$D$5:$D$3004,"&gt;"&amp;C2198)&gt;1,"⚠️ пересечение",""))</f>
        <v/>
      </c>
      <c r="M2198" s="54">
        <f>IF(F2198="","",IF(J2198="✅ Сделано","✔ ",IF(J2198="❌ Пропущено","✖ ","⏰ "))&amp;IF(C2198="","",RIGHT("0"&amp;HOUR(C2198),2)&amp;":"&amp;RIGHT("0"&amp;MINUTE(C2198),2)&amp;IF(D2198="","","–"&amp;RIGHT("0"&amp;HOUR(D2198),2)&amp;":"&amp;RIGHT("0"&amp;MINUTE(D2198),2))&amp;" ")&amp;F2198)</f>
        <v/>
      </c>
      <c r="N2198" s="54">
        <f>IF(OR(A2198="",F2198=""),"",A2198&amp;"#"&amp;(COUNTIFS($A$5:$A$3004,A2198,$F$5:$F$3004,"?*",$O$5:$O$3004,"&lt;"&amp;O2198)+COUNTIFS($A$5:A2198,A2198,$F$5:F2198,"?*",$O$5:O2198,O2198)))</f>
        <v/>
      </c>
      <c r="O2198" s="54">
        <f>IF(A2198="","",IF(C2198="",0,C2198))</f>
        <v/>
      </c>
    </row>
    <row r="2199">
      <c r="A2199" s="58" t="n"/>
      <c r="B2199" s="49">
        <f>IF(A2199="","",CHOOSE(WEEKDAY(A2199,2),"Пн","Вт","Ср","Чт","Пт","Сб","Вс"))</f>
        <v/>
      </c>
      <c r="C2199" s="59" t="n"/>
      <c r="D2199" s="59" t="n"/>
      <c r="E2199" s="60">
        <f>IF(OR(C2199="",D2199=""),"",MOD(D2199-C2199,1)*24)</f>
        <v/>
      </c>
      <c r="F2199" s="50" t="n"/>
      <c r="G2199" s="51" t="n"/>
      <c r="H2199" s="51" t="n"/>
      <c r="I2199" s="51" t="n"/>
      <c r="J2199" s="51" t="n"/>
      <c r="K2199" s="51" t="n"/>
      <c r="L2199" s="54">
        <f>IF(OR(A2199="",C2199="",D2199=""),"",IF(COUNTIFS($A$5:$A$3004,A2199,$C$5:$C$3004,"&lt;"&amp;D2199,$D$5:$D$3004,"&gt;"&amp;C2199)&gt;1,"⚠️ пересечение",""))</f>
        <v/>
      </c>
      <c r="M2199" s="54">
        <f>IF(F2199="","",IF(J2199="✅ Сделано","✔ ",IF(J2199="❌ Пропущено","✖ ","⏰ "))&amp;IF(C2199="","",RIGHT("0"&amp;HOUR(C2199),2)&amp;":"&amp;RIGHT("0"&amp;MINUTE(C2199),2)&amp;IF(D2199="","","–"&amp;RIGHT("0"&amp;HOUR(D2199),2)&amp;":"&amp;RIGHT("0"&amp;MINUTE(D2199),2))&amp;" ")&amp;F2199)</f>
        <v/>
      </c>
      <c r="N2199" s="54">
        <f>IF(OR(A2199="",F2199=""),"",A2199&amp;"#"&amp;(COUNTIFS($A$5:$A$3004,A2199,$F$5:$F$3004,"?*",$O$5:$O$3004,"&lt;"&amp;O2199)+COUNTIFS($A$5:A2199,A2199,$F$5:F2199,"?*",$O$5:O2199,O2199)))</f>
        <v/>
      </c>
      <c r="O2199" s="54">
        <f>IF(A2199="","",IF(C2199="",0,C2199))</f>
        <v/>
      </c>
    </row>
    <row r="2200">
      <c r="A2200" s="58" t="n"/>
      <c r="B2200" s="49">
        <f>IF(A2200="","",CHOOSE(WEEKDAY(A2200,2),"Пн","Вт","Ср","Чт","Пт","Сб","Вс"))</f>
        <v/>
      </c>
      <c r="C2200" s="59" t="n"/>
      <c r="D2200" s="59" t="n"/>
      <c r="E2200" s="60">
        <f>IF(OR(C2200="",D2200=""),"",MOD(D2200-C2200,1)*24)</f>
        <v/>
      </c>
      <c r="F2200" s="50" t="n"/>
      <c r="G2200" s="51" t="n"/>
      <c r="H2200" s="51" t="n"/>
      <c r="I2200" s="51" t="n"/>
      <c r="J2200" s="51" t="n"/>
      <c r="K2200" s="51" t="n"/>
      <c r="L2200" s="54">
        <f>IF(OR(A2200="",C2200="",D2200=""),"",IF(COUNTIFS($A$5:$A$3004,A2200,$C$5:$C$3004,"&lt;"&amp;D2200,$D$5:$D$3004,"&gt;"&amp;C2200)&gt;1,"⚠️ пересечение",""))</f>
        <v/>
      </c>
      <c r="M2200" s="54">
        <f>IF(F2200="","",IF(J2200="✅ Сделано","✔ ",IF(J2200="❌ Пропущено","✖ ","⏰ "))&amp;IF(C2200="","",RIGHT("0"&amp;HOUR(C2200),2)&amp;":"&amp;RIGHT("0"&amp;MINUTE(C2200),2)&amp;IF(D2200="","","–"&amp;RIGHT("0"&amp;HOUR(D2200),2)&amp;":"&amp;RIGHT("0"&amp;MINUTE(D2200),2))&amp;" ")&amp;F2200)</f>
        <v/>
      </c>
      <c r="N2200" s="54">
        <f>IF(OR(A2200="",F2200=""),"",A2200&amp;"#"&amp;(COUNTIFS($A$5:$A$3004,A2200,$F$5:$F$3004,"?*",$O$5:$O$3004,"&lt;"&amp;O2200)+COUNTIFS($A$5:A2200,A2200,$F$5:F2200,"?*",$O$5:O2200,O2200)))</f>
        <v/>
      </c>
      <c r="O2200" s="54">
        <f>IF(A2200="","",IF(C2200="",0,C2200))</f>
        <v/>
      </c>
    </row>
    <row r="2201">
      <c r="A2201" s="58" t="n"/>
      <c r="B2201" s="49">
        <f>IF(A2201="","",CHOOSE(WEEKDAY(A2201,2),"Пн","Вт","Ср","Чт","Пт","Сб","Вс"))</f>
        <v/>
      </c>
      <c r="C2201" s="59" t="n"/>
      <c r="D2201" s="59" t="n"/>
      <c r="E2201" s="60">
        <f>IF(OR(C2201="",D2201=""),"",MOD(D2201-C2201,1)*24)</f>
        <v/>
      </c>
      <c r="F2201" s="50" t="n"/>
      <c r="G2201" s="51" t="n"/>
      <c r="H2201" s="51" t="n"/>
      <c r="I2201" s="51" t="n"/>
      <c r="J2201" s="51" t="n"/>
      <c r="K2201" s="51" t="n"/>
      <c r="L2201" s="54">
        <f>IF(OR(A2201="",C2201="",D2201=""),"",IF(COUNTIFS($A$5:$A$3004,A2201,$C$5:$C$3004,"&lt;"&amp;D2201,$D$5:$D$3004,"&gt;"&amp;C2201)&gt;1,"⚠️ пересечение",""))</f>
        <v/>
      </c>
      <c r="M2201" s="54">
        <f>IF(F2201="","",IF(J2201="✅ Сделано","✔ ",IF(J2201="❌ Пропущено","✖ ","⏰ "))&amp;IF(C2201="","",RIGHT("0"&amp;HOUR(C2201),2)&amp;":"&amp;RIGHT("0"&amp;MINUTE(C2201),2)&amp;IF(D2201="","","–"&amp;RIGHT("0"&amp;HOUR(D2201),2)&amp;":"&amp;RIGHT("0"&amp;MINUTE(D2201),2))&amp;" ")&amp;F2201)</f>
        <v/>
      </c>
      <c r="N2201" s="54">
        <f>IF(OR(A2201="",F2201=""),"",A2201&amp;"#"&amp;(COUNTIFS($A$5:$A$3004,A2201,$F$5:$F$3004,"?*",$O$5:$O$3004,"&lt;"&amp;O2201)+COUNTIFS($A$5:A2201,A2201,$F$5:F2201,"?*",$O$5:O2201,O2201)))</f>
        <v/>
      </c>
      <c r="O2201" s="54">
        <f>IF(A2201="","",IF(C2201="",0,C2201))</f>
        <v/>
      </c>
    </row>
    <row r="2202">
      <c r="A2202" s="58" t="n"/>
      <c r="B2202" s="49">
        <f>IF(A2202="","",CHOOSE(WEEKDAY(A2202,2),"Пн","Вт","Ср","Чт","Пт","Сб","Вс"))</f>
        <v/>
      </c>
      <c r="C2202" s="59" t="n"/>
      <c r="D2202" s="59" t="n"/>
      <c r="E2202" s="60">
        <f>IF(OR(C2202="",D2202=""),"",MOD(D2202-C2202,1)*24)</f>
        <v/>
      </c>
      <c r="F2202" s="50" t="n"/>
      <c r="G2202" s="51" t="n"/>
      <c r="H2202" s="51" t="n"/>
      <c r="I2202" s="51" t="n"/>
      <c r="J2202" s="51" t="n"/>
      <c r="K2202" s="51" t="n"/>
      <c r="L2202" s="54">
        <f>IF(OR(A2202="",C2202="",D2202=""),"",IF(COUNTIFS($A$5:$A$3004,A2202,$C$5:$C$3004,"&lt;"&amp;D2202,$D$5:$D$3004,"&gt;"&amp;C2202)&gt;1,"⚠️ пересечение",""))</f>
        <v/>
      </c>
      <c r="M2202" s="54">
        <f>IF(F2202="","",IF(J2202="✅ Сделано","✔ ",IF(J2202="❌ Пропущено","✖ ","⏰ "))&amp;IF(C2202="","",RIGHT("0"&amp;HOUR(C2202),2)&amp;":"&amp;RIGHT("0"&amp;MINUTE(C2202),2)&amp;IF(D2202="","","–"&amp;RIGHT("0"&amp;HOUR(D2202),2)&amp;":"&amp;RIGHT("0"&amp;MINUTE(D2202),2))&amp;" ")&amp;F2202)</f>
        <v/>
      </c>
      <c r="N2202" s="54">
        <f>IF(OR(A2202="",F2202=""),"",A2202&amp;"#"&amp;(COUNTIFS($A$5:$A$3004,A2202,$F$5:$F$3004,"?*",$O$5:$O$3004,"&lt;"&amp;O2202)+COUNTIFS($A$5:A2202,A2202,$F$5:F2202,"?*",$O$5:O2202,O2202)))</f>
        <v/>
      </c>
      <c r="O2202" s="54">
        <f>IF(A2202="","",IF(C2202="",0,C2202))</f>
        <v/>
      </c>
    </row>
    <row r="2203">
      <c r="A2203" s="58" t="n"/>
      <c r="B2203" s="49">
        <f>IF(A2203="","",CHOOSE(WEEKDAY(A2203,2),"Пн","Вт","Ср","Чт","Пт","Сб","Вс"))</f>
        <v/>
      </c>
      <c r="C2203" s="59" t="n"/>
      <c r="D2203" s="59" t="n"/>
      <c r="E2203" s="60">
        <f>IF(OR(C2203="",D2203=""),"",MOD(D2203-C2203,1)*24)</f>
        <v/>
      </c>
      <c r="F2203" s="50" t="n"/>
      <c r="G2203" s="51" t="n"/>
      <c r="H2203" s="51" t="n"/>
      <c r="I2203" s="51" t="n"/>
      <c r="J2203" s="51" t="n"/>
      <c r="K2203" s="51" t="n"/>
      <c r="L2203" s="54">
        <f>IF(OR(A2203="",C2203="",D2203=""),"",IF(COUNTIFS($A$5:$A$3004,A2203,$C$5:$C$3004,"&lt;"&amp;D2203,$D$5:$D$3004,"&gt;"&amp;C2203)&gt;1,"⚠️ пересечение",""))</f>
        <v/>
      </c>
      <c r="M2203" s="54">
        <f>IF(F2203="","",IF(J2203="✅ Сделано","✔ ",IF(J2203="❌ Пропущено","✖ ","⏰ "))&amp;IF(C2203="","",RIGHT("0"&amp;HOUR(C2203),2)&amp;":"&amp;RIGHT("0"&amp;MINUTE(C2203),2)&amp;IF(D2203="","","–"&amp;RIGHT("0"&amp;HOUR(D2203),2)&amp;":"&amp;RIGHT("0"&amp;MINUTE(D2203),2))&amp;" ")&amp;F2203)</f>
        <v/>
      </c>
      <c r="N2203" s="54">
        <f>IF(OR(A2203="",F2203=""),"",A2203&amp;"#"&amp;(COUNTIFS($A$5:$A$3004,A2203,$F$5:$F$3004,"?*",$O$5:$O$3004,"&lt;"&amp;O2203)+COUNTIFS($A$5:A2203,A2203,$F$5:F2203,"?*",$O$5:O2203,O2203)))</f>
        <v/>
      </c>
      <c r="O2203" s="54">
        <f>IF(A2203="","",IF(C2203="",0,C2203))</f>
        <v/>
      </c>
    </row>
    <row r="2204">
      <c r="A2204" s="58" t="n"/>
      <c r="B2204" s="49">
        <f>IF(A2204="","",CHOOSE(WEEKDAY(A2204,2),"Пн","Вт","Ср","Чт","Пт","Сб","Вс"))</f>
        <v/>
      </c>
      <c r="C2204" s="59" t="n"/>
      <c r="D2204" s="59" t="n"/>
      <c r="E2204" s="60">
        <f>IF(OR(C2204="",D2204=""),"",MOD(D2204-C2204,1)*24)</f>
        <v/>
      </c>
      <c r="F2204" s="50" t="n"/>
      <c r="G2204" s="51" t="n"/>
      <c r="H2204" s="51" t="n"/>
      <c r="I2204" s="51" t="n"/>
      <c r="J2204" s="51" t="n"/>
      <c r="K2204" s="51" t="n"/>
      <c r="L2204" s="54">
        <f>IF(OR(A2204="",C2204="",D2204=""),"",IF(COUNTIFS($A$5:$A$3004,A2204,$C$5:$C$3004,"&lt;"&amp;D2204,$D$5:$D$3004,"&gt;"&amp;C2204)&gt;1,"⚠️ пересечение",""))</f>
        <v/>
      </c>
      <c r="M2204" s="54">
        <f>IF(F2204="","",IF(J2204="✅ Сделано","✔ ",IF(J2204="❌ Пропущено","✖ ","⏰ "))&amp;IF(C2204="","",RIGHT("0"&amp;HOUR(C2204),2)&amp;":"&amp;RIGHT("0"&amp;MINUTE(C2204),2)&amp;IF(D2204="","","–"&amp;RIGHT("0"&amp;HOUR(D2204),2)&amp;":"&amp;RIGHT("0"&amp;MINUTE(D2204),2))&amp;" ")&amp;F2204)</f>
        <v/>
      </c>
      <c r="N2204" s="54">
        <f>IF(OR(A2204="",F2204=""),"",A2204&amp;"#"&amp;(COUNTIFS($A$5:$A$3004,A2204,$F$5:$F$3004,"?*",$O$5:$O$3004,"&lt;"&amp;O2204)+COUNTIFS($A$5:A2204,A2204,$F$5:F2204,"?*",$O$5:O2204,O2204)))</f>
        <v/>
      </c>
      <c r="O2204" s="54">
        <f>IF(A2204="","",IF(C2204="",0,C2204))</f>
        <v/>
      </c>
    </row>
    <row r="2205">
      <c r="A2205" s="58" t="n"/>
      <c r="B2205" s="49">
        <f>IF(A2205="","",CHOOSE(WEEKDAY(A2205,2),"Пн","Вт","Ср","Чт","Пт","Сб","Вс"))</f>
        <v/>
      </c>
      <c r="C2205" s="59" t="n"/>
      <c r="D2205" s="59" t="n"/>
      <c r="E2205" s="60">
        <f>IF(OR(C2205="",D2205=""),"",MOD(D2205-C2205,1)*24)</f>
        <v/>
      </c>
      <c r="F2205" s="50" t="n"/>
      <c r="G2205" s="51" t="n"/>
      <c r="H2205" s="51" t="n"/>
      <c r="I2205" s="51" t="n"/>
      <c r="J2205" s="51" t="n"/>
      <c r="K2205" s="51" t="n"/>
      <c r="L2205" s="54">
        <f>IF(OR(A2205="",C2205="",D2205=""),"",IF(COUNTIFS($A$5:$A$3004,A2205,$C$5:$C$3004,"&lt;"&amp;D2205,$D$5:$D$3004,"&gt;"&amp;C2205)&gt;1,"⚠️ пересечение",""))</f>
        <v/>
      </c>
      <c r="M2205" s="54">
        <f>IF(F2205="","",IF(J2205="✅ Сделано","✔ ",IF(J2205="❌ Пропущено","✖ ","⏰ "))&amp;IF(C2205="","",RIGHT("0"&amp;HOUR(C2205),2)&amp;":"&amp;RIGHT("0"&amp;MINUTE(C2205),2)&amp;IF(D2205="","","–"&amp;RIGHT("0"&amp;HOUR(D2205),2)&amp;":"&amp;RIGHT("0"&amp;MINUTE(D2205),2))&amp;" ")&amp;F2205)</f>
        <v/>
      </c>
      <c r="N2205" s="54">
        <f>IF(OR(A2205="",F2205=""),"",A2205&amp;"#"&amp;(COUNTIFS($A$5:$A$3004,A2205,$F$5:$F$3004,"?*",$O$5:$O$3004,"&lt;"&amp;O2205)+COUNTIFS($A$5:A2205,A2205,$F$5:F2205,"?*",$O$5:O2205,O2205)))</f>
        <v/>
      </c>
      <c r="O2205" s="54">
        <f>IF(A2205="","",IF(C2205="",0,C2205))</f>
        <v/>
      </c>
    </row>
    <row r="2206">
      <c r="A2206" s="58" t="n"/>
      <c r="B2206" s="49">
        <f>IF(A2206="","",CHOOSE(WEEKDAY(A2206,2),"Пн","Вт","Ср","Чт","Пт","Сб","Вс"))</f>
        <v/>
      </c>
      <c r="C2206" s="59" t="n"/>
      <c r="D2206" s="59" t="n"/>
      <c r="E2206" s="60">
        <f>IF(OR(C2206="",D2206=""),"",MOD(D2206-C2206,1)*24)</f>
        <v/>
      </c>
      <c r="F2206" s="50" t="n"/>
      <c r="G2206" s="51" t="n"/>
      <c r="H2206" s="51" t="n"/>
      <c r="I2206" s="51" t="n"/>
      <c r="J2206" s="51" t="n"/>
      <c r="K2206" s="51" t="n"/>
      <c r="L2206" s="54">
        <f>IF(OR(A2206="",C2206="",D2206=""),"",IF(COUNTIFS($A$5:$A$3004,A2206,$C$5:$C$3004,"&lt;"&amp;D2206,$D$5:$D$3004,"&gt;"&amp;C2206)&gt;1,"⚠️ пересечение",""))</f>
        <v/>
      </c>
      <c r="M2206" s="54">
        <f>IF(F2206="","",IF(J2206="✅ Сделано","✔ ",IF(J2206="❌ Пропущено","✖ ","⏰ "))&amp;IF(C2206="","",RIGHT("0"&amp;HOUR(C2206),2)&amp;":"&amp;RIGHT("0"&amp;MINUTE(C2206),2)&amp;IF(D2206="","","–"&amp;RIGHT("0"&amp;HOUR(D2206),2)&amp;":"&amp;RIGHT("0"&amp;MINUTE(D2206),2))&amp;" ")&amp;F2206)</f>
        <v/>
      </c>
      <c r="N2206" s="54">
        <f>IF(OR(A2206="",F2206=""),"",A2206&amp;"#"&amp;(COUNTIFS($A$5:$A$3004,A2206,$F$5:$F$3004,"?*",$O$5:$O$3004,"&lt;"&amp;O2206)+COUNTIFS($A$5:A2206,A2206,$F$5:F2206,"?*",$O$5:O2206,O2206)))</f>
        <v/>
      </c>
      <c r="O2206" s="54">
        <f>IF(A2206="","",IF(C2206="",0,C2206))</f>
        <v/>
      </c>
    </row>
    <row r="2207">
      <c r="A2207" s="58" t="n"/>
      <c r="B2207" s="49">
        <f>IF(A2207="","",CHOOSE(WEEKDAY(A2207,2),"Пн","Вт","Ср","Чт","Пт","Сб","Вс"))</f>
        <v/>
      </c>
      <c r="C2207" s="59" t="n"/>
      <c r="D2207" s="59" t="n"/>
      <c r="E2207" s="60">
        <f>IF(OR(C2207="",D2207=""),"",MOD(D2207-C2207,1)*24)</f>
        <v/>
      </c>
      <c r="F2207" s="50" t="n"/>
      <c r="G2207" s="51" t="n"/>
      <c r="H2207" s="51" t="n"/>
      <c r="I2207" s="51" t="n"/>
      <c r="J2207" s="51" t="n"/>
      <c r="K2207" s="51" t="n"/>
      <c r="L2207" s="54">
        <f>IF(OR(A2207="",C2207="",D2207=""),"",IF(COUNTIFS($A$5:$A$3004,A2207,$C$5:$C$3004,"&lt;"&amp;D2207,$D$5:$D$3004,"&gt;"&amp;C2207)&gt;1,"⚠️ пересечение",""))</f>
        <v/>
      </c>
      <c r="M2207" s="54">
        <f>IF(F2207="","",IF(J2207="✅ Сделано","✔ ",IF(J2207="❌ Пропущено","✖ ","⏰ "))&amp;IF(C2207="","",RIGHT("0"&amp;HOUR(C2207),2)&amp;":"&amp;RIGHT("0"&amp;MINUTE(C2207),2)&amp;IF(D2207="","","–"&amp;RIGHT("0"&amp;HOUR(D2207),2)&amp;":"&amp;RIGHT("0"&amp;MINUTE(D2207),2))&amp;" ")&amp;F2207)</f>
        <v/>
      </c>
      <c r="N2207" s="54">
        <f>IF(OR(A2207="",F2207=""),"",A2207&amp;"#"&amp;(COUNTIFS($A$5:$A$3004,A2207,$F$5:$F$3004,"?*",$O$5:$O$3004,"&lt;"&amp;O2207)+COUNTIFS($A$5:A2207,A2207,$F$5:F2207,"?*",$O$5:O2207,O2207)))</f>
        <v/>
      </c>
      <c r="O2207" s="54">
        <f>IF(A2207="","",IF(C2207="",0,C2207))</f>
        <v/>
      </c>
    </row>
    <row r="2208">
      <c r="A2208" s="58" t="n"/>
      <c r="B2208" s="49">
        <f>IF(A2208="","",CHOOSE(WEEKDAY(A2208,2),"Пн","Вт","Ср","Чт","Пт","Сб","Вс"))</f>
        <v/>
      </c>
      <c r="C2208" s="59" t="n"/>
      <c r="D2208" s="59" t="n"/>
      <c r="E2208" s="60">
        <f>IF(OR(C2208="",D2208=""),"",MOD(D2208-C2208,1)*24)</f>
        <v/>
      </c>
      <c r="F2208" s="50" t="n"/>
      <c r="G2208" s="51" t="n"/>
      <c r="H2208" s="51" t="n"/>
      <c r="I2208" s="51" t="n"/>
      <c r="J2208" s="51" t="n"/>
      <c r="K2208" s="51" t="n"/>
      <c r="L2208" s="54">
        <f>IF(OR(A2208="",C2208="",D2208=""),"",IF(COUNTIFS($A$5:$A$3004,A2208,$C$5:$C$3004,"&lt;"&amp;D2208,$D$5:$D$3004,"&gt;"&amp;C2208)&gt;1,"⚠️ пересечение",""))</f>
        <v/>
      </c>
      <c r="M2208" s="54">
        <f>IF(F2208="","",IF(J2208="✅ Сделано","✔ ",IF(J2208="❌ Пропущено","✖ ","⏰ "))&amp;IF(C2208="","",RIGHT("0"&amp;HOUR(C2208),2)&amp;":"&amp;RIGHT("0"&amp;MINUTE(C2208),2)&amp;IF(D2208="","","–"&amp;RIGHT("0"&amp;HOUR(D2208),2)&amp;":"&amp;RIGHT("0"&amp;MINUTE(D2208),2))&amp;" ")&amp;F2208)</f>
        <v/>
      </c>
      <c r="N2208" s="54">
        <f>IF(OR(A2208="",F2208=""),"",A2208&amp;"#"&amp;(COUNTIFS($A$5:$A$3004,A2208,$F$5:$F$3004,"?*",$O$5:$O$3004,"&lt;"&amp;O2208)+COUNTIFS($A$5:A2208,A2208,$F$5:F2208,"?*",$O$5:O2208,O2208)))</f>
        <v/>
      </c>
      <c r="O2208" s="54">
        <f>IF(A2208="","",IF(C2208="",0,C2208))</f>
        <v/>
      </c>
    </row>
    <row r="2209">
      <c r="A2209" s="58" t="n"/>
      <c r="B2209" s="49">
        <f>IF(A2209="","",CHOOSE(WEEKDAY(A2209,2),"Пн","Вт","Ср","Чт","Пт","Сб","Вс"))</f>
        <v/>
      </c>
      <c r="C2209" s="59" t="n"/>
      <c r="D2209" s="59" t="n"/>
      <c r="E2209" s="60">
        <f>IF(OR(C2209="",D2209=""),"",MOD(D2209-C2209,1)*24)</f>
        <v/>
      </c>
      <c r="F2209" s="50" t="n"/>
      <c r="G2209" s="51" t="n"/>
      <c r="H2209" s="51" t="n"/>
      <c r="I2209" s="51" t="n"/>
      <c r="J2209" s="51" t="n"/>
      <c r="K2209" s="51" t="n"/>
      <c r="L2209" s="54">
        <f>IF(OR(A2209="",C2209="",D2209=""),"",IF(COUNTIFS($A$5:$A$3004,A2209,$C$5:$C$3004,"&lt;"&amp;D2209,$D$5:$D$3004,"&gt;"&amp;C2209)&gt;1,"⚠️ пересечение",""))</f>
        <v/>
      </c>
      <c r="M2209" s="54">
        <f>IF(F2209="","",IF(J2209="✅ Сделано","✔ ",IF(J2209="❌ Пропущено","✖ ","⏰ "))&amp;IF(C2209="","",RIGHT("0"&amp;HOUR(C2209),2)&amp;":"&amp;RIGHT("0"&amp;MINUTE(C2209),2)&amp;IF(D2209="","","–"&amp;RIGHT("0"&amp;HOUR(D2209),2)&amp;":"&amp;RIGHT("0"&amp;MINUTE(D2209),2))&amp;" ")&amp;F2209)</f>
        <v/>
      </c>
      <c r="N2209" s="54">
        <f>IF(OR(A2209="",F2209=""),"",A2209&amp;"#"&amp;(COUNTIFS($A$5:$A$3004,A2209,$F$5:$F$3004,"?*",$O$5:$O$3004,"&lt;"&amp;O2209)+COUNTIFS($A$5:A2209,A2209,$F$5:F2209,"?*",$O$5:O2209,O2209)))</f>
        <v/>
      </c>
      <c r="O2209" s="54">
        <f>IF(A2209="","",IF(C2209="",0,C2209))</f>
        <v/>
      </c>
    </row>
    <row r="2210">
      <c r="A2210" s="58" t="n"/>
      <c r="B2210" s="49">
        <f>IF(A2210="","",CHOOSE(WEEKDAY(A2210,2),"Пн","Вт","Ср","Чт","Пт","Сб","Вс"))</f>
        <v/>
      </c>
      <c r="C2210" s="59" t="n"/>
      <c r="D2210" s="59" t="n"/>
      <c r="E2210" s="60">
        <f>IF(OR(C2210="",D2210=""),"",MOD(D2210-C2210,1)*24)</f>
        <v/>
      </c>
      <c r="F2210" s="50" t="n"/>
      <c r="G2210" s="51" t="n"/>
      <c r="H2210" s="51" t="n"/>
      <c r="I2210" s="51" t="n"/>
      <c r="J2210" s="51" t="n"/>
      <c r="K2210" s="51" t="n"/>
      <c r="L2210" s="54">
        <f>IF(OR(A2210="",C2210="",D2210=""),"",IF(COUNTIFS($A$5:$A$3004,A2210,$C$5:$C$3004,"&lt;"&amp;D2210,$D$5:$D$3004,"&gt;"&amp;C2210)&gt;1,"⚠️ пересечение",""))</f>
        <v/>
      </c>
      <c r="M2210" s="54">
        <f>IF(F2210="","",IF(J2210="✅ Сделано","✔ ",IF(J2210="❌ Пропущено","✖ ","⏰ "))&amp;IF(C2210="","",RIGHT("0"&amp;HOUR(C2210),2)&amp;":"&amp;RIGHT("0"&amp;MINUTE(C2210),2)&amp;IF(D2210="","","–"&amp;RIGHT("0"&amp;HOUR(D2210),2)&amp;":"&amp;RIGHT("0"&amp;MINUTE(D2210),2))&amp;" ")&amp;F2210)</f>
        <v/>
      </c>
      <c r="N2210" s="54">
        <f>IF(OR(A2210="",F2210=""),"",A2210&amp;"#"&amp;(COUNTIFS($A$5:$A$3004,A2210,$F$5:$F$3004,"?*",$O$5:$O$3004,"&lt;"&amp;O2210)+COUNTIFS($A$5:A2210,A2210,$F$5:F2210,"?*",$O$5:O2210,O2210)))</f>
        <v/>
      </c>
      <c r="O2210" s="54">
        <f>IF(A2210="","",IF(C2210="",0,C2210))</f>
        <v/>
      </c>
    </row>
    <row r="2211">
      <c r="A2211" s="58" t="n"/>
      <c r="B2211" s="49">
        <f>IF(A2211="","",CHOOSE(WEEKDAY(A2211,2),"Пн","Вт","Ср","Чт","Пт","Сб","Вс"))</f>
        <v/>
      </c>
      <c r="C2211" s="59" t="n"/>
      <c r="D2211" s="59" t="n"/>
      <c r="E2211" s="60">
        <f>IF(OR(C2211="",D2211=""),"",MOD(D2211-C2211,1)*24)</f>
        <v/>
      </c>
      <c r="F2211" s="50" t="n"/>
      <c r="G2211" s="51" t="n"/>
      <c r="H2211" s="51" t="n"/>
      <c r="I2211" s="51" t="n"/>
      <c r="J2211" s="51" t="n"/>
      <c r="K2211" s="51" t="n"/>
      <c r="L2211" s="54">
        <f>IF(OR(A2211="",C2211="",D2211=""),"",IF(COUNTIFS($A$5:$A$3004,A2211,$C$5:$C$3004,"&lt;"&amp;D2211,$D$5:$D$3004,"&gt;"&amp;C2211)&gt;1,"⚠️ пересечение",""))</f>
        <v/>
      </c>
      <c r="M2211" s="54">
        <f>IF(F2211="","",IF(J2211="✅ Сделано","✔ ",IF(J2211="❌ Пропущено","✖ ","⏰ "))&amp;IF(C2211="","",RIGHT("0"&amp;HOUR(C2211),2)&amp;":"&amp;RIGHT("0"&amp;MINUTE(C2211),2)&amp;IF(D2211="","","–"&amp;RIGHT("0"&amp;HOUR(D2211),2)&amp;":"&amp;RIGHT("0"&amp;MINUTE(D2211),2))&amp;" ")&amp;F2211)</f>
        <v/>
      </c>
      <c r="N2211" s="54">
        <f>IF(OR(A2211="",F2211=""),"",A2211&amp;"#"&amp;(COUNTIFS($A$5:$A$3004,A2211,$F$5:$F$3004,"?*",$O$5:$O$3004,"&lt;"&amp;O2211)+COUNTIFS($A$5:A2211,A2211,$F$5:F2211,"?*",$O$5:O2211,O2211)))</f>
        <v/>
      </c>
      <c r="O2211" s="54">
        <f>IF(A2211="","",IF(C2211="",0,C2211))</f>
        <v/>
      </c>
    </row>
    <row r="2212">
      <c r="A2212" s="58" t="n"/>
      <c r="B2212" s="49">
        <f>IF(A2212="","",CHOOSE(WEEKDAY(A2212,2),"Пн","Вт","Ср","Чт","Пт","Сб","Вс"))</f>
        <v/>
      </c>
      <c r="C2212" s="59" t="n"/>
      <c r="D2212" s="59" t="n"/>
      <c r="E2212" s="60">
        <f>IF(OR(C2212="",D2212=""),"",MOD(D2212-C2212,1)*24)</f>
        <v/>
      </c>
      <c r="F2212" s="50" t="n"/>
      <c r="G2212" s="51" t="n"/>
      <c r="H2212" s="51" t="n"/>
      <c r="I2212" s="51" t="n"/>
      <c r="J2212" s="51" t="n"/>
      <c r="K2212" s="51" t="n"/>
      <c r="L2212" s="54">
        <f>IF(OR(A2212="",C2212="",D2212=""),"",IF(COUNTIFS($A$5:$A$3004,A2212,$C$5:$C$3004,"&lt;"&amp;D2212,$D$5:$D$3004,"&gt;"&amp;C2212)&gt;1,"⚠️ пересечение",""))</f>
        <v/>
      </c>
      <c r="M2212" s="54">
        <f>IF(F2212="","",IF(J2212="✅ Сделано","✔ ",IF(J2212="❌ Пропущено","✖ ","⏰ "))&amp;IF(C2212="","",RIGHT("0"&amp;HOUR(C2212),2)&amp;":"&amp;RIGHT("0"&amp;MINUTE(C2212),2)&amp;IF(D2212="","","–"&amp;RIGHT("0"&amp;HOUR(D2212),2)&amp;":"&amp;RIGHT("0"&amp;MINUTE(D2212),2))&amp;" ")&amp;F2212)</f>
        <v/>
      </c>
      <c r="N2212" s="54">
        <f>IF(OR(A2212="",F2212=""),"",A2212&amp;"#"&amp;(COUNTIFS($A$5:$A$3004,A2212,$F$5:$F$3004,"?*",$O$5:$O$3004,"&lt;"&amp;O2212)+COUNTIFS($A$5:A2212,A2212,$F$5:F2212,"?*",$O$5:O2212,O2212)))</f>
        <v/>
      </c>
      <c r="O2212" s="54">
        <f>IF(A2212="","",IF(C2212="",0,C2212))</f>
        <v/>
      </c>
    </row>
    <row r="2213">
      <c r="A2213" s="58" t="n"/>
      <c r="B2213" s="49">
        <f>IF(A2213="","",CHOOSE(WEEKDAY(A2213,2),"Пн","Вт","Ср","Чт","Пт","Сб","Вс"))</f>
        <v/>
      </c>
      <c r="C2213" s="59" t="n"/>
      <c r="D2213" s="59" t="n"/>
      <c r="E2213" s="60">
        <f>IF(OR(C2213="",D2213=""),"",MOD(D2213-C2213,1)*24)</f>
        <v/>
      </c>
      <c r="F2213" s="50" t="n"/>
      <c r="G2213" s="51" t="n"/>
      <c r="H2213" s="51" t="n"/>
      <c r="I2213" s="51" t="n"/>
      <c r="J2213" s="51" t="n"/>
      <c r="K2213" s="51" t="n"/>
      <c r="L2213" s="54">
        <f>IF(OR(A2213="",C2213="",D2213=""),"",IF(COUNTIFS($A$5:$A$3004,A2213,$C$5:$C$3004,"&lt;"&amp;D2213,$D$5:$D$3004,"&gt;"&amp;C2213)&gt;1,"⚠️ пересечение",""))</f>
        <v/>
      </c>
      <c r="M2213" s="54">
        <f>IF(F2213="","",IF(J2213="✅ Сделано","✔ ",IF(J2213="❌ Пропущено","✖ ","⏰ "))&amp;IF(C2213="","",RIGHT("0"&amp;HOUR(C2213),2)&amp;":"&amp;RIGHT("0"&amp;MINUTE(C2213),2)&amp;IF(D2213="","","–"&amp;RIGHT("0"&amp;HOUR(D2213),2)&amp;":"&amp;RIGHT("0"&amp;MINUTE(D2213),2))&amp;" ")&amp;F2213)</f>
        <v/>
      </c>
      <c r="N2213" s="54">
        <f>IF(OR(A2213="",F2213=""),"",A2213&amp;"#"&amp;(COUNTIFS($A$5:$A$3004,A2213,$F$5:$F$3004,"?*",$O$5:$O$3004,"&lt;"&amp;O2213)+COUNTIFS($A$5:A2213,A2213,$F$5:F2213,"?*",$O$5:O2213,O2213)))</f>
        <v/>
      </c>
      <c r="O2213" s="54">
        <f>IF(A2213="","",IF(C2213="",0,C2213))</f>
        <v/>
      </c>
    </row>
    <row r="2214">
      <c r="A2214" s="58" t="n"/>
      <c r="B2214" s="49">
        <f>IF(A2214="","",CHOOSE(WEEKDAY(A2214,2),"Пн","Вт","Ср","Чт","Пт","Сб","Вс"))</f>
        <v/>
      </c>
      <c r="C2214" s="59" t="n"/>
      <c r="D2214" s="59" t="n"/>
      <c r="E2214" s="60">
        <f>IF(OR(C2214="",D2214=""),"",MOD(D2214-C2214,1)*24)</f>
        <v/>
      </c>
      <c r="F2214" s="50" t="n"/>
      <c r="G2214" s="51" t="n"/>
      <c r="H2214" s="51" t="n"/>
      <c r="I2214" s="51" t="n"/>
      <c r="J2214" s="51" t="n"/>
      <c r="K2214" s="51" t="n"/>
      <c r="L2214" s="54">
        <f>IF(OR(A2214="",C2214="",D2214=""),"",IF(COUNTIFS($A$5:$A$3004,A2214,$C$5:$C$3004,"&lt;"&amp;D2214,$D$5:$D$3004,"&gt;"&amp;C2214)&gt;1,"⚠️ пересечение",""))</f>
        <v/>
      </c>
      <c r="M2214" s="54">
        <f>IF(F2214="","",IF(J2214="✅ Сделано","✔ ",IF(J2214="❌ Пропущено","✖ ","⏰ "))&amp;IF(C2214="","",RIGHT("0"&amp;HOUR(C2214),2)&amp;":"&amp;RIGHT("0"&amp;MINUTE(C2214),2)&amp;IF(D2214="","","–"&amp;RIGHT("0"&amp;HOUR(D2214),2)&amp;":"&amp;RIGHT("0"&amp;MINUTE(D2214),2))&amp;" ")&amp;F2214)</f>
        <v/>
      </c>
      <c r="N2214" s="54">
        <f>IF(OR(A2214="",F2214=""),"",A2214&amp;"#"&amp;(COUNTIFS($A$5:$A$3004,A2214,$F$5:$F$3004,"?*",$O$5:$O$3004,"&lt;"&amp;O2214)+COUNTIFS($A$5:A2214,A2214,$F$5:F2214,"?*",$O$5:O2214,O2214)))</f>
        <v/>
      </c>
      <c r="O2214" s="54">
        <f>IF(A2214="","",IF(C2214="",0,C2214))</f>
        <v/>
      </c>
    </row>
    <row r="2215">
      <c r="A2215" s="58" t="n"/>
      <c r="B2215" s="49">
        <f>IF(A2215="","",CHOOSE(WEEKDAY(A2215,2),"Пн","Вт","Ср","Чт","Пт","Сб","Вс"))</f>
        <v/>
      </c>
      <c r="C2215" s="59" t="n"/>
      <c r="D2215" s="59" t="n"/>
      <c r="E2215" s="60">
        <f>IF(OR(C2215="",D2215=""),"",MOD(D2215-C2215,1)*24)</f>
        <v/>
      </c>
      <c r="F2215" s="50" t="n"/>
      <c r="G2215" s="51" t="n"/>
      <c r="H2215" s="51" t="n"/>
      <c r="I2215" s="51" t="n"/>
      <c r="J2215" s="51" t="n"/>
      <c r="K2215" s="51" t="n"/>
      <c r="L2215" s="54">
        <f>IF(OR(A2215="",C2215="",D2215=""),"",IF(COUNTIFS($A$5:$A$3004,A2215,$C$5:$C$3004,"&lt;"&amp;D2215,$D$5:$D$3004,"&gt;"&amp;C2215)&gt;1,"⚠️ пересечение",""))</f>
        <v/>
      </c>
      <c r="M2215" s="54">
        <f>IF(F2215="","",IF(J2215="✅ Сделано","✔ ",IF(J2215="❌ Пропущено","✖ ","⏰ "))&amp;IF(C2215="","",RIGHT("0"&amp;HOUR(C2215),2)&amp;":"&amp;RIGHT("0"&amp;MINUTE(C2215),2)&amp;IF(D2215="","","–"&amp;RIGHT("0"&amp;HOUR(D2215),2)&amp;":"&amp;RIGHT("0"&amp;MINUTE(D2215),2))&amp;" ")&amp;F2215)</f>
        <v/>
      </c>
      <c r="N2215" s="54">
        <f>IF(OR(A2215="",F2215=""),"",A2215&amp;"#"&amp;(COUNTIFS($A$5:$A$3004,A2215,$F$5:$F$3004,"?*",$O$5:$O$3004,"&lt;"&amp;O2215)+COUNTIFS($A$5:A2215,A2215,$F$5:F2215,"?*",$O$5:O2215,O2215)))</f>
        <v/>
      </c>
      <c r="O2215" s="54">
        <f>IF(A2215="","",IF(C2215="",0,C2215))</f>
        <v/>
      </c>
    </row>
    <row r="2216">
      <c r="A2216" s="58" t="n"/>
      <c r="B2216" s="49">
        <f>IF(A2216="","",CHOOSE(WEEKDAY(A2216,2),"Пн","Вт","Ср","Чт","Пт","Сб","Вс"))</f>
        <v/>
      </c>
      <c r="C2216" s="59" t="n"/>
      <c r="D2216" s="59" t="n"/>
      <c r="E2216" s="60">
        <f>IF(OR(C2216="",D2216=""),"",MOD(D2216-C2216,1)*24)</f>
        <v/>
      </c>
      <c r="F2216" s="50" t="n"/>
      <c r="G2216" s="51" t="n"/>
      <c r="H2216" s="51" t="n"/>
      <c r="I2216" s="51" t="n"/>
      <c r="J2216" s="51" t="n"/>
      <c r="K2216" s="51" t="n"/>
      <c r="L2216" s="54">
        <f>IF(OR(A2216="",C2216="",D2216=""),"",IF(COUNTIFS($A$5:$A$3004,A2216,$C$5:$C$3004,"&lt;"&amp;D2216,$D$5:$D$3004,"&gt;"&amp;C2216)&gt;1,"⚠️ пересечение",""))</f>
        <v/>
      </c>
      <c r="M2216" s="54">
        <f>IF(F2216="","",IF(J2216="✅ Сделано","✔ ",IF(J2216="❌ Пропущено","✖ ","⏰ "))&amp;IF(C2216="","",RIGHT("0"&amp;HOUR(C2216),2)&amp;":"&amp;RIGHT("0"&amp;MINUTE(C2216),2)&amp;IF(D2216="","","–"&amp;RIGHT("0"&amp;HOUR(D2216),2)&amp;":"&amp;RIGHT("0"&amp;MINUTE(D2216),2))&amp;" ")&amp;F2216)</f>
        <v/>
      </c>
      <c r="N2216" s="54">
        <f>IF(OR(A2216="",F2216=""),"",A2216&amp;"#"&amp;(COUNTIFS($A$5:$A$3004,A2216,$F$5:$F$3004,"?*",$O$5:$O$3004,"&lt;"&amp;O2216)+COUNTIFS($A$5:A2216,A2216,$F$5:F2216,"?*",$O$5:O2216,O2216)))</f>
        <v/>
      </c>
      <c r="O2216" s="54">
        <f>IF(A2216="","",IF(C2216="",0,C2216))</f>
        <v/>
      </c>
    </row>
    <row r="2217">
      <c r="A2217" s="58" t="n"/>
      <c r="B2217" s="49">
        <f>IF(A2217="","",CHOOSE(WEEKDAY(A2217,2),"Пн","Вт","Ср","Чт","Пт","Сб","Вс"))</f>
        <v/>
      </c>
      <c r="C2217" s="59" t="n"/>
      <c r="D2217" s="59" t="n"/>
      <c r="E2217" s="60">
        <f>IF(OR(C2217="",D2217=""),"",MOD(D2217-C2217,1)*24)</f>
        <v/>
      </c>
      <c r="F2217" s="50" t="n"/>
      <c r="G2217" s="51" t="n"/>
      <c r="H2217" s="51" t="n"/>
      <c r="I2217" s="51" t="n"/>
      <c r="J2217" s="51" t="n"/>
      <c r="K2217" s="51" t="n"/>
      <c r="L2217" s="54">
        <f>IF(OR(A2217="",C2217="",D2217=""),"",IF(COUNTIFS($A$5:$A$3004,A2217,$C$5:$C$3004,"&lt;"&amp;D2217,$D$5:$D$3004,"&gt;"&amp;C2217)&gt;1,"⚠️ пересечение",""))</f>
        <v/>
      </c>
      <c r="M2217" s="54">
        <f>IF(F2217="","",IF(J2217="✅ Сделано","✔ ",IF(J2217="❌ Пропущено","✖ ","⏰ "))&amp;IF(C2217="","",RIGHT("0"&amp;HOUR(C2217),2)&amp;":"&amp;RIGHT("0"&amp;MINUTE(C2217),2)&amp;IF(D2217="","","–"&amp;RIGHT("0"&amp;HOUR(D2217),2)&amp;":"&amp;RIGHT("0"&amp;MINUTE(D2217),2))&amp;" ")&amp;F2217)</f>
        <v/>
      </c>
      <c r="N2217" s="54">
        <f>IF(OR(A2217="",F2217=""),"",A2217&amp;"#"&amp;(COUNTIFS($A$5:$A$3004,A2217,$F$5:$F$3004,"?*",$O$5:$O$3004,"&lt;"&amp;O2217)+COUNTIFS($A$5:A2217,A2217,$F$5:F2217,"?*",$O$5:O2217,O2217)))</f>
        <v/>
      </c>
      <c r="O2217" s="54">
        <f>IF(A2217="","",IF(C2217="",0,C2217))</f>
        <v/>
      </c>
    </row>
    <row r="2218">
      <c r="A2218" s="58" t="n"/>
      <c r="B2218" s="49">
        <f>IF(A2218="","",CHOOSE(WEEKDAY(A2218,2),"Пн","Вт","Ср","Чт","Пт","Сб","Вс"))</f>
        <v/>
      </c>
      <c r="C2218" s="59" t="n"/>
      <c r="D2218" s="59" t="n"/>
      <c r="E2218" s="60">
        <f>IF(OR(C2218="",D2218=""),"",MOD(D2218-C2218,1)*24)</f>
        <v/>
      </c>
      <c r="F2218" s="50" t="n"/>
      <c r="G2218" s="51" t="n"/>
      <c r="H2218" s="51" t="n"/>
      <c r="I2218" s="51" t="n"/>
      <c r="J2218" s="51" t="n"/>
      <c r="K2218" s="51" t="n"/>
      <c r="L2218" s="54">
        <f>IF(OR(A2218="",C2218="",D2218=""),"",IF(COUNTIFS($A$5:$A$3004,A2218,$C$5:$C$3004,"&lt;"&amp;D2218,$D$5:$D$3004,"&gt;"&amp;C2218)&gt;1,"⚠️ пересечение",""))</f>
        <v/>
      </c>
      <c r="M2218" s="54">
        <f>IF(F2218="","",IF(J2218="✅ Сделано","✔ ",IF(J2218="❌ Пропущено","✖ ","⏰ "))&amp;IF(C2218="","",RIGHT("0"&amp;HOUR(C2218),2)&amp;":"&amp;RIGHT("0"&amp;MINUTE(C2218),2)&amp;IF(D2218="","","–"&amp;RIGHT("0"&amp;HOUR(D2218),2)&amp;":"&amp;RIGHT("0"&amp;MINUTE(D2218),2))&amp;" ")&amp;F2218)</f>
        <v/>
      </c>
      <c r="N2218" s="54">
        <f>IF(OR(A2218="",F2218=""),"",A2218&amp;"#"&amp;(COUNTIFS($A$5:$A$3004,A2218,$F$5:$F$3004,"?*",$O$5:$O$3004,"&lt;"&amp;O2218)+COUNTIFS($A$5:A2218,A2218,$F$5:F2218,"?*",$O$5:O2218,O2218)))</f>
        <v/>
      </c>
      <c r="O2218" s="54">
        <f>IF(A2218="","",IF(C2218="",0,C2218))</f>
        <v/>
      </c>
    </row>
    <row r="2219">
      <c r="A2219" s="58" t="n"/>
      <c r="B2219" s="49">
        <f>IF(A2219="","",CHOOSE(WEEKDAY(A2219,2),"Пн","Вт","Ср","Чт","Пт","Сб","Вс"))</f>
        <v/>
      </c>
      <c r="C2219" s="59" t="n"/>
      <c r="D2219" s="59" t="n"/>
      <c r="E2219" s="60">
        <f>IF(OR(C2219="",D2219=""),"",MOD(D2219-C2219,1)*24)</f>
        <v/>
      </c>
      <c r="F2219" s="50" t="n"/>
      <c r="G2219" s="51" t="n"/>
      <c r="H2219" s="51" t="n"/>
      <c r="I2219" s="51" t="n"/>
      <c r="J2219" s="51" t="n"/>
      <c r="K2219" s="51" t="n"/>
      <c r="L2219" s="54">
        <f>IF(OR(A2219="",C2219="",D2219=""),"",IF(COUNTIFS($A$5:$A$3004,A2219,$C$5:$C$3004,"&lt;"&amp;D2219,$D$5:$D$3004,"&gt;"&amp;C2219)&gt;1,"⚠️ пересечение",""))</f>
        <v/>
      </c>
      <c r="M2219" s="54">
        <f>IF(F2219="","",IF(J2219="✅ Сделано","✔ ",IF(J2219="❌ Пропущено","✖ ","⏰ "))&amp;IF(C2219="","",RIGHT("0"&amp;HOUR(C2219),2)&amp;":"&amp;RIGHT("0"&amp;MINUTE(C2219),2)&amp;IF(D2219="","","–"&amp;RIGHT("0"&amp;HOUR(D2219),2)&amp;":"&amp;RIGHT("0"&amp;MINUTE(D2219),2))&amp;" ")&amp;F2219)</f>
        <v/>
      </c>
      <c r="N2219" s="54">
        <f>IF(OR(A2219="",F2219=""),"",A2219&amp;"#"&amp;(COUNTIFS($A$5:$A$3004,A2219,$F$5:$F$3004,"?*",$O$5:$O$3004,"&lt;"&amp;O2219)+COUNTIFS($A$5:A2219,A2219,$F$5:F2219,"?*",$O$5:O2219,O2219)))</f>
        <v/>
      </c>
      <c r="O2219" s="54">
        <f>IF(A2219="","",IF(C2219="",0,C2219))</f>
        <v/>
      </c>
    </row>
    <row r="2220">
      <c r="A2220" s="58" t="n"/>
      <c r="B2220" s="49">
        <f>IF(A2220="","",CHOOSE(WEEKDAY(A2220,2),"Пн","Вт","Ср","Чт","Пт","Сб","Вс"))</f>
        <v/>
      </c>
      <c r="C2220" s="59" t="n"/>
      <c r="D2220" s="59" t="n"/>
      <c r="E2220" s="60">
        <f>IF(OR(C2220="",D2220=""),"",MOD(D2220-C2220,1)*24)</f>
        <v/>
      </c>
      <c r="F2220" s="50" t="n"/>
      <c r="G2220" s="51" t="n"/>
      <c r="H2220" s="51" t="n"/>
      <c r="I2220" s="51" t="n"/>
      <c r="J2220" s="51" t="n"/>
      <c r="K2220" s="51" t="n"/>
      <c r="L2220" s="54">
        <f>IF(OR(A2220="",C2220="",D2220=""),"",IF(COUNTIFS($A$5:$A$3004,A2220,$C$5:$C$3004,"&lt;"&amp;D2220,$D$5:$D$3004,"&gt;"&amp;C2220)&gt;1,"⚠️ пересечение",""))</f>
        <v/>
      </c>
      <c r="M2220" s="54">
        <f>IF(F2220="","",IF(J2220="✅ Сделано","✔ ",IF(J2220="❌ Пропущено","✖ ","⏰ "))&amp;IF(C2220="","",RIGHT("0"&amp;HOUR(C2220),2)&amp;":"&amp;RIGHT("0"&amp;MINUTE(C2220),2)&amp;IF(D2220="","","–"&amp;RIGHT("0"&amp;HOUR(D2220),2)&amp;":"&amp;RIGHT("0"&amp;MINUTE(D2220),2))&amp;" ")&amp;F2220)</f>
        <v/>
      </c>
      <c r="N2220" s="54">
        <f>IF(OR(A2220="",F2220=""),"",A2220&amp;"#"&amp;(COUNTIFS($A$5:$A$3004,A2220,$F$5:$F$3004,"?*",$O$5:$O$3004,"&lt;"&amp;O2220)+COUNTIFS($A$5:A2220,A2220,$F$5:F2220,"?*",$O$5:O2220,O2220)))</f>
        <v/>
      </c>
      <c r="O2220" s="54">
        <f>IF(A2220="","",IF(C2220="",0,C2220))</f>
        <v/>
      </c>
    </row>
    <row r="2221">
      <c r="A2221" s="58" t="n"/>
      <c r="B2221" s="49">
        <f>IF(A2221="","",CHOOSE(WEEKDAY(A2221,2),"Пн","Вт","Ср","Чт","Пт","Сб","Вс"))</f>
        <v/>
      </c>
      <c r="C2221" s="59" t="n"/>
      <c r="D2221" s="59" t="n"/>
      <c r="E2221" s="60">
        <f>IF(OR(C2221="",D2221=""),"",MOD(D2221-C2221,1)*24)</f>
        <v/>
      </c>
      <c r="F2221" s="50" t="n"/>
      <c r="G2221" s="51" t="n"/>
      <c r="H2221" s="51" t="n"/>
      <c r="I2221" s="51" t="n"/>
      <c r="J2221" s="51" t="n"/>
      <c r="K2221" s="51" t="n"/>
      <c r="L2221" s="54">
        <f>IF(OR(A2221="",C2221="",D2221=""),"",IF(COUNTIFS($A$5:$A$3004,A2221,$C$5:$C$3004,"&lt;"&amp;D2221,$D$5:$D$3004,"&gt;"&amp;C2221)&gt;1,"⚠️ пересечение",""))</f>
        <v/>
      </c>
      <c r="M2221" s="54">
        <f>IF(F2221="","",IF(J2221="✅ Сделано","✔ ",IF(J2221="❌ Пропущено","✖ ","⏰ "))&amp;IF(C2221="","",RIGHT("0"&amp;HOUR(C2221),2)&amp;":"&amp;RIGHT("0"&amp;MINUTE(C2221),2)&amp;IF(D2221="","","–"&amp;RIGHT("0"&amp;HOUR(D2221),2)&amp;":"&amp;RIGHT("0"&amp;MINUTE(D2221),2))&amp;" ")&amp;F2221)</f>
        <v/>
      </c>
      <c r="N2221" s="54">
        <f>IF(OR(A2221="",F2221=""),"",A2221&amp;"#"&amp;(COUNTIFS($A$5:$A$3004,A2221,$F$5:$F$3004,"?*",$O$5:$O$3004,"&lt;"&amp;O2221)+COUNTIFS($A$5:A2221,A2221,$F$5:F2221,"?*",$O$5:O2221,O2221)))</f>
        <v/>
      </c>
      <c r="O2221" s="54">
        <f>IF(A2221="","",IF(C2221="",0,C2221))</f>
        <v/>
      </c>
    </row>
    <row r="2222">
      <c r="A2222" s="58" t="n"/>
      <c r="B2222" s="49">
        <f>IF(A2222="","",CHOOSE(WEEKDAY(A2222,2),"Пн","Вт","Ср","Чт","Пт","Сб","Вс"))</f>
        <v/>
      </c>
      <c r="C2222" s="59" t="n"/>
      <c r="D2222" s="59" t="n"/>
      <c r="E2222" s="60">
        <f>IF(OR(C2222="",D2222=""),"",MOD(D2222-C2222,1)*24)</f>
        <v/>
      </c>
      <c r="F2222" s="50" t="n"/>
      <c r="G2222" s="51" t="n"/>
      <c r="H2222" s="51" t="n"/>
      <c r="I2222" s="51" t="n"/>
      <c r="J2222" s="51" t="n"/>
      <c r="K2222" s="51" t="n"/>
      <c r="L2222" s="54">
        <f>IF(OR(A2222="",C2222="",D2222=""),"",IF(COUNTIFS($A$5:$A$3004,A2222,$C$5:$C$3004,"&lt;"&amp;D2222,$D$5:$D$3004,"&gt;"&amp;C2222)&gt;1,"⚠️ пересечение",""))</f>
        <v/>
      </c>
      <c r="M2222" s="54">
        <f>IF(F2222="","",IF(J2222="✅ Сделано","✔ ",IF(J2222="❌ Пропущено","✖ ","⏰ "))&amp;IF(C2222="","",RIGHT("0"&amp;HOUR(C2222),2)&amp;":"&amp;RIGHT("0"&amp;MINUTE(C2222),2)&amp;IF(D2222="","","–"&amp;RIGHT("0"&amp;HOUR(D2222),2)&amp;":"&amp;RIGHT("0"&amp;MINUTE(D2222),2))&amp;" ")&amp;F2222)</f>
        <v/>
      </c>
      <c r="N2222" s="54">
        <f>IF(OR(A2222="",F2222=""),"",A2222&amp;"#"&amp;(COUNTIFS($A$5:$A$3004,A2222,$F$5:$F$3004,"?*",$O$5:$O$3004,"&lt;"&amp;O2222)+COUNTIFS($A$5:A2222,A2222,$F$5:F2222,"?*",$O$5:O2222,O2222)))</f>
        <v/>
      </c>
      <c r="O2222" s="54">
        <f>IF(A2222="","",IF(C2222="",0,C2222))</f>
        <v/>
      </c>
    </row>
    <row r="2223">
      <c r="A2223" s="58" t="n"/>
      <c r="B2223" s="49">
        <f>IF(A2223="","",CHOOSE(WEEKDAY(A2223,2),"Пн","Вт","Ср","Чт","Пт","Сб","Вс"))</f>
        <v/>
      </c>
      <c r="C2223" s="59" t="n"/>
      <c r="D2223" s="59" t="n"/>
      <c r="E2223" s="60">
        <f>IF(OR(C2223="",D2223=""),"",MOD(D2223-C2223,1)*24)</f>
        <v/>
      </c>
      <c r="F2223" s="50" t="n"/>
      <c r="G2223" s="51" t="n"/>
      <c r="H2223" s="51" t="n"/>
      <c r="I2223" s="51" t="n"/>
      <c r="J2223" s="51" t="n"/>
      <c r="K2223" s="51" t="n"/>
      <c r="L2223" s="54">
        <f>IF(OR(A2223="",C2223="",D2223=""),"",IF(COUNTIFS($A$5:$A$3004,A2223,$C$5:$C$3004,"&lt;"&amp;D2223,$D$5:$D$3004,"&gt;"&amp;C2223)&gt;1,"⚠️ пересечение",""))</f>
        <v/>
      </c>
      <c r="M2223" s="54">
        <f>IF(F2223="","",IF(J2223="✅ Сделано","✔ ",IF(J2223="❌ Пропущено","✖ ","⏰ "))&amp;IF(C2223="","",RIGHT("0"&amp;HOUR(C2223),2)&amp;":"&amp;RIGHT("0"&amp;MINUTE(C2223),2)&amp;IF(D2223="","","–"&amp;RIGHT("0"&amp;HOUR(D2223),2)&amp;":"&amp;RIGHT("0"&amp;MINUTE(D2223),2))&amp;" ")&amp;F2223)</f>
        <v/>
      </c>
      <c r="N2223" s="54">
        <f>IF(OR(A2223="",F2223=""),"",A2223&amp;"#"&amp;(COUNTIFS($A$5:$A$3004,A2223,$F$5:$F$3004,"?*",$O$5:$O$3004,"&lt;"&amp;O2223)+COUNTIFS($A$5:A2223,A2223,$F$5:F2223,"?*",$O$5:O2223,O2223)))</f>
        <v/>
      </c>
      <c r="O2223" s="54">
        <f>IF(A2223="","",IF(C2223="",0,C2223))</f>
        <v/>
      </c>
    </row>
    <row r="2224">
      <c r="A2224" s="58" t="n"/>
      <c r="B2224" s="49">
        <f>IF(A2224="","",CHOOSE(WEEKDAY(A2224,2),"Пн","Вт","Ср","Чт","Пт","Сб","Вс"))</f>
        <v/>
      </c>
      <c r="C2224" s="59" t="n"/>
      <c r="D2224" s="59" t="n"/>
      <c r="E2224" s="60">
        <f>IF(OR(C2224="",D2224=""),"",MOD(D2224-C2224,1)*24)</f>
        <v/>
      </c>
      <c r="F2224" s="50" t="n"/>
      <c r="G2224" s="51" t="n"/>
      <c r="H2224" s="51" t="n"/>
      <c r="I2224" s="51" t="n"/>
      <c r="J2224" s="51" t="n"/>
      <c r="K2224" s="51" t="n"/>
      <c r="L2224" s="54">
        <f>IF(OR(A2224="",C2224="",D2224=""),"",IF(COUNTIFS($A$5:$A$3004,A2224,$C$5:$C$3004,"&lt;"&amp;D2224,$D$5:$D$3004,"&gt;"&amp;C2224)&gt;1,"⚠️ пересечение",""))</f>
        <v/>
      </c>
      <c r="M2224" s="54">
        <f>IF(F2224="","",IF(J2224="✅ Сделано","✔ ",IF(J2224="❌ Пропущено","✖ ","⏰ "))&amp;IF(C2224="","",RIGHT("0"&amp;HOUR(C2224),2)&amp;":"&amp;RIGHT("0"&amp;MINUTE(C2224),2)&amp;IF(D2224="","","–"&amp;RIGHT("0"&amp;HOUR(D2224),2)&amp;":"&amp;RIGHT("0"&amp;MINUTE(D2224),2))&amp;" ")&amp;F2224)</f>
        <v/>
      </c>
      <c r="N2224" s="54">
        <f>IF(OR(A2224="",F2224=""),"",A2224&amp;"#"&amp;(COUNTIFS($A$5:$A$3004,A2224,$F$5:$F$3004,"?*",$O$5:$O$3004,"&lt;"&amp;O2224)+COUNTIFS($A$5:A2224,A2224,$F$5:F2224,"?*",$O$5:O2224,O2224)))</f>
        <v/>
      </c>
      <c r="O2224" s="54">
        <f>IF(A2224="","",IF(C2224="",0,C2224))</f>
        <v/>
      </c>
    </row>
    <row r="2225">
      <c r="A2225" s="58" t="n"/>
      <c r="B2225" s="49">
        <f>IF(A2225="","",CHOOSE(WEEKDAY(A2225,2),"Пн","Вт","Ср","Чт","Пт","Сб","Вс"))</f>
        <v/>
      </c>
      <c r="C2225" s="59" t="n"/>
      <c r="D2225" s="59" t="n"/>
      <c r="E2225" s="60">
        <f>IF(OR(C2225="",D2225=""),"",MOD(D2225-C2225,1)*24)</f>
        <v/>
      </c>
      <c r="F2225" s="50" t="n"/>
      <c r="G2225" s="51" t="n"/>
      <c r="H2225" s="51" t="n"/>
      <c r="I2225" s="51" t="n"/>
      <c r="J2225" s="51" t="n"/>
      <c r="K2225" s="51" t="n"/>
      <c r="L2225" s="54">
        <f>IF(OR(A2225="",C2225="",D2225=""),"",IF(COUNTIFS($A$5:$A$3004,A2225,$C$5:$C$3004,"&lt;"&amp;D2225,$D$5:$D$3004,"&gt;"&amp;C2225)&gt;1,"⚠️ пересечение",""))</f>
        <v/>
      </c>
      <c r="M2225" s="54">
        <f>IF(F2225="","",IF(J2225="✅ Сделано","✔ ",IF(J2225="❌ Пропущено","✖ ","⏰ "))&amp;IF(C2225="","",RIGHT("0"&amp;HOUR(C2225),2)&amp;":"&amp;RIGHT("0"&amp;MINUTE(C2225),2)&amp;IF(D2225="","","–"&amp;RIGHT("0"&amp;HOUR(D2225),2)&amp;":"&amp;RIGHT("0"&amp;MINUTE(D2225),2))&amp;" ")&amp;F2225)</f>
        <v/>
      </c>
      <c r="N2225" s="54">
        <f>IF(OR(A2225="",F2225=""),"",A2225&amp;"#"&amp;(COUNTIFS($A$5:$A$3004,A2225,$F$5:$F$3004,"?*",$O$5:$O$3004,"&lt;"&amp;O2225)+COUNTIFS($A$5:A2225,A2225,$F$5:F2225,"?*",$O$5:O2225,O2225)))</f>
        <v/>
      </c>
      <c r="O2225" s="54">
        <f>IF(A2225="","",IF(C2225="",0,C2225))</f>
        <v/>
      </c>
    </row>
    <row r="2226">
      <c r="A2226" s="58" t="n"/>
      <c r="B2226" s="49">
        <f>IF(A2226="","",CHOOSE(WEEKDAY(A2226,2),"Пн","Вт","Ср","Чт","Пт","Сб","Вс"))</f>
        <v/>
      </c>
      <c r="C2226" s="59" t="n"/>
      <c r="D2226" s="59" t="n"/>
      <c r="E2226" s="60">
        <f>IF(OR(C2226="",D2226=""),"",MOD(D2226-C2226,1)*24)</f>
        <v/>
      </c>
      <c r="F2226" s="50" t="n"/>
      <c r="G2226" s="51" t="n"/>
      <c r="H2226" s="51" t="n"/>
      <c r="I2226" s="51" t="n"/>
      <c r="J2226" s="51" t="n"/>
      <c r="K2226" s="51" t="n"/>
      <c r="L2226" s="54">
        <f>IF(OR(A2226="",C2226="",D2226=""),"",IF(COUNTIFS($A$5:$A$3004,A2226,$C$5:$C$3004,"&lt;"&amp;D2226,$D$5:$D$3004,"&gt;"&amp;C2226)&gt;1,"⚠️ пересечение",""))</f>
        <v/>
      </c>
      <c r="M2226" s="54">
        <f>IF(F2226="","",IF(J2226="✅ Сделано","✔ ",IF(J2226="❌ Пропущено","✖ ","⏰ "))&amp;IF(C2226="","",RIGHT("0"&amp;HOUR(C2226),2)&amp;":"&amp;RIGHT("0"&amp;MINUTE(C2226),2)&amp;IF(D2226="","","–"&amp;RIGHT("0"&amp;HOUR(D2226),2)&amp;":"&amp;RIGHT("0"&amp;MINUTE(D2226),2))&amp;" ")&amp;F2226)</f>
        <v/>
      </c>
      <c r="N2226" s="54">
        <f>IF(OR(A2226="",F2226=""),"",A2226&amp;"#"&amp;(COUNTIFS($A$5:$A$3004,A2226,$F$5:$F$3004,"?*",$O$5:$O$3004,"&lt;"&amp;O2226)+COUNTIFS($A$5:A2226,A2226,$F$5:F2226,"?*",$O$5:O2226,O2226)))</f>
        <v/>
      </c>
      <c r="O2226" s="54">
        <f>IF(A2226="","",IF(C2226="",0,C2226))</f>
        <v/>
      </c>
    </row>
    <row r="2227">
      <c r="A2227" s="58" t="n"/>
      <c r="B2227" s="49">
        <f>IF(A2227="","",CHOOSE(WEEKDAY(A2227,2),"Пн","Вт","Ср","Чт","Пт","Сб","Вс"))</f>
        <v/>
      </c>
      <c r="C2227" s="59" t="n"/>
      <c r="D2227" s="59" t="n"/>
      <c r="E2227" s="60">
        <f>IF(OR(C2227="",D2227=""),"",MOD(D2227-C2227,1)*24)</f>
        <v/>
      </c>
      <c r="F2227" s="50" t="n"/>
      <c r="G2227" s="51" t="n"/>
      <c r="H2227" s="51" t="n"/>
      <c r="I2227" s="51" t="n"/>
      <c r="J2227" s="51" t="n"/>
      <c r="K2227" s="51" t="n"/>
      <c r="L2227" s="54">
        <f>IF(OR(A2227="",C2227="",D2227=""),"",IF(COUNTIFS($A$5:$A$3004,A2227,$C$5:$C$3004,"&lt;"&amp;D2227,$D$5:$D$3004,"&gt;"&amp;C2227)&gt;1,"⚠️ пересечение",""))</f>
        <v/>
      </c>
      <c r="M2227" s="54">
        <f>IF(F2227="","",IF(J2227="✅ Сделано","✔ ",IF(J2227="❌ Пропущено","✖ ","⏰ "))&amp;IF(C2227="","",RIGHT("0"&amp;HOUR(C2227),2)&amp;":"&amp;RIGHT("0"&amp;MINUTE(C2227),2)&amp;IF(D2227="","","–"&amp;RIGHT("0"&amp;HOUR(D2227),2)&amp;":"&amp;RIGHT("0"&amp;MINUTE(D2227),2))&amp;" ")&amp;F2227)</f>
        <v/>
      </c>
      <c r="N2227" s="54">
        <f>IF(OR(A2227="",F2227=""),"",A2227&amp;"#"&amp;(COUNTIFS($A$5:$A$3004,A2227,$F$5:$F$3004,"?*",$O$5:$O$3004,"&lt;"&amp;O2227)+COUNTIFS($A$5:A2227,A2227,$F$5:F2227,"?*",$O$5:O2227,O2227)))</f>
        <v/>
      </c>
      <c r="O2227" s="54">
        <f>IF(A2227="","",IF(C2227="",0,C2227))</f>
        <v/>
      </c>
    </row>
    <row r="2228">
      <c r="A2228" s="58" t="n"/>
      <c r="B2228" s="49">
        <f>IF(A2228="","",CHOOSE(WEEKDAY(A2228,2),"Пн","Вт","Ср","Чт","Пт","Сб","Вс"))</f>
        <v/>
      </c>
      <c r="C2228" s="59" t="n"/>
      <c r="D2228" s="59" t="n"/>
      <c r="E2228" s="60">
        <f>IF(OR(C2228="",D2228=""),"",MOD(D2228-C2228,1)*24)</f>
        <v/>
      </c>
      <c r="F2228" s="50" t="n"/>
      <c r="G2228" s="51" t="n"/>
      <c r="H2228" s="51" t="n"/>
      <c r="I2228" s="51" t="n"/>
      <c r="J2228" s="51" t="n"/>
      <c r="K2228" s="51" t="n"/>
      <c r="L2228" s="54">
        <f>IF(OR(A2228="",C2228="",D2228=""),"",IF(COUNTIFS($A$5:$A$3004,A2228,$C$5:$C$3004,"&lt;"&amp;D2228,$D$5:$D$3004,"&gt;"&amp;C2228)&gt;1,"⚠️ пересечение",""))</f>
        <v/>
      </c>
      <c r="M2228" s="54">
        <f>IF(F2228="","",IF(J2228="✅ Сделано","✔ ",IF(J2228="❌ Пропущено","✖ ","⏰ "))&amp;IF(C2228="","",RIGHT("0"&amp;HOUR(C2228),2)&amp;":"&amp;RIGHT("0"&amp;MINUTE(C2228),2)&amp;IF(D2228="","","–"&amp;RIGHT("0"&amp;HOUR(D2228),2)&amp;":"&amp;RIGHT("0"&amp;MINUTE(D2228),2))&amp;" ")&amp;F2228)</f>
        <v/>
      </c>
      <c r="N2228" s="54">
        <f>IF(OR(A2228="",F2228=""),"",A2228&amp;"#"&amp;(COUNTIFS($A$5:$A$3004,A2228,$F$5:$F$3004,"?*",$O$5:$O$3004,"&lt;"&amp;O2228)+COUNTIFS($A$5:A2228,A2228,$F$5:F2228,"?*",$O$5:O2228,O2228)))</f>
        <v/>
      </c>
      <c r="O2228" s="54">
        <f>IF(A2228="","",IF(C2228="",0,C2228))</f>
        <v/>
      </c>
    </row>
    <row r="2229">
      <c r="A2229" s="58" t="n"/>
      <c r="B2229" s="49">
        <f>IF(A2229="","",CHOOSE(WEEKDAY(A2229,2),"Пн","Вт","Ср","Чт","Пт","Сб","Вс"))</f>
        <v/>
      </c>
      <c r="C2229" s="59" t="n"/>
      <c r="D2229" s="59" t="n"/>
      <c r="E2229" s="60">
        <f>IF(OR(C2229="",D2229=""),"",MOD(D2229-C2229,1)*24)</f>
        <v/>
      </c>
      <c r="F2229" s="50" t="n"/>
      <c r="G2229" s="51" t="n"/>
      <c r="H2229" s="51" t="n"/>
      <c r="I2229" s="51" t="n"/>
      <c r="J2229" s="51" t="n"/>
      <c r="K2229" s="51" t="n"/>
      <c r="L2229" s="54">
        <f>IF(OR(A2229="",C2229="",D2229=""),"",IF(COUNTIFS($A$5:$A$3004,A2229,$C$5:$C$3004,"&lt;"&amp;D2229,$D$5:$D$3004,"&gt;"&amp;C2229)&gt;1,"⚠️ пересечение",""))</f>
        <v/>
      </c>
      <c r="M2229" s="54">
        <f>IF(F2229="","",IF(J2229="✅ Сделано","✔ ",IF(J2229="❌ Пропущено","✖ ","⏰ "))&amp;IF(C2229="","",RIGHT("0"&amp;HOUR(C2229),2)&amp;":"&amp;RIGHT("0"&amp;MINUTE(C2229),2)&amp;IF(D2229="","","–"&amp;RIGHT("0"&amp;HOUR(D2229),2)&amp;":"&amp;RIGHT("0"&amp;MINUTE(D2229),2))&amp;" ")&amp;F2229)</f>
        <v/>
      </c>
      <c r="N2229" s="54">
        <f>IF(OR(A2229="",F2229=""),"",A2229&amp;"#"&amp;(COUNTIFS($A$5:$A$3004,A2229,$F$5:$F$3004,"?*",$O$5:$O$3004,"&lt;"&amp;O2229)+COUNTIFS($A$5:A2229,A2229,$F$5:F2229,"?*",$O$5:O2229,O2229)))</f>
        <v/>
      </c>
      <c r="O2229" s="54">
        <f>IF(A2229="","",IF(C2229="",0,C2229))</f>
        <v/>
      </c>
    </row>
    <row r="2230">
      <c r="A2230" s="58" t="n"/>
      <c r="B2230" s="49">
        <f>IF(A2230="","",CHOOSE(WEEKDAY(A2230,2),"Пн","Вт","Ср","Чт","Пт","Сб","Вс"))</f>
        <v/>
      </c>
      <c r="C2230" s="59" t="n"/>
      <c r="D2230" s="59" t="n"/>
      <c r="E2230" s="60">
        <f>IF(OR(C2230="",D2230=""),"",MOD(D2230-C2230,1)*24)</f>
        <v/>
      </c>
      <c r="F2230" s="50" t="n"/>
      <c r="G2230" s="51" t="n"/>
      <c r="H2230" s="51" t="n"/>
      <c r="I2230" s="51" t="n"/>
      <c r="J2230" s="51" t="n"/>
      <c r="K2230" s="51" t="n"/>
      <c r="L2230" s="54">
        <f>IF(OR(A2230="",C2230="",D2230=""),"",IF(COUNTIFS($A$5:$A$3004,A2230,$C$5:$C$3004,"&lt;"&amp;D2230,$D$5:$D$3004,"&gt;"&amp;C2230)&gt;1,"⚠️ пересечение",""))</f>
        <v/>
      </c>
      <c r="M2230" s="54">
        <f>IF(F2230="","",IF(J2230="✅ Сделано","✔ ",IF(J2230="❌ Пропущено","✖ ","⏰ "))&amp;IF(C2230="","",RIGHT("0"&amp;HOUR(C2230),2)&amp;":"&amp;RIGHT("0"&amp;MINUTE(C2230),2)&amp;IF(D2230="","","–"&amp;RIGHT("0"&amp;HOUR(D2230),2)&amp;":"&amp;RIGHT("0"&amp;MINUTE(D2230),2))&amp;" ")&amp;F2230)</f>
        <v/>
      </c>
      <c r="N2230" s="54">
        <f>IF(OR(A2230="",F2230=""),"",A2230&amp;"#"&amp;(COUNTIFS($A$5:$A$3004,A2230,$F$5:$F$3004,"?*",$O$5:$O$3004,"&lt;"&amp;O2230)+COUNTIFS($A$5:A2230,A2230,$F$5:F2230,"?*",$O$5:O2230,O2230)))</f>
        <v/>
      </c>
      <c r="O2230" s="54">
        <f>IF(A2230="","",IF(C2230="",0,C2230))</f>
        <v/>
      </c>
    </row>
    <row r="2231">
      <c r="A2231" s="58" t="n"/>
      <c r="B2231" s="49">
        <f>IF(A2231="","",CHOOSE(WEEKDAY(A2231,2),"Пн","Вт","Ср","Чт","Пт","Сб","Вс"))</f>
        <v/>
      </c>
      <c r="C2231" s="59" t="n"/>
      <c r="D2231" s="59" t="n"/>
      <c r="E2231" s="60">
        <f>IF(OR(C2231="",D2231=""),"",MOD(D2231-C2231,1)*24)</f>
        <v/>
      </c>
      <c r="F2231" s="50" t="n"/>
      <c r="G2231" s="51" t="n"/>
      <c r="H2231" s="51" t="n"/>
      <c r="I2231" s="51" t="n"/>
      <c r="J2231" s="51" t="n"/>
      <c r="K2231" s="51" t="n"/>
      <c r="L2231" s="54">
        <f>IF(OR(A2231="",C2231="",D2231=""),"",IF(COUNTIFS($A$5:$A$3004,A2231,$C$5:$C$3004,"&lt;"&amp;D2231,$D$5:$D$3004,"&gt;"&amp;C2231)&gt;1,"⚠️ пересечение",""))</f>
        <v/>
      </c>
      <c r="M2231" s="54">
        <f>IF(F2231="","",IF(J2231="✅ Сделано","✔ ",IF(J2231="❌ Пропущено","✖ ","⏰ "))&amp;IF(C2231="","",RIGHT("0"&amp;HOUR(C2231),2)&amp;":"&amp;RIGHT("0"&amp;MINUTE(C2231),2)&amp;IF(D2231="","","–"&amp;RIGHT("0"&amp;HOUR(D2231),2)&amp;":"&amp;RIGHT("0"&amp;MINUTE(D2231),2))&amp;" ")&amp;F2231)</f>
        <v/>
      </c>
      <c r="N2231" s="54">
        <f>IF(OR(A2231="",F2231=""),"",A2231&amp;"#"&amp;(COUNTIFS($A$5:$A$3004,A2231,$F$5:$F$3004,"?*",$O$5:$O$3004,"&lt;"&amp;O2231)+COUNTIFS($A$5:A2231,A2231,$F$5:F2231,"?*",$O$5:O2231,O2231)))</f>
        <v/>
      </c>
      <c r="O2231" s="54">
        <f>IF(A2231="","",IF(C2231="",0,C2231))</f>
        <v/>
      </c>
    </row>
    <row r="2232">
      <c r="A2232" s="58" t="n"/>
      <c r="B2232" s="49">
        <f>IF(A2232="","",CHOOSE(WEEKDAY(A2232,2),"Пн","Вт","Ср","Чт","Пт","Сб","Вс"))</f>
        <v/>
      </c>
      <c r="C2232" s="59" t="n"/>
      <c r="D2232" s="59" t="n"/>
      <c r="E2232" s="60">
        <f>IF(OR(C2232="",D2232=""),"",MOD(D2232-C2232,1)*24)</f>
        <v/>
      </c>
      <c r="F2232" s="50" t="n"/>
      <c r="G2232" s="51" t="n"/>
      <c r="H2232" s="51" t="n"/>
      <c r="I2232" s="51" t="n"/>
      <c r="J2232" s="51" t="n"/>
      <c r="K2232" s="51" t="n"/>
      <c r="L2232" s="54">
        <f>IF(OR(A2232="",C2232="",D2232=""),"",IF(COUNTIFS($A$5:$A$3004,A2232,$C$5:$C$3004,"&lt;"&amp;D2232,$D$5:$D$3004,"&gt;"&amp;C2232)&gt;1,"⚠️ пересечение",""))</f>
        <v/>
      </c>
      <c r="M2232" s="54">
        <f>IF(F2232="","",IF(J2232="✅ Сделано","✔ ",IF(J2232="❌ Пропущено","✖ ","⏰ "))&amp;IF(C2232="","",RIGHT("0"&amp;HOUR(C2232),2)&amp;":"&amp;RIGHT("0"&amp;MINUTE(C2232),2)&amp;IF(D2232="","","–"&amp;RIGHT("0"&amp;HOUR(D2232),2)&amp;":"&amp;RIGHT("0"&amp;MINUTE(D2232),2))&amp;" ")&amp;F2232)</f>
        <v/>
      </c>
      <c r="N2232" s="54">
        <f>IF(OR(A2232="",F2232=""),"",A2232&amp;"#"&amp;(COUNTIFS($A$5:$A$3004,A2232,$F$5:$F$3004,"?*",$O$5:$O$3004,"&lt;"&amp;O2232)+COUNTIFS($A$5:A2232,A2232,$F$5:F2232,"?*",$O$5:O2232,O2232)))</f>
        <v/>
      </c>
      <c r="O2232" s="54">
        <f>IF(A2232="","",IF(C2232="",0,C2232))</f>
        <v/>
      </c>
    </row>
    <row r="2233">
      <c r="A2233" s="58" t="n"/>
      <c r="B2233" s="49">
        <f>IF(A2233="","",CHOOSE(WEEKDAY(A2233,2),"Пн","Вт","Ср","Чт","Пт","Сб","Вс"))</f>
        <v/>
      </c>
      <c r="C2233" s="59" t="n"/>
      <c r="D2233" s="59" t="n"/>
      <c r="E2233" s="60">
        <f>IF(OR(C2233="",D2233=""),"",MOD(D2233-C2233,1)*24)</f>
        <v/>
      </c>
      <c r="F2233" s="50" t="n"/>
      <c r="G2233" s="51" t="n"/>
      <c r="H2233" s="51" t="n"/>
      <c r="I2233" s="51" t="n"/>
      <c r="J2233" s="51" t="n"/>
      <c r="K2233" s="51" t="n"/>
      <c r="L2233" s="54">
        <f>IF(OR(A2233="",C2233="",D2233=""),"",IF(COUNTIFS($A$5:$A$3004,A2233,$C$5:$C$3004,"&lt;"&amp;D2233,$D$5:$D$3004,"&gt;"&amp;C2233)&gt;1,"⚠️ пересечение",""))</f>
        <v/>
      </c>
      <c r="M2233" s="54">
        <f>IF(F2233="","",IF(J2233="✅ Сделано","✔ ",IF(J2233="❌ Пропущено","✖ ","⏰ "))&amp;IF(C2233="","",RIGHT("0"&amp;HOUR(C2233),2)&amp;":"&amp;RIGHT("0"&amp;MINUTE(C2233),2)&amp;IF(D2233="","","–"&amp;RIGHT("0"&amp;HOUR(D2233),2)&amp;":"&amp;RIGHT("0"&amp;MINUTE(D2233),2))&amp;" ")&amp;F2233)</f>
        <v/>
      </c>
      <c r="N2233" s="54">
        <f>IF(OR(A2233="",F2233=""),"",A2233&amp;"#"&amp;(COUNTIFS($A$5:$A$3004,A2233,$F$5:$F$3004,"?*",$O$5:$O$3004,"&lt;"&amp;O2233)+COUNTIFS($A$5:A2233,A2233,$F$5:F2233,"?*",$O$5:O2233,O2233)))</f>
        <v/>
      </c>
      <c r="O2233" s="54">
        <f>IF(A2233="","",IF(C2233="",0,C2233))</f>
        <v/>
      </c>
    </row>
    <row r="2234">
      <c r="A2234" s="58" t="n"/>
      <c r="B2234" s="49">
        <f>IF(A2234="","",CHOOSE(WEEKDAY(A2234,2),"Пн","Вт","Ср","Чт","Пт","Сб","Вс"))</f>
        <v/>
      </c>
      <c r="C2234" s="59" t="n"/>
      <c r="D2234" s="59" t="n"/>
      <c r="E2234" s="60">
        <f>IF(OR(C2234="",D2234=""),"",MOD(D2234-C2234,1)*24)</f>
        <v/>
      </c>
      <c r="F2234" s="50" t="n"/>
      <c r="G2234" s="51" t="n"/>
      <c r="H2234" s="51" t="n"/>
      <c r="I2234" s="51" t="n"/>
      <c r="J2234" s="51" t="n"/>
      <c r="K2234" s="51" t="n"/>
      <c r="L2234" s="54">
        <f>IF(OR(A2234="",C2234="",D2234=""),"",IF(COUNTIFS($A$5:$A$3004,A2234,$C$5:$C$3004,"&lt;"&amp;D2234,$D$5:$D$3004,"&gt;"&amp;C2234)&gt;1,"⚠️ пересечение",""))</f>
        <v/>
      </c>
      <c r="M2234" s="54">
        <f>IF(F2234="","",IF(J2234="✅ Сделано","✔ ",IF(J2234="❌ Пропущено","✖ ","⏰ "))&amp;IF(C2234="","",RIGHT("0"&amp;HOUR(C2234),2)&amp;":"&amp;RIGHT("0"&amp;MINUTE(C2234),2)&amp;IF(D2234="","","–"&amp;RIGHT("0"&amp;HOUR(D2234),2)&amp;":"&amp;RIGHT("0"&amp;MINUTE(D2234),2))&amp;" ")&amp;F2234)</f>
        <v/>
      </c>
      <c r="N2234" s="54">
        <f>IF(OR(A2234="",F2234=""),"",A2234&amp;"#"&amp;(COUNTIFS($A$5:$A$3004,A2234,$F$5:$F$3004,"?*",$O$5:$O$3004,"&lt;"&amp;O2234)+COUNTIFS($A$5:A2234,A2234,$F$5:F2234,"?*",$O$5:O2234,O2234)))</f>
        <v/>
      </c>
      <c r="O2234" s="54">
        <f>IF(A2234="","",IF(C2234="",0,C2234))</f>
        <v/>
      </c>
    </row>
    <row r="2235">
      <c r="A2235" s="58" t="n"/>
      <c r="B2235" s="49">
        <f>IF(A2235="","",CHOOSE(WEEKDAY(A2235,2),"Пн","Вт","Ср","Чт","Пт","Сб","Вс"))</f>
        <v/>
      </c>
      <c r="C2235" s="59" t="n"/>
      <c r="D2235" s="59" t="n"/>
      <c r="E2235" s="60">
        <f>IF(OR(C2235="",D2235=""),"",MOD(D2235-C2235,1)*24)</f>
        <v/>
      </c>
      <c r="F2235" s="50" t="n"/>
      <c r="G2235" s="51" t="n"/>
      <c r="H2235" s="51" t="n"/>
      <c r="I2235" s="51" t="n"/>
      <c r="J2235" s="51" t="n"/>
      <c r="K2235" s="51" t="n"/>
      <c r="L2235" s="54">
        <f>IF(OR(A2235="",C2235="",D2235=""),"",IF(COUNTIFS($A$5:$A$3004,A2235,$C$5:$C$3004,"&lt;"&amp;D2235,$D$5:$D$3004,"&gt;"&amp;C2235)&gt;1,"⚠️ пересечение",""))</f>
        <v/>
      </c>
      <c r="M2235" s="54">
        <f>IF(F2235="","",IF(J2235="✅ Сделано","✔ ",IF(J2235="❌ Пропущено","✖ ","⏰ "))&amp;IF(C2235="","",RIGHT("0"&amp;HOUR(C2235),2)&amp;":"&amp;RIGHT("0"&amp;MINUTE(C2235),2)&amp;IF(D2235="","","–"&amp;RIGHT("0"&amp;HOUR(D2235),2)&amp;":"&amp;RIGHT("0"&amp;MINUTE(D2235),2))&amp;" ")&amp;F2235)</f>
        <v/>
      </c>
      <c r="N2235" s="54">
        <f>IF(OR(A2235="",F2235=""),"",A2235&amp;"#"&amp;(COUNTIFS($A$5:$A$3004,A2235,$F$5:$F$3004,"?*",$O$5:$O$3004,"&lt;"&amp;O2235)+COUNTIFS($A$5:A2235,A2235,$F$5:F2235,"?*",$O$5:O2235,O2235)))</f>
        <v/>
      </c>
      <c r="O2235" s="54">
        <f>IF(A2235="","",IF(C2235="",0,C2235))</f>
        <v/>
      </c>
    </row>
    <row r="2236">
      <c r="A2236" s="58" t="n"/>
      <c r="B2236" s="49">
        <f>IF(A2236="","",CHOOSE(WEEKDAY(A2236,2),"Пн","Вт","Ср","Чт","Пт","Сб","Вс"))</f>
        <v/>
      </c>
      <c r="C2236" s="59" t="n"/>
      <c r="D2236" s="59" t="n"/>
      <c r="E2236" s="60">
        <f>IF(OR(C2236="",D2236=""),"",MOD(D2236-C2236,1)*24)</f>
        <v/>
      </c>
      <c r="F2236" s="50" t="n"/>
      <c r="G2236" s="51" t="n"/>
      <c r="H2236" s="51" t="n"/>
      <c r="I2236" s="51" t="n"/>
      <c r="J2236" s="51" t="n"/>
      <c r="K2236" s="51" t="n"/>
      <c r="L2236" s="54">
        <f>IF(OR(A2236="",C2236="",D2236=""),"",IF(COUNTIFS($A$5:$A$3004,A2236,$C$5:$C$3004,"&lt;"&amp;D2236,$D$5:$D$3004,"&gt;"&amp;C2236)&gt;1,"⚠️ пересечение",""))</f>
        <v/>
      </c>
      <c r="M2236" s="54">
        <f>IF(F2236="","",IF(J2236="✅ Сделано","✔ ",IF(J2236="❌ Пропущено","✖ ","⏰ "))&amp;IF(C2236="","",RIGHT("0"&amp;HOUR(C2236),2)&amp;":"&amp;RIGHT("0"&amp;MINUTE(C2236),2)&amp;IF(D2236="","","–"&amp;RIGHT("0"&amp;HOUR(D2236),2)&amp;":"&amp;RIGHT("0"&amp;MINUTE(D2236),2))&amp;" ")&amp;F2236)</f>
        <v/>
      </c>
      <c r="N2236" s="54">
        <f>IF(OR(A2236="",F2236=""),"",A2236&amp;"#"&amp;(COUNTIFS($A$5:$A$3004,A2236,$F$5:$F$3004,"?*",$O$5:$O$3004,"&lt;"&amp;O2236)+COUNTIFS($A$5:A2236,A2236,$F$5:F2236,"?*",$O$5:O2236,O2236)))</f>
        <v/>
      </c>
      <c r="O2236" s="54">
        <f>IF(A2236="","",IF(C2236="",0,C2236))</f>
        <v/>
      </c>
    </row>
    <row r="2237">
      <c r="A2237" s="58" t="n"/>
      <c r="B2237" s="49">
        <f>IF(A2237="","",CHOOSE(WEEKDAY(A2237,2),"Пн","Вт","Ср","Чт","Пт","Сб","Вс"))</f>
        <v/>
      </c>
      <c r="C2237" s="59" t="n"/>
      <c r="D2237" s="59" t="n"/>
      <c r="E2237" s="60">
        <f>IF(OR(C2237="",D2237=""),"",MOD(D2237-C2237,1)*24)</f>
        <v/>
      </c>
      <c r="F2237" s="50" t="n"/>
      <c r="G2237" s="51" t="n"/>
      <c r="H2237" s="51" t="n"/>
      <c r="I2237" s="51" t="n"/>
      <c r="J2237" s="51" t="n"/>
      <c r="K2237" s="51" t="n"/>
      <c r="L2237" s="54">
        <f>IF(OR(A2237="",C2237="",D2237=""),"",IF(COUNTIFS($A$5:$A$3004,A2237,$C$5:$C$3004,"&lt;"&amp;D2237,$D$5:$D$3004,"&gt;"&amp;C2237)&gt;1,"⚠️ пересечение",""))</f>
        <v/>
      </c>
      <c r="M2237" s="54">
        <f>IF(F2237="","",IF(J2237="✅ Сделано","✔ ",IF(J2237="❌ Пропущено","✖ ","⏰ "))&amp;IF(C2237="","",RIGHT("0"&amp;HOUR(C2237),2)&amp;":"&amp;RIGHT("0"&amp;MINUTE(C2237),2)&amp;IF(D2237="","","–"&amp;RIGHT("0"&amp;HOUR(D2237),2)&amp;":"&amp;RIGHT("0"&amp;MINUTE(D2237),2))&amp;" ")&amp;F2237)</f>
        <v/>
      </c>
      <c r="N2237" s="54">
        <f>IF(OR(A2237="",F2237=""),"",A2237&amp;"#"&amp;(COUNTIFS($A$5:$A$3004,A2237,$F$5:$F$3004,"?*",$O$5:$O$3004,"&lt;"&amp;O2237)+COUNTIFS($A$5:A2237,A2237,$F$5:F2237,"?*",$O$5:O2237,O2237)))</f>
        <v/>
      </c>
      <c r="O2237" s="54">
        <f>IF(A2237="","",IF(C2237="",0,C2237))</f>
        <v/>
      </c>
    </row>
    <row r="2238">
      <c r="A2238" s="58" t="n"/>
      <c r="B2238" s="49">
        <f>IF(A2238="","",CHOOSE(WEEKDAY(A2238,2),"Пн","Вт","Ср","Чт","Пт","Сб","Вс"))</f>
        <v/>
      </c>
      <c r="C2238" s="59" t="n"/>
      <c r="D2238" s="59" t="n"/>
      <c r="E2238" s="60">
        <f>IF(OR(C2238="",D2238=""),"",MOD(D2238-C2238,1)*24)</f>
        <v/>
      </c>
      <c r="F2238" s="50" t="n"/>
      <c r="G2238" s="51" t="n"/>
      <c r="H2238" s="51" t="n"/>
      <c r="I2238" s="51" t="n"/>
      <c r="J2238" s="51" t="n"/>
      <c r="K2238" s="51" t="n"/>
      <c r="L2238" s="54">
        <f>IF(OR(A2238="",C2238="",D2238=""),"",IF(COUNTIFS($A$5:$A$3004,A2238,$C$5:$C$3004,"&lt;"&amp;D2238,$D$5:$D$3004,"&gt;"&amp;C2238)&gt;1,"⚠️ пересечение",""))</f>
        <v/>
      </c>
      <c r="M2238" s="54">
        <f>IF(F2238="","",IF(J2238="✅ Сделано","✔ ",IF(J2238="❌ Пропущено","✖ ","⏰ "))&amp;IF(C2238="","",RIGHT("0"&amp;HOUR(C2238),2)&amp;":"&amp;RIGHT("0"&amp;MINUTE(C2238),2)&amp;IF(D2238="","","–"&amp;RIGHT("0"&amp;HOUR(D2238),2)&amp;":"&amp;RIGHT("0"&amp;MINUTE(D2238),2))&amp;" ")&amp;F2238)</f>
        <v/>
      </c>
      <c r="N2238" s="54">
        <f>IF(OR(A2238="",F2238=""),"",A2238&amp;"#"&amp;(COUNTIFS($A$5:$A$3004,A2238,$F$5:$F$3004,"?*",$O$5:$O$3004,"&lt;"&amp;O2238)+COUNTIFS($A$5:A2238,A2238,$F$5:F2238,"?*",$O$5:O2238,O2238)))</f>
        <v/>
      </c>
      <c r="O2238" s="54">
        <f>IF(A2238="","",IF(C2238="",0,C2238))</f>
        <v/>
      </c>
    </row>
    <row r="2239">
      <c r="A2239" s="58" t="n"/>
      <c r="B2239" s="49">
        <f>IF(A2239="","",CHOOSE(WEEKDAY(A2239,2),"Пн","Вт","Ср","Чт","Пт","Сб","Вс"))</f>
        <v/>
      </c>
      <c r="C2239" s="59" t="n"/>
      <c r="D2239" s="59" t="n"/>
      <c r="E2239" s="60">
        <f>IF(OR(C2239="",D2239=""),"",MOD(D2239-C2239,1)*24)</f>
        <v/>
      </c>
      <c r="F2239" s="50" t="n"/>
      <c r="G2239" s="51" t="n"/>
      <c r="H2239" s="51" t="n"/>
      <c r="I2239" s="51" t="n"/>
      <c r="J2239" s="51" t="n"/>
      <c r="K2239" s="51" t="n"/>
      <c r="L2239" s="54">
        <f>IF(OR(A2239="",C2239="",D2239=""),"",IF(COUNTIFS($A$5:$A$3004,A2239,$C$5:$C$3004,"&lt;"&amp;D2239,$D$5:$D$3004,"&gt;"&amp;C2239)&gt;1,"⚠️ пересечение",""))</f>
        <v/>
      </c>
      <c r="M2239" s="54">
        <f>IF(F2239="","",IF(J2239="✅ Сделано","✔ ",IF(J2239="❌ Пропущено","✖ ","⏰ "))&amp;IF(C2239="","",RIGHT("0"&amp;HOUR(C2239),2)&amp;":"&amp;RIGHT("0"&amp;MINUTE(C2239),2)&amp;IF(D2239="","","–"&amp;RIGHT("0"&amp;HOUR(D2239),2)&amp;":"&amp;RIGHT("0"&amp;MINUTE(D2239),2))&amp;" ")&amp;F2239)</f>
        <v/>
      </c>
      <c r="N2239" s="54">
        <f>IF(OR(A2239="",F2239=""),"",A2239&amp;"#"&amp;(COUNTIFS($A$5:$A$3004,A2239,$F$5:$F$3004,"?*",$O$5:$O$3004,"&lt;"&amp;O2239)+COUNTIFS($A$5:A2239,A2239,$F$5:F2239,"?*",$O$5:O2239,O2239)))</f>
        <v/>
      </c>
      <c r="O2239" s="54">
        <f>IF(A2239="","",IF(C2239="",0,C2239))</f>
        <v/>
      </c>
    </row>
    <row r="2240">
      <c r="A2240" s="58" t="n"/>
      <c r="B2240" s="49">
        <f>IF(A2240="","",CHOOSE(WEEKDAY(A2240,2),"Пн","Вт","Ср","Чт","Пт","Сб","Вс"))</f>
        <v/>
      </c>
      <c r="C2240" s="59" t="n"/>
      <c r="D2240" s="59" t="n"/>
      <c r="E2240" s="60">
        <f>IF(OR(C2240="",D2240=""),"",MOD(D2240-C2240,1)*24)</f>
        <v/>
      </c>
      <c r="F2240" s="50" t="n"/>
      <c r="G2240" s="51" t="n"/>
      <c r="H2240" s="51" t="n"/>
      <c r="I2240" s="51" t="n"/>
      <c r="J2240" s="51" t="n"/>
      <c r="K2240" s="51" t="n"/>
      <c r="L2240" s="54">
        <f>IF(OR(A2240="",C2240="",D2240=""),"",IF(COUNTIFS($A$5:$A$3004,A2240,$C$5:$C$3004,"&lt;"&amp;D2240,$D$5:$D$3004,"&gt;"&amp;C2240)&gt;1,"⚠️ пересечение",""))</f>
        <v/>
      </c>
      <c r="M2240" s="54">
        <f>IF(F2240="","",IF(J2240="✅ Сделано","✔ ",IF(J2240="❌ Пропущено","✖ ","⏰ "))&amp;IF(C2240="","",RIGHT("0"&amp;HOUR(C2240),2)&amp;":"&amp;RIGHT("0"&amp;MINUTE(C2240),2)&amp;IF(D2240="","","–"&amp;RIGHT("0"&amp;HOUR(D2240),2)&amp;":"&amp;RIGHT("0"&amp;MINUTE(D2240),2))&amp;" ")&amp;F2240)</f>
        <v/>
      </c>
      <c r="N2240" s="54">
        <f>IF(OR(A2240="",F2240=""),"",A2240&amp;"#"&amp;(COUNTIFS($A$5:$A$3004,A2240,$F$5:$F$3004,"?*",$O$5:$O$3004,"&lt;"&amp;O2240)+COUNTIFS($A$5:A2240,A2240,$F$5:F2240,"?*",$O$5:O2240,O2240)))</f>
        <v/>
      </c>
      <c r="O2240" s="54">
        <f>IF(A2240="","",IF(C2240="",0,C2240))</f>
        <v/>
      </c>
    </row>
    <row r="2241">
      <c r="A2241" s="58" t="n"/>
      <c r="B2241" s="49">
        <f>IF(A2241="","",CHOOSE(WEEKDAY(A2241,2),"Пн","Вт","Ср","Чт","Пт","Сб","Вс"))</f>
        <v/>
      </c>
      <c r="C2241" s="59" t="n"/>
      <c r="D2241" s="59" t="n"/>
      <c r="E2241" s="60">
        <f>IF(OR(C2241="",D2241=""),"",MOD(D2241-C2241,1)*24)</f>
        <v/>
      </c>
      <c r="F2241" s="50" t="n"/>
      <c r="G2241" s="51" t="n"/>
      <c r="H2241" s="51" t="n"/>
      <c r="I2241" s="51" t="n"/>
      <c r="J2241" s="51" t="n"/>
      <c r="K2241" s="51" t="n"/>
      <c r="L2241" s="54">
        <f>IF(OR(A2241="",C2241="",D2241=""),"",IF(COUNTIFS($A$5:$A$3004,A2241,$C$5:$C$3004,"&lt;"&amp;D2241,$D$5:$D$3004,"&gt;"&amp;C2241)&gt;1,"⚠️ пересечение",""))</f>
        <v/>
      </c>
      <c r="M2241" s="54">
        <f>IF(F2241="","",IF(J2241="✅ Сделано","✔ ",IF(J2241="❌ Пропущено","✖ ","⏰ "))&amp;IF(C2241="","",RIGHT("0"&amp;HOUR(C2241),2)&amp;":"&amp;RIGHT("0"&amp;MINUTE(C2241),2)&amp;IF(D2241="","","–"&amp;RIGHT("0"&amp;HOUR(D2241),2)&amp;":"&amp;RIGHT("0"&amp;MINUTE(D2241),2))&amp;" ")&amp;F2241)</f>
        <v/>
      </c>
      <c r="N2241" s="54">
        <f>IF(OR(A2241="",F2241=""),"",A2241&amp;"#"&amp;(COUNTIFS($A$5:$A$3004,A2241,$F$5:$F$3004,"?*",$O$5:$O$3004,"&lt;"&amp;O2241)+COUNTIFS($A$5:A2241,A2241,$F$5:F2241,"?*",$O$5:O2241,O2241)))</f>
        <v/>
      </c>
      <c r="O2241" s="54">
        <f>IF(A2241="","",IF(C2241="",0,C2241))</f>
        <v/>
      </c>
    </row>
    <row r="2242">
      <c r="A2242" s="58" t="n"/>
      <c r="B2242" s="49">
        <f>IF(A2242="","",CHOOSE(WEEKDAY(A2242,2),"Пн","Вт","Ср","Чт","Пт","Сб","Вс"))</f>
        <v/>
      </c>
      <c r="C2242" s="59" t="n"/>
      <c r="D2242" s="59" t="n"/>
      <c r="E2242" s="60">
        <f>IF(OR(C2242="",D2242=""),"",MOD(D2242-C2242,1)*24)</f>
        <v/>
      </c>
      <c r="F2242" s="50" t="n"/>
      <c r="G2242" s="51" t="n"/>
      <c r="H2242" s="51" t="n"/>
      <c r="I2242" s="51" t="n"/>
      <c r="J2242" s="51" t="n"/>
      <c r="K2242" s="51" t="n"/>
      <c r="L2242" s="54">
        <f>IF(OR(A2242="",C2242="",D2242=""),"",IF(COUNTIFS($A$5:$A$3004,A2242,$C$5:$C$3004,"&lt;"&amp;D2242,$D$5:$D$3004,"&gt;"&amp;C2242)&gt;1,"⚠️ пересечение",""))</f>
        <v/>
      </c>
      <c r="M2242" s="54">
        <f>IF(F2242="","",IF(J2242="✅ Сделано","✔ ",IF(J2242="❌ Пропущено","✖ ","⏰ "))&amp;IF(C2242="","",RIGHT("0"&amp;HOUR(C2242),2)&amp;":"&amp;RIGHT("0"&amp;MINUTE(C2242),2)&amp;IF(D2242="","","–"&amp;RIGHT("0"&amp;HOUR(D2242),2)&amp;":"&amp;RIGHT("0"&amp;MINUTE(D2242),2))&amp;" ")&amp;F2242)</f>
        <v/>
      </c>
      <c r="N2242" s="54">
        <f>IF(OR(A2242="",F2242=""),"",A2242&amp;"#"&amp;(COUNTIFS($A$5:$A$3004,A2242,$F$5:$F$3004,"?*",$O$5:$O$3004,"&lt;"&amp;O2242)+COUNTIFS($A$5:A2242,A2242,$F$5:F2242,"?*",$O$5:O2242,O2242)))</f>
        <v/>
      </c>
      <c r="O2242" s="54">
        <f>IF(A2242="","",IF(C2242="",0,C2242))</f>
        <v/>
      </c>
    </row>
    <row r="2243">
      <c r="A2243" s="58" t="n"/>
      <c r="B2243" s="49">
        <f>IF(A2243="","",CHOOSE(WEEKDAY(A2243,2),"Пн","Вт","Ср","Чт","Пт","Сб","Вс"))</f>
        <v/>
      </c>
      <c r="C2243" s="59" t="n"/>
      <c r="D2243" s="59" t="n"/>
      <c r="E2243" s="60">
        <f>IF(OR(C2243="",D2243=""),"",MOD(D2243-C2243,1)*24)</f>
        <v/>
      </c>
      <c r="F2243" s="50" t="n"/>
      <c r="G2243" s="51" t="n"/>
      <c r="H2243" s="51" t="n"/>
      <c r="I2243" s="51" t="n"/>
      <c r="J2243" s="51" t="n"/>
      <c r="K2243" s="51" t="n"/>
      <c r="L2243" s="54">
        <f>IF(OR(A2243="",C2243="",D2243=""),"",IF(COUNTIFS($A$5:$A$3004,A2243,$C$5:$C$3004,"&lt;"&amp;D2243,$D$5:$D$3004,"&gt;"&amp;C2243)&gt;1,"⚠️ пересечение",""))</f>
        <v/>
      </c>
      <c r="M2243" s="54">
        <f>IF(F2243="","",IF(J2243="✅ Сделано","✔ ",IF(J2243="❌ Пропущено","✖ ","⏰ "))&amp;IF(C2243="","",RIGHT("0"&amp;HOUR(C2243),2)&amp;":"&amp;RIGHT("0"&amp;MINUTE(C2243),2)&amp;IF(D2243="","","–"&amp;RIGHT("0"&amp;HOUR(D2243),2)&amp;":"&amp;RIGHT("0"&amp;MINUTE(D2243),2))&amp;" ")&amp;F2243)</f>
        <v/>
      </c>
      <c r="N2243" s="54">
        <f>IF(OR(A2243="",F2243=""),"",A2243&amp;"#"&amp;(COUNTIFS($A$5:$A$3004,A2243,$F$5:$F$3004,"?*",$O$5:$O$3004,"&lt;"&amp;O2243)+COUNTIFS($A$5:A2243,A2243,$F$5:F2243,"?*",$O$5:O2243,O2243)))</f>
        <v/>
      </c>
      <c r="O2243" s="54">
        <f>IF(A2243="","",IF(C2243="",0,C2243))</f>
        <v/>
      </c>
    </row>
    <row r="2244">
      <c r="A2244" s="58" t="n"/>
      <c r="B2244" s="49">
        <f>IF(A2244="","",CHOOSE(WEEKDAY(A2244,2),"Пн","Вт","Ср","Чт","Пт","Сб","Вс"))</f>
        <v/>
      </c>
      <c r="C2244" s="59" t="n"/>
      <c r="D2244" s="59" t="n"/>
      <c r="E2244" s="60">
        <f>IF(OR(C2244="",D2244=""),"",MOD(D2244-C2244,1)*24)</f>
        <v/>
      </c>
      <c r="F2244" s="50" t="n"/>
      <c r="G2244" s="51" t="n"/>
      <c r="H2244" s="51" t="n"/>
      <c r="I2244" s="51" t="n"/>
      <c r="J2244" s="51" t="n"/>
      <c r="K2244" s="51" t="n"/>
      <c r="L2244" s="54">
        <f>IF(OR(A2244="",C2244="",D2244=""),"",IF(COUNTIFS($A$5:$A$3004,A2244,$C$5:$C$3004,"&lt;"&amp;D2244,$D$5:$D$3004,"&gt;"&amp;C2244)&gt;1,"⚠️ пересечение",""))</f>
        <v/>
      </c>
      <c r="M2244" s="54">
        <f>IF(F2244="","",IF(J2244="✅ Сделано","✔ ",IF(J2244="❌ Пропущено","✖ ","⏰ "))&amp;IF(C2244="","",RIGHT("0"&amp;HOUR(C2244),2)&amp;":"&amp;RIGHT("0"&amp;MINUTE(C2244),2)&amp;IF(D2244="","","–"&amp;RIGHT("0"&amp;HOUR(D2244),2)&amp;":"&amp;RIGHT("0"&amp;MINUTE(D2244),2))&amp;" ")&amp;F2244)</f>
        <v/>
      </c>
      <c r="N2244" s="54">
        <f>IF(OR(A2244="",F2244=""),"",A2244&amp;"#"&amp;(COUNTIFS($A$5:$A$3004,A2244,$F$5:$F$3004,"?*",$O$5:$O$3004,"&lt;"&amp;O2244)+COUNTIFS($A$5:A2244,A2244,$F$5:F2244,"?*",$O$5:O2244,O2244)))</f>
        <v/>
      </c>
      <c r="O2244" s="54">
        <f>IF(A2244="","",IF(C2244="",0,C2244))</f>
        <v/>
      </c>
    </row>
    <row r="2245">
      <c r="A2245" s="58" t="n"/>
      <c r="B2245" s="49">
        <f>IF(A2245="","",CHOOSE(WEEKDAY(A2245,2),"Пн","Вт","Ср","Чт","Пт","Сб","Вс"))</f>
        <v/>
      </c>
      <c r="C2245" s="59" t="n"/>
      <c r="D2245" s="59" t="n"/>
      <c r="E2245" s="60">
        <f>IF(OR(C2245="",D2245=""),"",MOD(D2245-C2245,1)*24)</f>
        <v/>
      </c>
      <c r="F2245" s="50" t="n"/>
      <c r="G2245" s="51" t="n"/>
      <c r="H2245" s="51" t="n"/>
      <c r="I2245" s="51" t="n"/>
      <c r="J2245" s="51" t="n"/>
      <c r="K2245" s="51" t="n"/>
      <c r="L2245" s="54">
        <f>IF(OR(A2245="",C2245="",D2245=""),"",IF(COUNTIFS($A$5:$A$3004,A2245,$C$5:$C$3004,"&lt;"&amp;D2245,$D$5:$D$3004,"&gt;"&amp;C2245)&gt;1,"⚠️ пересечение",""))</f>
        <v/>
      </c>
      <c r="M2245" s="54">
        <f>IF(F2245="","",IF(J2245="✅ Сделано","✔ ",IF(J2245="❌ Пропущено","✖ ","⏰ "))&amp;IF(C2245="","",RIGHT("0"&amp;HOUR(C2245),2)&amp;":"&amp;RIGHT("0"&amp;MINUTE(C2245),2)&amp;IF(D2245="","","–"&amp;RIGHT("0"&amp;HOUR(D2245),2)&amp;":"&amp;RIGHT("0"&amp;MINUTE(D2245),2))&amp;" ")&amp;F2245)</f>
        <v/>
      </c>
      <c r="N2245" s="54">
        <f>IF(OR(A2245="",F2245=""),"",A2245&amp;"#"&amp;(COUNTIFS($A$5:$A$3004,A2245,$F$5:$F$3004,"?*",$O$5:$O$3004,"&lt;"&amp;O2245)+COUNTIFS($A$5:A2245,A2245,$F$5:F2245,"?*",$O$5:O2245,O2245)))</f>
        <v/>
      </c>
      <c r="O2245" s="54">
        <f>IF(A2245="","",IF(C2245="",0,C2245))</f>
        <v/>
      </c>
    </row>
    <row r="2246">
      <c r="A2246" s="58" t="n"/>
      <c r="B2246" s="49">
        <f>IF(A2246="","",CHOOSE(WEEKDAY(A2246,2),"Пн","Вт","Ср","Чт","Пт","Сб","Вс"))</f>
        <v/>
      </c>
      <c r="C2246" s="59" t="n"/>
      <c r="D2246" s="59" t="n"/>
      <c r="E2246" s="60">
        <f>IF(OR(C2246="",D2246=""),"",MOD(D2246-C2246,1)*24)</f>
        <v/>
      </c>
      <c r="F2246" s="50" t="n"/>
      <c r="G2246" s="51" t="n"/>
      <c r="H2246" s="51" t="n"/>
      <c r="I2246" s="51" t="n"/>
      <c r="J2246" s="51" t="n"/>
      <c r="K2246" s="51" t="n"/>
      <c r="L2246" s="54">
        <f>IF(OR(A2246="",C2246="",D2246=""),"",IF(COUNTIFS($A$5:$A$3004,A2246,$C$5:$C$3004,"&lt;"&amp;D2246,$D$5:$D$3004,"&gt;"&amp;C2246)&gt;1,"⚠️ пересечение",""))</f>
        <v/>
      </c>
      <c r="M2246" s="54">
        <f>IF(F2246="","",IF(J2246="✅ Сделано","✔ ",IF(J2246="❌ Пропущено","✖ ","⏰ "))&amp;IF(C2246="","",RIGHT("0"&amp;HOUR(C2246),2)&amp;":"&amp;RIGHT("0"&amp;MINUTE(C2246),2)&amp;IF(D2246="","","–"&amp;RIGHT("0"&amp;HOUR(D2246),2)&amp;":"&amp;RIGHT("0"&amp;MINUTE(D2246),2))&amp;" ")&amp;F2246)</f>
        <v/>
      </c>
      <c r="N2246" s="54">
        <f>IF(OR(A2246="",F2246=""),"",A2246&amp;"#"&amp;(COUNTIFS($A$5:$A$3004,A2246,$F$5:$F$3004,"?*",$O$5:$O$3004,"&lt;"&amp;O2246)+COUNTIFS($A$5:A2246,A2246,$F$5:F2246,"?*",$O$5:O2246,O2246)))</f>
        <v/>
      </c>
      <c r="O2246" s="54">
        <f>IF(A2246="","",IF(C2246="",0,C2246))</f>
        <v/>
      </c>
    </row>
    <row r="2247">
      <c r="A2247" s="58" t="n"/>
      <c r="B2247" s="49">
        <f>IF(A2247="","",CHOOSE(WEEKDAY(A2247,2),"Пн","Вт","Ср","Чт","Пт","Сб","Вс"))</f>
        <v/>
      </c>
      <c r="C2247" s="59" t="n"/>
      <c r="D2247" s="59" t="n"/>
      <c r="E2247" s="60">
        <f>IF(OR(C2247="",D2247=""),"",MOD(D2247-C2247,1)*24)</f>
        <v/>
      </c>
      <c r="F2247" s="50" t="n"/>
      <c r="G2247" s="51" t="n"/>
      <c r="H2247" s="51" t="n"/>
      <c r="I2247" s="51" t="n"/>
      <c r="J2247" s="51" t="n"/>
      <c r="K2247" s="51" t="n"/>
      <c r="L2247" s="54">
        <f>IF(OR(A2247="",C2247="",D2247=""),"",IF(COUNTIFS($A$5:$A$3004,A2247,$C$5:$C$3004,"&lt;"&amp;D2247,$D$5:$D$3004,"&gt;"&amp;C2247)&gt;1,"⚠️ пересечение",""))</f>
        <v/>
      </c>
      <c r="M2247" s="54">
        <f>IF(F2247="","",IF(J2247="✅ Сделано","✔ ",IF(J2247="❌ Пропущено","✖ ","⏰ "))&amp;IF(C2247="","",RIGHT("0"&amp;HOUR(C2247),2)&amp;":"&amp;RIGHT("0"&amp;MINUTE(C2247),2)&amp;IF(D2247="","","–"&amp;RIGHT("0"&amp;HOUR(D2247),2)&amp;":"&amp;RIGHT("0"&amp;MINUTE(D2247),2))&amp;" ")&amp;F2247)</f>
        <v/>
      </c>
      <c r="N2247" s="54">
        <f>IF(OR(A2247="",F2247=""),"",A2247&amp;"#"&amp;(COUNTIFS($A$5:$A$3004,A2247,$F$5:$F$3004,"?*",$O$5:$O$3004,"&lt;"&amp;O2247)+COUNTIFS($A$5:A2247,A2247,$F$5:F2247,"?*",$O$5:O2247,O2247)))</f>
        <v/>
      </c>
      <c r="O2247" s="54">
        <f>IF(A2247="","",IF(C2247="",0,C2247))</f>
        <v/>
      </c>
    </row>
    <row r="2248">
      <c r="A2248" s="58" t="n"/>
      <c r="B2248" s="49">
        <f>IF(A2248="","",CHOOSE(WEEKDAY(A2248,2),"Пн","Вт","Ср","Чт","Пт","Сб","Вс"))</f>
        <v/>
      </c>
      <c r="C2248" s="59" t="n"/>
      <c r="D2248" s="59" t="n"/>
      <c r="E2248" s="60">
        <f>IF(OR(C2248="",D2248=""),"",MOD(D2248-C2248,1)*24)</f>
        <v/>
      </c>
      <c r="F2248" s="50" t="n"/>
      <c r="G2248" s="51" t="n"/>
      <c r="H2248" s="51" t="n"/>
      <c r="I2248" s="51" t="n"/>
      <c r="J2248" s="51" t="n"/>
      <c r="K2248" s="51" t="n"/>
      <c r="L2248" s="54">
        <f>IF(OR(A2248="",C2248="",D2248=""),"",IF(COUNTIFS($A$5:$A$3004,A2248,$C$5:$C$3004,"&lt;"&amp;D2248,$D$5:$D$3004,"&gt;"&amp;C2248)&gt;1,"⚠️ пересечение",""))</f>
        <v/>
      </c>
      <c r="M2248" s="54">
        <f>IF(F2248="","",IF(J2248="✅ Сделано","✔ ",IF(J2248="❌ Пропущено","✖ ","⏰ "))&amp;IF(C2248="","",RIGHT("0"&amp;HOUR(C2248),2)&amp;":"&amp;RIGHT("0"&amp;MINUTE(C2248),2)&amp;IF(D2248="","","–"&amp;RIGHT("0"&amp;HOUR(D2248),2)&amp;":"&amp;RIGHT("0"&amp;MINUTE(D2248),2))&amp;" ")&amp;F2248)</f>
        <v/>
      </c>
      <c r="N2248" s="54">
        <f>IF(OR(A2248="",F2248=""),"",A2248&amp;"#"&amp;(COUNTIFS($A$5:$A$3004,A2248,$F$5:$F$3004,"?*",$O$5:$O$3004,"&lt;"&amp;O2248)+COUNTIFS($A$5:A2248,A2248,$F$5:F2248,"?*",$O$5:O2248,O2248)))</f>
        <v/>
      </c>
      <c r="O2248" s="54">
        <f>IF(A2248="","",IF(C2248="",0,C2248))</f>
        <v/>
      </c>
    </row>
    <row r="2249">
      <c r="A2249" s="58" t="n"/>
      <c r="B2249" s="49">
        <f>IF(A2249="","",CHOOSE(WEEKDAY(A2249,2),"Пн","Вт","Ср","Чт","Пт","Сб","Вс"))</f>
        <v/>
      </c>
      <c r="C2249" s="59" t="n"/>
      <c r="D2249" s="59" t="n"/>
      <c r="E2249" s="60">
        <f>IF(OR(C2249="",D2249=""),"",MOD(D2249-C2249,1)*24)</f>
        <v/>
      </c>
      <c r="F2249" s="50" t="n"/>
      <c r="G2249" s="51" t="n"/>
      <c r="H2249" s="51" t="n"/>
      <c r="I2249" s="51" t="n"/>
      <c r="J2249" s="51" t="n"/>
      <c r="K2249" s="51" t="n"/>
      <c r="L2249" s="54">
        <f>IF(OR(A2249="",C2249="",D2249=""),"",IF(COUNTIFS($A$5:$A$3004,A2249,$C$5:$C$3004,"&lt;"&amp;D2249,$D$5:$D$3004,"&gt;"&amp;C2249)&gt;1,"⚠️ пересечение",""))</f>
        <v/>
      </c>
      <c r="M2249" s="54">
        <f>IF(F2249="","",IF(J2249="✅ Сделано","✔ ",IF(J2249="❌ Пропущено","✖ ","⏰ "))&amp;IF(C2249="","",RIGHT("0"&amp;HOUR(C2249),2)&amp;":"&amp;RIGHT("0"&amp;MINUTE(C2249),2)&amp;IF(D2249="","","–"&amp;RIGHT("0"&amp;HOUR(D2249),2)&amp;":"&amp;RIGHT("0"&amp;MINUTE(D2249),2))&amp;" ")&amp;F2249)</f>
        <v/>
      </c>
      <c r="N2249" s="54">
        <f>IF(OR(A2249="",F2249=""),"",A2249&amp;"#"&amp;(COUNTIFS($A$5:$A$3004,A2249,$F$5:$F$3004,"?*",$O$5:$O$3004,"&lt;"&amp;O2249)+COUNTIFS($A$5:A2249,A2249,$F$5:F2249,"?*",$O$5:O2249,O2249)))</f>
        <v/>
      </c>
      <c r="O2249" s="54">
        <f>IF(A2249="","",IF(C2249="",0,C2249))</f>
        <v/>
      </c>
    </row>
    <row r="2250">
      <c r="A2250" s="58" t="n"/>
      <c r="B2250" s="49">
        <f>IF(A2250="","",CHOOSE(WEEKDAY(A2250,2),"Пн","Вт","Ср","Чт","Пт","Сб","Вс"))</f>
        <v/>
      </c>
      <c r="C2250" s="59" t="n"/>
      <c r="D2250" s="59" t="n"/>
      <c r="E2250" s="60">
        <f>IF(OR(C2250="",D2250=""),"",MOD(D2250-C2250,1)*24)</f>
        <v/>
      </c>
      <c r="F2250" s="50" t="n"/>
      <c r="G2250" s="51" t="n"/>
      <c r="H2250" s="51" t="n"/>
      <c r="I2250" s="51" t="n"/>
      <c r="J2250" s="51" t="n"/>
      <c r="K2250" s="51" t="n"/>
      <c r="L2250" s="54">
        <f>IF(OR(A2250="",C2250="",D2250=""),"",IF(COUNTIFS($A$5:$A$3004,A2250,$C$5:$C$3004,"&lt;"&amp;D2250,$D$5:$D$3004,"&gt;"&amp;C2250)&gt;1,"⚠️ пересечение",""))</f>
        <v/>
      </c>
      <c r="M2250" s="54">
        <f>IF(F2250="","",IF(J2250="✅ Сделано","✔ ",IF(J2250="❌ Пропущено","✖ ","⏰ "))&amp;IF(C2250="","",RIGHT("0"&amp;HOUR(C2250),2)&amp;":"&amp;RIGHT("0"&amp;MINUTE(C2250),2)&amp;IF(D2250="","","–"&amp;RIGHT("0"&amp;HOUR(D2250),2)&amp;":"&amp;RIGHT("0"&amp;MINUTE(D2250),2))&amp;" ")&amp;F2250)</f>
        <v/>
      </c>
      <c r="N2250" s="54">
        <f>IF(OR(A2250="",F2250=""),"",A2250&amp;"#"&amp;(COUNTIFS($A$5:$A$3004,A2250,$F$5:$F$3004,"?*",$O$5:$O$3004,"&lt;"&amp;O2250)+COUNTIFS($A$5:A2250,A2250,$F$5:F2250,"?*",$O$5:O2250,O2250)))</f>
        <v/>
      </c>
      <c r="O2250" s="54">
        <f>IF(A2250="","",IF(C2250="",0,C2250))</f>
        <v/>
      </c>
    </row>
    <row r="2251">
      <c r="A2251" s="58" t="n"/>
      <c r="B2251" s="49">
        <f>IF(A2251="","",CHOOSE(WEEKDAY(A2251,2),"Пн","Вт","Ср","Чт","Пт","Сб","Вс"))</f>
        <v/>
      </c>
      <c r="C2251" s="59" t="n"/>
      <c r="D2251" s="59" t="n"/>
      <c r="E2251" s="60">
        <f>IF(OR(C2251="",D2251=""),"",MOD(D2251-C2251,1)*24)</f>
        <v/>
      </c>
      <c r="F2251" s="50" t="n"/>
      <c r="G2251" s="51" t="n"/>
      <c r="H2251" s="51" t="n"/>
      <c r="I2251" s="51" t="n"/>
      <c r="J2251" s="51" t="n"/>
      <c r="K2251" s="51" t="n"/>
      <c r="L2251" s="54">
        <f>IF(OR(A2251="",C2251="",D2251=""),"",IF(COUNTIFS($A$5:$A$3004,A2251,$C$5:$C$3004,"&lt;"&amp;D2251,$D$5:$D$3004,"&gt;"&amp;C2251)&gt;1,"⚠️ пересечение",""))</f>
        <v/>
      </c>
      <c r="M2251" s="54">
        <f>IF(F2251="","",IF(J2251="✅ Сделано","✔ ",IF(J2251="❌ Пропущено","✖ ","⏰ "))&amp;IF(C2251="","",RIGHT("0"&amp;HOUR(C2251),2)&amp;":"&amp;RIGHT("0"&amp;MINUTE(C2251),2)&amp;IF(D2251="","","–"&amp;RIGHT("0"&amp;HOUR(D2251),2)&amp;":"&amp;RIGHT("0"&amp;MINUTE(D2251),2))&amp;" ")&amp;F2251)</f>
        <v/>
      </c>
      <c r="N2251" s="54">
        <f>IF(OR(A2251="",F2251=""),"",A2251&amp;"#"&amp;(COUNTIFS($A$5:$A$3004,A2251,$F$5:$F$3004,"?*",$O$5:$O$3004,"&lt;"&amp;O2251)+COUNTIFS($A$5:A2251,A2251,$F$5:F2251,"?*",$O$5:O2251,O2251)))</f>
        <v/>
      </c>
      <c r="O2251" s="54">
        <f>IF(A2251="","",IF(C2251="",0,C2251))</f>
        <v/>
      </c>
    </row>
    <row r="2252">
      <c r="A2252" s="58" t="n"/>
      <c r="B2252" s="49">
        <f>IF(A2252="","",CHOOSE(WEEKDAY(A2252,2),"Пн","Вт","Ср","Чт","Пт","Сб","Вс"))</f>
        <v/>
      </c>
      <c r="C2252" s="59" t="n"/>
      <c r="D2252" s="59" t="n"/>
      <c r="E2252" s="60">
        <f>IF(OR(C2252="",D2252=""),"",MOD(D2252-C2252,1)*24)</f>
        <v/>
      </c>
      <c r="F2252" s="50" t="n"/>
      <c r="G2252" s="51" t="n"/>
      <c r="H2252" s="51" t="n"/>
      <c r="I2252" s="51" t="n"/>
      <c r="J2252" s="51" t="n"/>
      <c r="K2252" s="51" t="n"/>
      <c r="L2252" s="54">
        <f>IF(OR(A2252="",C2252="",D2252=""),"",IF(COUNTIFS($A$5:$A$3004,A2252,$C$5:$C$3004,"&lt;"&amp;D2252,$D$5:$D$3004,"&gt;"&amp;C2252)&gt;1,"⚠️ пересечение",""))</f>
        <v/>
      </c>
      <c r="M2252" s="54">
        <f>IF(F2252="","",IF(J2252="✅ Сделано","✔ ",IF(J2252="❌ Пропущено","✖ ","⏰ "))&amp;IF(C2252="","",RIGHT("0"&amp;HOUR(C2252),2)&amp;":"&amp;RIGHT("0"&amp;MINUTE(C2252),2)&amp;IF(D2252="","","–"&amp;RIGHT("0"&amp;HOUR(D2252),2)&amp;":"&amp;RIGHT("0"&amp;MINUTE(D2252),2))&amp;" ")&amp;F2252)</f>
        <v/>
      </c>
      <c r="N2252" s="54">
        <f>IF(OR(A2252="",F2252=""),"",A2252&amp;"#"&amp;(COUNTIFS($A$5:$A$3004,A2252,$F$5:$F$3004,"?*",$O$5:$O$3004,"&lt;"&amp;O2252)+COUNTIFS($A$5:A2252,A2252,$F$5:F2252,"?*",$O$5:O2252,O2252)))</f>
        <v/>
      </c>
      <c r="O2252" s="54">
        <f>IF(A2252="","",IF(C2252="",0,C2252))</f>
        <v/>
      </c>
    </row>
    <row r="2253">
      <c r="A2253" s="58" t="n"/>
      <c r="B2253" s="49">
        <f>IF(A2253="","",CHOOSE(WEEKDAY(A2253,2),"Пн","Вт","Ср","Чт","Пт","Сб","Вс"))</f>
        <v/>
      </c>
      <c r="C2253" s="59" t="n"/>
      <c r="D2253" s="59" t="n"/>
      <c r="E2253" s="60">
        <f>IF(OR(C2253="",D2253=""),"",MOD(D2253-C2253,1)*24)</f>
        <v/>
      </c>
      <c r="F2253" s="50" t="n"/>
      <c r="G2253" s="51" t="n"/>
      <c r="H2253" s="51" t="n"/>
      <c r="I2253" s="51" t="n"/>
      <c r="J2253" s="51" t="n"/>
      <c r="K2253" s="51" t="n"/>
      <c r="L2253" s="54">
        <f>IF(OR(A2253="",C2253="",D2253=""),"",IF(COUNTIFS($A$5:$A$3004,A2253,$C$5:$C$3004,"&lt;"&amp;D2253,$D$5:$D$3004,"&gt;"&amp;C2253)&gt;1,"⚠️ пересечение",""))</f>
        <v/>
      </c>
      <c r="M2253" s="54">
        <f>IF(F2253="","",IF(J2253="✅ Сделано","✔ ",IF(J2253="❌ Пропущено","✖ ","⏰ "))&amp;IF(C2253="","",RIGHT("0"&amp;HOUR(C2253),2)&amp;":"&amp;RIGHT("0"&amp;MINUTE(C2253),2)&amp;IF(D2253="","","–"&amp;RIGHT("0"&amp;HOUR(D2253),2)&amp;":"&amp;RIGHT("0"&amp;MINUTE(D2253),2))&amp;" ")&amp;F2253)</f>
        <v/>
      </c>
      <c r="N2253" s="54">
        <f>IF(OR(A2253="",F2253=""),"",A2253&amp;"#"&amp;(COUNTIFS($A$5:$A$3004,A2253,$F$5:$F$3004,"?*",$O$5:$O$3004,"&lt;"&amp;O2253)+COUNTIFS($A$5:A2253,A2253,$F$5:F2253,"?*",$O$5:O2253,O2253)))</f>
        <v/>
      </c>
      <c r="O2253" s="54">
        <f>IF(A2253="","",IF(C2253="",0,C2253))</f>
        <v/>
      </c>
    </row>
    <row r="2254">
      <c r="A2254" s="58" t="n"/>
      <c r="B2254" s="49">
        <f>IF(A2254="","",CHOOSE(WEEKDAY(A2254,2),"Пн","Вт","Ср","Чт","Пт","Сб","Вс"))</f>
        <v/>
      </c>
      <c r="C2254" s="59" t="n"/>
      <c r="D2254" s="59" t="n"/>
      <c r="E2254" s="60">
        <f>IF(OR(C2254="",D2254=""),"",MOD(D2254-C2254,1)*24)</f>
        <v/>
      </c>
      <c r="F2254" s="50" t="n"/>
      <c r="G2254" s="51" t="n"/>
      <c r="H2254" s="51" t="n"/>
      <c r="I2254" s="51" t="n"/>
      <c r="J2254" s="51" t="n"/>
      <c r="K2254" s="51" t="n"/>
      <c r="L2254" s="54">
        <f>IF(OR(A2254="",C2254="",D2254=""),"",IF(COUNTIFS($A$5:$A$3004,A2254,$C$5:$C$3004,"&lt;"&amp;D2254,$D$5:$D$3004,"&gt;"&amp;C2254)&gt;1,"⚠️ пересечение",""))</f>
        <v/>
      </c>
      <c r="M2254" s="54">
        <f>IF(F2254="","",IF(J2254="✅ Сделано","✔ ",IF(J2254="❌ Пропущено","✖ ","⏰ "))&amp;IF(C2254="","",RIGHT("0"&amp;HOUR(C2254),2)&amp;":"&amp;RIGHT("0"&amp;MINUTE(C2254),2)&amp;IF(D2254="","","–"&amp;RIGHT("0"&amp;HOUR(D2254),2)&amp;":"&amp;RIGHT("0"&amp;MINUTE(D2254),2))&amp;" ")&amp;F2254)</f>
        <v/>
      </c>
      <c r="N2254" s="54">
        <f>IF(OR(A2254="",F2254=""),"",A2254&amp;"#"&amp;(COUNTIFS($A$5:$A$3004,A2254,$F$5:$F$3004,"?*",$O$5:$O$3004,"&lt;"&amp;O2254)+COUNTIFS($A$5:A2254,A2254,$F$5:F2254,"?*",$O$5:O2254,O2254)))</f>
        <v/>
      </c>
      <c r="O2254" s="54">
        <f>IF(A2254="","",IF(C2254="",0,C2254))</f>
        <v/>
      </c>
    </row>
    <row r="2255">
      <c r="A2255" s="58" t="n"/>
      <c r="B2255" s="49">
        <f>IF(A2255="","",CHOOSE(WEEKDAY(A2255,2),"Пн","Вт","Ср","Чт","Пт","Сб","Вс"))</f>
        <v/>
      </c>
      <c r="C2255" s="59" t="n"/>
      <c r="D2255" s="59" t="n"/>
      <c r="E2255" s="60">
        <f>IF(OR(C2255="",D2255=""),"",MOD(D2255-C2255,1)*24)</f>
        <v/>
      </c>
      <c r="F2255" s="50" t="n"/>
      <c r="G2255" s="51" t="n"/>
      <c r="H2255" s="51" t="n"/>
      <c r="I2255" s="51" t="n"/>
      <c r="J2255" s="51" t="n"/>
      <c r="K2255" s="51" t="n"/>
      <c r="L2255" s="54">
        <f>IF(OR(A2255="",C2255="",D2255=""),"",IF(COUNTIFS($A$5:$A$3004,A2255,$C$5:$C$3004,"&lt;"&amp;D2255,$D$5:$D$3004,"&gt;"&amp;C2255)&gt;1,"⚠️ пересечение",""))</f>
        <v/>
      </c>
      <c r="M2255" s="54">
        <f>IF(F2255="","",IF(J2255="✅ Сделано","✔ ",IF(J2255="❌ Пропущено","✖ ","⏰ "))&amp;IF(C2255="","",RIGHT("0"&amp;HOUR(C2255),2)&amp;":"&amp;RIGHT("0"&amp;MINUTE(C2255),2)&amp;IF(D2255="","","–"&amp;RIGHT("0"&amp;HOUR(D2255),2)&amp;":"&amp;RIGHT("0"&amp;MINUTE(D2255),2))&amp;" ")&amp;F2255)</f>
        <v/>
      </c>
      <c r="N2255" s="54">
        <f>IF(OR(A2255="",F2255=""),"",A2255&amp;"#"&amp;(COUNTIFS($A$5:$A$3004,A2255,$F$5:$F$3004,"?*",$O$5:$O$3004,"&lt;"&amp;O2255)+COUNTIFS($A$5:A2255,A2255,$F$5:F2255,"?*",$O$5:O2255,O2255)))</f>
        <v/>
      </c>
      <c r="O2255" s="54">
        <f>IF(A2255="","",IF(C2255="",0,C2255))</f>
        <v/>
      </c>
    </row>
    <row r="2256">
      <c r="A2256" s="58" t="n"/>
      <c r="B2256" s="49">
        <f>IF(A2256="","",CHOOSE(WEEKDAY(A2256,2),"Пн","Вт","Ср","Чт","Пт","Сб","Вс"))</f>
        <v/>
      </c>
      <c r="C2256" s="59" t="n"/>
      <c r="D2256" s="59" t="n"/>
      <c r="E2256" s="60">
        <f>IF(OR(C2256="",D2256=""),"",MOD(D2256-C2256,1)*24)</f>
        <v/>
      </c>
      <c r="F2256" s="50" t="n"/>
      <c r="G2256" s="51" t="n"/>
      <c r="H2256" s="51" t="n"/>
      <c r="I2256" s="51" t="n"/>
      <c r="J2256" s="51" t="n"/>
      <c r="K2256" s="51" t="n"/>
      <c r="L2256" s="54">
        <f>IF(OR(A2256="",C2256="",D2256=""),"",IF(COUNTIFS($A$5:$A$3004,A2256,$C$5:$C$3004,"&lt;"&amp;D2256,$D$5:$D$3004,"&gt;"&amp;C2256)&gt;1,"⚠️ пересечение",""))</f>
        <v/>
      </c>
      <c r="M2256" s="54">
        <f>IF(F2256="","",IF(J2256="✅ Сделано","✔ ",IF(J2256="❌ Пропущено","✖ ","⏰ "))&amp;IF(C2256="","",RIGHT("0"&amp;HOUR(C2256),2)&amp;":"&amp;RIGHT("0"&amp;MINUTE(C2256),2)&amp;IF(D2256="","","–"&amp;RIGHT("0"&amp;HOUR(D2256),2)&amp;":"&amp;RIGHT("0"&amp;MINUTE(D2256),2))&amp;" ")&amp;F2256)</f>
        <v/>
      </c>
      <c r="N2256" s="54">
        <f>IF(OR(A2256="",F2256=""),"",A2256&amp;"#"&amp;(COUNTIFS($A$5:$A$3004,A2256,$F$5:$F$3004,"?*",$O$5:$O$3004,"&lt;"&amp;O2256)+COUNTIFS($A$5:A2256,A2256,$F$5:F2256,"?*",$O$5:O2256,O2256)))</f>
        <v/>
      </c>
      <c r="O2256" s="54">
        <f>IF(A2256="","",IF(C2256="",0,C2256))</f>
        <v/>
      </c>
    </row>
    <row r="2257">
      <c r="A2257" s="58" t="n"/>
      <c r="B2257" s="49">
        <f>IF(A2257="","",CHOOSE(WEEKDAY(A2257,2),"Пн","Вт","Ср","Чт","Пт","Сб","Вс"))</f>
        <v/>
      </c>
      <c r="C2257" s="59" t="n"/>
      <c r="D2257" s="59" t="n"/>
      <c r="E2257" s="60">
        <f>IF(OR(C2257="",D2257=""),"",MOD(D2257-C2257,1)*24)</f>
        <v/>
      </c>
      <c r="F2257" s="50" t="n"/>
      <c r="G2257" s="51" t="n"/>
      <c r="H2257" s="51" t="n"/>
      <c r="I2257" s="51" t="n"/>
      <c r="J2257" s="51" t="n"/>
      <c r="K2257" s="51" t="n"/>
      <c r="L2257" s="54">
        <f>IF(OR(A2257="",C2257="",D2257=""),"",IF(COUNTIFS($A$5:$A$3004,A2257,$C$5:$C$3004,"&lt;"&amp;D2257,$D$5:$D$3004,"&gt;"&amp;C2257)&gt;1,"⚠️ пересечение",""))</f>
        <v/>
      </c>
      <c r="M2257" s="54">
        <f>IF(F2257="","",IF(J2257="✅ Сделано","✔ ",IF(J2257="❌ Пропущено","✖ ","⏰ "))&amp;IF(C2257="","",RIGHT("0"&amp;HOUR(C2257),2)&amp;":"&amp;RIGHT("0"&amp;MINUTE(C2257),2)&amp;IF(D2257="","","–"&amp;RIGHT("0"&amp;HOUR(D2257),2)&amp;":"&amp;RIGHT("0"&amp;MINUTE(D2257),2))&amp;" ")&amp;F2257)</f>
        <v/>
      </c>
      <c r="N2257" s="54">
        <f>IF(OR(A2257="",F2257=""),"",A2257&amp;"#"&amp;(COUNTIFS($A$5:$A$3004,A2257,$F$5:$F$3004,"?*",$O$5:$O$3004,"&lt;"&amp;O2257)+COUNTIFS($A$5:A2257,A2257,$F$5:F2257,"?*",$O$5:O2257,O2257)))</f>
        <v/>
      </c>
      <c r="O2257" s="54">
        <f>IF(A2257="","",IF(C2257="",0,C2257))</f>
        <v/>
      </c>
    </row>
    <row r="2258">
      <c r="A2258" s="58" t="n"/>
      <c r="B2258" s="49">
        <f>IF(A2258="","",CHOOSE(WEEKDAY(A2258,2),"Пн","Вт","Ср","Чт","Пт","Сб","Вс"))</f>
        <v/>
      </c>
      <c r="C2258" s="59" t="n"/>
      <c r="D2258" s="59" t="n"/>
      <c r="E2258" s="60">
        <f>IF(OR(C2258="",D2258=""),"",MOD(D2258-C2258,1)*24)</f>
        <v/>
      </c>
      <c r="F2258" s="50" t="n"/>
      <c r="G2258" s="51" t="n"/>
      <c r="H2258" s="51" t="n"/>
      <c r="I2258" s="51" t="n"/>
      <c r="J2258" s="51" t="n"/>
      <c r="K2258" s="51" t="n"/>
      <c r="L2258" s="54">
        <f>IF(OR(A2258="",C2258="",D2258=""),"",IF(COUNTIFS($A$5:$A$3004,A2258,$C$5:$C$3004,"&lt;"&amp;D2258,$D$5:$D$3004,"&gt;"&amp;C2258)&gt;1,"⚠️ пересечение",""))</f>
        <v/>
      </c>
      <c r="M2258" s="54">
        <f>IF(F2258="","",IF(J2258="✅ Сделано","✔ ",IF(J2258="❌ Пропущено","✖ ","⏰ "))&amp;IF(C2258="","",RIGHT("0"&amp;HOUR(C2258),2)&amp;":"&amp;RIGHT("0"&amp;MINUTE(C2258),2)&amp;IF(D2258="","","–"&amp;RIGHT("0"&amp;HOUR(D2258),2)&amp;":"&amp;RIGHT("0"&amp;MINUTE(D2258),2))&amp;" ")&amp;F2258)</f>
        <v/>
      </c>
      <c r="N2258" s="54">
        <f>IF(OR(A2258="",F2258=""),"",A2258&amp;"#"&amp;(COUNTIFS($A$5:$A$3004,A2258,$F$5:$F$3004,"?*",$O$5:$O$3004,"&lt;"&amp;O2258)+COUNTIFS($A$5:A2258,A2258,$F$5:F2258,"?*",$O$5:O2258,O2258)))</f>
        <v/>
      </c>
      <c r="O2258" s="54">
        <f>IF(A2258="","",IF(C2258="",0,C2258))</f>
        <v/>
      </c>
    </row>
    <row r="2259">
      <c r="A2259" s="58" t="n"/>
      <c r="B2259" s="49">
        <f>IF(A2259="","",CHOOSE(WEEKDAY(A2259,2),"Пн","Вт","Ср","Чт","Пт","Сб","Вс"))</f>
        <v/>
      </c>
      <c r="C2259" s="59" t="n"/>
      <c r="D2259" s="59" t="n"/>
      <c r="E2259" s="60">
        <f>IF(OR(C2259="",D2259=""),"",MOD(D2259-C2259,1)*24)</f>
        <v/>
      </c>
      <c r="F2259" s="50" t="n"/>
      <c r="G2259" s="51" t="n"/>
      <c r="H2259" s="51" t="n"/>
      <c r="I2259" s="51" t="n"/>
      <c r="J2259" s="51" t="n"/>
      <c r="K2259" s="51" t="n"/>
      <c r="L2259" s="54">
        <f>IF(OR(A2259="",C2259="",D2259=""),"",IF(COUNTIFS($A$5:$A$3004,A2259,$C$5:$C$3004,"&lt;"&amp;D2259,$D$5:$D$3004,"&gt;"&amp;C2259)&gt;1,"⚠️ пересечение",""))</f>
        <v/>
      </c>
      <c r="M2259" s="54">
        <f>IF(F2259="","",IF(J2259="✅ Сделано","✔ ",IF(J2259="❌ Пропущено","✖ ","⏰ "))&amp;IF(C2259="","",RIGHT("0"&amp;HOUR(C2259),2)&amp;":"&amp;RIGHT("0"&amp;MINUTE(C2259),2)&amp;IF(D2259="","","–"&amp;RIGHT("0"&amp;HOUR(D2259),2)&amp;":"&amp;RIGHT("0"&amp;MINUTE(D2259),2))&amp;" ")&amp;F2259)</f>
        <v/>
      </c>
      <c r="N2259" s="54">
        <f>IF(OR(A2259="",F2259=""),"",A2259&amp;"#"&amp;(COUNTIFS($A$5:$A$3004,A2259,$F$5:$F$3004,"?*",$O$5:$O$3004,"&lt;"&amp;O2259)+COUNTIFS($A$5:A2259,A2259,$F$5:F2259,"?*",$O$5:O2259,O2259)))</f>
        <v/>
      </c>
      <c r="O2259" s="54">
        <f>IF(A2259="","",IF(C2259="",0,C2259))</f>
        <v/>
      </c>
    </row>
    <row r="2260">
      <c r="A2260" s="58" t="n"/>
      <c r="B2260" s="49">
        <f>IF(A2260="","",CHOOSE(WEEKDAY(A2260,2),"Пн","Вт","Ср","Чт","Пт","Сб","Вс"))</f>
        <v/>
      </c>
      <c r="C2260" s="59" t="n"/>
      <c r="D2260" s="59" t="n"/>
      <c r="E2260" s="60">
        <f>IF(OR(C2260="",D2260=""),"",MOD(D2260-C2260,1)*24)</f>
        <v/>
      </c>
      <c r="F2260" s="50" t="n"/>
      <c r="G2260" s="51" t="n"/>
      <c r="H2260" s="51" t="n"/>
      <c r="I2260" s="51" t="n"/>
      <c r="J2260" s="51" t="n"/>
      <c r="K2260" s="51" t="n"/>
      <c r="L2260" s="54">
        <f>IF(OR(A2260="",C2260="",D2260=""),"",IF(COUNTIFS($A$5:$A$3004,A2260,$C$5:$C$3004,"&lt;"&amp;D2260,$D$5:$D$3004,"&gt;"&amp;C2260)&gt;1,"⚠️ пересечение",""))</f>
        <v/>
      </c>
      <c r="M2260" s="54">
        <f>IF(F2260="","",IF(J2260="✅ Сделано","✔ ",IF(J2260="❌ Пропущено","✖ ","⏰ "))&amp;IF(C2260="","",RIGHT("0"&amp;HOUR(C2260),2)&amp;":"&amp;RIGHT("0"&amp;MINUTE(C2260),2)&amp;IF(D2260="","","–"&amp;RIGHT("0"&amp;HOUR(D2260),2)&amp;":"&amp;RIGHT("0"&amp;MINUTE(D2260),2))&amp;" ")&amp;F2260)</f>
        <v/>
      </c>
      <c r="N2260" s="54">
        <f>IF(OR(A2260="",F2260=""),"",A2260&amp;"#"&amp;(COUNTIFS($A$5:$A$3004,A2260,$F$5:$F$3004,"?*",$O$5:$O$3004,"&lt;"&amp;O2260)+COUNTIFS($A$5:A2260,A2260,$F$5:F2260,"?*",$O$5:O2260,O2260)))</f>
        <v/>
      </c>
      <c r="O2260" s="54">
        <f>IF(A2260="","",IF(C2260="",0,C2260))</f>
        <v/>
      </c>
    </row>
    <row r="2261">
      <c r="A2261" s="58" t="n"/>
      <c r="B2261" s="49">
        <f>IF(A2261="","",CHOOSE(WEEKDAY(A2261,2),"Пн","Вт","Ср","Чт","Пт","Сб","Вс"))</f>
        <v/>
      </c>
      <c r="C2261" s="59" t="n"/>
      <c r="D2261" s="59" t="n"/>
      <c r="E2261" s="60">
        <f>IF(OR(C2261="",D2261=""),"",MOD(D2261-C2261,1)*24)</f>
        <v/>
      </c>
      <c r="F2261" s="50" t="n"/>
      <c r="G2261" s="51" t="n"/>
      <c r="H2261" s="51" t="n"/>
      <c r="I2261" s="51" t="n"/>
      <c r="J2261" s="51" t="n"/>
      <c r="K2261" s="51" t="n"/>
      <c r="L2261" s="54">
        <f>IF(OR(A2261="",C2261="",D2261=""),"",IF(COUNTIFS($A$5:$A$3004,A2261,$C$5:$C$3004,"&lt;"&amp;D2261,$D$5:$D$3004,"&gt;"&amp;C2261)&gt;1,"⚠️ пересечение",""))</f>
        <v/>
      </c>
      <c r="M2261" s="54">
        <f>IF(F2261="","",IF(J2261="✅ Сделано","✔ ",IF(J2261="❌ Пропущено","✖ ","⏰ "))&amp;IF(C2261="","",RIGHT("0"&amp;HOUR(C2261),2)&amp;":"&amp;RIGHT("0"&amp;MINUTE(C2261),2)&amp;IF(D2261="","","–"&amp;RIGHT("0"&amp;HOUR(D2261),2)&amp;":"&amp;RIGHT("0"&amp;MINUTE(D2261),2))&amp;" ")&amp;F2261)</f>
        <v/>
      </c>
      <c r="N2261" s="54">
        <f>IF(OR(A2261="",F2261=""),"",A2261&amp;"#"&amp;(COUNTIFS($A$5:$A$3004,A2261,$F$5:$F$3004,"?*",$O$5:$O$3004,"&lt;"&amp;O2261)+COUNTIFS($A$5:A2261,A2261,$F$5:F2261,"?*",$O$5:O2261,O2261)))</f>
        <v/>
      </c>
      <c r="O2261" s="54">
        <f>IF(A2261="","",IF(C2261="",0,C2261))</f>
        <v/>
      </c>
    </row>
    <row r="2262">
      <c r="A2262" s="58" t="n"/>
      <c r="B2262" s="49">
        <f>IF(A2262="","",CHOOSE(WEEKDAY(A2262,2),"Пн","Вт","Ср","Чт","Пт","Сб","Вс"))</f>
        <v/>
      </c>
      <c r="C2262" s="59" t="n"/>
      <c r="D2262" s="59" t="n"/>
      <c r="E2262" s="60">
        <f>IF(OR(C2262="",D2262=""),"",MOD(D2262-C2262,1)*24)</f>
        <v/>
      </c>
      <c r="F2262" s="50" t="n"/>
      <c r="G2262" s="51" t="n"/>
      <c r="H2262" s="51" t="n"/>
      <c r="I2262" s="51" t="n"/>
      <c r="J2262" s="51" t="n"/>
      <c r="K2262" s="51" t="n"/>
      <c r="L2262" s="54">
        <f>IF(OR(A2262="",C2262="",D2262=""),"",IF(COUNTIFS($A$5:$A$3004,A2262,$C$5:$C$3004,"&lt;"&amp;D2262,$D$5:$D$3004,"&gt;"&amp;C2262)&gt;1,"⚠️ пересечение",""))</f>
        <v/>
      </c>
      <c r="M2262" s="54">
        <f>IF(F2262="","",IF(J2262="✅ Сделано","✔ ",IF(J2262="❌ Пропущено","✖ ","⏰ "))&amp;IF(C2262="","",RIGHT("0"&amp;HOUR(C2262),2)&amp;":"&amp;RIGHT("0"&amp;MINUTE(C2262),2)&amp;IF(D2262="","","–"&amp;RIGHT("0"&amp;HOUR(D2262),2)&amp;":"&amp;RIGHT("0"&amp;MINUTE(D2262),2))&amp;" ")&amp;F2262)</f>
        <v/>
      </c>
      <c r="N2262" s="54">
        <f>IF(OR(A2262="",F2262=""),"",A2262&amp;"#"&amp;(COUNTIFS($A$5:$A$3004,A2262,$F$5:$F$3004,"?*",$O$5:$O$3004,"&lt;"&amp;O2262)+COUNTIFS($A$5:A2262,A2262,$F$5:F2262,"?*",$O$5:O2262,O2262)))</f>
        <v/>
      </c>
      <c r="O2262" s="54">
        <f>IF(A2262="","",IF(C2262="",0,C2262))</f>
        <v/>
      </c>
    </row>
    <row r="2263">
      <c r="A2263" s="58" t="n"/>
      <c r="B2263" s="49">
        <f>IF(A2263="","",CHOOSE(WEEKDAY(A2263,2),"Пн","Вт","Ср","Чт","Пт","Сб","Вс"))</f>
        <v/>
      </c>
      <c r="C2263" s="59" t="n"/>
      <c r="D2263" s="59" t="n"/>
      <c r="E2263" s="60">
        <f>IF(OR(C2263="",D2263=""),"",MOD(D2263-C2263,1)*24)</f>
        <v/>
      </c>
      <c r="F2263" s="50" t="n"/>
      <c r="G2263" s="51" t="n"/>
      <c r="H2263" s="51" t="n"/>
      <c r="I2263" s="51" t="n"/>
      <c r="J2263" s="51" t="n"/>
      <c r="K2263" s="51" t="n"/>
      <c r="L2263" s="54">
        <f>IF(OR(A2263="",C2263="",D2263=""),"",IF(COUNTIFS($A$5:$A$3004,A2263,$C$5:$C$3004,"&lt;"&amp;D2263,$D$5:$D$3004,"&gt;"&amp;C2263)&gt;1,"⚠️ пересечение",""))</f>
        <v/>
      </c>
      <c r="M2263" s="54">
        <f>IF(F2263="","",IF(J2263="✅ Сделано","✔ ",IF(J2263="❌ Пропущено","✖ ","⏰ "))&amp;IF(C2263="","",RIGHT("0"&amp;HOUR(C2263),2)&amp;":"&amp;RIGHT("0"&amp;MINUTE(C2263),2)&amp;IF(D2263="","","–"&amp;RIGHT("0"&amp;HOUR(D2263),2)&amp;":"&amp;RIGHT("0"&amp;MINUTE(D2263),2))&amp;" ")&amp;F2263)</f>
        <v/>
      </c>
      <c r="N2263" s="54">
        <f>IF(OR(A2263="",F2263=""),"",A2263&amp;"#"&amp;(COUNTIFS($A$5:$A$3004,A2263,$F$5:$F$3004,"?*",$O$5:$O$3004,"&lt;"&amp;O2263)+COUNTIFS($A$5:A2263,A2263,$F$5:F2263,"?*",$O$5:O2263,O2263)))</f>
        <v/>
      </c>
      <c r="O2263" s="54">
        <f>IF(A2263="","",IF(C2263="",0,C2263))</f>
        <v/>
      </c>
    </row>
    <row r="2264">
      <c r="A2264" s="58" t="n"/>
      <c r="B2264" s="49">
        <f>IF(A2264="","",CHOOSE(WEEKDAY(A2264,2),"Пн","Вт","Ср","Чт","Пт","Сб","Вс"))</f>
        <v/>
      </c>
      <c r="C2264" s="59" t="n"/>
      <c r="D2264" s="59" t="n"/>
      <c r="E2264" s="60">
        <f>IF(OR(C2264="",D2264=""),"",MOD(D2264-C2264,1)*24)</f>
        <v/>
      </c>
      <c r="F2264" s="50" t="n"/>
      <c r="G2264" s="51" t="n"/>
      <c r="H2264" s="51" t="n"/>
      <c r="I2264" s="51" t="n"/>
      <c r="J2264" s="51" t="n"/>
      <c r="K2264" s="51" t="n"/>
      <c r="L2264" s="54">
        <f>IF(OR(A2264="",C2264="",D2264=""),"",IF(COUNTIFS($A$5:$A$3004,A2264,$C$5:$C$3004,"&lt;"&amp;D2264,$D$5:$D$3004,"&gt;"&amp;C2264)&gt;1,"⚠️ пересечение",""))</f>
        <v/>
      </c>
      <c r="M2264" s="54">
        <f>IF(F2264="","",IF(J2264="✅ Сделано","✔ ",IF(J2264="❌ Пропущено","✖ ","⏰ "))&amp;IF(C2264="","",RIGHT("0"&amp;HOUR(C2264),2)&amp;":"&amp;RIGHT("0"&amp;MINUTE(C2264),2)&amp;IF(D2264="","","–"&amp;RIGHT("0"&amp;HOUR(D2264),2)&amp;":"&amp;RIGHT("0"&amp;MINUTE(D2264),2))&amp;" ")&amp;F2264)</f>
        <v/>
      </c>
      <c r="N2264" s="54">
        <f>IF(OR(A2264="",F2264=""),"",A2264&amp;"#"&amp;(COUNTIFS($A$5:$A$3004,A2264,$F$5:$F$3004,"?*",$O$5:$O$3004,"&lt;"&amp;O2264)+COUNTIFS($A$5:A2264,A2264,$F$5:F2264,"?*",$O$5:O2264,O2264)))</f>
        <v/>
      </c>
      <c r="O2264" s="54">
        <f>IF(A2264="","",IF(C2264="",0,C2264))</f>
        <v/>
      </c>
    </row>
    <row r="2265">
      <c r="A2265" s="58" t="n"/>
      <c r="B2265" s="49">
        <f>IF(A2265="","",CHOOSE(WEEKDAY(A2265,2),"Пн","Вт","Ср","Чт","Пт","Сб","Вс"))</f>
        <v/>
      </c>
      <c r="C2265" s="59" t="n"/>
      <c r="D2265" s="59" t="n"/>
      <c r="E2265" s="60">
        <f>IF(OR(C2265="",D2265=""),"",MOD(D2265-C2265,1)*24)</f>
        <v/>
      </c>
      <c r="F2265" s="50" t="n"/>
      <c r="G2265" s="51" t="n"/>
      <c r="H2265" s="51" t="n"/>
      <c r="I2265" s="51" t="n"/>
      <c r="J2265" s="51" t="n"/>
      <c r="K2265" s="51" t="n"/>
      <c r="L2265" s="54">
        <f>IF(OR(A2265="",C2265="",D2265=""),"",IF(COUNTIFS($A$5:$A$3004,A2265,$C$5:$C$3004,"&lt;"&amp;D2265,$D$5:$D$3004,"&gt;"&amp;C2265)&gt;1,"⚠️ пересечение",""))</f>
        <v/>
      </c>
      <c r="M2265" s="54">
        <f>IF(F2265="","",IF(J2265="✅ Сделано","✔ ",IF(J2265="❌ Пропущено","✖ ","⏰ "))&amp;IF(C2265="","",RIGHT("0"&amp;HOUR(C2265),2)&amp;":"&amp;RIGHT("0"&amp;MINUTE(C2265),2)&amp;IF(D2265="","","–"&amp;RIGHT("0"&amp;HOUR(D2265),2)&amp;":"&amp;RIGHT("0"&amp;MINUTE(D2265),2))&amp;" ")&amp;F2265)</f>
        <v/>
      </c>
      <c r="N2265" s="54">
        <f>IF(OR(A2265="",F2265=""),"",A2265&amp;"#"&amp;(COUNTIFS($A$5:$A$3004,A2265,$F$5:$F$3004,"?*",$O$5:$O$3004,"&lt;"&amp;O2265)+COUNTIFS($A$5:A2265,A2265,$F$5:F2265,"?*",$O$5:O2265,O2265)))</f>
        <v/>
      </c>
      <c r="O2265" s="54">
        <f>IF(A2265="","",IF(C2265="",0,C2265))</f>
        <v/>
      </c>
    </row>
    <row r="2266">
      <c r="A2266" s="58" t="n"/>
      <c r="B2266" s="49">
        <f>IF(A2266="","",CHOOSE(WEEKDAY(A2266,2),"Пн","Вт","Ср","Чт","Пт","Сб","Вс"))</f>
        <v/>
      </c>
      <c r="C2266" s="59" t="n"/>
      <c r="D2266" s="59" t="n"/>
      <c r="E2266" s="60">
        <f>IF(OR(C2266="",D2266=""),"",MOD(D2266-C2266,1)*24)</f>
        <v/>
      </c>
      <c r="F2266" s="50" t="n"/>
      <c r="G2266" s="51" t="n"/>
      <c r="H2266" s="51" t="n"/>
      <c r="I2266" s="51" t="n"/>
      <c r="J2266" s="51" t="n"/>
      <c r="K2266" s="51" t="n"/>
      <c r="L2266" s="54">
        <f>IF(OR(A2266="",C2266="",D2266=""),"",IF(COUNTIFS($A$5:$A$3004,A2266,$C$5:$C$3004,"&lt;"&amp;D2266,$D$5:$D$3004,"&gt;"&amp;C2266)&gt;1,"⚠️ пересечение",""))</f>
        <v/>
      </c>
      <c r="M2266" s="54">
        <f>IF(F2266="","",IF(J2266="✅ Сделано","✔ ",IF(J2266="❌ Пропущено","✖ ","⏰ "))&amp;IF(C2266="","",RIGHT("0"&amp;HOUR(C2266),2)&amp;":"&amp;RIGHT("0"&amp;MINUTE(C2266),2)&amp;IF(D2266="","","–"&amp;RIGHT("0"&amp;HOUR(D2266),2)&amp;":"&amp;RIGHT("0"&amp;MINUTE(D2266),2))&amp;" ")&amp;F2266)</f>
        <v/>
      </c>
      <c r="N2266" s="54">
        <f>IF(OR(A2266="",F2266=""),"",A2266&amp;"#"&amp;(COUNTIFS($A$5:$A$3004,A2266,$F$5:$F$3004,"?*",$O$5:$O$3004,"&lt;"&amp;O2266)+COUNTIFS($A$5:A2266,A2266,$F$5:F2266,"?*",$O$5:O2266,O2266)))</f>
        <v/>
      </c>
      <c r="O2266" s="54">
        <f>IF(A2266="","",IF(C2266="",0,C2266))</f>
        <v/>
      </c>
    </row>
    <row r="2267">
      <c r="A2267" s="58" t="n"/>
      <c r="B2267" s="49">
        <f>IF(A2267="","",CHOOSE(WEEKDAY(A2267,2),"Пн","Вт","Ср","Чт","Пт","Сб","Вс"))</f>
        <v/>
      </c>
      <c r="C2267" s="59" t="n"/>
      <c r="D2267" s="59" t="n"/>
      <c r="E2267" s="60">
        <f>IF(OR(C2267="",D2267=""),"",MOD(D2267-C2267,1)*24)</f>
        <v/>
      </c>
      <c r="F2267" s="50" t="n"/>
      <c r="G2267" s="51" t="n"/>
      <c r="H2267" s="51" t="n"/>
      <c r="I2267" s="51" t="n"/>
      <c r="J2267" s="51" t="n"/>
      <c r="K2267" s="51" t="n"/>
      <c r="L2267" s="54">
        <f>IF(OR(A2267="",C2267="",D2267=""),"",IF(COUNTIFS($A$5:$A$3004,A2267,$C$5:$C$3004,"&lt;"&amp;D2267,$D$5:$D$3004,"&gt;"&amp;C2267)&gt;1,"⚠️ пересечение",""))</f>
        <v/>
      </c>
      <c r="M2267" s="54">
        <f>IF(F2267="","",IF(J2267="✅ Сделано","✔ ",IF(J2267="❌ Пропущено","✖ ","⏰ "))&amp;IF(C2267="","",RIGHT("0"&amp;HOUR(C2267),2)&amp;":"&amp;RIGHT("0"&amp;MINUTE(C2267),2)&amp;IF(D2267="","","–"&amp;RIGHT("0"&amp;HOUR(D2267),2)&amp;":"&amp;RIGHT("0"&amp;MINUTE(D2267),2))&amp;" ")&amp;F2267)</f>
        <v/>
      </c>
      <c r="N2267" s="54">
        <f>IF(OR(A2267="",F2267=""),"",A2267&amp;"#"&amp;(COUNTIFS($A$5:$A$3004,A2267,$F$5:$F$3004,"?*",$O$5:$O$3004,"&lt;"&amp;O2267)+COUNTIFS($A$5:A2267,A2267,$F$5:F2267,"?*",$O$5:O2267,O2267)))</f>
        <v/>
      </c>
      <c r="O2267" s="54">
        <f>IF(A2267="","",IF(C2267="",0,C2267))</f>
        <v/>
      </c>
    </row>
    <row r="2268">
      <c r="A2268" s="58" t="n"/>
      <c r="B2268" s="49">
        <f>IF(A2268="","",CHOOSE(WEEKDAY(A2268,2),"Пн","Вт","Ср","Чт","Пт","Сб","Вс"))</f>
        <v/>
      </c>
      <c r="C2268" s="59" t="n"/>
      <c r="D2268" s="59" t="n"/>
      <c r="E2268" s="60">
        <f>IF(OR(C2268="",D2268=""),"",MOD(D2268-C2268,1)*24)</f>
        <v/>
      </c>
      <c r="F2268" s="50" t="n"/>
      <c r="G2268" s="51" t="n"/>
      <c r="H2268" s="51" t="n"/>
      <c r="I2268" s="51" t="n"/>
      <c r="J2268" s="51" t="n"/>
      <c r="K2268" s="51" t="n"/>
      <c r="L2268" s="54">
        <f>IF(OR(A2268="",C2268="",D2268=""),"",IF(COUNTIFS($A$5:$A$3004,A2268,$C$5:$C$3004,"&lt;"&amp;D2268,$D$5:$D$3004,"&gt;"&amp;C2268)&gt;1,"⚠️ пересечение",""))</f>
        <v/>
      </c>
      <c r="M2268" s="54">
        <f>IF(F2268="","",IF(J2268="✅ Сделано","✔ ",IF(J2268="❌ Пропущено","✖ ","⏰ "))&amp;IF(C2268="","",RIGHT("0"&amp;HOUR(C2268),2)&amp;":"&amp;RIGHT("0"&amp;MINUTE(C2268),2)&amp;IF(D2268="","","–"&amp;RIGHT("0"&amp;HOUR(D2268),2)&amp;":"&amp;RIGHT("0"&amp;MINUTE(D2268),2))&amp;" ")&amp;F2268)</f>
        <v/>
      </c>
      <c r="N2268" s="54">
        <f>IF(OR(A2268="",F2268=""),"",A2268&amp;"#"&amp;(COUNTIFS($A$5:$A$3004,A2268,$F$5:$F$3004,"?*",$O$5:$O$3004,"&lt;"&amp;O2268)+COUNTIFS($A$5:A2268,A2268,$F$5:F2268,"?*",$O$5:O2268,O2268)))</f>
        <v/>
      </c>
      <c r="O2268" s="54">
        <f>IF(A2268="","",IF(C2268="",0,C2268))</f>
        <v/>
      </c>
    </row>
    <row r="2269">
      <c r="A2269" s="58" t="n"/>
      <c r="B2269" s="49">
        <f>IF(A2269="","",CHOOSE(WEEKDAY(A2269,2),"Пн","Вт","Ср","Чт","Пт","Сб","Вс"))</f>
        <v/>
      </c>
      <c r="C2269" s="59" t="n"/>
      <c r="D2269" s="59" t="n"/>
      <c r="E2269" s="60">
        <f>IF(OR(C2269="",D2269=""),"",MOD(D2269-C2269,1)*24)</f>
        <v/>
      </c>
      <c r="F2269" s="50" t="n"/>
      <c r="G2269" s="51" t="n"/>
      <c r="H2269" s="51" t="n"/>
      <c r="I2269" s="51" t="n"/>
      <c r="J2269" s="51" t="n"/>
      <c r="K2269" s="51" t="n"/>
      <c r="L2269" s="54">
        <f>IF(OR(A2269="",C2269="",D2269=""),"",IF(COUNTIFS($A$5:$A$3004,A2269,$C$5:$C$3004,"&lt;"&amp;D2269,$D$5:$D$3004,"&gt;"&amp;C2269)&gt;1,"⚠️ пересечение",""))</f>
        <v/>
      </c>
      <c r="M2269" s="54">
        <f>IF(F2269="","",IF(J2269="✅ Сделано","✔ ",IF(J2269="❌ Пропущено","✖ ","⏰ "))&amp;IF(C2269="","",RIGHT("0"&amp;HOUR(C2269),2)&amp;":"&amp;RIGHT("0"&amp;MINUTE(C2269),2)&amp;IF(D2269="","","–"&amp;RIGHT("0"&amp;HOUR(D2269),2)&amp;":"&amp;RIGHT("0"&amp;MINUTE(D2269),2))&amp;" ")&amp;F2269)</f>
        <v/>
      </c>
      <c r="N2269" s="54">
        <f>IF(OR(A2269="",F2269=""),"",A2269&amp;"#"&amp;(COUNTIFS($A$5:$A$3004,A2269,$F$5:$F$3004,"?*",$O$5:$O$3004,"&lt;"&amp;O2269)+COUNTIFS($A$5:A2269,A2269,$F$5:F2269,"?*",$O$5:O2269,O2269)))</f>
        <v/>
      </c>
      <c r="O2269" s="54">
        <f>IF(A2269="","",IF(C2269="",0,C2269))</f>
        <v/>
      </c>
    </row>
    <row r="2270">
      <c r="A2270" s="58" t="n"/>
      <c r="B2270" s="49">
        <f>IF(A2270="","",CHOOSE(WEEKDAY(A2270,2),"Пн","Вт","Ср","Чт","Пт","Сб","Вс"))</f>
        <v/>
      </c>
      <c r="C2270" s="59" t="n"/>
      <c r="D2270" s="59" t="n"/>
      <c r="E2270" s="60">
        <f>IF(OR(C2270="",D2270=""),"",MOD(D2270-C2270,1)*24)</f>
        <v/>
      </c>
      <c r="F2270" s="50" t="n"/>
      <c r="G2270" s="51" t="n"/>
      <c r="H2270" s="51" t="n"/>
      <c r="I2270" s="51" t="n"/>
      <c r="J2270" s="51" t="n"/>
      <c r="K2270" s="51" t="n"/>
      <c r="L2270" s="54">
        <f>IF(OR(A2270="",C2270="",D2270=""),"",IF(COUNTIFS($A$5:$A$3004,A2270,$C$5:$C$3004,"&lt;"&amp;D2270,$D$5:$D$3004,"&gt;"&amp;C2270)&gt;1,"⚠️ пересечение",""))</f>
        <v/>
      </c>
      <c r="M2270" s="54">
        <f>IF(F2270="","",IF(J2270="✅ Сделано","✔ ",IF(J2270="❌ Пропущено","✖ ","⏰ "))&amp;IF(C2270="","",RIGHT("0"&amp;HOUR(C2270),2)&amp;":"&amp;RIGHT("0"&amp;MINUTE(C2270),2)&amp;IF(D2270="","","–"&amp;RIGHT("0"&amp;HOUR(D2270),2)&amp;":"&amp;RIGHT("0"&amp;MINUTE(D2270),2))&amp;" ")&amp;F2270)</f>
        <v/>
      </c>
      <c r="N2270" s="54">
        <f>IF(OR(A2270="",F2270=""),"",A2270&amp;"#"&amp;(COUNTIFS($A$5:$A$3004,A2270,$F$5:$F$3004,"?*",$O$5:$O$3004,"&lt;"&amp;O2270)+COUNTIFS($A$5:A2270,A2270,$F$5:F2270,"?*",$O$5:O2270,O2270)))</f>
        <v/>
      </c>
      <c r="O2270" s="54">
        <f>IF(A2270="","",IF(C2270="",0,C2270))</f>
        <v/>
      </c>
    </row>
    <row r="2271">
      <c r="A2271" s="58" t="n"/>
      <c r="B2271" s="49">
        <f>IF(A2271="","",CHOOSE(WEEKDAY(A2271,2),"Пн","Вт","Ср","Чт","Пт","Сб","Вс"))</f>
        <v/>
      </c>
      <c r="C2271" s="59" t="n"/>
      <c r="D2271" s="59" t="n"/>
      <c r="E2271" s="60">
        <f>IF(OR(C2271="",D2271=""),"",MOD(D2271-C2271,1)*24)</f>
        <v/>
      </c>
      <c r="F2271" s="50" t="n"/>
      <c r="G2271" s="51" t="n"/>
      <c r="H2271" s="51" t="n"/>
      <c r="I2271" s="51" t="n"/>
      <c r="J2271" s="51" t="n"/>
      <c r="K2271" s="51" t="n"/>
      <c r="L2271" s="54">
        <f>IF(OR(A2271="",C2271="",D2271=""),"",IF(COUNTIFS($A$5:$A$3004,A2271,$C$5:$C$3004,"&lt;"&amp;D2271,$D$5:$D$3004,"&gt;"&amp;C2271)&gt;1,"⚠️ пересечение",""))</f>
        <v/>
      </c>
      <c r="M2271" s="54">
        <f>IF(F2271="","",IF(J2271="✅ Сделано","✔ ",IF(J2271="❌ Пропущено","✖ ","⏰ "))&amp;IF(C2271="","",RIGHT("0"&amp;HOUR(C2271),2)&amp;":"&amp;RIGHT("0"&amp;MINUTE(C2271),2)&amp;IF(D2271="","","–"&amp;RIGHT("0"&amp;HOUR(D2271),2)&amp;":"&amp;RIGHT("0"&amp;MINUTE(D2271),2))&amp;" ")&amp;F2271)</f>
        <v/>
      </c>
      <c r="N2271" s="54">
        <f>IF(OR(A2271="",F2271=""),"",A2271&amp;"#"&amp;(COUNTIFS($A$5:$A$3004,A2271,$F$5:$F$3004,"?*",$O$5:$O$3004,"&lt;"&amp;O2271)+COUNTIFS($A$5:A2271,A2271,$F$5:F2271,"?*",$O$5:O2271,O2271)))</f>
        <v/>
      </c>
      <c r="O2271" s="54">
        <f>IF(A2271="","",IF(C2271="",0,C2271))</f>
        <v/>
      </c>
    </row>
    <row r="2272">
      <c r="A2272" s="58" t="n"/>
      <c r="B2272" s="49">
        <f>IF(A2272="","",CHOOSE(WEEKDAY(A2272,2),"Пн","Вт","Ср","Чт","Пт","Сб","Вс"))</f>
        <v/>
      </c>
      <c r="C2272" s="59" t="n"/>
      <c r="D2272" s="59" t="n"/>
      <c r="E2272" s="60">
        <f>IF(OR(C2272="",D2272=""),"",MOD(D2272-C2272,1)*24)</f>
        <v/>
      </c>
      <c r="F2272" s="50" t="n"/>
      <c r="G2272" s="51" t="n"/>
      <c r="H2272" s="51" t="n"/>
      <c r="I2272" s="51" t="n"/>
      <c r="J2272" s="51" t="n"/>
      <c r="K2272" s="51" t="n"/>
      <c r="L2272" s="54">
        <f>IF(OR(A2272="",C2272="",D2272=""),"",IF(COUNTIFS($A$5:$A$3004,A2272,$C$5:$C$3004,"&lt;"&amp;D2272,$D$5:$D$3004,"&gt;"&amp;C2272)&gt;1,"⚠️ пересечение",""))</f>
        <v/>
      </c>
      <c r="M2272" s="54">
        <f>IF(F2272="","",IF(J2272="✅ Сделано","✔ ",IF(J2272="❌ Пропущено","✖ ","⏰ "))&amp;IF(C2272="","",RIGHT("0"&amp;HOUR(C2272),2)&amp;":"&amp;RIGHT("0"&amp;MINUTE(C2272),2)&amp;IF(D2272="","","–"&amp;RIGHT("0"&amp;HOUR(D2272),2)&amp;":"&amp;RIGHT("0"&amp;MINUTE(D2272),2))&amp;" ")&amp;F2272)</f>
        <v/>
      </c>
      <c r="N2272" s="54">
        <f>IF(OR(A2272="",F2272=""),"",A2272&amp;"#"&amp;(COUNTIFS($A$5:$A$3004,A2272,$F$5:$F$3004,"?*",$O$5:$O$3004,"&lt;"&amp;O2272)+COUNTIFS($A$5:A2272,A2272,$F$5:F2272,"?*",$O$5:O2272,O2272)))</f>
        <v/>
      </c>
      <c r="O2272" s="54">
        <f>IF(A2272="","",IF(C2272="",0,C2272))</f>
        <v/>
      </c>
    </row>
    <row r="2273">
      <c r="A2273" s="58" t="n"/>
      <c r="B2273" s="49">
        <f>IF(A2273="","",CHOOSE(WEEKDAY(A2273,2),"Пн","Вт","Ср","Чт","Пт","Сб","Вс"))</f>
        <v/>
      </c>
      <c r="C2273" s="59" t="n"/>
      <c r="D2273" s="59" t="n"/>
      <c r="E2273" s="60">
        <f>IF(OR(C2273="",D2273=""),"",MOD(D2273-C2273,1)*24)</f>
        <v/>
      </c>
      <c r="F2273" s="50" t="n"/>
      <c r="G2273" s="51" t="n"/>
      <c r="H2273" s="51" t="n"/>
      <c r="I2273" s="51" t="n"/>
      <c r="J2273" s="51" t="n"/>
      <c r="K2273" s="51" t="n"/>
      <c r="L2273" s="54">
        <f>IF(OR(A2273="",C2273="",D2273=""),"",IF(COUNTIFS($A$5:$A$3004,A2273,$C$5:$C$3004,"&lt;"&amp;D2273,$D$5:$D$3004,"&gt;"&amp;C2273)&gt;1,"⚠️ пересечение",""))</f>
        <v/>
      </c>
      <c r="M2273" s="54">
        <f>IF(F2273="","",IF(J2273="✅ Сделано","✔ ",IF(J2273="❌ Пропущено","✖ ","⏰ "))&amp;IF(C2273="","",RIGHT("0"&amp;HOUR(C2273),2)&amp;":"&amp;RIGHT("0"&amp;MINUTE(C2273),2)&amp;IF(D2273="","","–"&amp;RIGHT("0"&amp;HOUR(D2273),2)&amp;":"&amp;RIGHT("0"&amp;MINUTE(D2273),2))&amp;" ")&amp;F2273)</f>
        <v/>
      </c>
      <c r="N2273" s="54">
        <f>IF(OR(A2273="",F2273=""),"",A2273&amp;"#"&amp;(COUNTIFS($A$5:$A$3004,A2273,$F$5:$F$3004,"?*",$O$5:$O$3004,"&lt;"&amp;O2273)+COUNTIFS($A$5:A2273,A2273,$F$5:F2273,"?*",$O$5:O2273,O2273)))</f>
        <v/>
      </c>
      <c r="O2273" s="54">
        <f>IF(A2273="","",IF(C2273="",0,C2273))</f>
        <v/>
      </c>
    </row>
    <row r="2274">
      <c r="A2274" s="58" t="n"/>
      <c r="B2274" s="49">
        <f>IF(A2274="","",CHOOSE(WEEKDAY(A2274,2),"Пн","Вт","Ср","Чт","Пт","Сб","Вс"))</f>
        <v/>
      </c>
      <c r="C2274" s="59" t="n"/>
      <c r="D2274" s="59" t="n"/>
      <c r="E2274" s="60">
        <f>IF(OR(C2274="",D2274=""),"",MOD(D2274-C2274,1)*24)</f>
        <v/>
      </c>
      <c r="F2274" s="50" t="n"/>
      <c r="G2274" s="51" t="n"/>
      <c r="H2274" s="51" t="n"/>
      <c r="I2274" s="51" t="n"/>
      <c r="J2274" s="51" t="n"/>
      <c r="K2274" s="51" t="n"/>
      <c r="L2274" s="54">
        <f>IF(OR(A2274="",C2274="",D2274=""),"",IF(COUNTIFS($A$5:$A$3004,A2274,$C$5:$C$3004,"&lt;"&amp;D2274,$D$5:$D$3004,"&gt;"&amp;C2274)&gt;1,"⚠️ пересечение",""))</f>
        <v/>
      </c>
      <c r="M2274" s="54">
        <f>IF(F2274="","",IF(J2274="✅ Сделано","✔ ",IF(J2274="❌ Пропущено","✖ ","⏰ "))&amp;IF(C2274="","",RIGHT("0"&amp;HOUR(C2274),2)&amp;":"&amp;RIGHT("0"&amp;MINUTE(C2274),2)&amp;IF(D2274="","","–"&amp;RIGHT("0"&amp;HOUR(D2274),2)&amp;":"&amp;RIGHT("0"&amp;MINUTE(D2274),2))&amp;" ")&amp;F2274)</f>
        <v/>
      </c>
      <c r="N2274" s="54">
        <f>IF(OR(A2274="",F2274=""),"",A2274&amp;"#"&amp;(COUNTIFS($A$5:$A$3004,A2274,$F$5:$F$3004,"?*",$O$5:$O$3004,"&lt;"&amp;O2274)+COUNTIFS($A$5:A2274,A2274,$F$5:F2274,"?*",$O$5:O2274,O2274)))</f>
        <v/>
      </c>
      <c r="O2274" s="54">
        <f>IF(A2274="","",IF(C2274="",0,C2274))</f>
        <v/>
      </c>
    </row>
    <row r="2275">
      <c r="A2275" s="58" t="n"/>
      <c r="B2275" s="49">
        <f>IF(A2275="","",CHOOSE(WEEKDAY(A2275,2),"Пн","Вт","Ср","Чт","Пт","Сб","Вс"))</f>
        <v/>
      </c>
      <c r="C2275" s="59" t="n"/>
      <c r="D2275" s="59" t="n"/>
      <c r="E2275" s="60">
        <f>IF(OR(C2275="",D2275=""),"",MOD(D2275-C2275,1)*24)</f>
        <v/>
      </c>
      <c r="F2275" s="50" t="n"/>
      <c r="G2275" s="51" t="n"/>
      <c r="H2275" s="51" t="n"/>
      <c r="I2275" s="51" t="n"/>
      <c r="J2275" s="51" t="n"/>
      <c r="K2275" s="51" t="n"/>
      <c r="L2275" s="54">
        <f>IF(OR(A2275="",C2275="",D2275=""),"",IF(COUNTIFS($A$5:$A$3004,A2275,$C$5:$C$3004,"&lt;"&amp;D2275,$D$5:$D$3004,"&gt;"&amp;C2275)&gt;1,"⚠️ пересечение",""))</f>
        <v/>
      </c>
      <c r="M2275" s="54">
        <f>IF(F2275="","",IF(J2275="✅ Сделано","✔ ",IF(J2275="❌ Пропущено","✖ ","⏰ "))&amp;IF(C2275="","",RIGHT("0"&amp;HOUR(C2275),2)&amp;":"&amp;RIGHT("0"&amp;MINUTE(C2275),2)&amp;IF(D2275="","","–"&amp;RIGHT("0"&amp;HOUR(D2275),2)&amp;":"&amp;RIGHT("0"&amp;MINUTE(D2275),2))&amp;" ")&amp;F2275)</f>
        <v/>
      </c>
      <c r="N2275" s="54">
        <f>IF(OR(A2275="",F2275=""),"",A2275&amp;"#"&amp;(COUNTIFS($A$5:$A$3004,A2275,$F$5:$F$3004,"?*",$O$5:$O$3004,"&lt;"&amp;O2275)+COUNTIFS($A$5:A2275,A2275,$F$5:F2275,"?*",$O$5:O2275,O2275)))</f>
        <v/>
      </c>
      <c r="O2275" s="54">
        <f>IF(A2275="","",IF(C2275="",0,C2275))</f>
        <v/>
      </c>
    </row>
    <row r="2276">
      <c r="A2276" s="58" t="n"/>
      <c r="B2276" s="49">
        <f>IF(A2276="","",CHOOSE(WEEKDAY(A2276,2),"Пн","Вт","Ср","Чт","Пт","Сб","Вс"))</f>
        <v/>
      </c>
      <c r="C2276" s="59" t="n"/>
      <c r="D2276" s="59" t="n"/>
      <c r="E2276" s="60">
        <f>IF(OR(C2276="",D2276=""),"",MOD(D2276-C2276,1)*24)</f>
        <v/>
      </c>
      <c r="F2276" s="50" t="n"/>
      <c r="G2276" s="51" t="n"/>
      <c r="H2276" s="51" t="n"/>
      <c r="I2276" s="51" t="n"/>
      <c r="J2276" s="51" t="n"/>
      <c r="K2276" s="51" t="n"/>
      <c r="L2276" s="54">
        <f>IF(OR(A2276="",C2276="",D2276=""),"",IF(COUNTIFS($A$5:$A$3004,A2276,$C$5:$C$3004,"&lt;"&amp;D2276,$D$5:$D$3004,"&gt;"&amp;C2276)&gt;1,"⚠️ пересечение",""))</f>
        <v/>
      </c>
      <c r="M2276" s="54">
        <f>IF(F2276="","",IF(J2276="✅ Сделано","✔ ",IF(J2276="❌ Пропущено","✖ ","⏰ "))&amp;IF(C2276="","",RIGHT("0"&amp;HOUR(C2276),2)&amp;":"&amp;RIGHT("0"&amp;MINUTE(C2276),2)&amp;IF(D2276="","","–"&amp;RIGHT("0"&amp;HOUR(D2276),2)&amp;":"&amp;RIGHT("0"&amp;MINUTE(D2276),2))&amp;" ")&amp;F2276)</f>
        <v/>
      </c>
      <c r="N2276" s="54">
        <f>IF(OR(A2276="",F2276=""),"",A2276&amp;"#"&amp;(COUNTIFS($A$5:$A$3004,A2276,$F$5:$F$3004,"?*",$O$5:$O$3004,"&lt;"&amp;O2276)+COUNTIFS($A$5:A2276,A2276,$F$5:F2276,"?*",$O$5:O2276,O2276)))</f>
        <v/>
      </c>
      <c r="O2276" s="54">
        <f>IF(A2276="","",IF(C2276="",0,C2276))</f>
        <v/>
      </c>
    </row>
    <row r="2277">
      <c r="A2277" s="58" t="n"/>
      <c r="B2277" s="49">
        <f>IF(A2277="","",CHOOSE(WEEKDAY(A2277,2),"Пн","Вт","Ср","Чт","Пт","Сб","Вс"))</f>
        <v/>
      </c>
      <c r="C2277" s="59" t="n"/>
      <c r="D2277" s="59" t="n"/>
      <c r="E2277" s="60">
        <f>IF(OR(C2277="",D2277=""),"",MOD(D2277-C2277,1)*24)</f>
        <v/>
      </c>
      <c r="F2277" s="50" t="n"/>
      <c r="G2277" s="51" t="n"/>
      <c r="H2277" s="51" t="n"/>
      <c r="I2277" s="51" t="n"/>
      <c r="J2277" s="51" t="n"/>
      <c r="K2277" s="51" t="n"/>
      <c r="L2277" s="54">
        <f>IF(OR(A2277="",C2277="",D2277=""),"",IF(COUNTIFS($A$5:$A$3004,A2277,$C$5:$C$3004,"&lt;"&amp;D2277,$D$5:$D$3004,"&gt;"&amp;C2277)&gt;1,"⚠️ пересечение",""))</f>
        <v/>
      </c>
      <c r="M2277" s="54">
        <f>IF(F2277="","",IF(J2277="✅ Сделано","✔ ",IF(J2277="❌ Пропущено","✖ ","⏰ "))&amp;IF(C2277="","",RIGHT("0"&amp;HOUR(C2277),2)&amp;":"&amp;RIGHT("0"&amp;MINUTE(C2277),2)&amp;IF(D2277="","","–"&amp;RIGHT("0"&amp;HOUR(D2277),2)&amp;":"&amp;RIGHT("0"&amp;MINUTE(D2277),2))&amp;" ")&amp;F2277)</f>
        <v/>
      </c>
      <c r="N2277" s="54">
        <f>IF(OR(A2277="",F2277=""),"",A2277&amp;"#"&amp;(COUNTIFS($A$5:$A$3004,A2277,$F$5:$F$3004,"?*",$O$5:$O$3004,"&lt;"&amp;O2277)+COUNTIFS($A$5:A2277,A2277,$F$5:F2277,"?*",$O$5:O2277,O2277)))</f>
        <v/>
      </c>
      <c r="O2277" s="54">
        <f>IF(A2277="","",IF(C2277="",0,C2277))</f>
        <v/>
      </c>
    </row>
    <row r="2278">
      <c r="A2278" s="58" t="n"/>
      <c r="B2278" s="49">
        <f>IF(A2278="","",CHOOSE(WEEKDAY(A2278,2),"Пн","Вт","Ср","Чт","Пт","Сб","Вс"))</f>
        <v/>
      </c>
      <c r="C2278" s="59" t="n"/>
      <c r="D2278" s="59" t="n"/>
      <c r="E2278" s="60">
        <f>IF(OR(C2278="",D2278=""),"",MOD(D2278-C2278,1)*24)</f>
        <v/>
      </c>
      <c r="F2278" s="50" t="n"/>
      <c r="G2278" s="51" t="n"/>
      <c r="H2278" s="51" t="n"/>
      <c r="I2278" s="51" t="n"/>
      <c r="J2278" s="51" t="n"/>
      <c r="K2278" s="51" t="n"/>
      <c r="L2278" s="54">
        <f>IF(OR(A2278="",C2278="",D2278=""),"",IF(COUNTIFS($A$5:$A$3004,A2278,$C$5:$C$3004,"&lt;"&amp;D2278,$D$5:$D$3004,"&gt;"&amp;C2278)&gt;1,"⚠️ пересечение",""))</f>
        <v/>
      </c>
      <c r="M2278" s="54">
        <f>IF(F2278="","",IF(J2278="✅ Сделано","✔ ",IF(J2278="❌ Пропущено","✖ ","⏰ "))&amp;IF(C2278="","",RIGHT("0"&amp;HOUR(C2278),2)&amp;":"&amp;RIGHT("0"&amp;MINUTE(C2278),2)&amp;IF(D2278="","","–"&amp;RIGHT("0"&amp;HOUR(D2278),2)&amp;":"&amp;RIGHT("0"&amp;MINUTE(D2278),2))&amp;" ")&amp;F2278)</f>
        <v/>
      </c>
      <c r="N2278" s="54">
        <f>IF(OR(A2278="",F2278=""),"",A2278&amp;"#"&amp;(COUNTIFS($A$5:$A$3004,A2278,$F$5:$F$3004,"?*",$O$5:$O$3004,"&lt;"&amp;O2278)+COUNTIFS($A$5:A2278,A2278,$F$5:F2278,"?*",$O$5:O2278,O2278)))</f>
        <v/>
      </c>
      <c r="O2278" s="54">
        <f>IF(A2278="","",IF(C2278="",0,C2278))</f>
        <v/>
      </c>
    </row>
    <row r="2279">
      <c r="A2279" s="58" t="n"/>
      <c r="B2279" s="49">
        <f>IF(A2279="","",CHOOSE(WEEKDAY(A2279,2),"Пн","Вт","Ср","Чт","Пт","Сб","Вс"))</f>
        <v/>
      </c>
      <c r="C2279" s="59" t="n"/>
      <c r="D2279" s="59" t="n"/>
      <c r="E2279" s="60">
        <f>IF(OR(C2279="",D2279=""),"",MOD(D2279-C2279,1)*24)</f>
        <v/>
      </c>
      <c r="F2279" s="50" t="n"/>
      <c r="G2279" s="51" t="n"/>
      <c r="H2279" s="51" t="n"/>
      <c r="I2279" s="51" t="n"/>
      <c r="J2279" s="51" t="n"/>
      <c r="K2279" s="51" t="n"/>
      <c r="L2279" s="54">
        <f>IF(OR(A2279="",C2279="",D2279=""),"",IF(COUNTIFS($A$5:$A$3004,A2279,$C$5:$C$3004,"&lt;"&amp;D2279,$D$5:$D$3004,"&gt;"&amp;C2279)&gt;1,"⚠️ пересечение",""))</f>
        <v/>
      </c>
      <c r="M2279" s="54">
        <f>IF(F2279="","",IF(J2279="✅ Сделано","✔ ",IF(J2279="❌ Пропущено","✖ ","⏰ "))&amp;IF(C2279="","",RIGHT("0"&amp;HOUR(C2279),2)&amp;":"&amp;RIGHT("0"&amp;MINUTE(C2279),2)&amp;IF(D2279="","","–"&amp;RIGHT("0"&amp;HOUR(D2279),2)&amp;":"&amp;RIGHT("0"&amp;MINUTE(D2279),2))&amp;" ")&amp;F2279)</f>
        <v/>
      </c>
      <c r="N2279" s="54">
        <f>IF(OR(A2279="",F2279=""),"",A2279&amp;"#"&amp;(COUNTIFS($A$5:$A$3004,A2279,$F$5:$F$3004,"?*",$O$5:$O$3004,"&lt;"&amp;O2279)+COUNTIFS($A$5:A2279,A2279,$F$5:F2279,"?*",$O$5:O2279,O2279)))</f>
        <v/>
      </c>
      <c r="O2279" s="54">
        <f>IF(A2279="","",IF(C2279="",0,C2279))</f>
        <v/>
      </c>
    </row>
    <row r="2280">
      <c r="A2280" s="58" t="n"/>
      <c r="B2280" s="49">
        <f>IF(A2280="","",CHOOSE(WEEKDAY(A2280,2),"Пн","Вт","Ср","Чт","Пт","Сб","Вс"))</f>
        <v/>
      </c>
      <c r="C2280" s="59" t="n"/>
      <c r="D2280" s="59" t="n"/>
      <c r="E2280" s="60">
        <f>IF(OR(C2280="",D2280=""),"",MOD(D2280-C2280,1)*24)</f>
        <v/>
      </c>
      <c r="F2280" s="50" t="n"/>
      <c r="G2280" s="51" t="n"/>
      <c r="H2280" s="51" t="n"/>
      <c r="I2280" s="51" t="n"/>
      <c r="J2280" s="51" t="n"/>
      <c r="K2280" s="51" t="n"/>
      <c r="L2280" s="54">
        <f>IF(OR(A2280="",C2280="",D2280=""),"",IF(COUNTIFS($A$5:$A$3004,A2280,$C$5:$C$3004,"&lt;"&amp;D2280,$D$5:$D$3004,"&gt;"&amp;C2280)&gt;1,"⚠️ пересечение",""))</f>
        <v/>
      </c>
      <c r="M2280" s="54">
        <f>IF(F2280="","",IF(J2280="✅ Сделано","✔ ",IF(J2280="❌ Пропущено","✖ ","⏰ "))&amp;IF(C2280="","",RIGHT("0"&amp;HOUR(C2280),2)&amp;":"&amp;RIGHT("0"&amp;MINUTE(C2280),2)&amp;IF(D2280="","","–"&amp;RIGHT("0"&amp;HOUR(D2280),2)&amp;":"&amp;RIGHT("0"&amp;MINUTE(D2280),2))&amp;" ")&amp;F2280)</f>
        <v/>
      </c>
      <c r="N2280" s="54">
        <f>IF(OR(A2280="",F2280=""),"",A2280&amp;"#"&amp;(COUNTIFS($A$5:$A$3004,A2280,$F$5:$F$3004,"?*",$O$5:$O$3004,"&lt;"&amp;O2280)+COUNTIFS($A$5:A2280,A2280,$F$5:F2280,"?*",$O$5:O2280,O2280)))</f>
        <v/>
      </c>
      <c r="O2280" s="54">
        <f>IF(A2280="","",IF(C2280="",0,C2280))</f>
        <v/>
      </c>
    </row>
    <row r="2281">
      <c r="A2281" s="58" t="n"/>
      <c r="B2281" s="49">
        <f>IF(A2281="","",CHOOSE(WEEKDAY(A2281,2),"Пн","Вт","Ср","Чт","Пт","Сб","Вс"))</f>
        <v/>
      </c>
      <c r="C2281" s="59" t="n"/>
      <c r="D2281" s="59" t="n"/>
      <c r="E2281" s="60">
        <f>IF(OR(C2281="",D2281=""),"",MOD(D2281-C2281,1)*24)</f>
        <v/>
      </c>
      <c r="F2281" s="50" t="n"/>
      <c r="G2281" s="51" t="n"/>
      <c r="H2281" s="51" t="n"/>
      <c r="I2281" s="51" t="n"/>
      <c r="J2281" s="51" t="n"/>
      <c r="K2281" s="51" t="n"/>
      <c r="L2281" s="54">
        <f>IF(OR(A2281="",C2281="",D2281=""),"",IF(COUNTIFS($A$5:$A$3004,A2281,$C$5:$C$3004,"&lt;"&amp;D2281,$D$5:$D$3004,"&gt;"&amp;C2281)&gt;1,"⚠️ пересечение",""))</f>
        <v/>
      </c>
      <c r="M2281" s="54">
        <f>IF(F2281="","",IF(J2281="✅ Сделано","✔ ",IF(J2281="❌ Пропущено","✖ ","⏰ "))&amp;IF(C2281="","",RIGHT("0"&amp;HOUR(C2281),2)&amp;":"&amp;RIGHT("0"&amp;MINUTE(C2281),2)&amp;IF(D2281="","","–"&amp;RIGHT("0"&amp;HOUR(D2281),2)&amp;":"&amp;RIGHT("0"&amp;MINUTE(D2281),2))&amp;" ")&amp;F2281)</f>
        <v/>
      </c>
      <c r="N2281" s="54">
        <f>IF(OR(A2281="",F2281=""),"",A2281&amp;"#"&amp;(COUNTIFS($A$5:$A$3004,A2281,$F$5:$F$3004,"?*",$O$5:$O$3004,"&lt;"&amp;O2281)+COUNTIFS($A$5:A2281,A2281,$F$5:F2281,"?*",$O$5:O2281,O2281)))</f>
        <v/>
      </c>
      <c r="O2281" s="54">
        <f>IF(A2281="","",IF(C2281="",0,C2281))</f>
        <v/>
      </c>
    </row>
    <row r="2282">
      <c r="A2282" s="58" t="n"/>
      <c r="B2282" s="49">
        <f>IF(A2282="","",CHOOSE(WEEKDAY(A2282,2),"Пн","Вт","Ср","Чт","Пт","Сб","Вс"))</f>
        <v/>
      </c>
      <c r="C2282" s="59" t="n"/>
      <c r="D2282" s="59" t="n"/>
      <c r="E2282" s="60">
        <f>IF(OR(C2282="",D2282=""),"",MOD(D2282-C2282,1)*24)</f>
        <v/>
      </c>
      <c r="F2282" s="50" t="n"/>
      <c r="G2282" s="51" t="n"/>
      <c r="H2282" s="51" t="n"/>
      <c r="I2282" s="51" t="n"/>
      <c r="J2282" s="51" t="n"/>
      <c r="K2282" s="51" t="n"/>
      <c r="L2282" s="54">
        <f>IF(OR(A2282="",C2282="",D2282=""),"",IF(COUNTIFS($A$5:$A$3004,A2282,$C$5:$C$3004,"&lt;"&amp;D2282,$D$5:$D$3004,"&gt;"&amp;C2282)&gt;1,"⚠️ пересечение",""))</f>
        <v/>
      </c>
      <c r="M2282" s="54">
        <f>IF(F2282="","",IF(J2282="✅ Сделано","✔ ",IF(J2282="❌ Пропущено","✖ ","⏰ "))&amp;IF(C2282="","",RIGHT("0"&amp;HOUR(C2282),2)&amp;":"&amp;RIGHT("0"&amp;MINUTE(C2282),2)&amp;IF(D2282="","","–"&amp;RIGHT("0"&amp;HOUR(D2282),2)&amp;":"&amp;RIGHT("0"&amp;MINUTE(D2282),2))&amp;" ")&amp;F2282)</f>
        <v/>
      </c>
      <c r="N2282" s="54">
        <f>IF(OR(A2282="",F2282=""),"",A2282&amp;"#"&amp;(COUNTIFS($A$5:$A$3004,A2282,$F$5:$F$3004,"?*",$O$5:$O$3004,"&lt;"&amp;O2282)+COUNTIFS($A$5:A2282,A2282,$F$5:F2282,"?*",$O$5:O2282,O2282)))</f>
        <v/>
      </c>
      <c r="O2282" s="54">
        <f>IF(A2282="","",IF(C2282="",0,C2282))</f>
        <v/>
      </c>
    </row>
    <row r="2283">
      <c r="A2283" s="58" t="n"/>
      <c r="B2283" s="49">
        <f>IF(A2283="","",CHOOSE(WEEKDAY(A2283,2),"Пн","Вт","Ср","Чт","Пт","Сб","Вс"))</f>
        <v/>
      </c>
      <c r="C2283" s="59" t="n"/>
      <c r="D2283" s="59" t="n"/>
      <c r="E2283" s="60">
        <f>IF(OR(C2283="",D2283=""),"",MOD(D2283-C2283,1)*24)</f>
        <v/>
      </c>
      <c r="F2283" s="50" t="n"/>
      <c r="G2283" s="51" t="n"/>
      <c r="H2283" s="51" t="n"/>
      <c r="I2283" s="51" t="n"/>
      <c r="J2283" s="51" t="n"/>
      <c r="K2283" s="51" t="n"/>
      <c r="L2283" s="54">
        <f>IF(OR(A2283="",C2283="",D2283=""),"",IF(COUNTIFS($A$5:$A$3004,A2283,$C$5:$C$3004,"&lt;"&amp;D2283,$D$5:$D$3004,"&gt;"&amp;C2283)&gt;1,"⚠️ пересечение",""))</f>
        <v/>
      </c>
      <c r="M2283" s="54">
        <f>IF(F2283="","",IF(J2283="✅ Сделано","✔ ",IF(J2283="❌ Пропущено","✖ ","⏰ "))&amp;IF(C2283="","",RIGHT("0"&amp;HOUR(C2283),2)&amp;":"&amp;RIGHT("0"&amp;MINUTE(C2283),2)&amp;IF(D2283="","","–"&amp;RIGHT("0"&amp;HOUR(D2283),2)&amp;":"&amp;RIGHT("0"&amp;MINUTE(D2283),2))&amp;" ")&amp;F2283)</f>
        <v/>
      </c>
      <c r="N2283" s="54">
        <f>IF(OR(A2283="",F2283=""),"",A2283&amp;"#"&amp;(COUNTIFS($A$5:$A$3004,A2283,$F$5:$F$3004,"?*",$O$5:$O$3004,"&lt;"&amp;O2283)+COUNTIFS($A$5:A2283,A2283,$F$5:F2283,"?*",$O$5:O2283,O2283)))</f>
        <v/>
      </c>
      <c r="O2283" s="54">
        <f>IF(A2283="","",IF(C2283="",0,C2283))</f>
        <v/>
      </c>
    </row>
    <row r="2284">
      <c r="A2284" s="58" t="n"/>
      <c r="B2284" s="49">
        <f>IF(A2284="","",CHOOSE(WEEKDAY(A2284,2),"Пн","Вт","Ср","Чт","Пт","Сб","Вс"))</f>
        <v/>
      </c>
      <c r="C2284" s="59" t="n"/>
      <c r="D2284" s="59" t="n"/>
      <c r="E2284" s="60">
        <f>IF(OR(C2284="",D2284=""),"",MOD(D2284-C2284,1)*24)</f>
        <v/>
      </c>
      <c r="F2284" s="50" t="n"/>
      <c r="G2284" s="51" t="n"/>
      <c r="H2284" s="51" t="n"/>
      <c r="I2284" s="51" t="n"/>
      <c r="J2284" s="51" t="n"/>
      <c r="K2284" s="51" t="n"/>
      <c r="L2284" s="54">
        <f>IF(OR(A2284="",C2284="",D2284=""),"",IF(COUNTIFS($A$5:$A$3004,A2284,$C$5:$C$3004,"&lt;"&amp;D2284,$D$5:$D$3004,"&gt;"&amp;C2284)&gt;1,"⚠️ пересечение",""))</f>
        <v/>
      </c>
      <c r="M2284" s="54">
        <f>IF(F2284="","",IF(J2284="✅ Сделано","✔ ",IF(J2284="❌ Пропущено","✖ ","⏰ "))&amp;IF(C2284="","",RIGHT("0"&amp;HOUR(C2284),2)&amp;":"&amp;RIGHT("0"&amp;MINUTE(C2284),2)&amp;IF(D2284="","","–"&amp;RIGHT("0"&amp;HOUR(D2284),2)&amp;":"&amp;RIGHT("0"&amp;MINUTE(D2284),2))&amp;" ")&amp;F2284)</f>
        <v/>
      </c>
      <c r="N2284" s="54">
        <f>IF(OR(A2284="",F2284=""),"",A2284&amp;"#"&amp;(COUNTIFS($A$5:$A$3004,A2284,$F$5:$F$3004,"?*",$O$5:$O$3004,"&lt;"&amp;O2284)+COUNTIFS($A$5:A2284,A2284,$F$5:F2284,"?*",$O$5:O2284,O2284)))</f>
        <v/>
      </c>
      <c r="O2284" s="54">
        <f>IF(A2284="","",IF(C2284="",0,C2284))</f>
        <v/>
      </c>
    </row>
    <row r="2285">
      <c r="A2285" s="58" t="n"/>
      <c r="B2285" s="49">
        <f>IF(A2285="","",CHOOSE(WEEKDAY(A2285,2),"Пн","Вт","Ср","Чт","Пт","Сб","Вс"))</f>
        <v/>
      </c>
      <c r="C2285" s="59" t="n"/>
      <c r="D2285" s="59" t="n"/>
      <c r="E2285" s="60">
        <f>IF(OR(C2285="",D2285=""),"",MOD(D2285-C2285,1)*24)</f>
        <v/>
      </c>
      <c r="F2285" s="50" t="n"/>
      <c r="G2285" s="51" t="n"/>
      <c r="H2285" s="51" t="n"/>
      <c r="I2285" s="51" t="n"/>
      <c r="J2285" s="51" t="n"/>
      <c r="K2285" s="51" t="n"/>
      <c r="L2285" s="54">
        <f>IF(OR(A2285="",C2285="",D2285=""),"",IF(COUNTIFS($A$5:$A$3004,A2285,$C$5:$C$3004,"&lt;"&amp;D2285,$D$5:$D$3004,"&gt;"&amp;C2285)&gt;1,"⚠️ пересечение",""))</f>
        <v/>
      </c>
      <c r="M2285" s="54">
        <f>IF(F2285="","",IF(J2285="✅ Сделано","✔ ",IF(J2285="❌ Пропущено","✖ ","⏰ "))&amp;IF(C2285="","",RIGHT("0"&amp;HOUR(C2285),2)&amp;":"&amp;RIGHT("0"&amp;MINUTE(C2285),2)&amp;IF(D2285="","","–"&amp;RIGHT("0"&amp;HOUR(D2285),2)&amp;":"&amp;RIGHT("0"&amp;MINUTE(D2285),2))&amp;" ")&amp;F2285)</f>
        <v/>
      </c>
      <c r="N2285" s="54">
        <f>IF(OR(A2285="",F2285=""),"",A2285&amp;"#"&amp;(COUNTIFS($A$5:$A$3004,A2285,$F$5:$F$3004,"?*",$O$5:$O$3004,"&lt;"&amp;O2285)+COUNTIFS($A$5:A2285,A2285,$F$5:F2285,"?*",$O$5:O2285,O2285)))</f>
        <v/>
      </c>
      <c r="O2285" s="54">
        <f>IF(A2285="","",IF(C2285="",0,C2285))</f>
        <v/>
      </c>
    </row>
    <row r="2286">
      <c r="A2286" s="58" t="n"/>
      <c r="B2286" s="49">
        <f>IF(A2286="","",CHOOSE(WEEKDAY(A2286,2),"Пн","Вт","Ср","Чт","Пт","Сб","Вс"))</f>
        <v/>
      </c>
      <c r="C2286" s="59" t="n"/>
      <c r="D2286" s="59" t="n"/>
      <c r="E2286" s="60">
        <f>IF(OR(C2286="",D2286=""),"",MOD(D2286-C2286,1)*24)</f>
        <v/>
      </c>
      <c r="F2286" s="50" t="n"/>
      <c r="G2286" s="51" t="n"/>
      <c r="H2286" s="51" t="n"/>
      <c r="I2286" s="51" t="n"/>
      <c r="J2286" s="51" t="n"/>
      <c r="K2286" s="51" t="n"/>
      <c r="L2286" s="54">
        <f>IF(OR(A2286="",C2286="",D2286=""),"",IF(COUNTIFS($A$5:$A$3004,A2286,$C$5:$C$3004,"&lt;"&amp;D2286,$D$5:$D$3004,"&gt;"&amp;C2286)&gt;1,"⚠️ пересечение",""))</f>
        <v/>
      </c>
      <c r="M2286" s="54">
        <f>IF(F2286="","",IF(J2286="✅ Сделано","✔ ",IF(J2286="❌ Пропущено","✖ ","⏰ "))&amp;IF(C2286="","",RIGHT("0"&amp;HOUR(C2286),2)&amp;":"&amp;RIGHT("0"&amp;MINUTE(C2286),2)&amp;IF(D2286="","","–"&amp;RIGHT("0"&amp;HOUR(D2286),2)&amp;":"&amp;RIGHT("0"&amp;MINUTE(D2286),2))&amp;" ")&amp;F2286)</f>
        <v/>
      </c>
      <c r="N2286" s="54">
        <f>IF(OR(A2286="",F2286=""),"",A2286&amp;"#"&amp;(COUNTIFS($A$5:$A$3004,A2286,$F$5:$F$3004,"?*",$O$5:$O$3004,"&lt;"&amp;O2286)+COUNTIFS($A$5:A2286,A2286,$F$5:F2286,"?*",$O$5:O2286,O2286)))</f>
        <v/>
      </c>
      <c r="O2286" s="54">
        <f>IF(A2286="","",IF(C2286="",0,C2286))</f>
        <v/>
      </c>
    </row>
    <row r="2287">
      <c r="A2287" s="58" t="n"/>
      <c r="B2287" s="49">
        <f>IF(A2287="","",CHOOSE(WEEKDAY(A2287,2),"Пн","Вт","Ср","Чт","Пт","Сб","Вс"))</f>
        <v/>
      </c>
      <c r="C2287" s="59" t="n"/>
      <c r="D2287" s="59" t="n"/>
      <c r="E2287" s="60">
        <f>IF(OR(C2287="",D2287=""),"",MOD(D2287-C2287,1)*24)</f>
        <v/>
      </c>
      <c r="F2287" s="50" t="n"/>
      <c r="G2287" s="51" t="n"/>
      <c r="H2287" s="51" t="n"/>
      <c r="I2287" s="51" t="n"/>
      <c r="J2287" s="51" t="n"/>
      <c r="K2287" s="51" t="n"/>
      <c r="L2287" s="54">
        <f>IF(OR(A2287="",C2287="",D2287=""),"",IF(COUNTIFS($A$5:$A$3004,A2287,$C$5:$C$3004,"&lt;"&amp;D2287,$D$5:$D$3004,"&gt;"&amp;C2287)&gt;1,"⚠️ пересечение",""))</f>
        <v/>
      </c>
      <c r="M2287" s="54">
        <f>IF(F2287="","",IF(J2287="✅ Сделано","✔ ",IF(J2287="❌ Пропущено","✖ ","⏰ "))&amp;IF(C2287="","",RIGHT("0"&amp;HOUR(C2287),2)&amp;":"&amp;RIGHT("0"&amp;MINUTE(C2287),2)&amp;IF(D2287="","","–"&amp;RIGHT("0"&amp;HOUR(D2287),2)&amp;":"&amp;RIGHT("0"&amp;MINUTE(D2287),2))&amp;" ")&amp;F2287)</f>
        <v/>
      </c>
      <c r="N2287" s="54">
        <f>IF(OR(A2287="",F2287=""),"",A2287&amp;"#"&amp;(COUNTIFS($A$5:$A$3004,A2287,$F$5:$F$3004,"?*",$O$5:$O$3004,"&lt;"&amp;O2287)+COUNTIFS($A$5:A2287,A2287,$F$5:F2287,"?*",$O$5:O2287,O2287)))</f>
        <v/>
      </c>
      <c r="O2287" s="54">
        <f>IF(A2287="","",IF(C2287="",0,C2287))</f>
        <v/>
      </c>
    </row>
    <row r="2288">
      <c r="A2288" s="58" t="n"/>
      <c r="B2288" s="49">
        <f>IF(A2288="","",CHOOSE(WEEKDAY(A2288,2),"Пн","Вт","Ср","Чт","Пт","Сб","Вс"))</f>
        <v/>
      </c>
      <c r="C2288" s="59" t="n"/>
      <c r="D2288" s="59" t="n"/>
      <c r="E2288" s="60">
        <f>IF(OR(C2288="",D2288=""),"",MOD(D2288-C2288,1)*24)</f>
        <v/>
      </c>
      <c r="F2288" s="50" t="n"/>
      <c r="G2288" s="51" t="n"/>
      <c r="H2288" s="51" t="n"/>
      <c r="I2288" s="51" t="n"/>
      <c r="J2288" s="51" t="n"/>
      <c r="K2288" s="51" t="n"/>
      <c r="L2288" s="54">
        <f>IF(OR(A2288="",C2288="",D2288=""),"",IF(COUNTIFS($A$5:$A$3004,A2288,$C$5:$C$3004,"&lt;"&amp;D2288,$D$5:$D$3004,"&gt;"&amp;C2288)&gt;1,"⚠️ пересечение",""))</f>
        <v/>
      </c>
      <c r="M2288" s="54">
        <f>IF(F2288="","",IF(J2288="✅ Сделано","✔ ",IF(J2288="❌ Пропущено","✖ ","⏰ "))&amp;IF(C2288="","",RIGHT("0"&amp;HOUR(C2288),2)&amp;":"&amp;RIGHT("0"&amp;MINUTE(C2288),2)&amp;IF(D2288="","","–"&amp;RIGHT("0"&amp;HOUR(D2288),2)&amp;":"&amp;RIGHT("0"&amp;MINUTE(D2288),2))&amp;" ")&amp;F2288)</f>
        <v/>
      </c>
      <c r="N2288" s="54">
        <f>IF(OR(A2288="",F2288=""),"",A2288&amp;"#"&amp;(COUNTIFS($A$5:$A$3004,A2288,$F$5:$F$3004,"?*",$O$5:$O$3004,"&lt;"&amp;O2288)+COUNTIFS($A$5:A2288,A2288,$F$5:F2288,"?*",$O$5:O2288,O2288)))</f>
        <v/>
      </c>
      <c r="O2288" s="54">
        <f>IF(A2288="","",IF(C2288="",0,C2288))</f>
        <v/>
      </c>
    </row>
    <row r="2289">
      <c r="A2289" s="58" t="n"/>
      <c r="B2289" s="49">
        <f>IF(A2289="","",CHOOSE(WEEKDAY(A2289,2),"Пн","Вт","Ср","Чт","Пт","Сб","Вс"))</f>
        <v/>
      </c>
      <c r="C2289" s="59" t="n"/>
      <c r="D2289" s="59" t="n"/>
      <c r="E2289" s="60">
        <f>IF(OR(C2289="",D2289=""),"",MOD(D2289-C2289,1)*24)</f>
        <v/>
      </c>
      <c r="F2289" s="50" t="n"/>
      <c r="G2289" s="51" t="n"/>
      <c r="H2289" s="51" t="n"/>
      <c r="I2289" s="51" t="n"/>
      <c r="J2289" s="51" t="n"/>
      <c r="K2289" s="51" t="n"/>
      <c r="L2289" s="54">
        <f>IF(OR(A2289="",C2289="",D2289=""),"",IF(COUNTIFS($A$5:$A$3004,A2289,$C$5:$C$3004,"&lt;"&amp;D2289,$D$5:$D$3004,"&gt;"&amp;C2289)&gt;1,"⚠️ пересечение",""))</f>
        <v/>
      </c>
      <c r="M2289" s="54">
        <f>IF(F2289="","",IF(J2289="✅ Сделано","✔ ",IF(J2289="❌ Пропущено","✖ ","⏰ "))&amp;IF(C2289="","",RIGHT("0"&amp;HOUR(C2289),2)&amp;":"&amp;RIGHT("0"&amp;MINUTE(C2289),2)&amp;IF(D2289="","","–"&amp;RIGHT("0"&amp;HOUR(D2289),2)&amp;":"&amp;RIGHT("0"&amp;MINUTE(D2289),2))&amp;" ")&amp;F2289)</f>
        <v/>
      </c>
      <c r="N2289" s="54">
        <f>IF(OR(A2289="",F2289=""),"",A2289&amp;"#"&amp;(COUNTIFS($A$5:$A$3004,A2289,$F$5:$F$3004,"?*",$O$5:$O$3004,"&lt;"&amp;O2289)+COUNTIFS($A$5:A2289,A2289,$F$5:F2289,"?*",$O$5:O2289,O2289)))</f>
        <v/>
      </c>
      <c r="O2289" s="54">
        <f>IF(A2289="","",IF(C2289="",0,C2289))</f>
        <v/>
      </c>
    </row>
    <row r="2290">
      <c r="A2290" s="58" t="n"/>
      <c r="B2290" s="49">
        <f>IF(A2290="","",CHOOSE(WEEKDAY(A2290,2),"Пн","Вт","Ср","Чт","Пт","Сб","Вс"))</f>
        <v/>
      </c>
      <c r="C2290" s="59" t="n"/>
      <c r="D2290" s="59" t="n"/>
      <c r="E2290" s="60">
        <f>IF(OR(C2290="",D2290=""),"",MOD(D2290-C2290,1)*24)</f>
        <v/>
      </c>
      <c r="F2290" s="50" t="n"/>
      <c r="G2290" s="51" t="n"/>
      <c r="H2290" s="51" t="n"/>
      <c r="I2290" s="51" t="n"/>
      <c r="J2290" s="51" t="n"/>
      <c r="K2290" s="51" t="n"/>
      <c r="L2290" s="54">
        <f>IF(OR(A2290="",C2290="",D2290=""),"",IF(COUNTIFS($A$5:$A$3004,A2290,$C$5:$C$3004,"&lt;"&amp;D2290,$D$5:$D$3004,"&gt;"&amp;C2290)&gt;1,"⚠️ пересечение",""))</f>
        <v/>
      </c>
      <c r="M2290" s="54">
        <f>IF(F2290="","",IF(J2290="✅ Сделано","✔ ",IF(J2290="❌ Пропущено","✖ ","⏰ "))&amp;IF(C2290="","",RIGHT("0"&amp;HOUR(C2290),2)&amp;":"&amp;RIGHT("0"&amp;MINUTE(C2290),2)&amp;IF(D2290="","","–"&amp;RIGHT("0"&amp;HOUR(D2290),2)&amp;":"&amp;RIGHT("0"&amp;MINUTE(D2290),2))&amp;" ")&amp;F2290)</f>
        <v/>
      </c>
      <c r="N2290" s="54">
        <f>IF(OR(A2290="",F2290=""),"",A2290&amp;"#"&amp;(COUNTIFS($A$5:$A$3004,A2290,$F$5:$F$3004,"?*",$O$5:$O$3004,"&lt;"&amp;O2290)+COUNTIFS($A$5:A2290,A2290,$F$5:F2290,"?*",$O$5:O2290,O2290)))</f>
        <v/>
      </c>
      <c r="O2290" s="54">
        <f>IF(A2290="","",IF(C2290="",0,C2290))</f>
        <v/>
      </c>
    </row>
    <row r="2291">
      <c r="A2291" s="58" t="n"/>
      <c r="B2291" s="49">
        <f>IF(A2291="","",CHOOSE(WEEKDAY(A2291,2),"Пн","Вт","Ср","Чт","Пт","Сб","Вс"))</f>
        <v/>
      </c>
      <c r="C2291" s="59" t="n"/>
      <c r="D2291" s="59" t="n"/>
      <c r="E2291" s="60">
        <f>IF(OR(C2291="",D2291=""),"",MOD(D2291-C2291,1)*24)</f>
        <v/>
      </c>
      <c r="F2291" s="50" t="n"/>
      <c r="G2291" s="51" t="n"/>
      <c r="H2291" s="51" t="n"/>
      <c r="I2291" s="51" t="n"/>
      <c r="J2291" s="51" t="n"/>
      <c r="K2291" s="51" t="n"/>
      <c r="L2291" s="54">
        <f>IF(OR(A2291="",C2291="",D2291=""),"",IF(COUNTIFS($A$5:$A$3004,A2291,$C$5:$C$3004,"&lt;"&amp;D2291,$D$5:$D$3004,"&gt;"&amp;C2291)&gt;1,"⚠️ пересечение",""))</f>
        <v/>
      </c>
      <c r="M2291" s="54">
        <f>IF(F2291="","",IF(J2291="✅ Сделано","✔ ",IF(J2291="❌ Пропущено","✖ ","⏰ "))&amp;IF(C2291="","",RIGHT("0"&amp;HOUR(C2291),2)&amp;":"&amp;RIGHT("0"&amp;MINUTE(C2291),2)&amp;IF(D2291="","","–"&amp;RIGHT("0"&amp;HOUR(D2291),2)&amp;":"&amp;RIGHT("0"&amp;MINUTE(D2291),2))&amp;" ")&amp;F2291)</f>
        <v/>
      </c>
      <c r="N2291" s="54">
        <f>IF(OR(A2291="",F2291=""),"",A2291&amp;"#"&amp;(COUNTIFS($A$5:$A$3004,A2291,$F$5:$F$3004,"?*",$O$5:$O$3004,"&lt;"&amp;O2291)+COUNTIFS($A$5:A2291,A2291,$F$5:F2291,"?*",$O$5:O2291,O2291)))</f>
        <v/>
      </c>
      <c r="O2291" s="54">
        <f>IF(A2291="","",IF(C2291="",0,C2291))</f>
        <v/>
      </c>
    </row>
    <row r="2292">
      <c r="A2292" s="58" t="n"/>
      <c r="B2292" s="49">
        <f>IF(A2292="","",CHOOSE(WEEKDAY(A2292,2),"Пн","Вт","Ср","Чт","Пт","Сб","Вс"))</f>
        <v/>
      </c>
      <c r="C2292" s="59" t="n"/>
      <c r="D2292" s="59" t="n"/>
      <c r="E2292" s="60">
        <f>IF(OR(C2292="",D2292=""),"",MOD(D2292-C2292,1)*24)</f>
        <v/>
      </c>
      <c r="F2292" s="50" t="n"/>
      <c r="G2292" s="51" t="n"/>
      <c r="H2292" s="51" t="n"/>
      <c r="I2292" s="51" t="n"/>
      <c r="J2292" s="51" t="n"/>
      <c r="K2292" s="51" t="n"/>
      <c r="L2292" s="54">
        <f>IF(OR(A2292="",C2292="",D2292=""),"",IF(COUNTIFS($A$5:$A$3004,A2292,$C$5:$C$3004,"&lt;"&amp;D2292,$D$5:$D$3004,"&gt;"&amp;C2292)&gt;1,"⚠️ пересечение",""))</f>
        <v/>
      </c>
      <c r="M2292" s="54">
        <f>IF(F2292="","",IF(J2292="✅ Сделано","✔ ",IF(J2292="❌ Пропущено","✖ ","⏰ "))&amp;IF(C2292="","",RIGHT("0"&amp;HOUR(C2292),2)&amp;":"&amp;RIGHT("0"&amp;MINUTE(C2292),2)&amp;IF(D2292="","","–"&amp;RIGHT("0"&amp;HOUR(D2292),2)&amp;":"&amp;RIGHT("0"&amp;MINUTE(D2292),2))&amp;" ")&amp;F2292)</f>
        <v/>
      </c>
      <c r="N2292" s="54">
        <f>IF(OR(A2292="",F2292=""),"",A2292&amp;"#"&amp;(COUNTIFS($A$5:$A$3004,A2292,$F$5:$F$3004,"?*",$O$5:$O$3004,"&lt;"&amp;O2292)+COUNTIFS($A$5:A2292,A2292,$F$5:F2292,"?*",$O$5:O2292,O2292)))</f>
        <v/>
      </c>
      <c r="O2292" s="54">
        <f>IF(A2292="","",IF(C2292="",0,C2292))</f>
        <v/>
      </c>
    </row>
    <row r="2293">
      <c r="A2293" s="58" t="n"/>
      <c r="B2293" s="49">
        <f>IF(A2293="","",CHOOSE(WEEKDAY(A2293,2),"Пн","Вт","Ср","Чт","Пт","Сб","Вс"))</f>
        <v/>
      </c>
      <c r="C2293" s="59" t="n"/>
      <c r="D2293" s="59" t="n"/>
      <c r="E2293" s="60">
        <f>IF(OR(C2293="",D2293=""),"",MOD(D2293-C2293,1)*24)</f>
        <v/>
      </c>
      <c r="F2293" s="50" t="n"/>
      <c r="G2293" s="51" t="n"/>
      <c r="H2293" s="51" t="n"/>
      <c r="I2293" s="51" t="n"/>
      <c r="J2293" s="51" t="n"/>
      <c r="K2293" s="51" t="n"/>
      <c r="L2293" s="54">
        <f>IF(OR(A2293="",C2293="",D2293=""),"",IF(COUNTIFS($A$5:$A$3004,A2293,$C$5:$C$3004,"&lt;"&amp;D2293,$D$5:$D$3004,"&gt;"&amp;C2293)&gt;1,"⚠️ пересечение",""))</f>
        <v/>
      </c>
      <c r="M2293" s="54">
        <f>IF(F2293="","",IF(J2293="✅ Сделано","✔ ",IF(J2293="❌ Пропущено","✖ ","⏰ "))&amp;IF(C2293="","",RIGHT("0"&amp;HOUR(C2293),2)&amp;":"&amp;RIGHT("0"&amp;MINUTE(C2293),2)&amp;IF(D2293="","","–"&amp;RIGHT("0"&amp;HOUR(D2293),2)&amp;":"&amp;RIGHT("0"&amp;MINUTE(D2293),2))&amp;" ")&amp;F2293)</f>
        <v/>
      </c>
      <c r="N2293" s="54">
        <f>IF(OR(A2293="",F2293=""),"",A2293&amp;"#"&amp;(COUNTIFS($A$5:$A$3004,A2293,$F$5:$F$3004,"?*",$O$5:$O$3004,"&lt;"&amp;O2293)+COUNTIFS($A$5:A2293,A2293,$F$5:F2293,"?*",$O$5:O2293,O2293)))</f>
        <v/>
      </c>
      <c r="O2293" s="54">
        <f>IF(A2293="","",IF(C2293="",0,C2293))</f>
        <v/>
      </c>
    </row>
    <row r="2294">
      <c r="A2294" s="58" t="n"/>
      <c r="B2294" s="49">
        <f>IF(A2294="","",CHOOSE(WEEKDAY(A2294,2),"Пн","Вт","Ср","Чт","Пт","Сб","Вс"))</f>
        <v/>
      </c>
      <c r="C2294" s="59" t="n"/>
      <c r="D2294" s="59" t="n"/>
      <c r="E2294" s="60">
        <f>IF(OR(C2294="",D2294=""),"",MOD(D2294-C2294,1)*24)</f>
        <v/>
      </c>
      <c r="F2294" s="50" t="n"/>
      <c r="G2294" s="51" t="n"/>
      <c r="H2294" s="51" t="n"/>
      <c r="I2294" s="51" t="n"/>
      <c r="J2294" s="51" t="n"/>
      <c r="K2294" s="51" t="n"/>
      <c r="L2294" s="54">
        <f>IF(OR(A2294="",C2294="",D2294=""),"",IF(COUNTIFS($A$5:$A$3004,A2294,$C$5:$C$3004,"&lt;"&amp;D2294,$D$5:$D$3004,"&gt;"&amp;C2294)&gt;1,"⚠️ пересечение",""))</f>
        <v/>
      </c>
      <c r="M2294" s="54">
        <f>IF(F2294="","",IF(J2294="✅ Сделано","✔ ",IF(J2294="❌ Пропущено","✖ ","⏰ "))&amp;IF(C2294="","",RIGHT("0"&amp;HOUR(C2294),2)&amp;":"&amp;RIGHT("0"&amp;MINUTE(C2294),2)&amp;IF(D2294="","","–"&amp;RIGHT("0"&amp;HOUR(D2294),2)&amp;":"&amp;RIGHT("0"&amp;MINUTE(D2294),2))&amp;" ")&amp;F2294)</f>
        <v/>
      </c>
      <c r="N2294" s="54">
        <f>IF(OR(A2294="",F2294=""),"",A2294&amp;"#"&amp;(COUNTIFS($A$5:$A$3004,A2294,$F$5:$F$3004,"?*",$O$5:$O$3004,"&lt;"&amp;O2294)+COUNTIFS($A$5:A2294,A2294,$F$5:F2294,"?*",$O$5:O2294,O2294)))</f>
        <v/>
      </c>
      <c r="O2294" s="54">
        <f>IF(A2294="","",IF(C2294="",0,C2294))</f>
        <v/>
      </c>
    </row>
    <row r="2295">
      <c r="A2295" s="58" t="n"/>
      <c r="B2295" s="49">
        <f>IF(A2295="","",CHOOSE(WEEKDAY(A2295,2),"Пн","Вт","Ср","Чт","Пт","Сб","Вс"))</f>
        <v/>
      </c>
      <c r="C2295" s="59" t="n"/>
      <c r="D2295" s="59" t="n"/>
      <c r="E2295" s="60">
        <f>IF(OR(C2295="",D2295=""),"",MOD(D2295-C2295,1)*24)</f>
        <v/>
      </c>
      <c r="F2295" s="50" t="n"/>
      <c r="G2295" s="51" t="n"/>
      <c r="H2295" s="51" t="n"/>
      <c r="I2295" s="51" t="n"/>
      <c r="J2295" s="51" t="n"/>
      <c r="K2295" s="51" t="n"/>
      <c r="L2295" s="54">
        <f>IF(OR(A2295="",C2295="",D2295=""),"",IF(COUNTIFS($A$5:$A$3004,A2295,$C$5:$C$3004,"&lt;"&amp;D2295,$D$5:$D$3004,"&gt;"&amp;C2295)&gt;1,"⚠️ пересечение",""))</f>
        <v/>
      </c>
      <c r="M2295" s="54">
        <f>IF(F2295="","",IF(J2295="✅ Сделано","✔ ",IF(J2295="❌ Пропущено","✖ ","⏰ "))&amp;IF(C2295="","",RIGHT("0"&amp;HOUR(C2295),2)&amp;":"&amp;RIGHT("0"&amp;MINUTE(C2295),2)&amp;IF(D2295="","","–"&amp;RIGHT("0"&amp;HOUR(D2295),2)&amp;":"&amp;RIGHT("0"&amp;MINUTE(D2295),2))&amp;" ")&amp;F2295)</f>
        <v/>
      </c>
      <c r="N2295" s="54">
        <f>IF(OR(A2295="",F2295=""),"",A2295&amp;"#"&amp;(COUNTIFS($A$5:$A$3004,A2295,$F$5:$F$3004,"?*",$O$5:$O$3004,"&lt;"&amp;O2295)+COUNTIFS($A$5:A2295,A2295,$F$5:F2295,"?*",$O$5:O2295,O2295)))</f>
        <v/>
      </c>
      <c r="O2295" s="54">
        <f>IF(A2295="","",IF(C2295="",0,C2295))</f>
        <v/>
      </c>
    </row>
    <row r="2296">
      <c r="A2296" s="58" t="n"/>
      <c r="B2296" s="49">
        <f>IF(A2296="","",CHOOSE(WEEKDAY(A2296,2),"Пн","Вт","Ср","Чт","Пт","Сб","Вс"))</f>
        <v/>
      </c>
      <c r="C2296" s="59" t="n"/>
      <c r="D2296" s="59" t="n"/>
      <c r="E2296" s="60">
        <f>IF(OR(C2296="",D2296=""),"",MOD(D2296-C2296,1)*24)</f>
        <v/>
      </c>
      <c r="F2296" s="50" t="n"/>
      <c r="G2296" s="51" t="n"/>
      <c r="H2296" s="51" t="n"/>
      <c r="I2296" s="51" t="n"/>
      <c r="J2296" s="51" t="n"/>
      <c r="K2296" s="51" t="n"/>
      <c r="L2296" s="54">
        <f>IF(OR(A2296="",C2296="",D2296=""),"",IF(COUNTIFS($A$5:$A$3004,A2296,$C$5:$C$3004,"&lt;"&amp;D2296,$D$5:$D$3004,"&gt;"&amp;C2296)&gt;1,"⚠️ пересечение",""))</f>
        <v/>
      </c>
      <c r="M2296" s="54">
        <f>IF(F2296="","",IF(J2296="✅ Сделано","✔ ",IF(J2296="❌ Пропущено","✖ ","⏰ "))&amp;IF(C2296="","",RIGHT("0"&amp;HOUR(C2296),2)&amp;":"&amp;RIGHT("0"&amp;MINUTE(C2296),2)&amp;IF(D2296="","","–"&amp;RIGHT("0"&amp;HOUR(D2296),2)&amp;":"&amp;RIGHT("0"&amp;MINUTE(D2296),2))&amp;" ")&amp;F2296)</f>
        <v/>
      </c>
      <c r="N2296" s="54">
        <f>IF(OR(A2296="",F2296=""),"",A2296&amp;"#"&amp;(COUNTIFS($A$5:$A$3004,A2296,$F$5:$F$3004,"?*",$O$5:$O$3004,"&lt;"&amp;O2296)+COUNTIFS($A$5:A2296,A2296,$F$5:F2296,"?*",$O$5:O2296,O2296)))</f>
        <v/>
      </c>
      <c r="O2296" s="54">
        <f>IF(A2296="","",IF(C2296="",0,C2296))</f>
        <v/>
      </c>
    </row>
    <row r="2297">
      <c r="A2297" s="58" t="n"/>
      <c r="B2297" s="49">
        <f>IF(A2297="","",CHOOSE(WEEKDAY(A2297,2),"Пн","Вт","Ср","Чт","Пт","Сб","Вс"))</f>
        <v/>
      </c>
      <c r="C2297" s="59" t="n"/>
      <c r="D2297" s="59" t="n"/>
      <c r="E2297" s="60">
        <f>IF(OR(C2297="",D2297=""),"",MOD(D2297-C2297,1)*24)</f>
        <v/>
      </c>
      <c r="F2297" s="50" t="n"/>
      <c r="G2297" s="51" t="n"/>
      <c r="H2297" s="51" t="n"/>
      <c r="I2297" s="51" t="n"/>
      <c r="J2297" s="51" t="n"/>
      <c r="K2297" s="51" t="n"/>
      <c r="L2297" s="54">
        <f>IF(OR(A2297="",C2297="",D2297=""),"",IF(COUNTIFS($A$5:$A$3004,A2297,$C$5:$C$3004,"&lt;"&amp;D2297,$D$5:$D$3004,"&gt;"&amp;C2297)&gt;1,"⚠️ пересечение",""))</f>
        <v/>
      </c>
      <c r="M2297" s="54">
        <f>IF(F2297="","",IF(J2297="✅ Сделано","✔ ",IF(J2297="❌ Пропущено","✖ ","⏰ "))&amp;IF(C2297="","",RIGHT("0"&amp;HOUR(C2297),2)&amp;":"&amp;RIGHT("0"&amp;MINUTE(C2297),2)&amp;IF(D2297="","","–"&amp;RIGHT("0"&amp;HOUR(D2297),2)&amp;":"&amp;RIGHT("0"&amp;MINUTE(D2297),2))&amp;" ")&amp;F2297)</f>
        <v/>
      </c>
      <c r="N2297" s="54">
        <f>IF(OR(A2297="",F2297=""),"",A2297&amp;"#"&amp;(COUNTIFS($A$5:$A$3004,A2297,$F$5:$F$3004,"?*",$O$5:$O$3004,"&lt;"&amp;O2297)+COUNTIFS($A$5:A2297,A2297,$F$5:F2297,"?*",$O$5:O2297,O2297)))</f>
        <v/>
      </c>
      <c r="O2297" s="54">
        <f>IF(A2297="","",IF(C2297="",0,C2297))</f>
        <v/>
      </c>
    </row>
    <row r="2298">
      <c r="A2298" s="58" t="n"/>
      <c r="B2298" s="49">
        <f>IF(A2298="","",CHOOSE(WEEKDAY(A2298,2),"Пн","Вт","Ср","Чт","Пт","Сб","Вс"))</f>
        <v/>
      </c>
      <c r="C2298" s="59" t="n"/>
      <c r="D2298" s="59" t="n"/>
      <c r="E2298" s="60">
        <f>IF(OR(C2298="",D2298=""),"",MOD(D2298-C2298,1)*24)</f>
        <v/>
      </c>
      <c r="F2298" s="50" t="n"/>
      <c r="G2298" s="51" t="n"/>
      <c r="H2298" s="51" t="n"/>
      <c r="I2298" s="51" t="n"/>
      <c r="J2298" s="51" t="n"/>
      <c r="K2298" s="51" t="n"/>
      <c r="L2298" s="54">
        <f>IF(OR(A2298="",C2298="",D2298=""),"",IF(COUNTIFS($A$5:$A$3004,A2298,$C$5:$C$3004,"&lt;"&amp;D2298,$D$5:$D$3004,"&gt;"&amp;C2298)&gt;1,"⚠️ пересечение",""))</f>
        <v/>
      </c>
      <c r="M2298" s="54">
        <f>IF(F2298="","",IF(J2298="✅ Сделано","✔ ",IF(J2298="❌ Пропущено","✖ ","⏰ "))&amp;IF(C2298="","",RIGHT("0"&amp;HOUR(C2298),2)&amp;":"&amp;RIGHT("0"&amp;MINUTE(C2298),2)&amp;IF(D2298="","","–"&amp;RIGHT("0"&amp;HOUR(D2298),2)&amp;":"&amp;RIGHT("0"&amp;MINUTE(D2298),2))&amp;" ")&amp;F2298)</f>
        <v/>
      </c>
      <c r="N2298" s="54">
        <f>IF(OR(A2298="",F2298=""),"",A2298&amp;"#"&amp;(COUNTIFS($A$5:$A$3004,A2298,$F$5:$F$3004,"?*",$O$5:$O$3004,"&lt;"&amp;O2298)+COUNTIFS($A$5:A2298,A2298,$F$5:F2298,"?*",$O$5:O2298,O2298)))</f>
        <v/>
      </c>
      <c r="O2298" s="54">
        <f>IF(A2298="","",IF(C2298="",0,C2298))</f>
        <v/>
      </c>
    </row>
    <row r="2299">
      <c r="A2299" s="58" t="n"/>
      <c r="B2299" s="49">
        <f>IF(A2299="","",CHOOSE(WEEKDAY(A2299,2),"Пн","Вт","Ср","Чт","Пт","Сб","Вс"))</f>
        <v/>
      </c>
      <c r="C2299" s="59" t="n"/>
      <c r="D2299" s="59" t="n"/>
      <c r="E2299" s="60">
        <f>IF(OR(C2299="",D2299=""),"",MOD(D2299-C2299,1)*24)</f>
        <v/>
      </c>
      <c r="F2299" s="50" t="n"/>
      <c r="G2299" s="51" t="n"/>
      <c r="H2299" s="51" t="n"/>
      <c r="I2299" s="51" t="n"/>
      <c r="J2299" s="51" t="n"/>
      <c r="K2299" s="51" t="n"/>
      <c r="L2299" s="54">
        <f>IF(OR(A2299="",C2299="",D2299=""),"",IF(COUNTIFS($A$5:$A$3004,A2299,$C$5:$C$3004,"&lt;"&amp;D2299,$D$5:$D$3004,"&gt;"&amp;C2299)&gt;1,"⚠️ пересечение",""))</f>
        <v/>
      </c>
      <c r="M2299" s="54">
        <f>IF(F2299="","",IF(J2299="✅ Сделано","✔ ",IF(J2299="❌ Пропущено","✖ ","⏰ "))&amp;IF(C2299="","",RIGHT("0"&amp;HOUR(C2299),2)&amp;":"&amp;RIGHT("0"&amp;MINUTE(C2299),2)&amp;IF(D2299="","","–"&amp;RIGHT("0"&amp;HOUR(D2299),2)&amp;":"&amp;RIGHT("0"&amp;MINUTE(D2299),2))&amp;" ")&amp;F2299)</f>
        <v/>
      </c>
      <c r="N2299" s="54">
        <f>IF(OR(A2299="",F2299=""),"",A2299&amp;"#"&amp;(COUNTIFS($A$5:$A$3004,A2299,$F$5:$F$3004,"?*",$O$5:$O$3004,"&lt;"&amp;O2299)+COUNTIFS($A$5:A2299,A2299,$F$5:F2299,"?*",$O$5:O2299,O2299)))</f>
        <v/>
      </c>
      <c r="O2299" s="54">
        <f>IF(A2299="","",IF(C2299="",0,C2299))</f>
        <v/>
      </c>
    </row>
    <row r="2300">
      <c r="A2300" s="58" t="n"/>
      <c r="B2300" s="49">
        <f>IF(A2300="","",CHOOSE(WEEKDAY(A2300,2),"Пн","Вт","Ср","Чт","Пт","Сб","Вс"))</f>
        <v/>
      </c>
      <c r="C2300" s="59" t="n"/>
      <c r="D2300" s="59" t="n"/>
      <c r="E2300" s="60">
        <f>IF(OR(C2300="",D2300=""),"",MOD(D2300-C2300,1)*24)</f>
        <v/>
      </c>
      <c r="F2300" s="50" t="n"/>
      <c r="G2300" s="51" t="n"/>
      <c r="H2300" s="51" t="n"/>
      <c r="I2300" s="51" t="n"/>
      <c r="J2300" s="51" t="n"/>
      <c r="K2300" s="51" t="n"/>
      <c r="L2300" s="54">
        <f>IF(OR(A2300="",C2300="",D2300=""),"",IF(COUNTIFS($A$5:$A$3004,A2300,$C$5:$C$3004,"&lt;"&amp;D2300,$D$5:$D$3004,"&gt;"&amp;C2300)&gt;1,"⚠️ пересечение",""))</f>
        <v/>
      </c>
      <c r="M2300" s="54">
        <f>IF(F2300="","",IF(J2300="✅ Сделано","✔ ",IF(J2300="❌ Пропущено","✖ ","⏰ "))&amp;IF(C2300="","",RIGHT("0"&amp;HOUR(C2300),2)&amp;":"&amp;RIGHT("0"&amp;MINUTE(C2300),2)&amp;IF(D2300="","","–"&amp;RIGHT("0"&amp;HOUR(D2300),2)&amp;":"&amp;RIGHT("0"&amp;MINUTE(D2300),2))&amp;" ")&amp;F2300)</f>
        <v/>
      </c>
      <c r="N2300" s="54">
        <f>IF(OR(A2300="",F2300=""),"",A2300&amp;"#"&amp;(COUNTIFS($A$5:$A$3004,A2300,$F$5:$F$3004,"?*",$O$5:$O$3004,"&lt;"&amp;O2300)+COUNTIFS($A$5:A2300,A2300,$F$5:F2300,"?*",$O$5:O2300,O2300)))</f>
        <v/>
      </c>
      <c r="O2300" s="54">
        <f>IF(A2300="","",IF(C2300="",0,C2300))</f>
        <v/>
      </c>
    </row>
    <row r="2301">
      <c r="A2301" s="58" t="n"/>
      <c r="B2301" s="49">
        <f>IF(A2301="","",CHOOSE(WEEKDAY(A2301,2),"Пн","Вт","Ср","Чт","Пт","Сб","Вс"))</f>
        <v/>
      </c>
      <c r="C2301" s="59" t="n"/>
      <c r="D2301" s="59" t="n"/>
      <c r="E2301" s="60">
        <f>IF(OR(C2301="",D2301=""),"",MOD(D2301-C2301,1)*24)</f>
        <v/>
      </c>
      <c r="F2301" s="50" t="n"/>
      <c r="G2301" s="51" t="n"/>
      <c r="H2301" s="51" t="n"/>
      <c r="I2301" s="51" t="n"/>
      <c r="J2301" s="51" t="n"/>
      <c r="K2301" s="51" t="n"/>
      <c r="L2301" s="54">
        <f>IF(OR(A2301="",C2301="",D2301=""),"",IF(COUNTIFS($A$5:$A$3004,A2301,$C$5:$C$3004,"&lt;"&amp;D2301,$D$5:$D$3004,"&gt;"&amp;C2301)&gt;1,"⚠️ пересечение",""))</f>
        <v/>
      </c>
      <c r="M2301" s="54">
        <f>IF(F2301="","",IF(J2301="✅ Сделано","✔ ",IF(J2301="❌ Пропущено","✖ ","⏰ "))&amp;IF(C2301="","",RIGHT("0"&amp;HOUR(C2301),2)&amp;":"&amp;RIGHT("0"&amp;MINUTE(C2301),2)&amp;IF(D2301="","","–"&amp;RIGHT("0"&amp;HOUR(D2301),2)&amp;":"&amp;RIGHT("0"&amp;MINUTE(D2301),2))&amp;" ")&amp;F2301)</f>
        <v/>
      </c>
      <c r="N2301" s="54">
        <f>IF(OR(A2301="",F2301=""),"",A2301&amp;"#"&amp;(COUNTIFS($A$5:$A$3004,A2301,$F$5:$F$3004,"?*",$O$5:$O$3004,"&lt;"&amp;O2301)+COUNTIFS($A$5:A2301,A2301,$F$5:F2301,"?*",$O$5:O2301,O2301)))</f>
        <v/>
      </c>
      <c r="O2301" s="54">
        <f>IF(A2301="","",IF(C2301="",0,C2301))</f>
        <v/>
      </c>
    </row>
    <row r="2302">
      <c r="A2302" s="58" t="n"/>
      <c r="B2302" s="49">
        <f>IF(A2302="","",CHOOSE(WEEKDAY(A2302,2),"Пн","Вт","Ср","Чт","Пт","Сб","Вс"))</f>
        <v/>
      </c>
      <c r="C2302" s="59" t="n"/>
      <c r="D2302" s="59" t="n"/>
      <c r="E2302" s="60">
        <f>IF(OR(C2302="",D2302=""),"",MOD(D2302-C2302,1)*24)</f>
        <v/>
      </c>
      <c r="F2302" s="50" t="n"/>
      <c r="G2302" s="51" t="n"/>
      <c r="H2302" s="51" t="n"/>
      <c r="I2302" s="51" t="n"/>
      <c r="J2302" s="51" t="n"/>
      <c r="K2302" s="51" t="n"/>
      <c r="L2302" s="54">
        <f>IF(OR(A2302="",C2302="",D2302=""),"",IF(COUNTIFS($A$5:$A$3004,A2302,$C$5:$C$3004,"&lt;"&amp;D2302,$D$5:$D$3004,"&gt;"&amp;C2302)&gt;1,"⚠️ пересечение",""))</f>
        <v/>
      </c>
      <c r="M2302" s="54">
        <f>IF(F2302="","",IF(J2302="✅ Сделано","✔ ",IF(J2302="❌ Пропущено","✖ ","⏰ "))&amp;IF(C2302="","",RIGHT("0"&amp;HOUR(C2302),2)&amp;":"&amp;RIGHT("0"&amp;MINUTE(C2302),2)&amp;IF(D2302="","","–"&amp;RIGHT("0"&amp;HOUR(D2302),2)&amp;":"&amp;RIGHT("0"&amp;MINUTE(D2302),2))&amp;" ")&amp;F2302)</f>
        <v/>
      </c>
      <c r="N2302" s="54">
        <f>IF(OR(A2302="",F2302=""),"",A2302&amp;"#"&amp;(COUNTIFS($A$5:$A$3004,A2302,$F$5:$F$3004,"?*",$O$5:$O$3004,"&lt;"&amp;O2302)+COUNTIFS($A$5:A2302,A2302,$F$5:F2302,"?*",$O$5:O2302,O2302)))</f>
        <v/>
      </c>
      <c r="O2302" s="54">
        <f>IF(A2302="","",IF(C2302="",0,C2302))</f>
        <v/>
      </c>
    </row>
    <row r="2303">
      <c r="A2303" s="58" t="n"/>
      <c r="B2303" s="49">
        <f>IF(A2303="","",CHOOSE(WEEKDAY(A2303,2),"Пн","Вт","Ср","Чт","Пт","Сб","Вс"))</f>
        <v/>
      </c>
      <c r="C2303" s="59" t="n"/>
      <c r="D2303" s="59" t="n"/>
      <c r="E2303" s="60">
        <f>IF(OR(C2303="",D2303=""),"",MOD(D2303-C2303,1)*24)</f>
        <v/>
      </c>
      <c r="F2303" s="50" t="n"/>
      <c r="G2303" s="51" t="n"/>
      <c r="H2303" s="51" t="n"/>
      <c r="I2303" s="51" t="n"/>
      <c r="J2303" s="51" t="n"/>
      <c r="K2303" s="51" t="n"/>
      <c r="L2303" s="54">
        <f>IF(OR(A2303="",C2303="",D2303=""),"",IF(COUNTIFS($A$5:$A$3004,A2303,$C$5:$C$3004,"&lt;"&amp;D2303,$D$5:$D$3004,"&gt;"&amp;C2303)&gt;1,"⚠️ пересечение",""))</f>
        <v/>
      </c>
      <c r="M2303" s="54">
        <f>IF(F2303="","",IF(J2303="✅ Сделано","✔ ",IF(J2303="❌ Пропущено","✖ ","⏰ "))&amp;IF(C2303="","",RIGHT("0"&amp;HOUR(C2303),2)&amp;":"&amp;RIGHT("0"&amp;MINUTE(C2303),2)&amp;IF(D2303="","","–"&amp;RIGHT("0"&amp;HOUR(D2303),2)&amp;":"&amp;RIGHT("0"&amp;MINUTE(D2303),2))&amp;" ")&amp;F2303)</f>
        <v/>
      </c>
      <c r="N2303" s="54">
        <f>IF(OR(A2303="",F2303=""),"",A2303&amp;"#"&amp;(COUNTIFS($A$5:$A$3004,A2303,$F$5:$F$3004,"?*",$O$5:$O$3004,"&lt;"&amp;O2303)+COUNTIFS($A$5:A2303,A2303,$F$5:F2303,"?*",$O$5:O2303,O2303)))</f>
        <v/>
      </c>
      <c r="O2303" s="54">
        <f>IF(A2303="","",IF(C2303="",0,C2303))</f>
        <v/>
      </c>
    </row>
    <row r="2304">
      <c r="A2304" s="58" t="n"/>
      <c r="B2304" s="49">
        <f>IF(A2304="","",CHOOSE(WEEKDAY(A2304,2),"Пн","Вт","Ср","Чт","Пт","Сб","Вс"))</f>
        <v/>
      </c>
      <c r="C2304" s="59" t="n"/>
      <c r="D2304" s="59" t="n"/>
      <c r="E2304" s="60">
        <f>IF(OR(C2304="",D2304=""),"",MOD(D2304-C2304,1)*24)</f>
        <v/>
      </c>
      <c r="F2304" s="50" t="n"/>
      <c r="G2304" s="51" t="n"/>
      <c r="H2304" s="51" t="n"/>
      <c r="I2304" s="51" t="n"/>
      <c r="J2304" s="51" t="n"/>
      <c r="K2304" s="51" t="n"/>
      <c r="L2304" s="54">
        <f>IF(OR(A2304="",C2304="",D2304=""),"",IF(COUNTIFS($A$5:$A$3004,A2304,$C$5:$C$3004,"&lt;"&amp;D2304,$D$5:$D$3004,"&gt;"&amp;C2304)&gt;1,"⚠️ пересечение",""))</f>
        <v/>
      </c>
      <c r="M2304" s="54">
        <f>IF(F2304="","",IF(J2304="✅ Сделано","✔ ",IF(J2304="❌ Пропущено","✖ ","⏰ "))&amp;IF(C2304="","",RIGHT("0"&amp;HOUR(C2304),2)&amp;":"&amp;RIGHT("0"&amp;MINUTE(C2304),2)&amp;IF(D2304="","","–"&amp;RIGHT("0"&amp;HOUR(D2304),2)&amp;":"&amp;RIGHT("0"&amp;MINUTE(D2304),2))&amp;" ")&amp;F2304)</f>
        <v/>
      </c>
      <c r="N2304" s="54">
        <f>IF(OR(A2304="",F2304=""),"",A2304&amp;"#"&amp;(COUNTIFS($A$5:$A$3004,A2304,$F$5:$F$3004,"?*",$O$5:$O$3004,"&lt;"&amp;O2304)+COUNTIFS($A$5:A2304,A2304,$F$5:F2304,"?*",$O$5:O2304,O2304)))</f>
        <v/>
      </c>
      <c r="O2304" s="54">
        <f>IF(A2304="","",IF(C2304="",0,C2304))</f>
        <v/>
      </c>
    </row>
    <row r="2305">
      <c r="A2305" s="58" t="n"/>
      <c r="B2305" s="49">
        <f>IF(A2305="","",CHOOSE(WEEKDAY(A2305,2),"Пн","Вт","Ср","Чт","Пт","Сб","Вс"))</f>
        <v/>
      </c>
      <c r="C2305" s="59" t="n"/>
      <c r="D2305" s="59" t="n"/>
      <c r="E2305" s="60">
        <f>IF(OR(C2305="",D2305=""),"",MOD(D2305-C2305,1)*24)</f>
        <v/>
      </c>
      <c r="F2305" s="50" t="n"/>
      <c r="G2305" s="51" t="n"/>
      <c r="H2305" s="51" t="n"/>
      <c r="I2305" s="51" t="n"/>
      <c r="J2305" s="51" t="n"/>
      <c r="K2305" s="51" t="n"/>
      <c r="L2305" s="54">
        <f>IF(OR(A2305="",C2305="",D2305=""),"",IF(COUNTIFS($A$5:$A$3004,A2305,$C$5:$C$3004,"&lt;"&amp;D2305,$D$5:$D$3004,"&gt;"&amp;C2305)&gt;1,"⚠️ пересечение",""))</f>
        <v/>
      </c>
      <c r="M2305" s="54">
        <f>IF(F2305="","",IF(J2305="✅ Сделано","✔ ",IF(J2305="❌ Пропущено","✖ ","⏰ "))&amp;IF(C2305="","",RIGHT("0"&amp;HOUR(C2305),2)&amp;":"&amp;RIGHT("0"&amp;MINUTE(C2305),2)&amp;IF(D2305="","","–"&amp;RIGHT("0"&amp;HOUR(D2305),2)&amp;":"&amp;RIGHT("0"&amp;MINUTE(D2305),2))&amp;" ")&amp;F2305)</f>
        <v/>
      </c>
      <c r="N2305" s="54">
        <f>IF(OR(A2305="",F2305=""),"",A2305&amp;"#"&amp;(COUNTIFS($A$5:$A$3004,A2305,$F$5:$F$3004,"?*",$O$5:$O$3004,"&lt;"&amp;O2305)+COUNTIFS($A$5:A2305,A2305,$F$5:F2305,"?*",$O$5:O2305,O2305)))</f>
        <v/>
      </c>
      <c r="O2305" s="54">
        <f>IF(A2305="","",IF(C2305="",0,C2305))</f>
        <v/>
      </c>
    </row>
    <row r="2306">
      <c r="A2306" s="58" t="n"/>
      <c r="B2306" s="49">
        <f>IF(A2306="","",CHOOSE(WEEKDAY(A2306,2),"Пн","Вт","Ср","Чт","Пт","Сб","Вс"))</f>
        <v/>
      </c>
      <c r="C2306" s="59" t="n"/>
      <c r="D2306" s="59" t="n"/>
      <c r="E2306" s="60">
        <f>IF(OR(C2306="",D2306=""),"",MOD(D2306-C2306,1)*24)</f>
        <v/>
      </c>
      <c r="F2306" s="50" t="n"/>
      <c r="G2306" s="51" t="n"/>
      <c r="H2306" s="51" t="n"/>
      <c r="I2306" s="51" t="n"/>
      <c r="J2306" s="51" t="n"/>
      <c r="K2306" s="51" t="n"/>
      <c r="L2306" s="54">
        <f>IF(OR(A2306="",C2306="",D2306=""),"",IF(COUNTIFS($A$5:$A$3004,A2306,$C$5:$C$3004,"&lt;"&amp;D2306,$D$5:$D$3004,"&gt;"&amp;C2306)&gt;1,"⚠️ пересечение",""))</f>
        <v/>
      </c>
      <c r="M2306" s="54">
        <f>IF(F2306="","",IF(J2306="✅ Сделано","✔ ",IF(J2306="❌ Пропущено","✖ ","⏰ "))&amp;IF(C2306="","",RIGHT("0"&amp;HOUR(C2306),2)&amp;":"&amp;RIGHT("0"&amp;MINUTE(C2306),2)&amp;IF(D2306="","","–"&amp;RIGHT("0"&amp;HOUR(D2306),2)&amp;":"&amp;RIGHT("0"&amp;MINUTE(D2306),2))&amp;" ")&amp;F2306)</f>
        <v/>
      </c>
      <c r="N2306" s="54">
        <f>IF(OR(A2306="",F2306=""),"",A2306&amp;"#"&amp;(COUNTIFS($A$5:$A$3004,A2306,$F$5:$F$3004,"?*",$O$5:$O$3004,"&lt;"&amp;O2306)+COUNTIFS($A$5:A2306,A2306,$F$5:F2306,"?*",$O$5:O2306,O2306)))</f>
        <v/>
      </c>
      <c r="O2306" s="54">
        <f>IF(A2306="","",IF(C2306="",0,C2306))</f>
        <v/>
      </c>
    </row>
    <row r="2307">
      <c r="A2307" s="58" t="n"/>
      <c r="B2307" s="49">
        <f>IF(A2307="","",CHOOSE(WEEKDAY(A2307,2),"Пн","Вт","Ср","Чт","Пт","Сб","Вс"))</f>
        <v/>
      </c>
      <c r="C2307" s="59" t="n"/>
      <c r="D2307" s="59" t="n"/>
      <c r="E2307" s="60">
        <f>IF(OR(C2307="",D2307=""),"",MOD(D2307-C2307,1)*24)</f>
        <v/>
      </c>
      <c r="F2307" s="50" t="n"/>
      <c r="G2307" s="51" t="n"/>
      <c r="H2307" s="51" t="n"/>
      <c r="I2307" s="51" t="n"/>
      <c r="J2307" s="51" t="n"/>
      <c r="K2307" s="51" t="n"/>
      <c r="L2307" s="54">
        <f>IF(OR(A2307="",C2307="",D2307=""),"",IF(COUNTIFS($A$5:$A$3004,A2307,$C$5:$C$3004,"&lt;"&amp;D2307,$D$5:$D$3004,"&gt;"&amp;C2307)&gt;1,"⚠️ пересечение",""))</f>
        <v/>
      </c>
      <c r="M2307" s="54">
        <f>IF(F2307="","",IF(J2307="✅ Сделано","✔ ",IF(J2307="❌ Пропущено","✖ ","⏰ "))&amp;IF(C2307="","",RIGHT("0"&amp;HOUR(C2307),2)&amp;":"&amp;RIGHT("0"&amp;MINUTE(C2307),2)&amp;IF(D2307="","","–"&amp;RIGHT("0"&amp;HOUR(D2307),2)&amp;":"&amp;RIGHT("0"&amp;MINUTE(D2307),2))&amp;" ")&amp;F2307)</f>
        <v/>
      </c>
      <c r="N2307" s="54">
        <f>IF(OR(A2307="",F2307=""),"",A2307&amp;"#"&amp;(COUNTIFS($A$5:$A$3004,A2307,$F$5:$F$3004,"?*",$O$5:$O$3004,"&lt;"&amp;O2307)+COUNTIFS($A$5:A2307,A2307,$F$5:F2307,"?*",$O$5:O2307,O2307)))</f>
        <v/>
      </c>
      <c r="O2307" s="54">
        <f>IF(A2307="","",IF(C2307="",0,C2307))</f>
        <v/>
      </c>
    </row>
    <row r="2308">
      <c r="A2308" s="58" t="n"/>
      <c r="B2308" s="49">
        <f>IF(A2308="","",CHOOSE(WEEKDAY(A2308,2),"Пн","Вт","Ср","Чт","Пт","Сб","Вс"))</f>
        <v/>
      </c>
      <c r="C2308" s="59" t="n"/>
      <c r="D2308" s="59" t="n"/>
      <c r="E2308" s="60">
        <f>IF(OR(C2308="",D2308=""),"",MOD(D2308-C2308,1)*24)</f>
        <v/>
      </c>
      <c r="F2308" s="50" t="n"/>
      <c r="G2308" s="51" t="n"/>
      <c r="H2308" s="51" t="n"/>
      <c r="I2308" s="51" t="n"/>
      <c r="J2308" s="51" t="n"/>
      <c r="K2308" s="51" t="n"/>
      <c r="L2308" s="54">
        <f>IF(OR(A2308="",C2308="",D2308=""),"",IF(COUNTIFS($A$5:$A$3004,A2308,$C$5:$C$3004,"&lt;"&amp;D2308,$D$5:$D$3004,"&gt;"&amp;C2308)&gt;1,"⚠️ пересечение",""))</f>
        <v/>
      </c>
      <c r="M2308" s="54">
        <f>IF(F2308="","",IF(J2308="✅ Сделано","✔ ",IF(J2308="❌ Пропущено","✖ ","⏰ "))&amp;IF(C2308="","",RIGHT("0"&amp;HOUR(C2308),2)&amp;":"&amp;RIGHT("0"&amp;MINUTE(C2308),2)&amp;IF(D2308="","","–"&amp;RIGHT("0"&amp;HOUR(D2308),2)&amp;":"&amp;RIGHT("0"&amp;MINUTE(D2308),2))&amp;" ")&amp;F2308)</f>
        <v/>
      </c>
      <c r="N2308" s="54">
        <f>IF(OR(A2308="",F2308=""),"",A2308&amp;"#"&amp;(COUNTIFS($A$5:$A$3004,A2308,$F$5:$F$3004,"?*",$O$5:$O$3004,"&lt;"&amp;O2308)+COUNTIFS($A$5:A2308,A2308,$F$5:F2308,"?*",$O$5:O2308,O2308)))</f>
        <v/>
      </c>
      <c r="O2308" s="54">
        <f>IF(A2308="","",IF(C2308="",0,C2308))</f>
        <v/>
      </c>
    </row>
    <row r="2309">
      <c r="A2309" s="58" t="n"/>
      <c r="B2309" s="49">
        <f>IF(A2309="","",CHOOSE(WEEKDAY(A2309,2),"Пн","Вт","Ср","Чт","Пт","Сб","Вс"))</f>
        <v/>
      </c>
      <c r="C2309" s="59" t="n"/>
      <c r="D2309" s="59" t="n"/>
      <c r="E2309" s="60">
        <f>IF(OR(C2309="",D2309=""),"",MOD(D2309-C2309,1)*24)</f>
        <v/>
      </c>
      <c r="F2309" s="50" t="n"/>
      <c r="G2309" s="51" t="n"/>
      <c r="H2309" s="51" t="n"/>
      <c r="I2309" s="51" t="n"/>
      <c r="J2309" s="51" t="n"/>
      <c r="K2309" s="51" t="n"/>
      <c r="L2309" s="54">
        <f>IF(OR(A2309="",C2309="",D2309=""),"",IF(COUNTIFS($A$5:$A$3004,A2309,$C$5:$C$3004,"&lt;"&amp;D2309,$D$5:$D$3004,"&gt;"&amp;C2309)&gt;1,"⚠️ пересечение",""))</f>
        <v/>
      </c>
      <c r="M2309" s="54">
        <f>IF(F2309="","",IF(J2309="✅ Сделано","✔ ",IF(J2309="❌ Пропущено","✖ ","⏰ "))&amp;IF(C2309="","",RIGHT("0"&amp;HOUR(C2309),2)&amp;":"&amp;RIGHT("0"&amp;MINUTE(C2309),2)&amp;IF(D2309="","","–"&amp;RIGHT("0"&amp;HOUR(D2309),2)&amp;":"&amp;RIGHT("0"&amp;MINUTE(D2309),2))&amp;" ")&amp;F2309)</f>
        <v/>
      </c>
      <c r="N2309" s="54">
        <f>IF(OR(A2309="",F2309=""),"",A2309&amp;"#"&amp;(COUNTIFS($A$5:$A$3004,A2309,$F$5:$F$3004,"?*",$O$5:$O$3004,"&lt;"&amp;O2309)+COUNTIFS($A$5:A2309,A2309,$F$5:F2309,"?*",$O$5:O2309,O2309)))</f>
        <v/>
      </c>
      <c r="O2309" s="54">
        <f>IF(A2309="","",IF(C2309="",0,C2309))</f>
        <v/>
      </c>
    </row>
    <row r="2310">
      <c r="A2310" s="58" t="n"/>
      <c r="B2310" s="49">
        <f>IF(A2310="","",CHOOSE(WEEKDAY(A2310,2),"Пн","Вт","Ср","Чт","Пт","Сб","Вс"))</f>
        <v/>
      </c>
      <c r="C2310" s="59" t="n"/>
      <c r="D2310" s="59" t="n"/>
      <c r="E2310" s="60">
        <f>IF(OR(C2310="",D2310=""),"",MOD(D2310-C2310,1)*24)</f>
        <v/>
      </c>
      <c r="F2310" s="50" t="n"/>
      <c r="G2310" s="51" t="n"/>
      <c r="H2310" s="51" t="n"/>
      <c r="I2310" s="51" t="n"/>
      <c r="J2310" s="51" t="n"/>
      <c r="K2310" s="51" t="n"/>
      <c r="L2310" s="54">
        <f>IF(OR(A2310="",C2310="",D2310=""),"",IF(COUNTIFS($A$5:$A$3004,A2310,$C$5:$C$3004,"&lt;"&amp;D2310,$D$5:$D$3004,"&gt;"&amp;C2310)&gt;1,"⚠️ пересечение",""))</f>
        <v/>
      </c>
      <c r="M2310" s="54">
        <f>IF(F2310="","",IF(J2310="✅ Сделано","✔ ",IF(J2310="❌ Пропущено","✖ ","⏰ "))&amp;IF(C2310="","",RIGHT("0"&amp;HOUR(C2310),2)&amp;":"&amp;RIGHT("0"&amp;MINUTE(C2310),2)&amp;IF(D2310="","","–"&amp;RIGHT("0"&amp;HOUR(D2310),2)&amp;":"&amp;RIGHT("0"&amp;MINUTE(D2310),2))&amp;" ")&amp;F2310)</f>
        <v/>
      </c>
      <c r="N2310" s="54">
        <f>IF(OR(A2310="",F2310=""),"",A2310&amp;"#"&amp;(COUNTIFS($A$5:$A$3004,A2310,$F$5:$F$3004,"?*",$O$5:$O$3004,"&lt;"&amp;O2310)+COUNTIFS($A$5:A2310,A2310,$F$5:F2310,"?*",$O$5:O2310,O2310)))</f>
        <v/>
      </c>
      <c r="O2310" s="54">
        <f>IF(A2310="","",IF(C2310="",0,C2310))</f>
        <v/>
      </c>
    </row>
    <row r="2311">
      <c r="A2311" s="58" t="n"/>
      <c r="B2311" s="49">
        <f>IF(A2311="","",CHOOSE(WEEKDAY(A2311,2),"Пн","Вт","Ср","Чт","Пт","Сб","Вс"))</f>
        <v/>
      </c>
      <c r="C2311" s="59" t="n"/>
      <c r="D2311" s="59" t="n"/>
      <c r="E2311" s="60">
        <f>IF(OR(C2311="",D2311=""),"",MOD(D2311-C2311,1)*24)</f>
        <v/>
      </c>
      <c r="F2311" s="50" t="n"/>
      <c r="G2311" s="51" t="n"/>
      <c r="H2311" s="51" t="n"/>
      <c r="I2311" s="51" t="n"/>
      <c r="J2311" s="51" t="n"/>
      <c r="K2311" s="51" t="n"/>
      <c r="L2311" s="54">
        <f>IF(OR(A2311="",C2311="",D2311=""),"",IF(COUNTIFS($A$5:$A$3004,A2311,$C$5:$C$3004,"&lt;"&amp;D2311,$D$5:$D$3004,"&gt;"&amp;C2311)&gt;1,"⚠️ пересечение",""))</f>
        <v/>
      </c>
      <c r="M2311" s="54">
        <f>IF(F2311="","",IF(J2311="✅ Сделано","✔ ",IF(J2311="❌ Пропущено","✖ ","⏰ "))&amp;IF(C2311="","",RIGHT("0"&amp;HOUR(C2311),2)&amp;":"&amp;RIGHT("0"&amp;MINUTE(C2311),2)&amp;IF(D2311="","","–"&amp;RIGHT("0"&amp;HOUR(D2311),2)&amp;":"&amp;RIGHT("0"&amp;MINUTE(D2311),2))&amp;" ")&amp;F2311)</f>
        <v/>
      </c>
      <c r="N2311" s="54">
        <f>IF(OR(A2311="",F2311=""),"",A2311&amp;"#"&amp;(COUNTIFS($A$5:$A$3004,A2311,$F$5:$F$3004,"?*",$O$5:$O$3004,"&lt;"&amp;O2311)+COUNTIFS($A$5:A2311,A2311,$F$5:F2311,"?*",$O$5:O2311,O2311)))</f>
        <v/>
      </c>
      <c r="O2311" s="54">
        <f>IF(A2311="","",IF(C2311="",0,C2311))</f>
        <v/>
      </c>
    </row>
    <row r="2312">
      <c r="A2312" s="58" t="n"/>
      <c r="B2312" s="49">
        <f>IF(A2312="","",CHOOSE(WEEKDAY(A2312,2),"Пн","Вт","Ср","Чт","Пт","Сб","Вс"))</f>
        <v/>
      </c>
      <c r="C2312" s="59" t="n"/>
      <c r="D2312" s="59" t="n"/>
      <c r="E2312" s="60">
        <f>IF(OR(C2312="",D2312=""),"",MOD(D2312-C2312,1)*24)</f>
        <v/>
      </c>
      <c r="F2312" s="50" t="n"/>
      <c r="G2312" s="51" t="n"/>
      <c r="H2312" s="51" t="n"/>
      <c r="I2312" s="51" t="n"/>
      <c r="J2312" s="51" t="n"/>
      <c r="K2312" s="51" t="n"/>
      <c r="L2312" s="54">
        <f>IF(OR(A2312="",C2312="",D2312=""),"",IF(COUNTIFS($A$5:$A$3004,A2312,$C$5:$C$3004,"&lt;"&amp;D2312,$D$5:$D$3004,"&gt;"&amp;C2312)&gt;1,"⚠️ пересечение",""))</f>
        <v/>
      </c>
      <c r="M2312" s="54">
        <f>IF(F2312="","",IF(J2312="✅ Сделано","✔ ",IF(J2312="❌ Пропущено","✖ ","⏰ "))&amp;IF(C2312="","",RIGHT("0"&amp;HOUR(C2312),2)&amp;":"&amp;RIGHT("0"&amp;MINUTE(C2312),2)&amp;IF(D2312="","","–"&amp;RIGHT("0"&amp;HOUR(D2312),2)&amp;":"&amp;RIGHT("0"&amp;MINUTE(D2312),2))&amp;" ")&amp;F2312)</f>
        <v/>
      </c>
      <c r="N2312" s="54">
        <f>IF(OR(A2312="",F2312=""),"",A2312&amp;"#"&amp;(COUNTIFS($A$5:$A$3004,A2312,$F$5:$F$3004,"?*",$O$5:$O$3004,"&lt;"&amp;O2312)+COUNTIFS($A$5:A2312,A2312,$F$5:F2312,"?*",$O$5:O2312,O2312)))</f>
        <v/>
      </c>
      <c r="O2312" s="54">
        <f>IF(A2312="","",IF(C2312="",0,C2312))</f>
        <v/>
      </c>
    </row>
    <row r="2313">
      <c r="A2313" s="58" t="n"/>
      <c r="B2313" s="49">
        <f>IF(A2313="","",CHOOSE(WEEKDAY(A2313,2),"Пн","Вт","Ср","Чт","Пт","Сб","Вс"))</f>
        <v/>
      </c>
      <c r="C2313" s="59" t="n"/>
      <c r="D2313" s="59" t="n"/>
      <c r="E2313" s="60">
        <f>IF(OR(C2313="",D2313=""),"",MOD(D2313-C2313,1)*24)</f>
        <v/>
      </c>
      <c r="F2313" s="50" t="n"/>
      <c r="G2313" s="51" t="n"/>
      <c r="H2313" s="51" t="n"/>
      <c r="I2313" s="51" t="n"/>
      <c r="J2313" s="51" t="n"/>
      <c r="K2313" s="51" t="n"/>
      <c r="L2313" s="54">
        <f>IF(OR(A2313="",C2313="",D2313=""),"",IF(COUNTIFS($A$5:$A$3004,A2313,$C$5:$C$3004,"&lt;"&amp;D2313,$D$5:$D$3004,"&gt;"&amp;C2313)&gt;1,"⚠️ пересечение",""))</f>
        <v/>
      </c>
      <c r="M2313" s="54">
        <f>IF(F2313="","",IF(J2313="✅ Сделано","✔ ",IF(J2313="❌ Пропущено","✖ ","⏰ "))&amp;IF(C2313="","",RIGHT("0"&amp;HOUR(C2313),2)&amp;":"&amp;RIGHT("0"&amp;MINUTE(C2313),2)&amp;IF(D2313="","","–"&amp;RIGHT("0"&amp;HOUR(D2313),2)&amp;":"&amp;RIGHT("0"&amp;MINUTE(D2313),2))&amp;" ")&amp;F2313)</f>
        <v/>
      </c>
      <c r="N2313" s="54">
        <f>IF(OR(A2313="",F2313=""),"",A2313&amp;"#"&amp;(COUNTIFS($A$5:$A$3004,A2313,$F$5:$F$3004,"?*",$O$5:$O$3004,"&lt;"&amp;O2313)+COUNTIFS($A$5:A2313,A2313,$F$5:F2313,"?*",$O$5:O2313,O2313)))</f>
        <v/>
      </c>
      <c r="O2313" s="54">
        <f>IF(A2313="","",IF(C2313="",0,C2313))</f>
        <v/>
      </c>
    </row>
    <row r="2314">
      <c r="A2314" s="58" t="n"/>
      <c r="B2314" s="49">
        <f>IF(A2314="","",CHOOSE(WEEKDAY(A2314,2),"Пн","Вт","Ср","Чт","Пт","Сб","Вс"))</f>
        <v/>
      </c>
      <c r="C2314" s="59" t="n"/>
      <c r="D2314" s="59" t="n"/>
      <c r="E2314" s="60">
        <f>IF(OR(C2314="",D2314=""),"",MOD(D2314-C2314,1)*24)</f>
        <v/>
      </c>
      <c r="F2314" s="50" t="n"/>
      <c r="G2314" s="51" t="n"/>
      <c r="H2314" s="51" t="n"/>
      <c r="I2314" s="51" t="n"/>
      <c r="J2314" s="51" t="n"/>
      <c r="K2314" s="51" t="n"/>
      <c r="L2314" s="54">
        <f>IF(OR(A2314="",C2314="",D2314=""),"",IF(COUNTIFS($A$5:$A$3004,A2314,$C$5:$C$3004,"&lt;"&amp;D2314,$D$5:$D$3004,"&gt;"&amp;C2314)&gt;1,"⚠️ пересечение",""))</f>
        <v/>
      </c>
      <c r="M2314" s="54">
        <f>IF(F2314="","",IF(J2314="✅ Сделано","✔ ",IF(J2314="❌ Пропущено","✖ ","⏰ "))&amp;IF(C2314="","",RIGHT("0"&amp;HOUR(C2314),2)&amp;":"&amp;RIGHT("0"&amp;MINUTE(C2314),2)&amp;IF(D2314="","","–"&amp;RIGHT("0"&amp;HOUR(D2314),2)&amp;":"&amp;RIGHT("0"&amp;MINUTE(D2314),2))&amp;" ")&amp;F2314)</f>
        <v/>
      </c>
      <c r="N2314" s="54">
        <f>IF(OR(A2314="",F2314=""),"",A2314&amp;"#"&amp;(COUNTIFS($A$5:$A$3004,A2314,$F$5:$F$3004,"?*",$O$5:$O$3004,"&lt;"&amp;O2314)+COUNTIFS($A$5:A2314,A2314,$F$5:F2314,"?*",$O$5:O2314,O2314)))</f>
        <v/>
      </c>
      <c r="O2314" s="54">
        <f>IF(A2314="","",IF(C2314="",0,C2314))</f>
        <v/>
      </c>
    </row>
    <row r="2315">
      <c r="A2315" s="58" t="n"/>
      <c r="B2315" s="49">
        <f>IF(A2315="","",CHOOSE(WEEKDAY(A2315,2),"Пн","Вт","Ср","Чт","Пт","Сб","Вс"))</f>
        <v/>
      </c>
      <c r="C2315" s="59" t="n"/>
      <c r="D2315" s="59" t="n"/>
      <c r="E2315" s="60">
        <f>IF(OR(C2315="",D2315=""),"",MOD(D2315-C2315,1)*24)</f>
        <v/>
      </c>
      <c r="F2315" s="50" t="n"/>
      <c r="G2315" s="51" t="n"/>
      <c r="H2315" s="51" t="n"/>
      <c r="I2315" s="51" t="n"/>
      <c r="J2315" s="51" t="n"/>
      <c r="K2315" s="51" t="n"/>
      <c r="L2315" s="54">
        <f>IF(OR(A2315="",C2315="",D2315=""),"",IF(COUNTIFS($A$5:$A$3004,A2315,$C$5:$C$3004,"&lt;"&amp;D2315,$D$5:$D$3004,"&gt;"&amp;C2315)&gt;1,"⚠️ пересечение",""))</f>
        <v/>
      </c>
      <c r="M2315" s="54">
        <f>IF(F2315="","",IF(J2315="✅ Сделано","✔ ",IF(J2315="❌ Пропущено","✖ ","⏰ "))&amp;IF(C2315="","",RIGHT("0"&amp;HOUR(C2315),2)&amp;":"&amp;RIGHT("0"&amp;MINUTE(C2315),2)&amp;IF(D2315="","","–"&amp;RIGHT("0"&amp;HOUR(D2315),2)&amp;":"&amp;RIGHT("0"&amp;MINUTE(D2315),2))&amp;" ")&amp;F2315)</f>
        <v/>
      </c>
      <c r="N2315" s="54">
        <f>IF(OR(A2315="",F2315=""),"",A2315&amp;"#"&amp;(COUNTIFS($A$5:$A$3004,A2315,$F$5:$F$3004,"?*",$O$5:$O$3004,"&lt;"&amp;O2315)+COUNTIFS($A$5:A2315,A2315,$F$5:F2315,"?*",$O$5:O2315,O2315)))</f>
        <v/>
      </c>
      <c r="O2315" s="54">
        <f>IF(A2315="","",IF(C2315="",0,C2315))</f>
        <v/>
      </c>
    </row>
    <row r="2316">
      <c r="A2316" s="58" t="n"/>
      <c r="B2316" s="49">
        <f>IF(A2316="","",CHOOSE(WEEKDAY(A2316,2),"Пн","Вт","Ср","Чт","Пт","Сб","Вс"))</f>
        <v/>
      </c>
      <c r="C2316" s="59" t="n"/>
      <c r="D2316" s="59" t="n"/>
      <c r="E2316" s="60">
        <f>IF(OR(C2316="",D2316=""),"",MOD(D2316-C2316,1)*24)</f>
        <v/>
      </c>
      <c r="F2316" s="50" t="n"/>
      <c r="G2316" s="51" t="n"/>
      <c r="H2316" s="51" t="n"/>
      <c r="I2316" s="51" t="n"/>
      <c r="J2316" s="51" t="n"/>
      <c r="K2316" s="51" t="n"/>
      <c r="L2316" s="54">
        <f>IF(OR(A2316="",C2316="",D2316=""),"",IF(COUNTIFS($A$5:$A$3004,A2316,$C$5:$C$3004,"&lt;"&amp;D2316,$D$5:$D$3004,"&gt;"&amp;C2316)&gt;1,"⚠️ пересечение",""))</f>
        <v/>
      </c>
      <c r="M2316" s="54">
        <f>IF(F2316="","",IF(J2316="✅ Сделано","✔ ",IF(J2316="❌ Пропущено","✖ ","⏰ "))&amp;IF(C2316="","",RIGHT("0"&amp;HOUR(C2316),2)&amp;":"&amp;RIGHT("0"&amp;MINUTE(C2316),2)&amp;IF(D2316="","","–"&amp;RIGHT("0"&amp;HOUR(D2316),2)&amp;":"&amp;RIGHT("0"&amp;MINUTE(D2316),2))&amp;" ")&amp;F2316)</f>
        <v/>
      </c>
      <c r="N2316" s="54">
        <f>IF(OR(A2316="",F2316=""),"",A2316&amp;"#"&amp;(COUNTIFS($A$5:$A$3004,A2316,$F$5:$F$3004,"?*",$O$5:$O$3004,"&lt;"&amp;O2316)+COUNTIFS($A$5:A2316,A2316,$F$5:F2316,"?*",$O$5:O2316,O2316)))</f>
        <v/>
      </c>
      <c r="O2316" s="54">
        <f>IF(A2316="","",IF(C2316="",0,C2316))</f>
        <v/>
      </c>
    </row>
    <row r="2317">
      <c r="A2317" s="58" t="n"/>
      <c r="B2317" s="49">
        <f>IF(A2317="","",CHOOSE(WEEKDAY(A2317,2),"Пн","Вт","Ср","Чт","Пт","Сб","Вс"))</f>
        <v/>
      </c>
      <c r="C2317" s="59" t="n"/>
      <c r="D2317" s="59" t="n"/>
      <c r="E2317" s="60">
        <f>IF(OR(C2317="",D2317=""),"",MOD(D2317-C2317,1)*24)</f>
        <v/>
      </c>
      <c r="F2317" s="50" t="n"/>
      <c r="G2317" s="51" t="n"/>
      <c r="H2317" s="51" t="n"/>
      <c r="I2317" s="51" t="n"/>
      <c r="J2317" s="51" t="n"/>
      <c r="K2317" s="51" t="n"/>
      <c r="L2317" s="54">
        <f>IF(OR(A2317="",C2317="",D2317=""),"",IF(COUNTIFS($A$5:$A$3004,A2317,$C$5:$C$3004,"&lt;"&amp;D2317,$D$5:$D$3004,"&gt;"&amp;C2317)&gt;1,"⚠️ пересечение",""))</f>
        <v/>
      </c>
      <c r="M2317" s="54">
        <f>IF(F2317="","",IF(J2317="✅ Сделано","✔ ",IF(J2317="❌ Пропущено","✖ ","⏰ "))&amp;IF(C2317="","",RIGHT("0"&amp;HOUR(C2317),2)&amp;":"&amp;RIGHT("0"&amp;MINUTE(C2317),2)&amp;IF(D2317="","","–"&amp;RIGHT("0"&amp;HOUR(D2317),2)&amp;":"&amp;RIGHT("0"&amp;MINUTE(D2317),2))&amp;" ")&amp;F2317)</f>
        <v/>
      </c>
      <c r="N2317" s="54">
        <f>IF(OR(A2317="",F2317=""),"",A2317&amp;"#"&amp;(COUNTIFS($A$5:$A$3004,A2317,$F$5:$F$3004,"?*",$O$5:$O$3004,"&lt;"&amp;O2317)+COUNTIFS($A$5:A2317,A2317,$F$5:F2317,"?*",$O$5:O2317,O2317)))</f>
        <v/>
      </c>
      <c r="O2317" s="54">
        <f>IF(A2317="","",IF(C2317="",0,C2317))</f>
        <v/>
      </c>
    </row>
    <row r="2318">
      <c r="A2318" s="58" t="n"/>
      <c r="B2318" s="49">
        <f>IF(A2318="","",CHOOSE(WEEKDAY(A2318,2),"Пн","Вт","Ср","Чт","Пт","Сб","Вс"))</f>
        <v/>
      </c>
      <c r="C2318" s="59" t="n"/>
      <c r="D2318" s="59" t="n"/>
      <c r="E2318" s="60">
        <f>IF(OR(C2318="",D2318=""),"",MOD(D2318-C2318,1)*24)</f>
        <v/>
      </c>
      <c r="F2318" s="50" t="n"/>
      <c r="G2318" s="51" t="n"/>
      <c r="H2318" s="51" t="n"/>
      <c r="I2318" s="51" t="n"/>
      <c r="J2318" s="51" t="n"/>
      <c r="K2318" s="51" t="n"/>
      <c r="L2318" s="54">
        <f>IF(OR(A2318="",C2318="",D2318=""),"",IF(COUNTIFS($A$5:$A$3004,A2318,$C$5:$C$3004,"&lt;"&amp;D2318,$D$5:$D$3004,"&gt;"&amp;C2318)&gt;1,"⚠️ пересечение",""))</f>
        <v/>
      </c>
      <c r="M2318" s="54">
        <f>IF(F2318="","",IF(J2318="✅ Сделано","✔ ",IF(J2318="❌ Пропущено","✖ ","⏰ "))&amp;IF(C2318="","",RIGHT("0"&amp;HOUR(C2318),2)&amp;":"&amp;RIGHT("0"&amp;MINUTE(C2318),2)&amp;IF(D2318="","","–"&amp;RIGHT("0"&amp;HOUR(D2318),2)&amp;":"&amp;RIGHT("0"&amp;MINUTE(D2318),2))&amp;" ")&amp;F2318)</f>
        <v/>
      </c>
      <c r="N2318" s="54">
        <f>IF(OR(A2318="",F2318=""),"",A2318&amp;"#"&amp;(COUNTIFS($A$5:$A$3004,A2318,$F$5:$F$3004,"?*",$O$5:$O$3004,"&lt;"&amp;O2318)+COUNTIFS($A$5:A2318,A2318,$F$5:F2318,"?*",$O$5:O2318,O2318)))</f>
        <v/>
      </c>
      <c r="O2318" s="54">
        <f>IF(A2318="","",IF(C2318="",0,C2318))</f>
        <v/>
      </c>
    </row>
    <row r="2319">
      <c r="A2319" s="58" t="n"/>
      <c r="B2319" s="49">
        <f>IF(A2319="","",CHOOSE(WEEKDAY(A2319,2),"Пн","Вт","Ср","Чт","Пт","Сб","Вс"))</f>
        <v/>
      </c>
      <c r="C2319" s="59" t="n"/>
      <c r="D2319" s="59" t="n"/>
      <c r="E2319" s="60">
        <f>IF(OR(C2319="",D2319=""),"",MOD(D2319-C2319,1)*24)</f>
        <v/>
      </c>
      <c r="F2319" s="50" t="n"/>
      <c r="G2319" s="51" t="n"/>
      <c r="H2319" s="51" t="n"/>
      <c r="I2319" s="51" t="n"/>
      <c r="J2319" s="51" t="n"/>
      <c r="K2319" s="51" t="n"/>
      <c r="L2319" s="54">
        <f>IF(OR(A2319="",C2319="",D2319=""),"",IF(COUNTIFS($A$5:$A$3004,A2319,$C$5:$C$3004,"&lt;"&amp;D2319,$D$5:$D$3004,"&gt;"&amp;C2319)&gt;1,"⚠️ пересечение",""))</f>
        <v/>
      </c>
      <c r="M2319" s="54">
        <f>IF(F2319="","",IF(J2319="✅ Сделано","✔ ",IF(J2319="❌ Пропущено","✖ ","⏰ "))&amp;IF(C2319="","",RIGHT("0"&amp;HOUR(C2319),2)&amp;":"&amp;RIGHT("0"&amp;MINUTE(C2319),2)&amp;IF(D2319="","","–"&amp;RIGHT("0"&amp;HOUR(D2319),2)&amp;":"&amp;RIGHT("0"&amp;MINUTE(D2319),2))&amp;" ")&amp;F2319)</f>
        <v/>
      </c>
      <c r="N2319" s="54">
        <f>IF(OR(A2319="",F2319=""),"",A2319&amp;"#"&amp;(COUNTIFS($A$5:$A$3004,A2319,$F$5:$F$3004,"?*",$O$5:$O$3004,"&lt;"&amp;O2319)+COUNTIFS($A$5:A2319,A2319,$F$5:F2319,"?*",$O$5:O2319,O2319)))</f>
        <v/>
      </c>
      <c r="O2319" s="54">
        <f>IF(A2319="","",IF(C2319="",0,C2319))</f>
        <v/>
      </c>
    </row>
    <row r="2320">
      <c r="A2320" s="58" t="n"/>
      <c r="B2320" s="49">
        <f>IF(A2320="","",CHOOSE(WEEKDAY(A2320,2),"Пн","Вт","Ср","Чт","Пт","Сб","Вс"))</f>
        <v/>
      </c>
      <c r="C2320" s="59" t="n"/>
      <c r="D2320" s="59" t="n"/>
      <c r="E2320" s="60">
        <f>IF(OR(C2320="",D2320=""),"",MOD(D2320-C2320,1)*24)</f>
        <v/>
      </c>
      <c r="F2320" s="50" t="n"/>
      <c r="G2320" s="51" t="n"/>
      <c r="H2320" s="51" t="n"/>
      <c r="I2320" s="51" t="n"/>
      <c r="J2320" s="51" t="n"/>
      <c r="K2320" s="51" t="n"/>
      <c r="L2320" s="54">
        <f>IF(OR(A2320="",C2320="",D2320=""),"",IF(COUNTIFS($A$5:$A$3004,A2320,$C$5:$C$3004,"&lt;"&amp;D2320,$D$5:$D$3004,"&gt;"&amp;C2320)&gt;1,"⚠️ пересечение",""))</f>
        <v/>
      </c>
      <c r="M2320" s="54">
        <f>IF(F2320="","",IF(J2320="✅ Сделано","✔ ",IF(J2320="❌ Пропущено","✖ ","⏰ "))&amp;IF(C2320="","",RIGHT("0"&amp;HOUR(C2320),2)&amp;":"&amp;RIGHT("0"&amp;MINUTE(C2320),2)&amp;IF(D2320="","","–"&amp;RIGHT("0"&amp;HOUR(D2320),2)&amp;":"&amp;RIGHT("0"&amp;MINUTE(D2320),2))&amp;" ")&amp;F2320)</f>
        <v/>
      </c>
      <c r="N2320" s="54">
        <f>IF(OR(A2320="",F2320=""),"",A2320&amp;"#"&amp;(COUNTIFS($A$5:$A$3004,A2320,$F$5:$F$3004,"?*",$O$5:$O$3004,"&lt;"&amp;O2320)+COUNTIFS($A$5:A2320,A2320,$F$5:F2320,"?*",$O$5:O2320,O2320)))</f>
        <v/>
      </c>
      <c r="O2320" s="54">
        <f>IF(A2320="","",IF(C2320="",0,C2320))</f>
        <v/>
      </c>
    </row>
    <row r="2321">
      <c r="A2321" s="58" t="n"/>
      <c r="B2321" s="49">
        <f>IF(A2321="","",CHOOSE(WEEKDAY(A2321,2),"Пн","Вт","Ср","Чт","Пт","Сб","Вс"))</f>
        <v/>
      </c>
      <c r="C2321" s="59" t="n"/>
      <c r="D2321" s="59" t="n"/>
      <c r="E2321" s="60">
        <f>IF(OR(C2321="",D2321=""),"",MOD(D2321-C2321,1)*24)</f>
        <v/>
      </c>
      <c r="F2321" s="50" t="n"/>
      <c r="G2321" s="51" t="n"/>
      <c r="H2321" s="51" t="n"/>
      <c r="I2321" s="51" t="n"/>
      <c r="J2321" s="51" t="n"/>
      <c r="K2321" s="51" t="n"/>
      <c r="L2321" s="54">
        <f>IF(OR(A2321="",C2321="",D2321=""),"",IF(COUNTIFS($A$5:$A$3004,A2321,$C$5:$C$3004,"&lt;"&amp;D2321,$D$5:$D$3004,"&gt;"&amp;C2321)&gt;1,"⚠️ пересечение",""))</f>
        <v/>
      </c>
      <c r="M2321" s="54">
        <f>IF(F2321="","",IF(J2321="✅ Сделано","✔ ",IF(J2321="❌ Пропущено","✖ ","⏰ "))&amp;IF(C2321="","",RIGHT("0"&amp;HOUR(C2321),2)&amp;":"&amp;RIGHT("0"&amp;MINUTE(C2321),2)&amp;IF(D2321="","","–"&amp;RIGHT("0"&amp;HOUR(D2321),2)&amp;":"&amp;RIGHT("0"&amp;MINUTE(D2321),2))&amp;" ")&amp;F2321)</f>
        <v/>
      </c>
      <c r="N2321" s="54">
        <f>IF(OR(A2321="",F2321=""),"",A2321&amp;"#"&amp;(COUNTIFS($A$5:$A$3004,A2321,$F$5:$F$3004,"?*",$O$5:$O$3004,"&lt;"&amp;O2321)+COUNTIFS($A$5:A2321,A2321,$F$5:F2321,"?*",$O$5:O2321,O2321)))</f>
        <v/>
      </c>
      <c r="O2321" s="54">
        <f>IF(A2321="","",IF(C2321="",0,C2321))</f>
        <v/>
      </c>
    </row>
    <row r="2322">
      <c r="A2322" s="58" t="n"/>
      <c r="B2322" s="49">
        <f>IF(A2322="","",CHOOSE(WEEKDAY(A2322,2),"Пн","Вт","Ср","Чт","Пт","Сб","Вс"))</f>
        <v/>
      </c>
      <c r="C2322" s="59" t="n"/>
      <c r="D2322" s="59" t="n"/>
      <c r="E2322" s="60">
        <f>IF(OR(C2322="",D2322=""),"",MOD(D2322-C2322,1)*24)</f>
        <v/>
      </c>
      <c r="F2322" s="50" t="n"/>
      <c r="G2322" s="51" t="n"/>
      <c r="H2322" s="51" t="n"/>
      <c r="I2322" s="51" t="n"/>
      <c r="J2322" s="51" t="n"/>
      <c r="K2322" s="51" t="n"/>
      <c r="L2322" s="54">
        <f>IF(OR(A2322="",C2322="",D2322=""),"",IF(COUNTIFS($A$5:$A$3004,A2322,$C$5:$C$3004,"&lt;"&amp;D2322,$D$5:$D$3004,"&gt;"&amp;C2322)&gt;1,"⚠️ пересечение",""))</f>
        <v/>
      </c>
      <c r="M2322" s="54">
        <f>IF(F2322="","",IF(J2322="✅ Сделано","✔ ",IF(J2322="❌ Пропущено","✖ ","⏰ "))&amp;IF(C2322="","",RIGHT("0"&amp;HOUR(C2322),2)&amp;":"&amp;RIGHT("0"&amp;MINUTE(C2322),2)&amp;IF(D2322="","","–"&amp;RIGHT("0"&amp;HOUR(D2322),2)&amp;":"&amp;RIGHT("0"&amp;MINUTE(D2322),2))&amp;" ")&amp;F2322)</f>
        <v/>
      </c>
      <c r="N2322" s="54">
        <f>IF(OR(A2322="",F2322=""),"",A2322&amp;"#"&amp;(COUNTIFS($A$5:$A$3004,A2322,$F$5:$F$3004,"?*",$O$5:$O$3004,"&lt;"&amp;O2322)+COUNTIFS($A$5:A2322,A2322,$F$5:F2322,"?*",$O$5:O2322,O2322)))</f>
        <v/>
      </c>
      <c r="O2322" s="54">
        <f>IF(A2322="","",IF(C2322="",0,C2322))</f>
        <v/>
      </c>
    </row>
    <row r="2323">
      <c r="A2323" s="58" t="n"/>
      <c r="B2323" s="49">
        <f>IF(A2323="","",CHOOSE(WEEKDAY(A2323,2),"Пн","Вт","Ср","Чт","Пт","Сб","Вс"))</f>
        <v/>
      </c>
      <c r="C2323" s="59" t="n"/>
      <c r="D2323" s="59" t="n"/>
      <c r="E2323" s="60">
        <f>IF(OR(C2323="",D2323=""),"",MOD(D2323-C2323,1)*24)</f>
        <v/>
      </c>
      <c r="F2323" s="50" t="n"/>
      <c r="G2323" s="51" t="n"/>
      <c r="H2323" s="51" t="n"/>
      <c r="I2323" s="51" t="n"/>
      <c r="J2323" s="51" t="n"/>
      <c r="K2323" s="51" t="n"/>
      <c r="L2323" s="54">
        <f>IF(OR(A2323="",C2323="",D2323=""),"",IF(COUNTIFS($A$5:$A$3004,A2323,$C$5:$C$3004,"&lt;"&amp;D2323,$D$5:$D$3004,"&gt;"&amp;C2323)&gt;1,"⚠️ пересечение",""))</f>
        <v/>
      </c>
      <c r="M2323" s="54">
        <f>IF(F2323="","",IF(J2323="✅ Сделано","✔ ",IF(J2323="❌ Пропущено","✖ ","⏰ "))&amp;IF(C2323="","",RIGHT("0"&amp;HOUR(C2323),2)&amp;":"&amp;RIGHT("0"&amp;MINUTE(C2323),2)&amp;IF(D2323="","","–"&amp;RIGHT("0"&amp;HOUR(D2323),2)&amp;":"&amp;RIGHT("0"&amp;MINUTE(D2323),2))&amp;" ")&amp;F2323)</f>
        <v/>
      </c>
      <c r="N2323" s="54">
        <f>IF(OR(A2323="",F2323=""),"",A2323&amp;"#"&amp;(COUNTIFS($A$5:$A$3004,A2323,$F$5:$F$3004,"?*",$O$5:$O$3004,"&lt;"&amp;O2323)+COUNTIFS($A$5:A2323,A2323,$F$5:F2323,"?*",$O$5:O2323,O2323)))</f>
        <v/>
      </c>
      <c r="O2323" s="54">
        <f>IF(A2323="","",IF(C2323="",0,C2323))</f>
        <v/>
      </c>
    </row>
    <row r="2324">
      <c r="A2324" s="58" t="n"/>
      <c r="B2324" s="49">
        <f>IF(A2324="","",CHOOSE(WEEKDAY(A2324,2),"Пн","Вт","Ср","Чт","Пт","Сб","Вс"))</f>
        <v/>
      </c>
      <c r="C2324" s="59" t="n"/>
      <c r="D2324" s="59" t="n"/>
      <c r="E2324" s="60">
        <f>IF(OR(C2324="",D2324=""),"",MOD(D2324-C2324,1)*24)</f>
        <v/>
      </c>
      <c r="F2324" s="50" t="n"/>
      <c r="G2324" s="51" t="n"/>
      <c r="H2324" s="51" t="n"/>
      <c r="I2324" s="51" t="n"/>
      <c r="J2324" s="51" t="n"/>
      <c r="K2324" s="51" t="n"/>
      <c r="L2324" s="54">
        <f>IF(OR(A2324="",C2324="",D2324=""),"",IF(COUNTIFS($A$5:$A$3004,A2324,$C$5:$C$3004,"&lt;"&amp;D2324,$D$5:$D$3004,"&gt;"&amp;C2324)&gt;1,"⚠️ пересечение",""))</f>
        <v/>
      </c>
      <c r="M2324" s="54">
        <f>IF(F2324="","",IF(J2324="✅ Сделано","✔ ",IF(J2324="❌ Пропущено","✖ ","⏰ "))&amp;IF(C2324="","",RIGHT("0"&amp;HOUR(C2324),2)&amp;":"&amp;RIGHT("0"&amp;MINUTE(C2324),2)&amp;IF(D2324="","","–"&amp;RIGHT("0"&amp;HOUR(D2324),2)&amp;":"&amp;RIGHT("0"&amp;MINUTE(D2324),2))&amp;" ")&amp;F2324)</f>
        <v/>
      </c>
      <c r="N2324" s="54">
        <f>IF(OR(A2324="",F2324=""),"",A2324&amp;"#"&amp;(COUNTIFS($A$5:$A$3004,A2324,$F$5:$F$3004,"?*",$O$5:$O$3004,"&lt;"&amp;O2324)+COUNTIFS($A$5:A2324,A2324,$F$5:F2324,"?*",$O$5:O2324,O2324)))</f>
        <v/>
      </c>
      <c r="O2324" s="54">
        <f>IF(A2324="","",IF(C2324="",0,C2324))</f>
        <v/>
      </c>
    </row>
    <row r="2325">
      <c r="A2325" s="58" t="n"/>
      <c r="B2325" s="49">
        <f>IF(A2325="","",CHOOSE(WEEKDAY(A2325,2),"Пн","Вт","Ср","Чт","Пт","Сб","Вс"))</f>
        <v/>
      </c>
      <c r="C2325" s="59" t="n"/>
      <c r="D2325" s="59" t="n"/>
      <c r="E2325" s="60">
        <f>IF(OR(C2325="",D2325=""),"",MOD(D2325-C2325,1)*24)</f>
        <v/>
      </c>
      <c r="F2325" s="50" t="n"/>
      <c r="G2325" s="51" t="n"/>
      <c r="H2325" s="51" t="n"/>
      <c r="I2325" s="51" t="n"/>
      <c r="J2325" s="51" t="n"/>
      <c r="K2325" s="51" t="n"/>
      <c r="L2325" s="54">
        <f>IF(OR(A2325="",C2325="",D2325=""),"",IF(COUNTIFS($A$5:$A$3004,A2325,$C$5:$C$3004,"&lt;"&amp;D2325,$D$5:$D$3004,"&gt;"&amp;C2325)&gt;1,"⚠️ пересечение",""))</f>
        <v/>
      </c>
      <c r="M2325" s="54">
        <f>IF(F2325="","",IF(J2325="✅ Сделано","✔ ",IF(J2325="❌ Пропущено","✖ ","⏰ "))&amp;IF(C2325="","",RIGHT("0"&amp;HOUR(C2325),2)&amp;":"&amp;RIGHT("0"&amp;MINUTE(C2325),2)&amp;IF(D2325="","","–"&amp;RIGHT("0"&amp;HOUR(D2325),2)&amp;":"&amp;RIGHT("0"&amp;MINUTE(D2325),2))&amp;" ")&amp;F2325)</f>
        <v/>
      </c>
      <c r="N2325" s="54">
        <f>IF(OR(A2325="",F2325=""),"",A2325&amp;"#"&amp;(COUNTIFS($A$5:$A$3004,A2325,$F$5:$F$3004,"?*",$O$5:$O$3004,"&lt;"&amp;O2325)+COUNTIFS($A$5:A2325,A2325,$F$5:F2325,"?*",$O$5:O2325,O2325)))</f>
        <v/>
      </c>
      <c r="O2325" s="54">
        <f>IF(A2325="","",IF(C2325="",0,C2325))</f>
        <v/>
      </c>
    </row>
    <row r="2326">
      <c r="A2326" s="58" t="n"/>
      <c r="B2326" s="49">
        <f>IF(A2326="","",CHOOSE(WEEKDAY(A2326,2),"Пн","Вт","Ср","Чт","Пт","Сб","Вс"))</f>
        <v/>
      </c>
      <c r="C2326" s="59" t="n"/>
      <c r="D2326" s="59" t="n"/>
      <c r="E2326" s="60">
        <f>IF(OR(C2326="",D2326=""),"",MOD(D2326-C2326,1)*24)</f>
        <v/>
      </c>
      <c r="F2326" s="50" t="n"/>
      <c r="G2326" s="51" t="n"/>
      <c r="H2326" s="51" t="n"/>
      <c r="I2326" s="51" t="n"/>
      <c r="J2326" s="51" t="n"/>
      <c r="K2326" s="51" t="n"/>
      <c r="L2326" s="54">
        <f>IF(OR(A2326="",C2326="",D2326=""),"",IF(COUNTIFS($A$5:$A$3004,A2326,$C$5:$C$3004,"&lt;"&amp;D2326,$D$5:$D$3004,"&gt;"&amp;C2326)&gt;1,"⚠️ пересечение",""))</f>
        <v/>
      </c>
      <c r="M2326" s="54">
        <f>IF(F2326="","",IF(J2326="✅ Сделано","✔ ",IF(J2326="❌ Пропущено","✖ ","⏰ "))&amp;IF(C2326="","",RIGHT("0"&amp;HOUR(C2326),2)&amp;":"&amp;RIGHT("0"&amp;MINUTE(C2326),2)&amp;IF(D2326="","","–"&amp;RIGHT("0"&amp;HOUR(D2326),2)&amp;":"&amp;RIGHT("0"&amp;MINUTE(D2326),2))&amp;" ")&amp;F2326)</f>
        <v/>
      </c>
      <c r="N2326" s="54">
        <f>IF(OR(A2326="",F2326=""),"",A2326&amp;"#"&amp;(COUNTIFS($A$5:$A$3004,A2326,$F$5:$F$3004,"?*",$O$5:$O$3004,"&lt;"&amp;O2326)+COUNTIFS($A$5:A2326,A2326,$F$5:F2326,"?*",$O$5:O2326,O2326)))</f>
        <v/>
      </c>
      <c r="O2326" s="54">
        <f>IF(A2326="","",IF(C2326="",0,C2326))</f>
        <v/>
      </c>
    </row>
    <row r="2327">
      <c r="A2327" s="58" t="n"/>
      <c r="B2327" s="49">
        <f>IF(A2327="","",CHOOSE(WEEKDAY(A2327,2),"Пн","Вт","Ср","Чт","Пт","Сб","Вс"))</f>
        <v/>
      </c>
      <c r="C2327" s="59" t="n"/>
      <c r="D2327" s="59" t="n"/>
      <c r="E2327" s="60">
        <f>IF(OR(C2327="",D2327=""),"",MOD(D2327-C2327,1)*24)</f>
        <v/>
      </c>
      <c r="F2327" s="50" t="n"/>
      <c r="G2327" s="51" t="n"/>
      <c r="H2327" s="51" t="n"/>
      <c r="I2327" s="51" t="n"/>
      <c r="J2327" s="51" t="n"/>
      <c r="K2327" s="51" t="n"/>
      <c r="L2327" s="54">
        <f>IF(OR(A2327="",C2327="",D2327=""),"",IF(COUNTIFS($A$5:$A$3004,A2327,$C$5:$C$3004,"&lt;"&amp;D2327,$D$5:$D$3004,"&gt;"&amp;C2327)&gt;1,"⚠️ пересечение",""))</f>
        <v/>
      </c>
      <c r="M2327" s="54">
        <f>IF(F2327="","",IF(J2327="✅ Сделано","✔ ",IF(J2327="❌ Пропущено","✖ ","⏰ "))&amp;IF(C2327="","",RIGHT("0"&amp;HOUR(C2327),2)&amp;":"&amp;RIGHT("0"&amp;MINUTE(C2327),2)&amp;IF(D2327="","","–"&amp;RIGHT("0"&amp;HOUR(D2327),2)&amp;":"&amp;RIGHT("0"&amp;MINUTE(D2327),2))&amp;" ")&amp;F2327)</f>
        <v/>
      </c>
      <c r="N2327" s="54">
        <f>IF(OR(A2327="",F2327=""),"",A2327&amp;"#"&amp;(COUNTIFS($A$5:$A$3004,A2327,$F$5:$F$3004,"?*",$O$5:$O$3004,"&lt;"&amp;O2327)+COUNTIFS($A$5:A2327,A2327,$F$5:F2327,"?*",$O$5:O2327,O2327)))</f>
        <v/>
      </c>
      <c r="O2327" s="54">
        <f>IF(A2327="","",IF(C2327="",0,C2327))</f>
        <v/>
      </c>
    </row>
    <row r="2328">
      <c r="A2328" s="58" t="n"/>
      <c r="B2328" s="49">
        <f>IF(A2328="","",CHOOSE(WEEKDAY(A2328,2),"Пн","Вт","Ср","Чт","Пт","Сб","Вс"))</f>
        <v/>
      </c>
      <c r="C2328" s="59" t="n"/>
      <c r="D2328" s="59" t="n"/>
      <c r="E2328" s="60">
        <f>IF(OR(C2328="",D2328=""),"",MOD(D2328-C2328,1)*24)</f>
        <v/>
      </c>
      <c r="F2328" s="50" t="n"/>
      <c r="G2328" s="51" t="n"/>
      <c r="H2328" s="51" t="n"/>
      <c r="I2328" s="51" t="n"/>
      <c r="J2328" s="51" t="n"/>
      <c r="K2328" s="51" t="n"/>
      <c r="L2328" s="54">
        <f>IF(OR(A2328="",C2328="",D2328=""),"",IF(COUNTIFS($A$5:$A$3004,A2328,$C$5:$C$3004,"&lt;"&amp;D2328,$D$5:$D$3004,"&gt;"&amp;C2328)&gt;1,"⚠️ пересечение",""))</f>
        <v/>
      </c>
      <c r="M2328" s="54">
        <f>IF(F2328="","",IF(J2328="✅ Сделано","✔ ",IF(J2328="❌ Пропущено","✖ ","⏰ "))&amp;IF(C2328="","",RIGHT("0"&amp;HOUR(C2328),2)&amp;":"&amp;RIGHT("0"&amp;MINUTE(C2328),2)&amp;IF(D2328="","","–"&amp;RIGHT("0"&amp;HOUR(D2328),2)&amp;":"&amp;RIGHT("0"&amp;MINUTE(D2328),2))&amp;" ")&amp;F2328)</f>
        <v/>
      </c>
      <c r="N2328" s="54">
        <f>IF(OR(A2328="",F2328=""),"",A2328&amp;"#"&amp;(COUNTIFS($A$5:$A$3004,A2328,$F$5:$F$3004,"?*",$O$5:$O$3004,"&lt;"&amp;O2328)+COUNTIFS($A$5:A2328,A2328,$F$5:F2328,"?*",$O$5:O2328,O2328)))</f>
        <v/>
      </c>
      <c r="O2328" s="54">
        <f>IF(A2328="","",IF(C2328="",0,C2328))</f>
        <v/>
      </c>
    </row>
    <row r="2329">
      <c r="A2329" s="58" t="n"/>
      <c r="B2329" s="49">
        <f>IF(A2329="","",CHOOSE(WEEKDAY(A2329,2),"Пн","Вт","Ср","Чт","Пт","Сб","Вс"))</f>
        <v/>
      </c>
      <c r="C2329" s="59" t="n"/>
      <c r="D2329" s="59" t="n"/>
      <c r="E2329" s="60">
        <f>IF(OR(C2329="",D2329=""),"",MOD(D2329-C2329,1)*24)</f>
        <v/>
      </c>
      <c r="F2329" s="50" t="n"/>
      <c r="G2329" s="51" t="n"/>
      <c r="H2329" s="51" t="n"/>
      <c r="I2329" s="51" t="n"/>
      <c r="J2329" s="51" t="n"/>
      <c r="K2329" s="51" t="n"/>
      <c r="L2329" s="54">
        <f>IF(OR(A2329="",C2329="",D2329=""),"",IF(COUNTIFS($A$5:$A$3004,A2329,$C$5:$C$3004,"&lt;"&amp;D2329,$D$5:$D$3004,"&gt;"&amp;C2329)&gt;1,"⚠️ пересечение",""))</f>
        <v/>
      </c>
      <c r="M2329" s="54">
        <f>IF(F2329="","",IF(J2329="✅ Сделано","✔ ",IF(J2329="❌ Пропущено","✖ ","⏰ "))&amp;IF(C2329="","",RIGHT("0"&amp;HOUR(C2329),2)&amp;":"&amp;RIGHT("0"&amp;MINUTE(C2329),2)&amp;IF(D2329="","","–"&amp;RIGHT("0"&amp;HOUR(D2329),2)&amp;":"&amp;RIGHT("0"&amp;MINUTE(D2329),2))&amp;" ")&amp;F2329)</f>
        <v/>
      </c>
      <c r="N2329" s="54">
        <f>IF(OR(A2329="",F2329=""),"",A2329&amp;"#"&amp;(COUNTIFS($A$5:$A$3004,A2329,$F$5:$F$3004,"?*",$O$5:$O$3004,"&lt;"&amp;O2329)+COUNTIFS($A$5:A2329,A2329,$F$5:F2329,"?*",$O$5:O2329,O2329)))</f>
        <v/>
      </c>
      <c r="O2329" s="54">
        <f>IF(A2329="","",IF(C2329="",0,C2329))</f>
        <v/>
      </c>
    </row>
    <row r="2330">
      <c r="A2330" s="58" t="n"/>
      <c r="B2330" s="49">
        <f>IF(A2330="","",CHOOSE(WEEKDAY(A2330,2),"Пн","Вт","Ср","Чт","Пт","Сб","Вс"))</f>
        <v/>
      </c>
      <c r="C2330" s="59" t="n"/>
      <c r="D2330" s="59" t="n"/>
      <c r="E2330" s="60">
        <f>IF(OR(C2330="",D2330=""),"",MOD(D2330-C2330,1)*24)</f>
        <v/>
      </c>
      <c r="F2330" s="50" t="n"/>
      <c r="G2330" s="51" t="n"/>
      <c r="H2330" s="51" t="n"/>
      <c r="I2330" s="51" t="n"/>
      <c r="J2330" s="51" t="n"/>
      <c r="K2330" s="51" t="n"/>
      <c r="L2330" s="54">
        <f>IF(OR(A2330="",C2330="",D2330=""),"",IF(COUNTIFS($A$5:$A$3004,A2330,$C$5:$C$3004,"&lt;"&amp;D2330,$D$5:$D$3004,"&gt;"&amp;C2330)&gt;1,"⚠️ пересечение",""))</f>
        <v/>
      </c>
      <c r="M2330" s="54">
        <f>IF(F2330="","",IF(J2330="✅ Сделано","✔ ",IF(J2330="❌ Пропущено","✖ ","⏰ "))&amp;IF(C2330="","",RIGHT("0"&amp;HOUR(C2330),2)&amp;":"&amp;RIGHT("0"&amp;MINUTE(C2330),2)&amp;IF(D2330="","","–"&amp;RIGHT("0"&amp;HOUR(D2330),2)&amp;":"&amp;RIGHT("0"&amp;MINUTE(D2330),2))&amp;" ")&amp;F2330)</f>
        <v/>
      </c>
      <c r="N2330" s="54">
        <f>IF(OR(A2330="",F2330=""),"",A2330&amp;"#"&amp;(COUNTIFS($A$5:$A$3004,A2330,$F$5:$F$3004,"?*",$O$5:$O$3004,"&lt;"&amp;O2330)+COUNTIFS($A$5:A2330,A2330,$F$5:F2330,"?*",$O$5:O2330,O2330)))</f>
        <v/>
      </c>
      <c r="O2330" s="54">
        <f>IF(A2330="","",IF(C2330="",0,C2330))</f>
        <v/>
      </c>
    </row>
    <row r="2331">
      <c r="A2331" s="58" t="n"/>
      <c r="B2331" s="49">
        <f>IF(A2331="","",CHOOSE(WEEKDAY(A2331,2),"Пн","Вт","Ср","Чт","Пт","Сб","Вс"))</f>
        <v/>
      </c>
      <c r="C2331" s="59" t="n"/>
      <c r="D2331" s="59" t="n"/>
      <c r="E2331" s="60">
        <f>IF(OR(C2331="",D2331=""),"",MOD(D2331-C2331,1)*24)</f>
        <v/>
      </c>
      <c r="F2331" s="50" t="n"/>
      <c r="G2331" s="51" t="n"/>
      <c r="H2331" s="51" t="n"/>
      <c r="I2331" s="51" t="n"/>
      <c r="J2331" s="51" t="n"/>
      <c r="K2331" s="51" t="n"/>
      <c r="L2331" s="54">
        <f>IF(OR(A2331="",C2331="",D2331=""),"",IF(COUNTIFS($A$5:$A$3004,A2331,$C$5:$C$3004,"&lt;"&amp;D2331,$D$5:$D$3004,"&gt;"&amp;C2331)&gt;1,"⚠️ пересечение",""))</f>
        <v/>
      </c>
      <c r="M2331" s="54">
        <f>IF(F2331="","",IF(J2331="✅ Сделано","✔ ",IF(J2331="❌ Пропущено","✖ ","⏰ "))&amp;IF(C2331="","",RIGHT("0"&amp;HOUR(C2331),2)&amp;":"&amp;RIGHT("0"&amp;MINUTE(C2331),2)&amp;IF(D2331="","","–"&amp;RIGHT("0"&amp;HOUR(D2331),2)&amp;":"&amp;RIGHT("0"&amp;MINUTE(D2331),2))&amp;" ")&amp;F2331)</f>
        <v/>
      </c>
      <c r="N2331" s="54">
        <f>IF(OR(A2331="",F2331=""),"",A2331&amp;"#"&amp;(COUNTIFS($A$5:$A$3004,A2331,$F$5:$F$3004,"?*",$O$5:$O$3004,"&lt;"&amp;O2331)+COUNTIFS($A$5:A2331,A2331,$F$5:F2331,"?*",$O$5:O2331,O2331)))</f>
        <v/>
      </c>
      <c r="O2331" s="54">
        <f>IF(A2331="","",IF(C2331="",0,C2331))</f>
        <v/>
      </c>
    </row>
    <row r="2332">
      <c r="A2332" s="58" t="n"/>
      <c r="B2332" s="49">
        <f>IF(A2332="","",CHOOSE(WEEKDAY(A2332,2),"Пн","Вт","Ср","Чт","Пт","Сб","Вс"))</f>
        <v/>
      </c>
      <c r="C2332" s="59" t="n"/>
      <c r="D2332" s="59" t="n"/>
      <c r="E2332" s="60">
        <f>IF(OR(C2332="",D2332=""),"",MOD(D2332-C2332,1)*24)</f>
        <v/>
      </c>
      <c r="F2332" s="50" t="n"/>
      <c r="G2332" s="51" t="n"/>
      <c r="H2332" s="51" t="n"/>
      <c r="I2332" s="51" t="n"/>
      <c r="J2332" s="51" t="n"/>
      <c r="K2332" s="51" t="n"/>
      <c r="L2332" s="54">
        <f>IF(OR(A2332="",C2332="",D2332=""),"",IF(COUNTIFS($A$5:$A$3004,A2332,$C$5:$C$3004,"&lt;"&amp;D2332,$D$5:$D$3004,"&gt;"&amp;C2332)&gt;1,"⚠️ пересечение",""))</f>
        <v/>
      </c>
      <c r="M2332" s="54">
        <f>IF(F2332="","",IF(J2332="✅ Сделано","✔ ",IF(J2332="❌ Пропущено","✖ ","⏰ "))&amp;IF(C2332="","",RIGHT("0"&amp;HOUR(C2332),2)&amp;":"&amp;RIGHT("0"&amp;MINUTE(C2332),2)&amp;IF(D2332="","","–"&amp;RIGHT("0"&amp;HOUR(D2332),2)&amp;":"&amp;RIGHT("0"&amp;MINUTE(D2332),2))&amp;" ")&amp;F2332)</f>
        <v/>
      </c>
      <c r="N2332" s="54">
        <f>IF(OR(A2332="",F2332=""),"",A2332&amp;"#"&amp;(COUNTIFS($A$5:$A$3004,A2332,$F$5:$F$3004,"?*",$O$5:$O$3004,"&lt;"&amp;O2332)+COUNTIFS($A$5:A2332,A2332,$F$5:F2332,"?*",$O$5:O2332,O2332)))</f>
        <v/>
      </c>
      <c r="O2332" s="54">
        <f>IF(A2332="","",IF(C2332="",0,C2332))</f>
        <v/>
      </c>
    </row>
    <row r="2333">
      <c r="A2333" s="58" t="n"/>
      <c r="B2333" s="49">
        <f>IF(A2333="","",CHOOSE(WEEKDAY(A2333,2),"Пн","Вт","Ср","Чт","Пт","Сб","Вс"))</f>
        <v/>
      </c>
      <c r="C2333" s="59" t="n"/>
      <c r="D2333" s="59" t="n"/>
      <c r="E2333" s="60">
        <f>IF(OR(C2333="",D2333=""),"",MOD(D2333-C2333,1)*24)</f>
        <v/>
      </c>
      <c r="F2333" s="50" t="n"/>
      <c r="G2333" s="51" t="n"/>
      <c r="H2333" s="51" t="n"/>
      <c r="I2333" s="51" t="n"/>
      <c r="J2333" s="51" t="n"/>
      <c r="K2333" s="51" t="n"/>
      <c r="L2333" s="54">
        <f>IF(OR(A2333="",C2333="",D2333=""),"",IF(COUNTIFS($A$5:$A$3004,A2333,$C$5:$C$3004,"&lt;"&amp;D2333,$D$5:$D$3004,"&gt;"&amp;C2333)&gt;1,"⚠️ пересечение",""))</f>
        <v/>
      </c>
      <c r="M2333" s="54">
        <f>IF(F2333="","",IF(J2333="✅ Сделано","✔ ",IF(J2333="❌ Пропущено","✖ ","⏰ "))&amp;IF(C2333="","",RIGHT("0"&amp;HOUR(C2333),2)&amp;":"&amp;RIGHT("0"&amp;MINUTE(C2333),2)&amp;IF(D2333="","","–"&amp;RIGHT("0"&amp;HOUR(D2333),2)&amp;":"&amp;RIGHT("0"&amp;MINUTE(D2333),2))&amp;" ")&amp;F2333)</f>
        <v/>
      </c>
      <c r="N2333" s="54">
        <f>IF(OR(A2333="",F2333=""),"",A2333&amp;"#"&amp;(COUNTIFS($A$5:$A$3004,A2333,$F$5:$F$3004,"?*",$O$5:$O$3004,"&lt;"&amp;O2333)+COUNTIFS($A$5:A2333,A2333,$F$5:F2333,"?*",$O$5:O2333,O2333)))</f>
        <v/>
      </c>
      <c r="O2333" s="54">
        <f>IF(A2333="","",IF(C2333="",0,C2333))</f>
        <v/>
      </c>
    </row>
    <row r="2334">
      <c r="A2334" s="58" t="n"/>
      <c r="B2334" s="49">
        <f>IF(A2334="","",CHOOSE(WEEKDAY(A2334,2),"Пн","Вт","Ср","Чт","Пт","Сб","Вс"))</f>
        <v/>
      </c>
      <c r="C2334" s="59" t="n"/>
      <c r="D2334" s="59" t="n"/>
      <c r="E2334" s="60">
        <f>IF(OR(C2334="",D2334=""),"",MOD(D2334-C2334,1)*24)</f>
        <v/>
      </c>
      <c r="F2334" s="50" t="n"/>
      <c r="G2334" s="51" t="n"/>
      <c r="H2334" s="51" t="n"/>
      <c r="I2334" s="51" t="n"/>
      <c r="J2334" s="51" t="n"/>
      <c r="K2334" s="51" t="n"/>
      <c r="L2334" s="54">
        <f>IF(OR(A2334="",C2334="",D2334=""),"",IF(COUNTIFS($A$5:$A$3004,A2334,$C$5:$C$3004,"&lt;"&amp;D2334,$D$5:$D$3004,"&gt;"&amp;C2334)&gt;1,"⚠️ пересечение",""))</f>
        <v/>
      </c>
      <c r="M2334" s="54">
        <f>IF(F2334="","",IF(J2334="✅ Сделано","✔ ",IF(J2334="❌ Пропущено","✖ ","⏰ "))&amp;IF(C2334="","",RIGHT("0"&amp;HOUR(C2334),2)&amp;":"&amp;RIGHT("0"&amp;MINUTE(C2334),2)&amp;IF(D2334="","","–"&amp;RIGHT("0"&amp;HOUR(D2334),2)&amp;":"&amp;RIGHT("0"&amp;MINUTE(D2334),2))&amp;" ")&amp;F2334)</f>
        <v/>
      </c>
      <c r="N2334" s="54">
        <f>IF(OR(A2334="",F2334=""),"",A2334&amp;"#"&amp;(COUNTIFS($A$5:$A$3004,A2334,$F$5:$F$3004,"?*",$O$5:$O$3004,"&lt;"&amp;O2334)+COUNTIFS($A$5:A2334,A2334,$F$5:F2334,"?*",$O$5:O2334,O2334)))</f>
        <v/>
      </c>
      <c r="O2334" s="54">
        <f>IF(A2334="","",IF(C2334="",0,C2334))</f>
        <v/>
      </c>
    </row>
    <row r="2335">
      <c r="A2335" s="58" t="n"/>
      <c r="B2335" s="49">
        <f>IF(A2335="","",CHOOSE(WEEKDAY(A2335,2),"Пн","Вт","Ср","Чт","Пт","Сб","Вс"))</f>
        <v/>
      </c>
      <c r="C2335" s="59" t="n"/>
      <c r="D2335" s="59" t="n"/>
      <c r="E2335" s="60">
        <f>IF(OR(C2335="",D2335=""),"",MOD(D2335-C2335,1)*24)</f>
        <v/>
      </c>
      <c r="F2335" s="50" t="n"/>
      <c r="G2335" s="51" t="n"/>
      <c r="H2335" s="51" t="n"/>
      <c r="I2335" s="51" t="n"/>
      <c r="J2335" s="51" t="n"/>
      <c r="K2335" s="51" t="n"/>
      <c r="L2335" s="54">
        <f>IF(OR(A2335="",C2335="",D2335=""),"",IF(COUNTIFS($A$5:$A$3004,A2335,$C$5:$C$3004,"&lt;"&amp;D2335,$D$5:$D$3004,"&gt;"&amp;C2335)&gt;1,"⚠️ пересечение",""))</f>
        <v/>
      </c>
      <c r="M2335" s="54">
        <f>IF(F2335="","",IF(J2335="✅ Сделано","✔ ",IF(J2335="❌ Пропущено","✖ ","⏰ "))&amp;IF(C2335="","",RIGHT("0"&amp;HOUR(C2335),2)&amp;":"&amp;RIGHT("0"&amp;MINUTE(C2335),2)&amp;IF(D2335="","","–"&amp;RIGHT("0"&amp;HOUR(D2335),2)&amp;":"&amp;RIGHT("0"&amp;MINUTE(D2335),2))&amp;" ")&amp;F2335)</f>
        <v/>
      </c>
      <c r="N2335" s="54">
        <f>IF(OR(A2335="",F2335=""),"",A2335&amp;"#"&amp;(COUNTIFS($A$5:$A$3004,A2335,$F$5:$F$3004,"?*",$O$5:$O$3004,"&lt;"&amp;O2335)+COUNTIFS($A$5:A2335,A2335,$F$5:F2335,"?*",$O$5:O2335,O2335)))</f>
        <v/>
      </c>
      <c r="O2335" s="54">
        <f>IF(A2335="","",IF(C2335="",0,C2335))</f>
        <v/>
      </c>
    </row>
    <row r="2336">
      <c r="A2336" s="58" t="n"/>
      <c r="B2336" s="49">
        <f>IF(A2336="","",CHOOSE(WEEKDAY(A2336,2),"Пн","Вт","Ср","Чт","Пт","Сб","Вс"))</f>
        <v/>
      </c>
      <c r="C2336" s="59" t="n"/>
      <c r="D2336" s="59" t="n"/>
      <c r="E2336" s="60">
        <f>IF(OR(C2336="",D2336=""),"",MOD(D2336-C2336,1)*24)</f>
        <v/>
      </c>
      <c r="F2336" s="50" t="n"/>
      <c r="G2336" s="51" t="n"/>
      <c r="H2336" s="51" t="n"/>
      <c r="I2336" s="51" t="n"/>
      <c r="J2336" s="51" t="n"/>
      <c r="K2336" s="51" t="n"/>
      <c r="L2336" s="54">
        <f>IF(OR(A2336="",C2336="",D2336=""),"",IF(COUNTIFS($A$5:$A$3004,A2336,$C$5:$C$3004,"&lt;"&amp;D2336,$D$5:$D$3004,"&gt;"&amp;C2336)&gt;1,"⚠️ пересечение",""))</f>
        <v/>
      </c>
      <c r="M2336" s="54">
        <f>IF(F2336="","",IF(J2336="✅ Сделано","✔ ",IF(J2336="❌ Пропущено","✖ ","⏰ "))&amp;IF(C2336="","",RIGHT("0"&amp;HOUR(C2336),2)&amp;":"&amp;RIGHT("0"&amp;MINUTE(C2336),2)&amp;IF(D2336="","","–"&amp;RIGHT("0"&amp;HOUR(D2336),2)&amp;":"&amp;RIGHT("0"&amp;MINUTE(D2336),2))&amp;" ")&amp;F2336)</f>
        <v/>
      </c>
      <c r="N2336" s="54">
        <f>IF(OR(A2336="",F2336=""),"",A2336&amp;"#"&amp;(COUNTIFS($A$5:$A$3004,A2336,$F$5:$F$3004,"?*",$O$5:$O$3004,"&lt;"&amp;O2336)+COUNTIFS($A$5:A2336,A2336,$F$5:F2336,"?*",$O$5:O2336,O2336)))</f>
        <v/>
      </c>
      <c r="O2336" s="54">
        <f>IF(A2336="","",IF(C2336="",0,C2336))</f>
        <v/>
      </c>
    </row>
    <row r="2337">
      <c r="A2337" s="58" t="n"/>
      <c r="B2337" s="49">
        <f>IF(A2337="","",CHOOSE(WEEKDAY(A2337,2),"Пн","Вт","Ср","Чт","Пт","Сб","Вс"))</f>
        <v/>
      </c>
      <c r="C2337" s="59" t="n"/>
      <c r="D2337" s="59" t="n"/>
      <c r="E2337" s="60">
        <f>IF(OR(C2337="",D2337=""),"",MOD(D2337-C2337,1)*24)</f>
        <v/>
      </c>
      <c r="F2337" s="50" t="n"/>
      <c r="G2337" s="51" t="n"/>
      <c r="H2337" s="51" t="n"/>
      <c r="I2337" s="51" t="n"/>
      <c r="J2337" s="51" t="n"/>
      <c r="K2337" s="51" t="n"/>
      <c r="L2337" s="54">
        <f>IF(OR(A2337="",C2337="",D2337=""),"",IF(COUNTIFS($A$5:$A$3004,A2337,$C$5:$C$3004,"&lt;"&amp;D2337,$D$5:$D$3004,"&gt;"&amp;C2337)&gt;1,"⚠️ пересечение",""))</f>
        <v/>
      </c>
      <c r="M2337" s="54">
        <f>IF(F2337="","",IF(J2337="✅ Сделано","✔ ",IF(J2337="❌ Пропущено","✖ ","⏰ "))&amp;IF(C2337="","",RIGHT("0"&amp;HOUR(C2337),2)&amp;":"&amp;RIGHT("0"&amp;MINUTE(C2337),2)&amp;IF(D2337="","","–"&amp;RIGHT("0"&amp;HOUR(D2337),2)&amp;":"&amp;RIGHT("0"&amp;MINUTE(D2337),2))&amp;" ")&amp;F2337)</f>
        <v/>
      </c>
      <c r="N2337" s="54">
        <f>IF(OR(A2337="",F2337=""),"",A2337&amp;"#"&amp;(COUNTIFS($A$5:$A$3004,A2337,$F$5:$F$3004,"?*",$O$5:$O$3004,"&lt;"&amp;O2337)+COUNTIFS($A$5:A2337,A2337,$F$5:F2337,"?*",$O$5:O2337,O2337)))</f>
        <v/>
      </c>
      <c r="O2337" s="54">
        <f>IF(A2337="","",IF(C2337="",0,C2337))</f>
        <v/>
      </c>
    </row>
    <row r="2338">
      <c r="A2338" s="58" t="n"/>
      <c r="B2338" s="49">
        <f>IF(A2338="","",CHOOSE(WEEKDAY(A2338,2),"Пн","Вт","Ср","Чт","Пт","Сб","Вс"))</f>
        <v/>
      </c>
      <c r="C2338" s="59" t="n"/>
      <c r="D2338" s="59" t="n"/>
      <c r="E2338" s="60">
        <f>IF(OR(C2338="",D2338=""),"",MOD(D2338-C2338,1)*24)</f>
        <v/>
      </c>
      <c r="F2338" s="50" t="n"/>
      <c r="G2338" s="51" t="n"/>
      <c r="H2338" s="51" t="n"/>
      <c r="I2338" s="51" t="n"/>
      <c r="J2338" s="51" t="n"/>
      <c r="K2338" s="51" t="n"/>
      <c r="L2338" s="54">
        <f>IF(OR(A2338="",C2338="",D2338=""),"",IF(COUNTIFS($A$5:$A$3004,A2338,$C$5:$C$3004,"&lt;"&amp;D2338,$D$5:$D$3004,"&gt;"&amp;C2338)&gt;1,"⚠️ пересечение",""))</f>
        <v/>
      </c>
      <c r="M2338" s="54">
        <f>IF(F2338="","",IF(J2338="✅ Сделано","✔ ",IF(J2338="❌ Пропущено","✖ ","⏰ "))&amp;IF(C2338="","",RIGHT("0"&amp;HOUR(C2338),2)&amp;":"&amp;RIGHT("0"&amp;MINUTE(C2338),2)&amp;IF(D2338="","","–"&amp;RIGHT("0"&amp;HOUR(D2338),2)&amp;":"&amp;RIGHT("0"&amp;MINUTE(D2338),2))&amp;" ")&amp;F2338)</f>
        <v/>
      </c>
      <c r="N2338" s="54">
        <f>IF(OR(A2338="",F2338=""),"",A2338&amp;"#"&amp;(COUNTIFS($A$5:$A$3004,A2338,$F$5:$F$3004,"?*",$O$5:$O$3004,"&lt;"&amp;O2338)+COUNTIFS($A$5:A2338,A2338,$F$5:F2338,"?*",$O$5:O2338,O2338)))</f>
        <v/>
      </c>
      <c r="O2338" s="54">
        <f>IF(A2338="","",IF(C2338="",0,C2338))</f>
        <v/>
      </c>
    </row>
    <row r="2339">
      <c r="A2339" s="58" t="n"/>
      <c r="B2339" s="49">
        <f>IF(A2339="","",CHOOSE(WEEKDAY(A2339,2),"Пн","Вт","Ср","Чт","Пт","Сб","Вс"))</f>
        <v/>
      </c>
      <c r="C2339" s="59" t="n"/>
      <c r="D2339" s="59" t="n"/>
      <c r="E2339" s="60">
        <f>IF(OR(C2339="",D2339=""),"",MOD(D2339-C2339,1)*24)</f>
        <v/>
      </c>
      <c r="F2339" s="50" t="n"/>
      <c r="G2339" s="51" t="n"/>
      <c r="H2339" s="51" t="n"/>
      <c r="I2339" s="51" t="n"/>
      <c r="J2339" s="51" t="n"/>
      <c r="K2339" s="51" t="n"/>
      <c r="L2339" s="54">
        <f>IF(OR(A2339="",C2339="",D2339=""),"",IF(COUNTIFS($A$5:$A$3004,A2339,$C$5:$C$3004,"&lt;"&amp;D2339,$D$5:$D$3004,"&gt;"&amp;C2339)&gt;1,"⚠️ пересечение",""))</f>
        <v/>
      </c>
      <c r="M2339" s="54">
        <f>IF(F2339="","",IF(J2339="✅ Сделано","✔ ",IF(J2339="❌ Пропущено","✖ ","⏰ "))&amp;IF(C2339="","",RIGHT("0"&amp;HOUR(C2339),2)&amp;":"&amp;RIGHT("0"&amp;MINUTE(C2339),2)&amp;IF(D2339="","","–"&amp;RIGHT("0"&amp;HOUR(D2339),2)&amp;":"&amp;RIGHT("0"&amp;MINUTE(D2339),2))&amp;" ")&amp;F2339)</f>
        <v/>
      </c>
      <c r="N2339" s="54">
        <f>IF(OR(A2339="",F2339=""),"",A2339&amp;"#"&amp;(COUNTIFS($A$5:$A$3004,A2339,$F$5:$F$3004,"?*",$O$5:$O$3004,"&lt;"&amp;O2339)+COUNTIFS($A$5:A2339,A2339,$F$5:F2339,"?*",$O$5:O2339,O2339)))</f>
        <v/>
      </c>
      <c r="O2339" s="54">
        <f>IF(A2339="","",IF(C2339="",0,C2339))</f>
        <v/>
      </c>
    </row>
    <row r="2340">
      <c r="A2340" s="58" t="n"/>
      <c r="B2340" s="49">
        <f>IF(A2340="","",CHOOSE(WEEKDAY(A2340,2),"Пн","Вт","Ср","Чт","Пт","Сб","Вс"))</f>
        <v/>
      </c>
      <c r="C2340" s="59" t="n"/>
      <c r="D2340" s="59" t="n"/>
      <c r="E2340" s="60">
        <f>IF(OR(C2340="",D2340=""),"",MOD(D2340-C2340,1)*24)</f>
        <v/>
      </c>
      <c r="F2340" s="50" t="n"/>
      <c r="G2340" s="51" t="n"/>
      <c r="H2340" s="51" t="n"/>
      <c r="I2340" s="51" t="n"/>
      <c r="J2340" s="51" t="n"/>
      <c r="K2340" s="51" t="n"/>
      <c r="L2340" s="54">
        <f>IF(OR(A2340="",C2340="",D2340=""),"",IF(COUNTIFS($A$5:$A$3004,A2340,$C$5:$C$3004,"&lt;"&amp;D2340,$D$5:$D$3004,"&gt;"&amp;C2340)&gt;1,"⚠️ пересечение",""))</f>
        <v/>
      </c>
      <c r="M2340" s="54">
        <f>IF(F2340="","",IF(J2340="✅ Сделано","✔ ",IF(J2340="❌ Пропущено","✖ ","⏰ "))&amp;IF(C2340="","",RIGHT("0"&amp;HOUR(C2340),2)&amp;":"&amp;RIGHT("0"&amp;MINUTE(C2340),2)&amp;IF(D2340="","","–"&amp;RIGHT("0"&amp;HOUR(D2340),2)&amp;":"&amp;RIGHT("0"&amp;MINUTE(D2340),2))&amp;" ")&amp;F2340)</f>
        <v/>
      </c>
      <c r="N2340" s="54">
        <f>IF(OR(A2340="",F2340=""),"",A2340&amp;"#"&amp;(COUNTIFS($A$5:$A$3004,A2340,$F$5:$F$3004,"?*",$O$5:$O$3004,"&lt;"&amp;O2340)+COUNTIFS($A$5:A2340,A2340,$F$5:F2340,"?*",$O$5:O2340,O2340)))</f>
        <v/>
      </c>
      <c r="O2340" s="54">
        <f>IF(A2340="","",IF(C2340="",0,C2340))</f>
        <v/>
      </c>
    </row>
    <row r="2341">
      <c r="A2341" s="58" t="n"/>
      <c r="B2341" s="49">
        <f>IF(A2341="","",CHOOSE(WEEKDAY(A2341,2),"Пн","Вт","Ср","Чт","Пт","Сб","Вс"))</f>
        <v/>
      </c>
      <c r="C2341" s="59" t="n"/>
      <c r="D2341" s="59" t="n"/>
      <c r="E2341" s="60">
        <f>IF(OR(C2341="",D2341=""),"",MOD(D2341-C2341,1)*24)</f>
        <v/>
      </c>
      <c r="F2341" s="50" t="n"/>
      <c r="G2341" s="51" t="n"/>
      <c r="H2341" s="51" t="n"/>
      <c r="I2341" s="51" t="n"/>
      <c r="J2341" s="51" t="n"/>
      <c r="K2341" s="51" t="n"/>
      <c r="L2341" s="54">
        <f>IF(OR(A2341="",C2341="",D2341=""),"",IF(COUNTIFS($A$5:$A$3004,A2341,$C$5:$C$3004,"&lt;"&amp;D2341,$D$5:$D$3004,"&gt;"&amp;C2341)&gt;1,"⚠️ пересечение",""))</f>
        <v/>
      </c>
      <c r="M2341" s="54">
        <f>IF(F2341="","",IF(J2341="✅ Сделано","✔ ",IF(J2341="❌ Пропущено","✖ ","⏰ "))&amp;IF(C2341="","",RIGHT("0"&amp;HOUR(C2341),2)&amp;":"&amp;RIGHT("0"&amp;MINUTE(C2341),2)&amp;IF(D2341="","","–"&amp;RIGHT("0"&amp;HOUR(D2341),2)&amp;":"&amp;RIGHT("0"&amp;MINUTE(D2341),2))&amp;" ")&amp;F2341)</f>
        <v/>
      </c>
      <c r="N2341" s="54">
        <f>IF(OR(A2341="",F2341=""),"",A2341&amp;"#"&amp;(COUNTIFS($A$5:$A$3004,A2341,$F$5:$F$3004,"?*",$O$5:$O$3004,"&lt;"&amp;O2341)+COUNTIFS($A$5:A2341,A2341,$F$5:F2341,"?*",$O$5:O2341,O2341)))</f>
        <v/>
      </c>
      <c r="O2341" s="54">
        <f>IF(A2341="","",IF(C2341="",0,C2341))</f>
        <v/>
      </c>
    </row>
    <row r="2342">
      <c r="A2342" s="58" t="n"/>
      <c r="B2342" s="49">
        <f>IF(A2342="","",CHOOSE(WEEKDAY(A2342,2),"Пн","Вт","Ср","Чт","Пт","Сб","Вс"))</f>
        <v/>
      </c>
      <c r="C2342" s="59" t="n"/>
      <c r="D2342" s="59" t="n"/>
      <c r="E2342" s="60">
        <f>IF(OR(C2342="",D2342=""),"",MOD(D2342-C2342,1)*24)</f>
        <v/>
      </c>
      <c r="F2342" s="50" t="n"/>
      <c r="G2342" s="51" t="n"/>
      <c r="H2342" s="51" t="n"/>
      <c r="I2342" s="51" t="n"/>
      <c r="J2342" s="51" t="n"/>
      <c r="K2342" s="51" t="n"/>
      <c r="L2342" s="54">
        <f>IF(OR(A2342="",C2342="",D2342=""),"",IF(COUNTIFS($A$5:$A$3004,A2342,$C$5:$C$3004,"&lt;"&amp;D2342,$D$5:$D$3004,"&gt;"&amp;C2342)&gt;1,"⚠️ пересечение",""))</f>
        <v/>
      </c>
      <c r="M2342" s="54">
        <f>IF(F2342="","",IF(J2342="✅ Сделано","✔ ",IF(J2342="❌ Пропущено","✖ ","⏰ "))&amp;IF(C2342="","",RIGHT("0"&amp;HOUR(C2342),2)&amp;":"&amp;RIGHT("0"&amp;MINUTE(C2342),2)&amp;IF(D2342="","","–"&amp;RIGHT("0"&amp;HOUR(D2342),2)&amp;":"&amp;RIGHT("0"&amp;MINUTE(D2342),2))&amp;" ")&amp;F2342)</f>
        <v/>
      </c>
      <c r="N2342" s="54">
        <f>IF(OR(A2342="",F2342=""),"",A2342&amp;"#"&amp;(COUNTIFS($A$5:$A$3004,A2342,$F$5:$F$3004,"?*",$O$5:$O$3004,"&lt;"&amp;O2342)+COUNTIFS($A$5:A2342,A2342,$F$5:F2342,"?*",$O$5:O2342,O2342)))</f>
        <v/>
      </c>
      <c r="O2342" s="54">
        <f>IF(A2342="","",IF(C2342="",0,C2342))</f>
        <v/>
      </c>
    </row>
    <row r="2343">
      <c r="A2343" s="58" t="n"/>
      <c r="B2343" s="49">
        <f>IF(A2343="","",CHOOSE(WEEKDAY(A2343,2),"Пн","Вт","Ср","Чт","Пт","Сб","Вс"))</f>
        <v/>
      </c>
      <c r="C2343" s="59" t="n"/>
      <c r="D2343" s="59" t="n"/>
      <c r="E2343" s="60">
        <f>IF(OR(C2343="",D2343=""),"",MOD(D2343-C2343,1)*24)</f>
        <v/>
      </c>
      <c r="F2343" s="50" t="n"/>
      <c r="G2343" s="51" t="n"/>
      <c r="H2343" s="51" t="n"/>
      <c r="I2343" s="51" t="n"/>
      <c r="J2343" s="51" t="n"/>
      <c r="K2343" s="51" t="n"/>
      <c r="L2343" s="54">
        <f>IF(OR(A2343="",C2343="",D2343=""),"",IF(COUNTIFS($A$5:$A$3004,A2343,$C$5:$C$3004,"&lt;"&amp;D2343,$D$5:$D$3004,"&gt;"&amp;C2343)&gt;1,"⚠️ пересечение",""))</f>
        <v/>
      </c>
      <c r="M2343" s="54">
        <f>IF(F2343="","",IF(J2343="✅ Сделано","✔ ",IF(J2343="❌ Пропущено","✖ ","⏰ "))&amp;IF(C2343="","",RIGHT("0"&amp;HOUR(C2343),2)&amp;":"&amp;RIGHT("0"&amp;MINUTE(C2343),2)&amp;IF(D2343="","","–"&amp;RIGHT("0"&amp;HOUR(D2343),2)&amp;":"&amp;RIGHT("0"&amp;MINUTE(D2343),2))&amp;" ")&amp;F2343)</f>
        <v/>
      </c>
      <c r="N2343" s="54">
        <f>IF(OR(A2343="",F2343=""),"",A2343&amp;"#"&amp;(COUNTIFS($A$5:$A$3004,A2343,$F$5:$F$3004,"?*",$O$5:$O$3004,"&lt;"&amp;O2343)+COUNTIFS($A$5:A2343,A2343,$F$5:F2343,"?*",$O$5:O2343,O2343)))</f>
        <v/>
      </c>
      <c r="O2343" s="54">
        <f>IF(A2343="","",IF(C2343="",0,C2343))</f>
        <v/>
      </c>
    </row>
    <row r="2344">
      <c r="A2344" s="58" t="n"/>
      <c r="B2344" s="49">
        <f>IF(A2344="","",CHOOSE(WEEKDAY(A2344,2),"Пн","Вт","Ср","Чт","Пт","Сб","Вс"))</f>
        <v/>
      </c>
      <c r="C2344" s="59" t="n"/>
      <c r="D2344" s="59" t="n"/>
      <c r="E2344" s="60">
        <f>IF(OR(C2344="",D2344=""),"",MOD(D2344-C2344,1)*24)</f>
        <v/>
      </c>
      <c r="F2344" s="50" t="n"/>
      <c r="G2344" s="51" t="n"/>
      <c r="H2344" s="51" t="n"/>
      <c r="I2344" s="51" t="n"/>
      <c r="J2344" s="51" t="n"/>
      <c r="K2344" s="51" t="n"/>
      <c r="L2344" s="54">
        <f>IF(OR(A2344="",C2344="",D2344=""),"",IF(COUNTIFS($A$5:$A$3004,A2344,$C$5:$C$3004,"&lt;"&amp;D2344,$D$5:$D$3004,"&gt;"&amp;C2344)&gt;1,"⚠️ пересечение",""))</f>
        <v/>
      </c>
      <c r="M2344" s="54">
        <f>IF(F2344="","",IF(J2344="✅ Сделано","✔ ",IF(J2344="❌ Пропущено","✖ ","⏰ "))&amp;IF(C2344="","",RIGHT("0"&amp;HOUR(C2344),2)&amp;":"&amp;RIGHT("0"&amp;MINUTE(C2344),2)&amp;IF(D2344="","","–"&amp;RIGHT("0"&amp;HOUR(D2344),2)&amp;":"&amp;RIGHT("0"&amp;MINUTE(D2344),2))&amp;" ")&amp;F2344)</f>
        <v/>
      </c>
      <c r="N2344" s="54">
        <f>IF(OR(A2344="",F2344=""),"",A2344&amp;"#"&amp;(COUNTIFS($A$5:$A$3004,A2344,$F$5:$F$3004,"?*",$O$5:$O$3004,"&lt;"&amp;O2344)+COUNTIFS($A$5:A2344,A2344,$F$5:F2344,"?*",$O$5:O2344,O2344)))</f>
        <v/>
      </c>
      <c r="O2344" s="54">
        <f>IF(A2344="","",IF(C2344="",0,C2344))</f>
        <v/>
      </c>
    </row>
    <row r="2345">
      <c r="A2345" s="58" t="n"/>
      <c r="B2345" s="49">
        <f>IF(A2345="","",CHOOSE(WEEKDAY(A2345,2),"Пн","Вт","Ср","Чт","Пт","Сб","Вс"))</f>
        <v/>
      </c>
      <c r="C2345" s="59" t="n"/>
      <c r="D2345" s="59" t="n"/>
      <c r="E2345" s="60">
        <f>IF(OR(C2345="",D2345=""),"",MOD(D2345-C2345,1)*24)</f>
        <v/>
      </c>
      <c r="F2345" s="50" t="n"/>
      <c r="G2345" s="51" t="n"/>
      <c r="H2345" s="51" t="n"/>
      <c r="I2345" s="51" t="n"/>
      <c r="J2345" s="51" t="n"/>
      <c r="K2345" s="51" t="n"/>
      <c r="L2345" s="54">
        <f>IF(OR(A2345="",C2345="",D2345=""),"",IF(COUNTIFS($A$5:$A$3004,A2345,$C$5:$C$3004,"&lt;"&amp;D2345,$D$5:$D$3004,"&gt;"&amp;C2345)&gt;1,"⚠️ пересечение",""))</f>
        <v/>
      </c>
      <c r="M2345" s="54">
        <f>IF(F2345="","",IF(J2345="✅ Сделано","✔ ",IF(J2345="❌ Пропущено","✖ ","⏰ "))&amp;IF(C2345="","",RIGHT("0"&amp;HOUR(C2345),2)&amp;":"&amp;RIGHT("0"&amp;MINUTE(C2345),2)&amp;IF(D2345="","","–"&amp;RIGHT("0"&amp;HOUR(D2345),2)&amp;":"&amp;RIGHT("0"&amp;MINUTE(D2345),2))&amp;" ")&amp;F2345)</f>
        <v/>
      </c>
      <c r="N2345" s="54">
        <f>IF(OR(A2345="",F2345=""),"",A2345&amp;"#"&amp;(COUNTIFS($A$5:$A$3004,A2345,$F$5:$F$3004,"?*",$O$5:$O$3004,"&lt;"&amp;O2345)+COUNTIFS($A$5:A2345,A2345,$F$5:F2345,"?*",$O$5:O2345,O2345)))</f>
        <v/>
      </c>
      <c r="O2345" s="54">
        <f>IF(A2345="","",IF(C2345="",0,C2345))</f>
        <v/>
      </c>
    </row>
    <row r="2346">
      <c r="A2346" s="58" t="n"/>
      <c r="B2346" s="49">
        <f>IF(A2346="","",CHOOSE(WEEKDAY(A2346,2),"Пн","Вт","Ср","Чт","Пт","Сб","Вс"))</f>
        <v/>
      </c>
      <c r="C2346" s="59" t="n"/>
      <c r="D2346" s="59" t="n"/>
      <c r="E2346" s="60">
        <f>IF(OR(C2346="",D2346=""),"",MOD(D2346-C2346,1)*24)</f>
        <v/>
      </c>
      <c r="F2346" s="50" t="n"/>
      <c r="G2346" s="51" t="n"/>
      <c r="H2346" s="51" t="n"/>
      <c r="I2346" s="51" t="n"/>
      <c r="J2346" s="51" t="n"/>
      <c r="K2346" s="51" t="n"/>
      <c r="L2346" s="54">
        <f>IF(OR(A2346="",C2346="",D2346=""),"",IF(COUNTIFS($A$5:$A$3004,A2346,$C$5:$C$3004,"&lt;"&amp;D2346,$D$5:$D$3004,"&gt;"&amp;C2346)&gt;1,"⚠️ пересечение",""))</f>
        <v/>
      </c>
      <c r="M2346" s="54">
        <f>IF(F2346="","",IF(J2346="✅ Сделано","✔ ",IF(J2346="❌ Пропущено","✖ ","⏰ "))&amp;IF(C2346="","",RIGHT("0"&amp;HOUR(C2346),2)&amp;":"&amp;RIGHT("0"&amp;MINUTE(C2346),2)&amp;IF(D2346="","","–"&amp;RIGHT("0"&amp;HOUR(D2346),2)&amp;":"&amp;RIGHT("0"&amp;MINUTE(D2346),2))&amp;" ")&amp;F2346)</f>
        <v/>
      </c>
      <c r="N2346" s="54">
        <f>IF(OR(A2346="",F2346=""),"",A2346&amp;"#"&amp;(COUNTIFS($A$5:$A$3004,A2346,$F$5:$F$3004,"?*",$O$5:$O$3004,"&lt;"&amp;O2346)+COUNTIFS($A$5:A2346,A2346,$F$5:F2346,"?*",$O$5:O2346,O2346)))</f>
        <v/>
      </c>
      <c r="O2346" s="54">
        <f>IF(A2346="","",IF(C2346="",0,C2346))</f>
        <v/>
      </c>
    </row>
    <row r="2347">
      <c r="A2347" s="58" t="n"/>
      <c r="B2347" s="49">
        <f>IF(A2347="","",CHOOSE(WEEKDAY(A2347,2),"Пн","Вт","Ср","Чт","Пт","Сб","Вс"))</f>
        <v/>
      </c>
      <c r="C2347" s="59" t="n"/>
      <c r="D2347" s="59" t="n"/>
      <c r="E2347" s="60">
        <f>IF(OR(C2347="",D2347=""),"",MOD(D2347-C2347,1)*24)</f>
        <v/>
      </c>
      <c r="F2347" s="50" t="n"/>
      <c r="G2347" s="51" t="n"/>
      <c r="H2347" s="51" t="n"/>
      <c r="I2347" s="51" t="n"/>
      <c r="J2347" s="51" t="n"/>
      <c r="K2347" s="51" t="n"/>
      <c r="L2347" s="54">
        <f>IF(OR(A2347="",C2347="",D2347=""),"",IF(COUNTIFS($A$5:$A$3004,A2347,$C$5:$C$3004,"&lt;"&amp;D2347,$D$5:$D$3004,"&gt;"&amp;C2347)&gt;1,"⚠️ пересечение",""))</f>
        <v/>
      </c>
      <c r="M2347" s="54">
        <f>IF(F2347="","",IF(J2347="✅ Сделано","✔ ",IF(J2347="❌ Пропущено","✖ ","⏰ "))&amp;IF(C2347="","",RIGHT("0"&amp;HOUR(C2347),2)&amp;":"&amp;RIGHT("0"&amp;MINUTE(C2347),2)&amp;IF(D2347="","","–"&amp;RIGHT("0"&amp;HOUR(D2347),2)&amp;":"&amp;RIGHT("0"&amp;MINUTE(D2347),2))&amp;" ")&amp;F2347)</f>
        <v/>
      </c>
      <c r="N2347" s="54">
        <f>IF(OR(A2347="",F2347=""),"",A2347&amp;"#"&amp;(COUNTIFS($A$5:$A$3004,A2347,$F$5:$F$3004,"?*",$O$5:$O$3004,"&lt;"&amp;O2347)+COUNTIFS($A$5:A2347,A2347,$F$5:F2347,"?*",$O$5:O2347,O2347)))</f>
        <v/>
      </c>
      <c r="O2347" s="54">
        <f>IF(A2347="","",IF(C2347="",0,C2347))</f>
        <v/>
      </c>
    </row>
    <row r="2348">
      <c r="A2348" s="58" t="n"/>
      <c r="B2348" s="49">
        <f>IF(A2348="","",CHOOSE(WEEKDAY(A2348,2),"Пн","Вт","Ср","Чт","Пт","Сб","Вс"))</f>
        <v/>
      </c>
      <c r="C2348" s="59" t="n"/>
      <c r="D2348" s="59" t="n"/>
      <c r="E2348" s="60">
        <f>IF(OR(C2348="",D2348=""),"",MOD(D2348-C2348,1)*24)</f>
        <v/>
      </c>
      <c r="F2348" s="50" t="n"/>
      <c r="G2348" s="51" t="n"/>
      <c r="H2348" s="51" t="n"/>
      <c r="I2348" s="51" t="n"/>
      <c r="J2348" s="51" t="n"/>
      <c r="K2348" s="51" t="n"/>
      <c r="L2348" s="54">
        <f>IF(OR(A2348="",C2348="",D2348=""),"",IF(COUNTIFS($A$5:$A$3004,A2348,$C$5:$C$3004,"&lt;"&amp;D2348,$D$5:$D$3004,"&gt;"&amp;C2348)&gt;1,"⚠️ пересечение",""))</f>
        <v/>
      </c>
      <c r="M2348" s="54">
        <f>IF(F2348="","",IF(J2348="✅ Сделано","✔ ",IF(J2348="❌ Пропущено","✖ ","⏰ "))&amp;IF(C2348="","",RIGHT("0"&amp;HOUR(C2348),2)&amp;":"&amp;RIGHT("0"&amp;MINUTE(C2348),2)&amp;IF(D2348="","","–"&amp;RIGHT("0"&amp;HOUR(D2348),2)&amp;":"&amp;RIGHT("0"&amp;MINUTE(D2348),2))&amp;" ")&amp;F2348)</f>
        <v/>
      </c>
      <c r="N2348" s="54">
        <f>IF(OR(A2348="",F2348=""),"",A2348&amp;"#"&amp;(COUNTIFS($A$5:$A$3004,A2348,$F$5:$F$3004,"?*",$O$5:$O$3004,"&lt;"&amp;O2348)+COUNTIFS($A$5:A2348,A2348,$F$5:F2348,"?*",$O$5:O2348,O2348)))</f>
        <v/>
      </c>
      <c r="O2348" s="54">
        <f>IF(A2348="","",IF(C2348="",0,C2348))</f>
        <v/>
      </c>
    </row>
    <row r="2349">
      <c r="A2349" s="58" t="n"/>
      <c r="B2349" s="49">
        <f>IF(A2349="","",CHOOSE(WEEKDAY(A2349,2),"Пн","Вт","Ср","Чт","Пт","Сб","Вс"))</f>
        <v/>
      </c>
      <c r="C2349" s="59" t="n"/>
      <c r="D2349" s="59" t="n"/>
      <c r="E2349" s="60">
        <f>IF(OR(C2349="",D2349=""),"",MOD(D2349-C2349,1)*24)</f>
        <v/>
      </c>
      <c r="F2349" s="50" t="n"/>
      <c r="G2349" s="51" t="n"/>
      <c r="H2349" s="51" t="n"/>
      <c r="I2349" s="51" t="n"/>
      <c r="J2349" s="51" t="n"/>
      <c r="K2349" s="51" t="n"/>
      <c r="L2349" s="54">
        <f>IF(OR(A2349="",C2349="",D2349=""),"",IF(COUNTIFS($A$5:$A$3004,A2349,$C$5:$C$3004,"&lt;"&amp;D2349,$D$5:$D$3004,"&gt;"&amp;C2349)&gt;1,"⚠️ пересечение",""))</f>
        <v/>
      </c>
      <c r="M2349" s="54">
        <f>IF(F2349="","",IF(J2349="✅ Сделано","✔ ",IF(J2349="❌ Пропущено","✖ ","⏰ "))&amp;IF(C2349="","",RIGHT("0"&amp;HOUR(C2349),2)&amp;":"&amp;RIGHT("0"&amp;MINUTE(C2349),2)&amp;IF(D2349="","","–"&amp;RIGHT("0"&amp;HOUR(D2349),2)&amp;":"&amp;RIGHT("0"&amp;MINUTE(D2349),2))&amp;" ")&amp;F2349)</f>
        <v/>
      </c>
      <c r="N2349" s="54">
        <f>IF(OR(A2349="",F2349=""),"",A2349&amp;"#"&amp;(COUNTIFS($A$5:$A$3004,A2349,$F$5:$F$3004,"?*",$O$5:$O$3004,"&lt;"&amp;O2349)+COUNTIFS($A$5:A2349,A2349,$F$5:F2349,"?*",$O$5:O2349,O2349)))</f>
        <v/>
      </c>
      <c r="O2349" s="54">
        <f>IF(A2349="","",IF(C2349="",0,C2349))</f>
        <v/>
      </c>
    </row>
    <row r="2350">
      <c r="A2350" s="58" t="n"/>
      <c r="B2350" s="49">
        <f>IF(A2350="","",CHOOSE(WEEKDAY(A2350,2),"Пн","Вт","Ср","Чт","Пт","Сб","Вс"))</f>
        <v/>
      </c>
      <c r="C2350" s="59" t="n"/>
      <c r="D2350" s="59" t="n"/>
      <c r="E2350" s="60">
        <f>IF(OR(C2350="",D2350=""),"",MOD(D2350-C2350,1)*24)</f>
        <v/>
      </c>
      <c r="F2350" s="50" t="n"/>
      <c r="G2350" s="51" t="n"/>
      <c r="H2350" s="51" t="n"/>
      <c r="I2350" s="51" t="n"/>
      <c r="J2350" s="51" t="n"/>
      <c r="K2350" s="51" t="n"/>
      <c r="L2350" s="54">
        <f>IF(OR(A2350="",C2350="",D2350=""),"",IF(COUNTIFS($A$5:$A$3004,A2350,$C$5:$C$3004,"&lt;"&amp;D2350,$D$5:$D$3004,"&gt;"&amp;C2350)&gt;1,"⚠️ пересечение",""))</f>
        <v/>
      </c>
      <c r="M2350" s="54">
        <f>IF(F2350="","",IF(J2350="✅ Сделано","✔ ",IF(J2350="❌ Пропущено","✖ ","⏰ "))&amp;IF(C2350="","",RIGHT("0"&amp;HOUR(C2350),2)&amp;":"&amp;RIGHT("0"&amp;MINUTE(C2350),2)&amp;IF(D2350="","","–"&amp;RIGHT("0"&amp;HOUR(D2350),2)&amp;":"&amp;RIGHT("0"&amp;MINUTE(D2350),2))&amp;" ")&amp;F2350)</f>
        <v/>
      </c>
      <c r="N2350" s="54">
        <f>IF(OR(A2350="",F2350=""),"",A2350&amp;"#"&amp;(COUNTIFS($A$5:$A$3004,A2350,$F$5:$F$3004,"?*",$O$5:$O$3004,"&lt;"&amp;O2350)+COUNTIFS($A$5:A2350,A2350,$F$5:F2350,"?*",$O$5:O2350,O2350)))</f>
        <v/>
      </c>
      <c r="O2350" s="54">
        <f>IF(A2350="","",IF(C2350="",0,C2350))</f>
        <v/>
      </c>
    </row>
    <row r="2351">
      <c r="A2351" s="58" t="n"/>
      <c r="B2351" s="49">
        <f>IF(A2351="","",CHOOSE(WEEKDAY(A2351,2),"Пн","Вт","Ср","Чт","Пт","Сб","Вс"))</f>
        <v/>
      </c>
      <c r="C2351" s="59" t="n"/>
      <c r="D2351" s="59" t="n"/>
      <c r="E2351" s="60">
        <f>IF(OR(C2351="",D2351=""),"",MOD(D2351-C2351,1)*24)</f>
        <v/>
      </c>
      <c r="F2351" s="50" t="n"/>
      <c r="G2351" s="51" t="n"/>
      <c r="H2351" s="51" t="n"/>
      <c r="I2351" s="51" t="n"/>
      <c r="J2351" s="51" t="n"/>
      <c r="K2351" s="51" t="n"/>
      <c r="L2351" s="54">
        <f>IF(OR(A2351="",C2351="",D2351=""),"",IF(COUNTIFS($A$5:$A$3004,A2351,$C$5:$C$3004,"&lt;"&amp;D2351,$D$5:$D$3004,"&gt;"&amp;C2351)&gt;1,"⚠️ пересечение",""))</f>
        <v/>
      </c>
      <c r="M2351" s="54">
        <f>IF(F2351="","",IF(J2351="✅ Сделано","✔ ",IF(J2351="❌ Пропущено","✖ ","⏰ "))&amp;IF(C2351="","",RIGHT("0"&amp;HOUR(C2351),2)&amp;":"&amp;RIGHT("0"&amp;MINUTE(C2351),2)&amp;IF(D2351="","","–"&amp;RIGHT("0"&amp;HOUR(D2351),2)&amp;":"&amp;RIGHT("0"&amp;MINUTE(D2351),2))&amp;" ")&amp;F2351)</f>
        <v/>
      </c>
      <c r="N2351" s="54">
        <f>IF(OR(A2351="",F2351=""),"",A2351&amp;"#"&amp;(COUNTIFS($A$5:$A$3004,A2351,$F$5:$F$3004,"?*",$O$5:$O$3004,"&lt;"&amp;O2351)+COUNTIFS($A$5:A2351,A2351,$F$5:F2351,"?*",$O$5:O2351,O2351)))</f>
        <v/>
      </c>
      <c r="O2351" s="54">
        <f>IF(A2351="","",IF(C2351="",0,C2351))</f>
        <v/>
      </c>
    </row>
    <row r="2352">
      <c r="A2352" s="58" t="n"/>
      <c r="B2352" s="49">
        <f>IF(A2352="","",CHOOSE(WEEKDAY(A2352,2),"Пн","Вт","Ср","Чт","Пт","Сб","Вс"))</f>
        <v/>
      </c>
      <c r="C2352" s="59" t="n"/>
      <c r="D2352" s="59" t="n"/>
      <c r="E2352" s="60">
        <f>IF(OR(C2352="",D2352=""),"",MOD(D2352-C2352,1)*24)</f>
        <v/>
      </c>
      <c r="F2352" s="50" t="n"/>
      <c r="G2352" s="51" t="n"/>
      <c r="H2352" s="51" t="n"/>
      <c r="I2352" s="51" t="n"/>
      <c r="J2352" s="51" t="n"/>
      <c r="K2352" s="51" t="n"/>
      <c r="L2352" s="54">
        <f>IF(OR(A2352="",C2352="",D2352=""),"",IF(COUNTIFS($A$5:$A$3004,A2352,$C$5:$C$3004,"&lt;"&amp;D2352,$D$5:$D$3004,"&gt;"&amp;C2352)&gt;1,"⚠️ пересечение",""))</f>
        <v/>
      </c>
      <c r="M2352" s="54">
        <f>IF(F2352="","",IF(J2352="✅ Сделано","✔ ",IF(J2352="❌ Пропущено","✖ ","⏰ "))&amp;IF(C2352="","",RIGHT("0"&amp;HOUR(C2352),2)&amp;":"&amp;RIGHT("0"&amp;MINUTE(C2352),2)&amp;IF(D2352="","","–"&amp;RIGHT("0"&amp;HOUR(D2352),2)&amp;":"&amp;RIGHT("0"&amp;MINUTE(D2352),2))&amp;" ")&amp;F2352)</f>
        <v/>
      </c>
      <c r="N2352" s="54">
        <f>IF(OR(A2352="",F2352=""),"",A2352&amp;"#"&amp;(COUNTIFS($A$5:$A$3004,A2352,$F$5:$F$3004,"?*",$O$5:$O$3004,"&lt;"&amp;O2352)+COUNTIFS($A$5:A2352,A2352,$F$5:F2352,"?*",$O$5:O2352,O2352)))</f>
        <v/>
      </c>
      <c r="O2352" s="54">
        <f>IF(A2352="","",IF(C2352="",0,C2352))</f>
        <v/>
      </c>
    </row>
    <row r="2353">
      <c r="A2353" s="58" t="n"/>
      <c r="B2353" s="49">
        <f>IF(A2353="","",CHOOSE(WEEKDAY(A2353,2),"Пн","Вт","Ср","Чт","Пт","Сб","Вс"))</f>
        <v/>
      </c>
      <c r="C2353" s="59" t="n"/>
      <c r="D2353" s="59" t="n"/>
      <c r="E2353" s="60">
        <f>IF(OR(C2353="",D2353=""),"",MOD(D2353-C2353,1)*24)</f>
        <v/>
      </c>
      <c r="F2353" s="50" t="n"/>
      <c r="G2353" s="51" t="n"/>
      <c r="H2353" s="51" t="n"/>
      <c r="I2353" s="51" t="n"/>
      <c r="J2353" s="51" t="n"/>
      <c r="K2353" s="51" t="n"/>
      <c r="L2353" s="54">
        <f>IF(OR(A2353="",C2353="",D2353=""),"",IF(COUNTIFS($A$5:$A$3004,A2353,$C$5:$C$3004,"&lt;"&amp;D2353,$D$5:$D$3004,"&gt;"&amp;C2353)&gt;1,"⚠️ пересечение",""))</f>
        <v/>
      </c>
      <c r="M2353" s="54">
        <f>IF(F2353="","",IF(J2353="✅ Сделано","✔ ",IF(J2353="❌ Пропущено","✖ ","⏰ "))&amp;IF(C2353="","",RIGHT("0"&amp;HOUR(C2353),2)&amp;":"&amp;RIGHT("0"&amp;MINUTE(C2353),2)&amp;IF(D2353="","","–"&amp;RIGHT("0"&amp;HOUR(D2353),2)&amp;":"&amp;RIGHT("0"&amp;MINUTE(D2353),2))&amp;" ")&amp;F2353)</f>
        <v/>
      </c>
      <c r="N2353" s="54">
        <f>IF(OR(A2353="",F2353=""),"",A2353&amp;"#"&amp;(COUNTIFS($A$5:$A$3004,A2353,$F$5:$F$3004,"?*",$O$5:$O$3004,"&lt;"&amp;O2353)+COUNTIFS($A$5:A2353,A2353,$F$5:F2353,"?*",$O$5:O2353,O2353)))</f>
        <v/>
      </c>
      <c r="O2353" s="54">
        <f>IF(A2353="","",IF(C2353="",0,C2353))</f>
        <v/>
      </c>
    </row>
    <row r="2354">
      <c r="A2354" s="58" t="n"/>
      <c r="B2354" s="49">
        <f>IF(A2354="","",CHOOSE(WEEKDAY(A2354,2),"Пн","Вт","Ср","Чт","Пт","Сб","Вс"))</f>
        <v/>
      </c>
      <c r="C2354" s="59" t="n"/>
      <c r="D2354" s="59" t="n"/>
      <c r="E2354" s="60">
        <f>IF(OR(C2354="",D2354=""),"",MOD(D2354-C2354,1)*24)</f>
        <v/>
      </c>
      <c r="F2354" s="50" t="n"/>
      <c r="G2354" s="51" t="n"/>
      <c r="H2354" s="51" t="n"/>
      <c r="I2354" s="51" t="n"/>
      <c r="J2354" s="51" t="n"/>
      <c r="K2354" s="51" t="n"/>
      <c r="L2354" s="54">
        <f>IF(OR(A2354="",C2354="",D2354=""),"",IF(COUNTIFS($A$5:$A$3004,A2354,$C$5:$C$3004,"&lt;"&amp;D2354,$D$5:$D$3004,"&gt;"&amp;C2354)&gt;1,"⚠️ пересечение",""))</f>
        <v/>
      </c>
      <c r="M2354" s="54">
        <f>IF(F2354="","",IF(J2354="✅ Сделано","✔ ",IF(J2354="❌ Пропущено","✖ ","⏰ "))&amp;IF(C2354="","",RIGHT("0"&amp;HOUR(C2354),2)&amp;":"&amp;RIGHT("0"&amp;MINUTE(C2354),2)&amp;IF(D2354="","","–"&amp;RIGHT("0"&amp;HOUR(D2354),2)&amp;":"&amp;RIGHT("0"&amp;MINUTE(D2354),2))&amp;" ")&amp;F2354)</f>
        <v/>
      </c>
      <c r="N2354" s="54">
        <f>IF(OR(A2354="",F2354=""),"",A2354&amp;"#"&amp;(COUNTIFS($A$5:$A$3004,A2354,$F$5:$F$3004,"?*",$O$5:$O$3004,"&lt;"&amp;O2354)+COUNTIFS($A$5:A2354,A2354,$F$5:F2354,"?*",$O$5:O2354,O2354)))</f>
        <v/>
      </c>
      <c r="O2354" s="54">
        <f>IF(A2354="","",IF(C2354="",0,C2354))</f>
        <v/>
      </c>
    </row>
    <row r="2355">
      <c r="A2355" s="58" t="n"/>
      <c r="B2355" s="49">
        <f>IF(A2355="","",CHOOSE(WEEKDAY(A2355,2),"Пн","Вт","Ср","Чт","Пт","Сб","Вс"))</f>
        <v/>
      </c>
      <c r="C2355" s="59" t="n"/>
      <c r="D2355" s="59" t="n"/>
      <c r="E2355" s="60">
        <f>IF(OR(C2355="",D2355=""),"",MOD(D2355-C2355,1)*24)</f>
        <v/>
      </c>
      <c r="F2355" s="50" t="n"/>
      <c r="G2355" s="51" t="n"/>
      <c r="H2355" s="51" t="n"/>
      <c r="I2355" s="51" t="n"/>
      <c r="J2355" s="51" t="n"/>
      <c r="K2355" s="51" t="n"/>
      <c r="L2355" s="54">
        <f>IF(OR(A2355="",C2355="",D2355=""),"",IF(COUNTIFS($A$5:$A$3004,A2355,$C$5:$C$3004,"&lt;"&amp;D2355,$D$5:$D$3004,"&gt;"&amp;C2355)&gt;1,"⚠️ пересечение",""))</f>
        <v/>
      </c>
      <c r="M2355" s="54">
        <f>IF(F2355="","",IF(J2355="✅ Сделано","✔ ",IF(J2355="❌ Пропущено","✖ ","⏰ "))&amp;IF(C2355="","",RIGHT("0"&amp;HOUR(C2355),2)&amp;":"&amp;RIGHT("0"&amp;MINUTE(C2355),2)&amp;IF(D2355="","","–"&amp;RIGHT("0"&amp;HOUR(D2355),2)&amp;":"&amp;RIGHT("0"&amp;MINUTE(D2355),2))&amp;" ")&amp;F2355)</f>
        <v/>
      </c>
      <c r="N2355" s="54">
        <f>IF(OR(A2355="",F2355=""),"",A2355&amp;"#"&amp;(COUNTIFS($A$5:$A$3004,A2355,$F$5:$F$3004,"?*",$O$5:$O$3004,"&lt;"&amp;O2355)+COUNTIFS($A$5:A2355,A2355,$F$5:F2355,"?*",$O$5:O2355,O2355)))</f>
        <v/>
      </c>
      <c r="O2355" s="54">
        <f>IF(A2355="","",IF(C2355="",0,C2355))</f>
        <v/>
      </c>
    </row>
    <row r="2356">
      <c r="A2356" s="58" t="n"/>
      <c r="B2356" s="49">
        <f>IF(A2356="","",CHOOSE(WEEKDAY(A2356,2),"Пн","Вт","Ср","Чт","Пт","Сб","Вс"))</f>
        <v/>
      </c>
      <c r="C2356" s="59" t="n"/>
      <c r="D2356" s="59" t="n"/>
      <c r="E2356" s="60">
        <f>IF(OR(C2356="",D2356=""),"",MOD(D2356-C2356,1)*24)</f>
        <v/>
      </c>
      <c r="F2356" s="50" t="n"/>
      <c r="G2356" s="51" t="n"/>
      <c r="H2356" s="51" t="n"/>
      <c r="I2356" s="51" t="n"/>
      <c r="J2356" s="51" t="n"/>
      <c r="K2356" s="51" t="n"/>
      <c r="L2356" s="54">
        <f>IF(OR(A2356="",C2356="",D2356=""),"",IF(COUNTIFS($A$5:$A$3004,A2356,$C$5:$C$3004,"&lt;"&amp;D2356,$D$5:$D$3004,"&gt;"&amp;C2356)&gt;1,"⚠️ пересечение",""))</f>
        <v/>
      </c>
      <c r="M2356" s="54">
        <f>IF(F2356="","",IF(J2356="✅ Сделано","✔ ",IF(J2356="❌ Пропущено","✖ ","⏰ "))&amp;IF(C2356="","",RIGHT("0"&amp;HOUR(C2356),2)&amp;":"&amp;RIGHT("0"&amp;MINUTE(C2356),2)&amp;IF(D2356="","","–"&amp;RIGHT("0"&amp;HOUR(D2356),2)&amp;":"&amp;RIGHT("0"&amp;MINUTE(D2356),2))&amp;" ")&amp;F2356)</f>
        <v/>
      </c>
      <c r="N2356" s="54">
        <f>IF(OR(A2356="",F2356=""),"",A2356&amp;"#"&amp;(COUNTIFS($A$5:$A$3004,A2356,$F$5:$F$3004,"?*",$O$5:$O$3004,"&lt;"&amp;O2356)+COUNTIFS($A$5:A2356,A2356,$F$5:F2356,"?*",$O$5:O2356,O2356)))</f>
        <v/>
      </c>
      <c r="O2356" s="54">
        <f>IF(A2356="","",IF(C2356="",0,C2356))</f>
        <v/>
      </c>
    </row>
    <row r="2357">
      <c r="A2357" s="58" t="n"/>
      <c r="B2357" s="49">
        <f>IF(A2357="","",CHOOSE(WEEKDAY(A2357,2),"Пн","Вт","Ср","Чт","Пт","Сб","Вс"))</f>
        <v/>
      </c>
      <c r="C2357" s="59" t="n"/>
      <c r="D2357" s="59" t="n"/>
      <c r="E2357" s="60">
        <f>IF(OR(C2357="",D2357=""),"",MOD(D2357-C2357,1)*24)</f>
        <v/>
      </c>
      <c r="F2357" s="50" t="n"/>
      <c r="G2357" s="51" t="n"/>
      <c r="H2357" s="51" t="n"/>
      <c r="I2357" s="51" t="n"/>
      <c r="J2357" s="51" t="n"/>
      <c r="K2357" s="51" t="n"/>
      <c r="L2357" s="54">
        <f>IF(OR(A2357="",C2357="",D2357=""),"",IF(COUNTIFS($A$5:$A$3004,A2357,$C$5:$C$3004,"&lt;"&amp;D2357,$D$5:$D$3004,"&gt;"&amp;C2357)&gt;1,"⚠️ пересечение",""))</f>
        <v/>
      </c>
      <c r="M2357" s="54">
        <f>IF(F2357="","",IF(J2357="✅ Сделано","✔ ",IF(J2357="❌ Пропущено","✖ ","⏰ "))&amp;IF(C2357="","",RIGHT("0"&amp;HOUR(C2357),2)&amp;":"&amp;RIGHT("0"&amp;MINUTE(C2357),2)&amp;IF(D2357="","","–"&amp;RIGHT("0"&amp;HOUR(D2357),2)&amp;":"&amp;RIGHT("0"&amp;MINUTE(D2357),2))&amp;" ")&amp;F2357)</f>
        <v/>
      </c>
      <c r="N2357" s="54">
        <f>IF(OR(A2357="",F2357=""),"",A2357&amp;"#"&amp;(COUNTIFS($A$5:$A$3004,A2357,$F$5:$F$3004,"?*",$O$5:$O$3004,"&lt;"&amp;O2357)+COUNTIFS($A$5:A2357,A2357,$F$5:F2357,"?*",$O$5:O2357,O2357)))</f>
        <v/>
      </c>
      <c r="O2357" s="54">
        <f>IF(A2357="","",IF(C2357="",0,C2357))</f>
        <v/>
      </c>
    </row>
    <row r="2358">
      <c r="A2358" s="58" t="n"/>
      <c r="B2358" s="49">
        <f>IF(A2358="","",CHOOSE(WEEKDAY(A2358,2),"Пн","Вт","Ср","Чт","Пт","Сб","Вс"))</f>
        <v/>
      </c>
      <c r="C2358" s="59" t="n"/>
      <c r="D2358" s="59" t="n"/>
      <c r="E2358" s="60">
        <f>IF(OR(C2358="",D2358=""),"",MOD(D2358-C2358,1)*24)</f>
        <v/>
      </c>
      <c r="F2358" s="50" t="n"/>
      <c r="G2358" s="51" t="n"/>
      <c r="H2358" s="51" t="n"/>
      <c r="I2358" s="51" t="n"/>
      <c r="J2358" s="51" t="n"/>
      <c r="K2358" s="51" t="n"/>
      <c r="L2358" s="54">
        <f>IF(OR(A2358="",C2358="",D2358=""),"",IF(COUNTIFS($A$5:$A$3004,A2358,$C$5:$C$3004,"&lt;"&amp;D2358,$D$5:$D$3004,"&gt;"&amp;C2358)&gt;1,"⚠️ пересечение",""))</f>
        <v/>
      </c>
      <c r="M2358" s="54">
        <f>IF(F2358="","",IF(J2358="✅ Сделано","✔ ",IF(J2358="❌ Пропущено","✖ ","⏰ "))&amp;IF(C2358="","",RIGHT("0"&amp;HOUR(C2358),2)&amp;":"&amp;RIGHT("0"&amp;MINUTE(C2358),2)&amp;IF(D2358="","","–"&amp;RIGHT("0"&amp;HOUR(D2358),2)&amp;":"&amp;RIGHT("0"&amp;MINUTE(D2358),2))&amp;" ")&amp;F2358)</f>
        <v/>
      </c>
      <c r="N2358" s="54">
        <f>IF(OR(A2358="",F2358=""),"",A2358&amp;"#"&amp;(COUNTIFS($A$5:$A$3004,A2358,$F$5:$F$3004,"?*",$O$5:$O$3004,"&lt;"&amp;O2358)+COUNTIFS($A$5:A2358,A2358,$F$5:F2358,"?*",$O$5:O2358,O2358)))</f>
        <v/>
      </c>
      <c r="O2358" s="54">
        <f>IF(A2358="","",IF(C2358="",0,C2358))</f>
        <v/>
      </c>
    </row>
    <row r="2359">
      <c r="A2359" s="58" t="n"/>
      <c r="B2359" s="49">
        <f>IF(A2359="","",CHOOSE(WEEKDAY(A2359,2),"Пн","Вт","Ср","Чт","Пт","Сб","Вс"))</f>
        <v/>
      </c>
      <c r="C2359" s="59" t="n"/>
      <c r="D2359" s="59" t="n"/>
      <c r="E2359" s="60">
        <f>IF(OR(C2359="",D2359=""),"",MOD(D2359-C2359,1)*24)</f>
        <v/>
      </c>
      <c r="F2359" s="50" t="n"/>
      <c r="G2359" s="51" t="n"/>
      <c r="H2359" s="51" t="n"/>
      <c r="I2359" s="51" t="n"/>
      <c r="J2359" s="51" t="n"/>
      <c r="K2359" s="51" t="n"/>
      <c r="L2359" s="54">
        <f>IF(OR(A2359="",C2359="",D2359=""),"",IF(COUNTIFS($A$5:$A$3004,A2359,$C$5:$C$3004,"&lt;"&amp;D2359,$D$5:$D$3004,"&gt;"&amp;C2359)&gt;1,"⚠️ пересечение",""))</f>
        <v/>
      </c>
      <c r="M2359" s="54">
        <f>IF(F2359="","",IF(J2359="✅ Сделано","✔ ",IF(J2359="❌ Пропущено","✖ ","⏰ "))&amp;IF(C2359="","",RIGHT("0"&amp;HOUR(C2359),2)&amp;":"&amp;RIGHT("0"&amp;MINUTE(C2359),2)&amp;IF(D2359="","","–"&amp;RIGHT("0"&amp;HOUR(D2359),2)&amp;":"&amp;RIGHT("0"&amp;MINUTE(D2359),2))&amp;" ")&amp;F2359)</f>
        <v/>
      </c>
      <c r="N2359" s="54">
        <f>IF(OR(A2359="",F2359=""),"",A2359&amp;"#"&amp;(COUNTIFS($A$5:$A$3004,A2359,$F$5:$F$3004,"?*",$O$5:$O$3004,"&lt;"&amp;O2359)+COUNTIFS($A$5:A2359,A2359,$F$5:F2359,"?*",$O$5:O2359,O2359)))</f>
        <v/>
      </c>
      <c r="O2359" s="54">
        <f>IF(A2359="","",IF(C2359="",0,C2359))</f>
        <v/>
      </c>
    </row>
    <row r="2360">
      <c r="A2360" s="58" t="n"/>
      <c r="B2360" s="49">
        <f>IF(A2360="","",CHOOSE(WEEKDAY(A2360,2),"Пн","Вт","Ср","Чт","Пт","Сб","Вс"))</f>
        <v/>
      </c>
      <c r="C2360" s="59" t="n"/>
      <c r="D2360" s="59" t="n"/>
      <c r="E2360" s="60">
        <f>IF(OR(C2360="",D2360=""),"",MOD(D2360-C2360,1)*24)</f>
        <v/>
      </c>
      <c r="F2360" s="50" t="n"/>
      <c r="G2360" s="51" t="n"/>
      <c r="H2360" s="51" t="n"/>
      <c r="I2360" s="51" t="n"/>
      <c r="J2360" s="51" t="n"/>
      <c r="K2360" s="51" t="n"/>
      <c r="L2360" s="54">
        <f>IF(OR(A2360="",C2360="",D2360=""),"",IF(COUNTIFS($A$5:$A$3004,A2360,$C$5:$C$3004,"&lt;"&amp;D2360,$D$5:$D$3004,"&gt;"&amp;C2360)&gt;1,"⚠️ пересечение",""))</f>
        <v/>
      </c>
      <c r="M2360" s="54">
        <f>IF(F2360="","",IF(J2360="✅ Сделано","✔ ",IF(J2360="❌ Пропущено","✖ ","⏰ "))&amp;IF(C2360="","",RIGHT("0"&amp;HOUR(C2360),2)&amp;":"&amp;RIGHT("0"&amp;MINUTE(C2360),2)&amp;IF(D2360="","","–"&amp;RIGHT("0"&amp;HOUR(D2360),2)&amp;":"&amp;RIGHT("0"&amp;MINUTE(D2360),2))&amp;" ")&amp;F2360)</f>
        <v/>
      </c>
      <c r="N2360" s="54">
        <f>IF(OR(A2360="",F2360=""),"",A2360&amp;"#"&amp;(COUNTIFS($A$5:$A$3004,A2360,$F$5:$F$3004,"?*",$O$5:$O$3004,"&lt;"&amp;O2360)+COUNTIFS($A$5:A2360,A2360,$F$5:F2360,"?*",$O$5:O2360,O2360)))</f>
        <v/>
      </c>
      <c r="O2360" s="54">
        <f>IF(A2360="","",IF(C2360="",0,C2360))</f>
        <v/>
      </c>
    </row>
    <row r="2361">
      <c r="A2361" s="58" t="n"/>
      <c r="B2361" s="49">
        <f>IF(A2361="","",CHOOSE(WEEKDAY(A2361,2),"Пн","Вт","Ср","Чт","Пт","Сб","Вс"))</f>
        <v/>
      </c>
      <c r="C2361" s="59" t="n"/>
      <c r="D2361" s="59" t="n"/>
      <c r="E2361" s="60">
        <f>IF(OR(C2361="",D2361=""),"",MOD(D2361-C2361,1)*24)</f>
        <v/>
      </c>
      <c r="F2361" s="50" t="n"/>
      <c r="G2361" s="51" t="n"/>
      <c r="H2361" s="51" t="n"/>
      <c r="I2361" s="51" t="n"/>
      <c r="J2361" s="51" t="n"/>
      <c r="K2361" s="51" t="n"/>
      <c r="L2361" s="54">
        <f>IF(OR(A2361="",C2361="",D2361=""),"",IF(COUNTIFS($A$5:$A$3004,A2361,$C$5:$C$3004,"&lt;"&amp;D2361,$D$5:$D$3004,"&gt;"&amp;C2361)&gt;1,"⚠️ пересечение",""))</f>
        <v/>
      </c>
      <c r="M2361" s="54">
        <f>IF(F2361="","",IF(J2361="✅ Сделано","✔ ",IF(J2361="❌ Пропущено","✖ ","⏰ "))&amp;IF(C2361="","",RIGHT("0"&amp;HOUR(C2361),2)&amp;":"&amp;RIGHT("0"&amp;MINUTE(C2361),2)&amp;IF(D2361="","","–"&amp;RIGHT("0"&amp;HOUR(D2361),2)&amp;":"&amp;RIGHT("0"&amp;MINUTE(D2361),2))&amp;" ")&amp;F2361)</f>
        <v/>
      </c>
      <c r="N2361" s="54">
        <f>IF(OR(A2361="",F2361=""),"",A2361&amp;"#"&amp;(COUNTIFS($A$5:$A$3004,A2361,$F$5:$F$3004,"?*",$O$5:$O$3004,"&lt;"&amp;O2361)+COUNTIFS($A$5:A2361,A2361,$F$5:F2361,"?*",$O$5:O2361,O2361)))</f>
        <v/>
      </c>
      <c r="O2361" s="54">
        <f>IF(A2361="","",IF(C2361="",0,C2361))</f>
        <v/>
      </c>
    </row>
    <row r="2362">
      <c r="A2362" s="58" t="n"/>
      <c r="B2362" s="49">
        <f>IF(A2362="","",CHOOSE(WEEKDAY(A2362,2),"Пн","Вт","Ср","Чт","Пт","Сб","Вс"))</f>
        <v/>
      </c>
      <c r="C2362" s="59" t="n"/>
      <c r="D2362" s="59" t="n"/>
      <c r="E2362" s="60">
        <f>IF(OR(C2362="",D2362=""),"",MOD(D2362-C2362,1)*24)</f>
        <v/>
      </c>
      <c r="F2362" s="50" t="n"/>
      <c r="G2362" s="51" t="n"/>
      <c r="H2362" s="51" t="n"/>
      <c r="I2362" s="51" t="n"/>
      <c r="J2362" s="51" t="n"/>
      <c r="K2362" s="51" t="n"/>
      <c r="L2362" s="54">
        <f>IF(OR(A2362="",C2362="",D2362=""),"",IF(COUNTIFS($A$5:$A$3004,A2362,$C$5:$C$3004,"&lt;"&amp;D2362,$D$5:$D$3004,"&gt;"&amp;C2362)&gt;1,"⚠️ пересечение",""))</f>
        <v/>
      </c>
      <c r="M2362" s="54">
        <f>IF(F2362="","",IF(J2362="✅ Сделано","✔ ",IF(J2362="❌ Пропущено","✖ ","⏰ "))&amp;IF(C2362="","",RIGHT("0"&amp;HOUR(C2362),2)&amp;":"&amp;RIGHT("0"&amp;MINUTE(C2362),2)&amp;IF(D2362="","","–"&amp;RIGHT("0"&amp;HOUR(D2362),2)&amp;":"&amp;RIGHT("0"&amp;MINUTE(D2362),2))&amp;" ")&amp;F2362)</f>
        <v/>
      </c>
      <c r="N2362" s="54">
        <f>IF(OR(A2362="",F2362=""),"",A2362&amp;"#"&amp;(COUNTIFS($A$5:$A$3004,A2362,$F$5:$F$3004,"?*",$O$5:$O$3004,"&lt;"&amp;O2362)+COUNTIFS($A$5:A2362,A2362,$F$5:F2362,"?*",$O$5:O2362,O2362)))</f>
        <v/>
      </c>
      <c r="O2362" s="54">
        <f>IF(A2362="","",IF(C2362="",0,C2362))</f>
        <v/>
      </c>
    </row>
    <row r="2363">
      <c r="A2363" s="58" t="n"/>
      <c r="B2363" s="49">
        <f>IF(A2363="","",CHOOSE(WEEKDAY(A2363,2),"Пн","Вт","Ср","Чт","Пт","Сб","Вс"))</f>
        <v/>
      </c>
      <c r="C2363" s="59" t="n"/>
      <c r="D2363" s="59" t="n"/>
      <c r="E2363" s="60">
        <f>IF(OR(C2363="",D2363=""),"",MOD(D2363-C2363,1)*24)</f>
        <v/>
      </c>
      <c r="F2363" s="50" t="n"/>
      <c r="G2363" s="51" t="n"/>
      <c r="H2363" s="51" t="n"/>
      <c r="I2363" s="51" t="n"/>
      <c r="J2363" s="51" t="n"/>
      <c r="K2363" s="51" t="n"/>
      <c r="L2363" s="54">
        <f>IF(OR(A2363="",C2363="",D2363=""),"",IF(COUNTIFS($A$5:$A$3004,A2363,$C$5:$C$3004,"&lt;"&amp;D2363,$D$5:$D$3004,"&gt;"&amp;C2363)&gt;1,"⚠️ пересечение",""))</f>
        <v/>
      </c>
      <c r="M2363" s="54">
        <f>IF(F2363="","",IF(J2363="✅ Сделано","✔ ",IF(J2363="❌ Пропущено","✖ ","⏰ "))&amp;IF(C2363="","",RIGHT("0"&amp;HOUR(C2363),2)&amp;":"&amp;RIGHT("0"&amp;MINUTE(C2363),2)&amp;IF(D2363="","","–"&amp;RIGHT("0"&amp;HOUR(D2363),2)&amp;":"&amp;RIGHT("0"&amp;MINUTE(D2363),2))&amp;" ")&amp;F2363)</f>
        <v/>
      </c>
      <c r="N2363" s="54">
        <f>IF(OR(A2363="",F2363=""),"",A2363&amp;"#"&amp;(COUNTIFS($A$5:$A$3004,A2363,$F$5:$F$3004,"?*",$O$5:$O$3004,"&lt;"&amp;O2363)+COUNTIFS($A$5:A2363,A2363,$F$5:F2363,"?*",$O$5:O2363,O2363)))</f>
        <v/>
      </c>
      <c r="O2363" s="54">
        <f>IF(A2363="","",IF(C2363="",0,C2363))</f>
        <v/>
      </c>
    </row>
    <row r="2364">
      <c r="A2364" s="58" t="n"/>
      <c r="B2364" s="49">
        <f>IF(A2364="","",CHOOSE(WEEKDAY(A2364,2),"Пн","Вт","Ср","Чт","Пт","Сб","Вс"))</f>
        <v/>
      </c>
      <c r="C2364" s="59" t="n"/>
      <c r="D2364" s="59" t="n"/>
      <c r="E2364" s="60">
        <f>IF(OR(C2364="",D2364=""),"",MOD(D2364-C2364,1)*24)</f>
        <v/>
      </c>
      <c r="F2364" s="50" t="n"/>
      <c r="G2364" s="51" t="n"/>
      <c r="H2364" s="51" t="n"/>
      <c r="I2364" s="51" t="n"/>
      <c r="J2364" s="51" t="n"/>
      <c r="K2364" s="51" t="n"/>
      <c r="L2364" s="54">
        <f>IF(OR(A2364="",C2364="",D2364=""),"",IF(COUNTIFS($A$5:$A$3004,A2364,$C$5:$C$3004,"&lt;"&amp;D2364,$D$5:$D$3004,"&gt;"&amp;C2364)&gt;1,"⚠️ пересечение",""))</f>
        <v/>
      </c>
      <c r="M2364" s="54">
        <f>IF(F2364="","",IF(J2364="✅ Сделано","✔ ",IF(J2364="❌ Пропущено","✖ ","⏰ "))&amp;IF(C2364="","",RIGHT("0"&amp;HOUR(C2364),2)&amp;":"&amp;RIGHT("0"&amp;MINUTE(C2364),2)&amp;IF(D2364="","","–"&amp;RIGHT("0"&amp;HOUR(D2364),2)&amp;":"&amp;RIGHT("0"&amp;MINUTE(D2364),2))&amp;" ")&amp;F2364)</f>
        <v/>
      </c>
      <c r="N2364" s="54">
        <f>IF(OR(A2364="",F2364=""),"",A2364&amp;"#"&amp;(COUNTIFS($A$5:$A$3004,A2364,$F$5:$F$3004,"?*",$O$5:$O$3004,"&lt;"&amp;O2364)+COUNTIFS($A$5:A2364,A2364,$F$5:F2364,"?*",$O$5:O2364,O2364)))</f>
        <v/>
      </c>
      <c r="O2364" s="54">
        <f>IF(A2364="","",IF(C2364="",0,C2364))</f>
        <v/>
      </c>
    </row>
    <row r="2365">
      <c r="A2365" s="58" t="n"/>
      <c r="B2365" s="49">
        <f>IF(A2365="","",CHOOSE(WEEKDAY(A2365,2),"Пн","Вт","Ср","Чт","Пт","Сб","Вс"))</f>
        <v/>
      </c>
      <c r="C2365" s="59" t="n"/>
      <c r="D2365" s="59" t="n"/>
      <c r="E2365" s="60">
        <f>IF(OR(C2365="",D2365=""),"",MOD(D2365-C2365,1)*24)</f>
        <v/>
      </c>
      <c r="F2365" s="50" t="n"/>
      <c r="G2365" s="51" t="n"/>
      <c r="H2365" s="51" t="n"/>
      <c r="I2365" s="51" t="n"/>
      <c r="J2365" s="51" t="n"/>
      <c r="K2365" s="51" t="n"/>
      <c r="L2365" s="54">
        <f>IF(OR(A2365="",C2365="",D2365=""),"",IF(COUNTIFS($A$5:$A$3004,A2365,$C$5:$C$3004,"&lt;"&amp;D2365,$D$5:$D$3004,"&gt;"&amp;C2365)&gt;1,"⚠️ пересечение",""))</f>
        <v/>
      </c>
      <c r="M2365" s="54">
        <f>IF(F2365="","",IF(J2365="✅ Сделано","✔ ",IF(J2365="❌ Пропущено","✖ ","⏰ "))&amp;IF(C2365="","",RIGHT("0"&amp;HOUR(C2365),2)&amp;":"&amp;RIGHT("0"&amp;MINUTE(C2365),2)&amp;IF(D2365="","","–"&amp;RIGHT("0"&amp;HOUR(D2365),2)&amp;":"&amp;RIGHT("0"&amp;MINUTE(D2365),2))&amp;" ")&amp;F2365)</f>
        <v/>
      </c>
      <c r="N2365" s="54">
        <f>IF(OR(A2365="",F2365=""),"",A2365&amp;"#"&amp;(COUNTIFS($A$5:$A$3004,A2365,$F$5:$F$3004,"?*",$O$5:$O$3004,"&lt;"&amp;O2365)+COUNTIFS($A$5:A2365,A2365,$F$5:F2365,"?*",$O$5:O2365,O2365)))</f>
        <v/>
      </c>
      <c r="O2365" s="54">
        <f>IF(A2365="","",IF(C2365="",0,C2365))</f>
        <v/>
      </c>
    </row>
    <row r="2366">
      <c r="A2366" s="58" t="n"/>
      <c r="B2366" s="49">
        <f>IF(A2366="","",CHOOSE(WEEKDAY(A2366,2),"Пн","Вт","Ср","Чт","Пт","Сб","Вс"))</f>
        <v/>
      </c>
      <c r="C2366" s="59" t="n"/>
      <c r="D2366" s="59" t="n"/>
      <c r="E2366" s="60">
        <f>IF(OR(C2366="",D2366=""),"",MOD(D2366-C2366,1)*24)</f>
        <v/>
      </c>
      <c r="F2366" s="50" t="n"/>
      <c r="G2366" s="51" t="n"/>
      <c r="H2366" s="51" t="n"/>
      <c r="I2366" s="51" t="n"/>
      <c r="J2366" s="51" t="n"/>
      <c r="K2366" s="51" t="n"/>
      <c r="L2366" s="54">
        <f>IF(OR(A2366="",C2366="",D2366=""),"",IF(COUNTIFS($A$5:$A$3004,A2366,$C$5:$C$3004,"&lt;"&amp;D2366,$D$5:$D$3004,"&gt;"&amp;C2366)&gt;1,"⚠️ пересечение",""))</f>
        <v/>
      </c>
      <c r="M2366" s="54">
        <f>IF(F2366="","",IF(J2366="✅ Сделано","✔ ",IF(J2366="❌ Пропущено","✖ ","⏰ "))&amp;IF(C2366="","",RIGHT("0"&amp;HOUR(C2366),2)&amp;":"&amp;RIGHT("0"&amp;MINUTE(C2366),2)&amp;IF(D2366="","","–"&amp;RIGHT("0"&amp;HOUR(D2366),2)&amp;":"&amp;RIGHT("0"&amp;MINUTE(D2366),2))&amp;" ")&amp;F2366)</f>
        <v/>
      </c>
      <c r="N2366" s="54">
        <f>IF(OR(A2366="",F2366=""),"",A2366&amp;"#"&amp;(COUNTIFS($A$5:$A$3004,A2366,$F$5:$F$3004,"?*",$O$5:$O$3004,"&lt;"&amp;O2366)+COUNTIFS($A$5:A2366,A2366,$F$5:F2366,"?*",$O$5:O2366,O2366)))</f>
        <v/>
      </c>
      <c r="O2366" s="54">
        <f>IF(A2366="","",IF(C2366="",0,C2366))</f>
        <v/>
      </c>
    </row>
    <row r="2367">
      <c r="A2367" s="58" t="n"/>
      <c r="B2367" s="49">
        <f>IF(A2367="","",CHOOSE(WEEKDAY(A2367,2),"Пн","Вт","Ср","Чт","Пт","Сб","Вс"))</f>
        <v/>
      </c>
      <c r="C2367" s="59" t="n"/>
      <c r="D2367" s="59" t="n"/>
      <c r="E2367" s="60">
        <f>IF(OR(C2367="",D2367=""),"",MOD(D2367-C2367,1)*24)</f>
        <v/>
      </c>
      <c r="F2367" s="50" t="n"/>
      <c r="G2367" s="51" t="n"/>
      <c r="H2367" s="51" t="n"/>
      <c r="I2367" s="51" t="n"/>
      <c r="J2367" s="51" t="n"/>
      <c r="K2367" s="51" t="n"/>
      <c r="L2367" s="54">
        <f>IF(OR(A2367="",C2367="",D2367=""),"",IF(COUNTIFS($A$5:$A$3004,A2367,$C$5:$C$3004,"&lt;"&amp;D2367,$D$5:$D$3004,"&gt;"&amp;C2367)&gt;1,"⚠️ пересечение",""))</f>
        <v/>
      </c>
      <c r="M2367" s="54">
        <f>IF(F2367="","",IF(J2367="✅ Сделано","✔ ",IF(J2367="❌ Пропущено","✖ ","⏰ "))&amp;IF(C2367="","",RIGHT("0"&amp;HOUR(C2367),2)&amp;":"&amp;RIGHT("0"&amp;MINUTE(C2367),2)&amp;IF(D2367="","","–"&amp;RIGHT("0"&amp;HOUR(D2367),2)&amp;":"&amp;RIGHT("0"&amp;MINUTE(D2367),2))&amp;" ")&amp;F2367)</f>
        <v/>
      </c>
      <c r="N2367" s="54">
        <f>IF(OR(A2367="",F2367=""),"",A2367&amp;"#"&amp;(COUNTIFS($A$5:$A$3004,A2367,$F$5:$F$3004,"?*",$O$5:$O$3004,"&lt;"&amp;O2367)+COUNTIFS($A$5:A2367,A2367,$F$5:F2367,"?*",$O$5:O2367,O2367)))</f>
        <v/>
      </c>
      <c r="O2367" s="54">
        <f>IF(A2367="","",IF(C2367="",0,C2367))</f>
        <v/>
      </c>
    </row>
    <row r="2368">
      <c r="A2368" s="58" t="n"/>
      <c r="B2368" s="49">
        <f>IF(A2368="","",CHOOSE(WEEKDAY(A2368,2),"Пн","Вт","Ср","Чт","Пт","Сб","Вс"))</f>
        <v/>
      </c>
      <c r="C2368" s="59" t="n"/>
      <c r="D2368" s="59" t="n"/>
      <c r="E2368" s="60">
        <f>IF(OR(C2368="",D2368=""),"",MOD(D2368-C2368,1)*24)</f>
        <v/>
      </c>
      <c r="F2368" s="50" t="n"/>
      <c r="G2368" s="51" t="n"/>
      <c r="H2368" s="51" t="n"/>
      <c r="I2368" s="51" t="n"/>
      <c r="J2368" s="51" t="n"/>
      <c r="K2368" s="51" t="n"/>
      <c r="L2368" s="54">
        <f>IF(OR(A2368="",C2368="",D2368=""),"",IF(COUNTIFS($A$5:$A$3004,A2368,$C$5:$C$3004,"&lt;"&amp;D2368,$D$5:$D$3004,"&gt;"&amp;C2368)&gt;1,"⚠️ пересечение",""))</f>
        <v/>
      </c>
      <c r="M2368" s="54">
        <f>IF(F2368="","",IF(J2368="✅ Сделано","✔ ",IF(J2368="❌ Пропущено","✖ ","⏰ "))&amp;IF(C2368="","",RIGHT("0"&amp;HOUR(C2368),2)&amp;":"&amp;RIGHT("0"&amp;MINUTE(C2368),2)&amp;IF(D2368="","","–"&amp;RIGHT("0"&amp;HOUR(D2368),2)&amp;":"&amp;RIGHT("0"&amp;MINUTE(D2368),2))&amp;" ")&amp;F2368)</f>
        <v/>
      </c>
      <c r="N2368" s="54">
        <f>IF(OR(A2368="",F2368=""),"",A2368&amp;"#"&amp;(COUNTIFS($A$5:$A$3004,A2368,$F$5:$F$3004,"?*",$O$5:$O$3004,"&lt;"&amp;O2368)+COUNTIFS($A$5:A2368,A2368,$F$5:F2368,"?*",$O$5:O2368,O2368)))</f>
        <v/>
      </c>
      <c r="O2368" s="54">
        <f>IF(A2368="","",IF(C2368="",0,C2368))</f>
        <v/>
      </c>
    </row>
    <row r="2369">
      <c r="A2369" s="58" t="n"/>
      <c r="B2369" s="49">
        <f>IF(A2369="","",CHOOSE(WEEKDAY(A2369,2),"Пн","Вт","Ср","Чт","Пт","Сб","Вс"))</f>
        <v/>
      </c>
      <c r="C2369" s="59" t="n"/>
      <c r="D2369" s="59" t="n"/>
      <c r="E2369" s="60">
        <f>IF(OR(C2369="",D2369=""),"",MOD(D2369-C2369,1)*24)</f>
        <v/>
      </c>
      <c r="F2369" s="50" t="n"/>
      <c r="G2369" s="51" t="n"/>
      <c r="H2369" s="51" t="n"/>
      <c r="I2369" s="51" t="n"/>
      <c r="J2369" s="51" t="n"/>
      <c r="K2369" s="51" t="n"/>
      <c r="L2369" s="54">
        <f>IF(OR(A2369="",C2369="",D2369=""),"",IF(COUNTIFS($A$5:$A$3004,A2369,$C$5:$C$3004,"&lt;"&amp;D2369,$D$5:$D$3004,"&gt;"&amp;C2369)&gt;1,"⚠️ пересечение",""))</f>
        <v/>
      </c>
      <c r="M2369" s="54">
        <f>IF(F2369="","",IF(J2369="✅ Сделано","✔ ",IF(J2369="❌ Пропущено","✖ ","⏰ "))&amp;IF(C2369="","",RIGHT("0"&amp;HOUR(C2369),2)&amp;":"&amp;RIGHT("0"&amp;MINUTE(C2369),2)&amp;IF(D2369="","","–"&amp;RIGHT("0"&amp;HOUR(D2369),2)&amp;":"&amp;RIGHT("0"&amp;MINUTE(D2369),2))&amp;" ")&amp;F2369)</f>
        <v/>
      </c>
      <c r="N2369" s="54">
        <f>IF(OR(A2369="",F2369=""),"",A2369&amp;"#"&amp;(COUNTIFS($A$5:$A$3004,A2369,$F$5:$F$3004,"?*",$O$5:$O$3004,"&lt;"&amp;O2369)+COUNTIFS($A$5:A2369,A2369,$F$5:F2369,"?*",$O$5:O2369,O2369)))</f>
        <v/>
      </c>
      <c r="O2369" s="54">
        <f>IF(A2369="","",IF(C2369="",0,C2369))</f>
        <v/>
      </c>
    </row>
    <row r="2370">
      <c r="A2370" s="58" t="n"/>
      <c r="B2370" s="49">
        <f>IF(A2370="","",CHOOSE(WEEKDAY(A2370,2),"Пн","Вт","Ср","Чт","Пт","Сб","Вс"))</f>
        <v/>
      </c>
      <c r="C2370" s="59" t="n"/>
      <c r="D2370" s="59" t="n"/>
      <c r="E2370" s="60">
        <f>IF(OR(C2370="",D2370=""),"",MOD(D2370-C2370,1)*24)</f>
        <v/>
      </c>
      <c r="F2370" s="50" t="n"/>
      <c r="G2370" s="51" t="n"/>
      <c r="H2370" s="51" t="n"/>
      <c r="I2370" s="51" t="n"/>
      <c r="J2370" s="51" t="n"/>
      <c r="K2370" s="51" t="n"/>
      <c r="L2370" s="54">
        <f>IF(OR(A2370="",C2370="",D2370=""),"",IF(COUNTIFS($A$5:$A$3004,A2370,$C$5:$C$3004,"&lt;"&amp;D2370,$D$5:$D$3004,"&gt;"&amp;C2370)&gt;1,"⚠️ пересечение",""))</f>
        <v/>
      </c>
      <c r="M2370" s="54">
        <f>IF(F2370="","",IF(J2370="✅ Сделано","✔ ",IF(J2370="❌ Пропущено","✖ ","⏰ "))&amp;IF(C2370="","",RIGHT("0"&amp;HOUR(C2370),2)&amp;":"&amp;RIGHT("0"&amp;MINUTE(C2370),2)&amp;IF(D2370="","","–"&amp;RIGHT("0"&amp;HOUR(D2370),2)&amp;":"&amp;RIGHT("0"&amp;MINUTE(D2370),2))&amp;" ")&amp;F2370)</f>
        <v/>
      </c>
      <c r="N2370" s="54">
        <f>IF(OR(A2370="",F2370=""),"",A2370&amp;"#"&amp;(COUNTIFS($A$5:$A$3004,A2370,$F$5:$F$3004,"?*",$O$5:$O$3004,"&lt;"&amp;O2370)+COUNTIFS($A$5:A2370,A2370,$F$5:F2370,"?*",$O$5:O2370,O2370)))</f>
        <v/>
      </c>
      <c r="O2370" s="54">
        <f>IF(A2370="","",IF(C2370="",0,C2370))</f>
        <v/>
      </c>
    </row>
    <row r="2371">
      <c r="A2371" s="58" t="n"/>
      <c r="B2371" s="49">
        <f>IF(A2371="","",CHOOSE(WEEKDAY(A2371,2),"Пн","Вт","Ср","Чт","Пт","Сб","Вс"))</f>
        <v/>
      </c>
      <c r="C2371" s="59" t="n"/>
      <c r="D2371" s="59" t="n"/>
      <c r="E2371" s="60">
        <f>IF(OR(C2371="",D2371=""),"",MOD(D2371-C2371,1)*24)</f>
        <v/>
      </c>
      <c r="F2371" s="50" t="n"/>
      <c r="G2371" s="51" t="n"/>
      <c r="H2371" s="51" t="n"/>
      <c r="I2371" s="51" t="n"/>
      <c r="J2371" s="51" t="n"/>
      <c r="K2371" s="51" t="n"/>
      <c r="L2371" s="54">
        <f>IF(OR(A2371="",C2371="",D2371=""),"",IF(COUNTIFS($A$5:$A$3004,A2371,$C$5:$C$3004,"&lt;"&amp;D2371,$D$5:$D$3004,"&gt;"&amp;C2371)&gt;1,"⚠️ пересечение",""))</f>
        <v/>
      </c>
      <c r="M2371" s="54">
        <f>IF(F2371="","",IF(J2371="✅ Сделано","✔ ",IF(J2371="❌ Пропущено","✖ ","⏰ "))&amp;IF(C2371="","",RIGHT("0"&amp;HOUR(C2371),2)&amp;":"&amp;RIGHT("0"&amp;MINUTE(C2371),2)&amp;IF(D2371="","","–"&amp;RIGHT("0"&amp;HOUR(D2371),2)&amp;":"&amp;RIGHT("0"&amp;MINUTE(D2371),2))&amp;" ")&amp;F2371)</f>
        <v/>
      </c>
      <c r="N2371" s="54">
        <f>IF(OR(A2371="",F2371=""),"",A2371&amp;"#"&amp;(COUNTIFS($A$5:$A$3004,A2371,$F$5:$F$3004,"?*",$O$5:$O$3004,"&lt;"&amp;O2371)+COUNTIFS($A$5:A2371,A2371,$F$5:F2371,"?*",$O$5:O2371,O2371)))</f>
        <v/>
      </c>
      <c r="O2371" s="54">
        <f>IF(A2371="","",IF(C2371="",0,C2371))</f>
        <v/>
      </c>
    </row>
    <row r="2372">
      <c r="A2372" s="58" t="n"/>
      <c r="B2372" s="49">
        <f>IF(A2372="","",CHOOSE(WEEKDAY(A2372,2),"Пн","Вт","Ср","Чт","Пт","Сб","Вс"))</f>
        <v/>
      </c>
      <c r="C2372" s="59" t="n"/>
      <c r="D2372" s="59" t="n"/>
      <c r="E2372" s="60">
        <f>IF(OR(C2372="",D2372=""),"",MOD(D2372-C2372,1)*24)</f>
        <v/>
      </c>
      <c r="F2372" s="50" t="n"/>
      <c r="G2372" s="51" t="n"/>
      <c r="H2372" s="51" t="n"/>
      <c r="I2372" s="51" t="n"/>
      <c r="J2372" s="51" t="n"/>
      <c r="K2372" s="51" t="n"/>
      <c r="L2372" s="54">
        <f>IF(OR(A2372="",C2372="",D2372=""),"",IF(COUNTIFS($A$5:$A$3004,A2372,$C$5:$C$3004,"&lt;"&amp;D2372,$D$5:$D$3004,"&gt;"&amp;C2372)&gt;1,"⚠️ пересечение",""))</f>
        <v/>
      </c>
      <c r="M2372" s="54">
        <f>IF(F2372="","",IF(J2372="✅ Сделано","✔ ",IF(J2372="❌ Пропущено","✖ ","⏰ "))&amp;IF(C2372="","",RIGHT("0"&amp;HOUR(C2372),2)&amp;":"&amp;RIGHT("0"&amp;MINUTE(C2372),2)&amp;IF(D2372="","","–"&amp;RIGHT("0"&amp;HOUR(D2372),2)&amp;":"&amp;RIGHT("0"&amp;MINUTE(D2372),2))&amp;" ")&amp;F2372)</f>
        <v/>
      </c>
      <c r="N2372" s="54">
        <f>IF(OR(A2372="",F2372=""),"",A2372&amp;"#"&amp;(COUNTIFS($A$5:$A$3004,A2372,$F$5:$F$3004,"?*",$O$5:$O$3004,"&lt;"&amp;O2372)+COUNTIFS($A$5:A2372,A2372,$F$5:F2372,"?*",$O$5:O2372,O2372)))</f>
        <v/>
      </c>
      <c r="O2372" s="54">
        <f>IF(A2372="","",IF(C2372="",0,C2372))</f>
        <v/>
      </c>
    </row>
    <row r="2373">
      <c r="A2373" s="58" t="n"/>
      <c r="B2373" s="49">
        <f>IF(A2373="","",CHOOSE(WEEKDAY(A2373,2),"Пн","Вт","Ср","Чт","Пт","Сб","Вс"))</f>
        <v/>
      </c>
      <c r="C2373" s="59" t="n"/>
      <c r="D2373" s="59" t="n"/>
      <c r="E2373" s="60">
        <f>IF(OR(C2373="",D2373=""),"",MOD(D2373-C2373,1)*24)</f>
        <v/>
      </c>
      <c r="F2373" s="50" t="n"/>
      <c r="G2373" s="51" t="n"/>
      <c r="H2373" s="51" t="n"/>
      <c r="I2373" s="51" t="n"/>
      <c r="J2373" s="51" t="n"/>
      <c r="K2373" s="51" t="n"/>
      <c r="L2373" s="54">
        <f>IF(OR(A2373="",C2373="",D2373=""),"",IF(COUNTIFS($A$5:$A$3004,A2373,$C$5:$C$3004,"&lt;"&amp;D2373,$D$5:$D$3004,"&gt;"&amp;C2373)&gt;1,"⚠️ пересечение",""))</f>
        <v/>
      </c>
      <c r="M2373" s="54">
        <f>IF(F2373="","",IF(J2373="✅ Сделано","✔ ",IF(J2373="❌ Пропущено","✖ ","⏰ "))&amp;IF(C2373="","",RIGHT("0"&amp;HOUR(C2373),2)&amp;":"&amp;RIGHT("0"&amp;MINUTE(C2373),2)&amp;IF(D2373="","","–"&amp;RIGHT("0"&amp;HOUR(D2373),2)&amp;":"&amp;RIGHT("0"&amp;MINUTE(D2373),2))&amp;" ")&amp;F2373)</f>
        <v/>
      </c>
      <c r="N2373" s="54">
        <f>IF(OR(A2373="",F2373=""),"",A2373&amp;"#"&amp;(COUNTIFS($A$5:$A$3004,A2373,$F$5:$F$3004,"?*",$O$5:$O$3004,"&lt;"&amp;O2373)+COUNTIFS($A$5:A2373,A2373,$F$5:F2373,"?*",$O$5:O2373,O2373)))</f>
        <v/>
      </c>
      <c r="O2373" s="54">
        <f>IF(A2373="","",IF(C2373="",0,C2373))</f>
        <v/>
      </c>
    </row>
    <row r="2374">
      <c r="A2374" s="58" t="n"/>
      <c r="B2374" s="49">
        <f>IF(A2374="","",CHOOSE(WEEKDAY(A2374,2),"Пн","Вт","Ср","Чт","Пт","Сб","Вс"))</f>
        <v/>
      </c>
      <c r="C2374" s="59" t="n"/>
      <c r="D2374" s="59" t="n"/>
      <c r="E2374" s="60">
        <f>IF(OR(C2374="",D2374=""),"",MOD(D2374-C2374,1)*24)</f>
        <v/>
      </c>
      <c r="F2374" s="50" t="n"/>
      <c r="G2374" s="51" t="n"/>
      <c r="H2374" s="51" t="n"/>
      <c r="I2374" s="51" t="n"/>
      <c r="J2374" s="51" t="n"/>
      <c r="K2374" s="51" t="n"/>
      <c r="L2374" s="54">
        <f>IF(OR(A2374="",C2374="",D2374=""),"",IF(COUNTIFS($A$5:$A$3004,A2374,$C$5:$C$3004,"&lt;"&amp;D2374,$D$5:$D$3004,"&gt;"&amp;C2374)&gt;1,"⚠️ пересечение",""))</f>
        <v/>
      </c>
      <c r="M2374" s="54">
        <f>IF(F2374="","",IF(J2374="✅ Сделано","✔ ",IF(J2374="❌ Пропущено","✖ ","⏰ "))&amp;IF(C2374="","",RIGHT("0"&amp;HOUR(C2374),2)&amp;":"&amp;RIGHT("0"&amp;MINUTE(C2374),2)&amp;IF(D2374="","","–"&amp;RIGHT("0"&amp;HOUR(D2374),2)&amp;":"&amp;RIGHT("0"&amp;MINUTE(D2374),2))&amp;" ")&amp;F2374)</f>
        <v/>
      </c>
      <c r="N2374" s="54">
        <f>IF(OR(A2374="",F2374=""),"",A2374&amp;"#"&amp;(COUNTIFS($A$5:$A$3004,A2374,$F$5:$F$3004,"?*",$O$5:$O$3004,"&lt;"&amp;O2374)+COUNTIFS($A$5:A2374,A2374,$F$5:F2374,"?*",$O$5:O2374,O2374)))</f>
        <v/>
      </c>
      <c r="O2374" s="54">
        <f>IF(A2374="","",IF(C2374="",0,C2374))</f>
        <v/>
      </c>
    </row>
    <row r="2375">
      <c r="A2375" s="58" t="n"/>
      <c r="B2375" s="49">
        <f>IF(A2375="","",CHOOSE(WEEKDAY(A2375,2),"Пн","Вт","Ср","Чт","Пт","Сб","Вс"))</f>
        <v/>
      </c>
      <c r="C2375" s="59" t="n"/>
      <c r="D2375" s="59" t="n"/>
      <c r="E2375" s="60">
        <f>IF(OR(C2375="",D2375=""),"",MOD(D2375-C2375,1)*24)</f>
        <v/>
      </c>
      <c r="F2375" s="50" t="n"/>
      <c r="G2375" s="51" t="n"/>
      <c r="H2375" s="51" t="n"/>
      <c r="I2375" s="51" t="n"/>
      <c r="J2375" s="51" t="n"/>
      <c r="K2375" s="51" t="n"/>
      <c r="L2375" s="54">
        <f>IF(OR(A2375="",C2375="",D2375=""),"",IF(COUNTIFS($A$5:$A$3004,A2375,$C$5:$C$3004,"&lt;"&amp;D2375,$D$5:$D$3004,"&gt;"&amp;C2375)&gt;1,"⚠️ пересечение",""))</f>
        <v/>
      </c>
      <c r="M2375" s="54">
        <f>IF(F2375="","",IF(J2375="✅ Сделано","✔ ",IF(J2375="❌ Пропущено","✖ ","⏰ "))&amp;IF(C2375="","",RIGHT("0"&amp;HOUR(C2375),2)&amp;":"&amp;RIGHT("0"&amp;MINUTE(C2375),2)&amp;IF(D2375="","","–"&amp;RIGHT("0"&amp;HOUR(D2375),2)&amp;":"&amp;RIGHT("0"&amp;MINUTE(D2375),2))&amp;" ")&amp;F2375)</f>
        <v/>
      </c>
      <c r="N2375" s="54">
        <f>IF(OR(A2375="",F2375=""),"",A2375&amp;"#"&amp;(COUNTIFS($A$5:$A$3004,A2375,$F$5:$F$3004,"?*",$O$5:$O$3004,"&lt;"&amp;O2375)+COUNTIFS($A$5:A2375,A2375,$F$5:F2375,"?*",$O$5:O2375,O2375)))</f>
        <v/>
      </c>
      <c r="O2375" s="54">
        <f>IF(A2375="","",IF(C2375="",0,C2375))</f>
        <v/>
      </c>
    </row>
    <row r="2376">
      <c r="A2376" s="58" t="n"/>
      <c r="B2376" s="49">
        <f>IF(A2376="","",CHOOSE(WEEKDAY(A2376,2),"Пн","Вт","Ср","Чт","Пт","Сб","Вс"))</f>
        <v/>
      </c>
      <c r="C2376" s="59" t="n"/>
      <c r="D2376" s="59" t="n"/>
      <c r="E2376" s="60">
        <f>IF(OR(C2376="",D2376=""),"",MOD(D2376-C2376,1)*24)</f>
        <v/>
      </c>
      <c r="F2376" s="50" t="n"/>
      <c r="G2376" s="51" t="n"/>
      <c r="H2376" s="51" t="n"/>
      <c r="I2376" s="51" t="n"/>
      <c r="J2376" s="51" t="n"/>
      <c r="K2376" s="51" t="n"/>
      <c r="L2376" s="54">
        <f>IF(OR(A2376="",C2376="",D2376=""),"",IF(COUNTIFS($A$5:$A$3004,A2376,$C$5:$C$3004,"&lt;"&amp;D2376,$D$5:$D$3004,"&gt;"&amp;C2376)&gt;1,"⚠️ пересечение",""))</f>
        <v/>
      </c>
      <c r="M2376" s="54">
        <f>IF(F2376="","",IF(J2376="✅ Сделано","✔ ",IF(J2376="❌ Пропущено","✖ ","⏰ "))&amp;IF(C2376="","",RIGHT("0"&amp;HOUR(C2376),2)&amp;":"&amp;RIGHT("0"&amp;MINUTE(C2376),2)&amp;IF(D2376="","","–"&amp;RIGHT("0"&amp;HOUR(D2376),2)&amp;":"&amp;RIGHT("0"&amp;MINUTE(D2376),2))&amp;" ")&amp;F2376)</f>
        <v/>
      </c>
      <c r="N2376" s="54">
        <f>IF(OR(A2376="",F2376=""),"",A2376&amp;"#"&amp;(COUNTIFS($A$5:$A$3004,A2376,$F$5:$F$3004,"?*",$O$5:$O$3004,"&lt;"&amp;O2376)+COUNTIFS($A$5:A2376,A2376,$F$5:F2376,"?*",$O$5:O2376,O2376)))</f>
        <v/>
      </c>
      <c r="O2376" s="54">
        <f>IF(A2376="","",IF(C2376="",0,C2376))</f>
        <v/>
      </c>
    </row>
    <row r="2377">
      <c r="A2377" s="58" t="n"/>
      <c r="B2377" s="49">
        <f>IF(A2377="","",CHOOSE(WEEKDAY(A2377,2),"Пн","Вт","Ср","Чт","Пт","Сб","Вс"))</f>
        <v/>
      </c>
      <c r="C2377" s="59" t="n"/>
      <c r="D2377" s="59" t="n"/>
      <c r="E2377" s="60">
        <f>IF(OR(C2377="",D2377=""),"",MOD(D2377-C2377,1)*24)</f>
        <v/>
      </c>
      <c r="F2377" s="50" t="n"/>
      <c r="G2377" s="51" t="n"/>
      <c r="H2377" s="51" t="n"/>
      <c r="I2377" s="51" t="n"/>
      <c r="J2377" s="51" t="n"/>
      <c r="K2377" s="51" t="n"/>
      <c r="L2377" s="54">
        <f>IF(OR(A2377="",C2377="",D2377=""),"",IF(COUNTIFS($A$5:$A$3004,A2377,$C$5:$C$3004,"&lt;"&amp;D2377,$D$5:$D$3004,"&gt;"&amp;C2377)&gt;1,"⚠️ пересечение",""))</f>
        <v/>
      </c>
      <c r="M2377" s="54">
        <f>IF(F2377="","",IF(J2377="✅ Сделано","✔ ",IF(J2377="❌ Пропущено","✖ ","⏰ "))&amp;IF(C2377="","",RIGHT("0"&amp;HOUR(C2377),2)&amp;":"&amp;RIGHT("0"&amp;MINUTE(C2377),2)&amp;IF(D2377="","","–"&amp;RIGHT("0"&amp;HOUR(D2377),2)&amp;":"&amp;RIGHT("0"&amp;MINUTE(D2377),2))&amp;" ")&amp;F2377)</f>
        <v/>
      </c>
      <c r="N2377" s="54">
        <f>IF(OR(A2377="",F2377=""),"",A2377&amp;"#"&amp;(COUNTIFS($A$5:$A$3004,A2377,$F$5:$F$3004,"?*",$O$5:$O$3004,"&lt;"&amp;O2377)+COUNTIFS($A$5:A2377,A2377,$F$5:F2377,"?*",$O$5:O2377,O2377)))</f>
        <v/>
      </c>
      <c r="O2377" s="54">
        <f>IF(A2377="","",IF(C2377="",0,C2377))</f>
        <v/>
      </c>
    </row>
    <row r="2378">
      <c r="A2378" s="58" t="n"/>
      <c r="B2378" s="49">
        <f>IF(A2378="","",CHOOSE(WEEKDAY(A2378,2),"Пн","Вт","Ср","Чт","Пт","Сб","Вс"))</f>
        <v/>
      </c>
      <c r="C2378" s="59" t="n"/>
      <c r="D2378" s="59" t="n"/>
      <c r="E2378" s="60">
        <f>IF(OR(C2378="",D2378=""),"",MOD(D2378-C2378,1)*24)</f>
        <v/>
      </c>
      <c r="F2378" s="50" t="n"/>
      <c r="G2378" s="51" t="n"/>
      <c r="H2378" s="51" t="n"/>
      <c r="I2378" s="51" t="n"/>
      <c r="J2378" s="51" t="n"/>
      <c r="K2378" s="51" t="n"/>
      <c r="L2378" s="54">
        <f>IF(OR(A2378="",C2378="",D2378=""),"",IF(COUNTIFS($A$5:$A$3004,A2378,$C$5:$C$3004,"&lt;"&amp;D2378,$D$5:$D$3004,"&gt;"&amp;C2378)&gt;1,"⚠️ пересечение",""))</f>
        <v/>
      </c>
      <c r="M2378" s="54">
        <f>IF(F2378="","",IF(J2378="✅ Сделано","✔ ",IF(J2378="❌ Пропущено","✖ ","⏰ "))&amp;IF(C2378="","",RIGHT("0"&amp;HOUR(C2378),2)&amp;":"&amp;RIGHT("0"&amp;MINUTE(C2378),2)&amp;IF(D2378="","","–"&amp;RIGHT("0"&amp;HOUR(D2378),2)&amp;":"&amp;RIGHT("0"&amp;MINUTE(D2378),2))&amp;" ")&amp;F2378)</f>
        <v/>
      </c>
      <c r="N2378" s="54">
        <f>IF(OR(A2378="",F2378=""),"",A2378&amp;"#"&amp;(COUNTIFS($A$5:$A$3004,A2378,$F$5:$F$3004,"?*",$O$5:$O$3004,"&lt;"&amp;O2378)+COUNTIFS($A$5:A2378,A2378,$F$5:F2378,"?*",$O$5:O2378,O2378)))</f>
        <v/>
      </c>
      <c r="O2378" s="54">
        <f>IF(A2378="","",IF(C2378="",0,C2378))</f>
        <v/>
      </c>
    </row>
    <row r="2379">
      <c r="A2379" s="58" t="n"/>
      <c r="B2379" s="49">
        <f>IF(A2379="","",CHOOSE(WEEKDAY(A2379,2),"Пн","Вт","Ср","Чт","Пт","Сб","Вс"))</f>
        <v/>
      </c>
      <c r="C2379" s="59" t="n"/>
      <c r="D2379" s="59" t="n"/>
      <c r="E2379" s="60">
        <f>IF(OR(C2379="",D2379=""),"",MOD(D2379-C2379,1)*24)</f>
        <v/>
      </c>
      <c r="F2379" s="50" t="n"/>
      <c r="G2379" s="51" t="n"/>
      <c r="H2379" s="51" t="n"/>
      <c r="I2379" s="51" t="n"/>
      <c r="J2379" s="51" t="n"/>
      <c r="K2379" s="51" t="n"/>
      <c r="L2379" s="54">
        <f>IF(OR(A2379="",C2379="",D2379=""),"",IF(COUNTIFS($A$5:$A$3004,A2379,$C$5:$C$3004,"&lt;"&amp;D2379,$D$5:$D$3004,"&gt;"&amp;C2379)&gt;1,"⚠️ пересечение",""))</f>
        <v/>
      </c>
      <c r="M2379" s="54">
        <f>IF(F2379="","",IF(J2379="✅ Сделано","✔ ",IF(J2379="❌ Пропущено","✖ ","⏰ "))&amp;IF(C2379="","",RIGHT("0"&amp;HOUR(C2379),2)&amp;":"&amp;RIGHT("0"&amp;MINUTE(C2379),2)&amp;IF(D2379="","","–"&amp;RIGHT("0"&amp;HOUR(D2379),2)&amp;":"&amp;RIGHT("0"&amp;MINUTE(D2379),2))&amp;" ")&amp;F2379)</f>
        <v/>
      </c>
      <c r="N2379" s="54">
        <f>IF(OR(A2379="",F2379=""),"",A2379&amp;"#"&amp;(COUNTIFS($A$5:$A$3004,A2379,$F$5:$F$3004,"?*",$O$5:$O$3004,"&lt;"&amp;O2379)+COUNTIFS($A$5:A2379,A2379,$F$5:F2379,"?*",$O$5:O2379,O2379)))</f>
        <v/>
      </c>
      <c r="O2379" s="54">
        <f>IF(A2379="","",IF(C2379="",0,C2379))</f>
        <v/>
      </c>
    </row>
    <row r="2380">
      <c r="A2380" s="58" t="n"/>
      <c r="B2380" s="49">
        <f>IF(A2380="","",CHOOSE(WEEKDAY(A2380,2),"Пн","Вт","Ср","Чт","Пт","Сб","Вс"))</f>
        <v/>
      </c>
      <c r="C2380" s="59" t="n"/>
      <c r="D2380" s="59" t="n"/>
      <c r="E2380" s="60">
        <f>IF(OR(C2380="",D2380=""),"",MOD(D2380-C2380,1)*24)</f>
        <v/>
      </c>
      <c r="F2380" s="50" t="n"/>
      <c r="G2380" s="51" t="n"/>
      <c r="H2380" s="51" t="n"/>
      <c r="I2380" s="51" t="n"/>
      <c r="J2380" s="51" t="n"/>
      <c r="K2380" s="51" t="n"/>
      <c r="L2380" s="54">
        <f>IF(OR(A2380="",C2380="",D2380=""),"",IF(COUNTIFS($A$5:$A$3004,A2380,$C$5:$C$3004,"&lt;"&amp;D2380,$D$5:$D$3004,"&gt;"&amp;C2380)&gt;1,"⚠️ пересечение",""))</f>
        <v/>
      </c>
      <c r="M2380" s="54">
        <f>IF(F2380="","",IF(J2380="✅ Сделано","✔ ",IF(J2380="❌ Пропущено","✖ ","⏰ "))&amp;IF(C2380="","",RIGHT("0"&amp;HOUR(C2380),2)&amp;":"&amp;RIGHT("0"&amp;MINUTE(C2380),2)&amp;IF(D2380="","","–"&amp;RIGHT("0"&amp;HOUR(D2380),2)&amp;":"&amp;RIGHT("0"&amp;MINUTE(D2380),2))&amp;" ")&amp;F2380)</f>
        <v/>
      </c>
      <c r="N2380" s="54">
        <f>IF(OR(A2380="",F2380=""),"",A2380&amp;"#"&amp;(COUNTIFS($A$5:$A$3004,A2380,$F$5:$F$3004,"?*",$O$5:$O$3004,"&lt;"&amp;O2380)+COUNTIFS($A$5:A2380,A2380,$F$5:F2380,"?*",$O$5:O2380,O2380)))</f>
        <v/>
      </c>
      <c r="O2380" s="54">
        <f>IF(A2380="","",IF(C2380="",0,C2380))</f>
        <v/>
      </c>
    </row>
    <row r="2381">
      <c r="A2381" s="58" t="n"/>
      <c r="B2381" s="49">
        <f>IF(A2381="","",CHOOSE(WEEKDAY(A2381,2),"Пн","Вт","Ср","Чт","Пт","Сб","Вс"))</f>
        <v/>
      </c>
      <c r="C2381" s="59" t="n"/>
      <c r="D2381" s="59" t="n"/>
      <c r="E2381" s="60">
        <f>IF(OR(C2381="",D2381=""),"",MOD(D2381-C2381,1)*24)</f>
        <v/>
      </c>
      <c r="F2381" s="50" t="n"/>
      <c r="G2381" s="51" t="n"/>
      <c r="H2381" s="51" t="n"/>
      <c r="I2381" s="51" t="n"/>
      <c r="J2381" s="51" t="n"/>
      <c r="K2381" s="51" t="n"/>
      <c r="L2381" s="54">
        <f>IF(OR(A2381="",C2381="",D2381=""),"",IF(COUNTIFS($A$5:$A$3004,A2381,$C$5:$C$3004,"&lt;"&amp;D2381,$D$5:$D$3004,"&gt;"&amp;C2381)&gt;1,"⚠️ пересечение",""))</f>
        <v/>
      </c>
      <c r="M2381" s="54">
        <f>IF(F2381="","",IF(J2381="✅ Сделано","✔ ",IF(J2381="❌ Пропущено","✖ ","⏰ "))&amp;IF(C2381="","",RIGHT("0"&amp;HOUR(C2381),2)&amp;":"&amp;RIGHT("0"&amp;MINUTE(C2381),2)&amp;IF(D2381="","","–"&amp;RIGHT("0"&amp;HOUR(D2381),2)&amp;":"&amp;RIGHT("0"&amp;MINUTE(D2381),2))&amp;" ")&amp;F2381)</f>
        <v/>
      </c>
      <c r="N2381" s="54">
        <f>IF(OR(A2381="",F2381=""),"",A2381&amp;"#"&amp;(COUNTIFS($A$5:$A$3004,A2381,$F$5:$F$3004,"?*",$O$5:$O$3004,"&lt;"&amp;O2381)+COUNTIFS($A$5:A2381,A2381,$F$5:F2381,"?*",$O$5:O2381,O2381)))</f>
        <v/>
      </c>
      <c r="O2381" s="54">
        <f>IF(A2381="","",IF(C2381="",0,C2381))</f>
        <v/>
      </c>
    </row>
    <row r="2382">
      <c r="A2382" s="58" t="n"/>
      <c r="B2382" s="49">
        <f>IF(A2382="","",CHOOSE(WEEKDAY(A2382,2),"Пн","Вт","Ср","Чт","Пт","Сб","Вс"))</f>
        <v/>
      </c>
      <c r="C2382" s="59" t="n"/>
      <c r="D2382" s="59" t="n"/>
      <c r="E2382" s="60">
        <f>IF(OR(C2382="",D2382=""),"",MOD(D2382-C2382,1)*24)</f>
        <v/>
      </c>
      <c r="F2382" s="50" t="n"/>
      <c r="G2382" s="51" t="n"/>
      <c r="H2382" s="51" t="n"/>
      <c r="I2382" s="51" t="n"/>
      <c r="J2382" s="51" t="n"/>
      <c r="K2382" s="51" t="n"/>
      <c r="L2382" s="54">
        <f>IF(OR(A2382="",C2382="",D2382=""),"",IF(COUNTIFS($A$5:$A$3004,A2382,$C$5:$C$3004,"&lt;"&amp;D2382,$D$5:$D$3004,"&gt;"&amp;C2382)&gt;1,"⚠️ пересечение",""))</f>
        <v/>
      </c>
      <c r="M2382" s="54">
        <f>IF(F2382="","",IF(J2382="✅ Сделано","✔ ",IF(J2382="❌ Пропущено","✖ ","⏰ "))&amp;IF(C2382="","",RIGHT("0"&amp;HOUR(C2382),2)&amp;":"&amp;RIGHT("0"&amp;MINUTE(C2382),2)&amp;IF(D2382="","","–"&amp;RIGHT("0"&amp;HOUR(D2382),2)&amp;":"&amp;RIGHT("0"&amp;MINUTE(D2382),2))&amp;" ")&amp;F2382)</f>
        <v/>
      </c>
      <c r="N2382" s="54">
        <f>IF(OR(A2382="",F2382=""),"",A2382&amp;"#"&amp;(COUNTIFS($A$5:$A$3004,A2382,$F$5:$F$3004,"?*",$O$5:$O$3004,"&lt;"&amp;O2382)+COUNTIFS($A$5:A2382,A2382,$F$5:F2382,"?*",$O$5:O2382,O2382)))</f>
        <v/>
      </c>
      <c r="O2382" s="54">
        <f>IF(A2382="","",IF(C2382="",0,C2382))</f>
        <v/>
      </c>
    </row>
    <row r="2383">
      <c r="A2383" s="58" t="n"/>
      <c r="B2383" s="49">
        <f>IF(A2383="","",CHOOSE(WEEKDAY(A2383,2),"Пн","Вт","Ср","Чт","Пт","Сб","Вс"))</f>
        <v/>
      </c>
      <c r="C2383" s="59" t="n"/>
      <c r="D2383" s="59" t="n"/>
      <c r="E2383" s="60">
        <f>IF(OR(C2383="",D2383=""),"",MOD(D2383-C2383,1)*24)</f>
        <v/>
      </c>
      <c r="F2383" s="50" t="n"/>
      <c r="G2383" s="51" t="n"/>
      <c r="H2383" s="51" t="n"/>
      <c r="I2383" s="51" t="n"/>
      <c r="J2383" s="51" t="n"/>
      <c r="K2383" s="51" t="n"/>
      <c r="L2383" s="54">
        <f>IF(OR(A2383="",C2383="",D2383=""),"",IF(COUNTIFS($A$5:$A$3004,A2383,$C$5:$C$3004,"&lt;"&amp;D2383,$D$5:$D$3004,"&gt;"&amp;C2383)&gt;1,"⚠️ пересечение",""))</f>
        <v/>
      </c>
      <c r="M2383" s="54">
        <f>IF(F2383="","",IF(J2383="✅ Сделано","✔ ",IF(J2383="❌ Пропущено","✖ ","⏰ "))&amp;IF(C2383="","",RIGHT("0"&amp;HOUR(C2383),2)&amp;":"&amp;RIGHT("0"&amp;MINUTE(C2383),2)&amp;IF(D2383="","","–"&amp;RIGHT("0"&amp;HOUR(D2383),2)&amp;":"&amp;RIGHT("0"&amp;MINUTE(D2383),2))&amp;" ")&amp;F2383)</f>
        <v/>
      </c>
      <c r="N2383" s="54">
        <f>IF(OR(A2383="",F2383=""),"",A2383&amp;"#"&amp;(COUNTIFS($A$5:$A$3004,A2383,$F$5:$F$3004,"?*",$O$5:$O$3004,"&lt;"&amp;O2383)+COUNTIFS($A$5:A2383,A2383,$F$5:F2383,"?*",$O$5:O2383,O2383)))</f>
        <v/>
      </c>
      <c r="O2383" s="54">
        <f>IF(A2383="","",IF(C2383="",0,C2383))</f>
        <v/>
      </c>
    </row>
    <row r="2384">
      <c r="A2384" s="58" t="n"/>
      <c r="B2384" s="49">
        <f>IF(A2384="","",CHOOSE(WEEKDAY(A2384,2),"Пн","Вт","Ср","Чт","Пт","Сб","Вс"))</f>
        <v/>
      </c>
      <c r="C2384" s="59" t="n"/>
      <c r="D2384" s="59" t="n"/>
      <c r="E2384" s="60">
        <f>IF(OR(C2384="",D2384=""),"",MOD(D2384-C2384,1)*24)</f>
        <v/>
      </c>
      <c r="F2384" s="50" t="n"/>
      <c r="G2384" s="51" t="n"/>
      <c r="H2384" s="51" t="n"/>
      <c r="I2384" s="51" t="n"/>
      <c r="J2384" s="51" t="n"/>
      <c r="K2384" s="51" t="n"/>
      <c r="L2384" s="54">
        <f>IF(OR(A2384="",C2384="",D2384=""),"",IF(COUNTIFS($A$5:$A$3004,A2384,$C$5:$C$3004,"&lt;"&amp;D2384,$D$5:$D$3004,"&gt;"&amp;C2384)&gt;1,"⚠️ пересечение",""))</f>
        <v/>
      </c>
      <c r="M2384" s="54">
        <f>IF(F2384="","",IF(J2384="✅ Сделано","✔ ",IF(J2384="❌ Пропущено","✖ ","⏰ "))&amp;IF(C2384="","",RIGHT("0"&amp;HOUR(C2384),2)&amp;":"&amp;RIGHT("0"&amp;MINUTE(C2384),2)&amp;IF(D2384="","","–"&amp;RIGHT("0"&amp;HOUR(D2384),2)&amp;":"&amp;RIGHT("0"&amp;MINUTE(D2384),2))&amp;" ")&amp;F2384)</f>
        <v/>
      </c>
      <c r="N2384" s="54">
        <f>IF(OR(A2384="",F2384=""),"",A2384&amp;"#"&amp;(COUNTIFS($A$5:$A$3004,A2384,$F$5:$F$3004,"?*",$O$5:$O$3004,"&lt;"&amp;O2384)+COUNTIFS($A$5:A2384,A2384,$F$5:F2384,"?*",$O$5:O2384,O2384)))</f>
        <v/>
      </c>
      <c r="O2384" s="54">
        <f>IF(A2384="","",IF(C2384="",0,C2384))</f>
        <v/>
      </c>
    </row>
    <row r="2385">
      <c r="A2385" s="58" t="n"/>
      <c r="B2385" s="49">
        <f>IF(A2385="","",CHOOSE(WEEKDAY(A2385,2),"Пн","Вт","Ср","Чт","Пт","Сб","Вс"))</f>
        <v/>
      </c>
      <c r="C2385" s="59" t="n"/>
      <c r="D2385" s="59" t="n"/>
      <c r="E2385" s="60">
        <f>IF(OR(C2385="",D2385=""),"",MOD(D2385-C2385,1)*24)</f>
        <v/>
      </c>
      <c r="F2385" s="50" t="n"/>
      <c r="G2385" s="51" t="n"/>
      <c r="H2385" s="51" t="n"/>
      <c r="I2385" s="51" t="n"/>
      <c r="J2385" s="51" t="n"/>
      <c r="K2385" s="51" t="n"/>
      <c r="L2385" s="54">
        <f>IF(OR(A2385="",C2385="",D2385=""),"",IF(COUNTIFS($A$5:$A$3004,A2385,$C$5:$C$3004,"&lt;"&amp;D2385,$D$5:$D$3004,"&gt;"&amp;C2385)&gt;1,"⚠️ пересечение",""))</f>
        <v/>
      </c>
      <c r="M2385" s="54">
        <f>IF(F2385="","",IF(J2385="✅ Сделано","✔ ",IF(J2385="❌ Пропущено","✖ ","⏰ "))&amp;IF(C2385="","",RIGHT("0"&amp;HOUR(C2385),2)&amp;":"&amp;RIGHT("0"&amp;MINUTE(C2385),2)&amp;IF(D2385="","","–"&amp;RIGHT("0"&amp;HOUR(D2385),2)&amp;":"&amp;RIGHT("0"&amp;MINUTE(D2385),2))&amp;" ")&amp;F2385)</f>
        <v/>
      </c>
      <c r="N2385" s="54">
        <f>IF(OR(A2385="",F2385=""),"",A2385&amp;"#"&amp;(COUNTIFS($A$5:$A$3004,A2385,$F$5:$F$3004,"?*",$O$5:$O$3004,"&lt;"&amp;O2385)+COUNTIFS($A$5:A2385,A2385,$F$5:F2385,"?*",$O$5:O2385,O2385)))</f>
        <v/>
      </c>
      <c r="O2385" s="54">
        <f>IF(A2385="","",IF(C2385="",0,C2385))</f>
        <v/>
      </c>
    </row>
    <row r="2386">
      <c r="A2386" s="58" t="n"/>
      <c r="B2386" s="49">
        <f>IF(A2386="","",CHOOSE(WEEKDAY(A2386,2),"Пн","Вт","Ср","Чт","Пт","Сб","Вс"))</f>
        <v/>
      </c>
      <c r="C2386" s="59" t="n"/>
      <c r="D2386" s="59" t="n"/>
      <c r="E2386" s="60">
        <f>IF(OR(C2386="",D2386=""),"",MOD(D2386-C2386,1)*24)</f>
        <v/>
      </c>
      <c r="F2386" s="50" t="n"/>
      <c r="G2386" s="51" t="n"/>
      <c r="H2386" s="51" t="n"/>
      <c r="I2386" s="51" t="n"/>
      <c r="J2386" s="51" t="n"/>
      <c r="K2386" s="51" t="n"/>
      <c r="L2386" s="54">
        <f>IF(OR(A2386="",C2386="",D2386=""),"",IF(COUNTIFS($A$5:$A$3004,A2386,$C$5:$C$3004,"&lt;"&amp;D2386,$D$5:$D$3004,"&gt;"&amp;C2386)&gt;1,"⚠️ пересечение",""))</f>
        <v/>
      </c>
      <c r="M2386" s="54">
        <f>IF(F2386="","",IF(J2386="✅ Сделано","✔ ",IF(J2386="❌ Пропущено","✖ ","⏰ "))&amp;IF(C2386="","",RIGHT("0"&amp;HOUR(C2386),2)&amp;":"&amp;RIGHT("0"&amp;MINUTE(C2386),2)&amp;IF(D2386="","","–"&amp;RIGHT("0"&amp;HOUR(D2386),2)&amp;":"&amp;RIGHT("0"&amp;MINUTE(D2386),2))&amp;" ")&amp;F2386)</f>
        <v/>
      </c>
      <c r="N2386" s="54">
        <f>IF(OR(A2386="",F2386=""),"",A2386&amp;"#"&amp;(COUNTIFS($A$5:$A$3004,A2386,$F$5:$F$3004,"?*",$O$5:$O$3004,"&lt;"&amp;O2386)+COUNTIFS($A$5:A2386,A2386,$F$5:F2386,"?*",$O$5:O2386,O2386)))</f>
        <v/>
      </c>
      <c r="O2386" s="54">
        <f>IF(A2386="","",IF(C2386="",0,C2386))</f>
        <v/>
      </c>
    </row>
    <row r="2387">
      <c r="A2387" s="58" t="n"/>
      <c r="B2387" s="49">
        <f>IF(A2387="","",CHOOSE(WEEKDAY(A2387,2),"Пн","Вт","Ср","Чт","Пт","Сб","Вс"))</f>
        <v/>
      </c>
      <c r="C2387" s="59" t="n"/>
      <c r="D2387" s="59" t="n"/>
      <c r="E2387" s="60">
        <f>IF(OR(C2387="",D2387=""),"",MOD(D2387-C2387,1)*24)</f>
        <v/>
      </c>
      <c r="F2387" s="50" t="n"/>
      <c r="G2387" s="51" t="n"/>
      <c r="H2387" s="51" t="n"/>
      <c r="I2387" s="51" t="n"/>
      <c r="J2387" s="51" t="n"/>
      <c r="K2387" s="51" t="n"/>
      <c r="L2387" s="54">
        <f>IF(OR(A2387="",C2387="",D2387=""),"",IF(COUNTIFS($A$5:$A$3004,A2387,$C$5:$C$3004,"&lt;"&amp;D2387,$D$5:$D$3004,"&gt;"&amp;C2387)&gt;1,"⚠️ пересечение",""))</f>
        <v/>
      </c>
      <c r="M2387" s="54">
        <f>IF(F2387="","",IF(J2387="✅ Сделано","✔ ",IF(J2387="❌ Пропущено","✖ ","⏰ "))&amp;IF(C2387="","",RIGHT("0"&amp;HOUR(C2387),2)&amp;":"&amp;RIGHT("0"&amp;MINUTE(C2387),2)&amp;IF(D2387="","","–"&amp;RIGHT("0"&amp;HOUR(D2387),2)&amp;":"&amp;RIGHT("0"&amp;MINUTE(D2387),2))&amp;" ")&amp;F2387)</f>
        <v/>
      </c>
      <c r="N2387" s="54">
        <f>IF(OR(A2387="",F2387=""),"",A2387&amp;"#"&amp;(COUNTIFS($A$5:$A$3004,A2387,$F$5:$F$3004,"?*",$O$5:$O$3004,"&lt;"&amp;O2387)+COUNTIFS($A$5:A2387,A2387,$F$5:F2387,"?*",$O$5:O2387,O2387)))</f>
        <v/>
      </c>
      <c r="O2387" s="54">
        <f>IF(A2387="","",IF(C2387="",0,C2387))</f>
        <v/>
      </c>
    </row>
    <row r="2388">
      <c r="A2388" s="58" t="n"/>
      <c r="B2388" s="49">
        <f>IF(A2388="","",CHOOSE(WEEKDAY(A2388,2),"Пн","Вт","Ср","Чт","Пт","Сб","Вс"))</f>
        <v/>
      </c>
      <c r="C2388" s="59" t="n"/>
      <c r="D2388" s="59" t="n"/>
      <c r="E2388" s="60">
        <f>IF(OR(C2388="",D2388=""),"",MOD(D2388-C2388,1)*24)</f>
        <v/>
      </c>
      <c r="F2388" s="50" t="n"/>
      <c r="G2388" s="51" t="n"/>
      <c r="H2388" s="51" t="n"/>
      <c r="I2388" s="51" t="n"/>
      <c r="J2388" s="51" t="n"/>
      <c r="K2388" s="51" t="n"/>
      <c r="L2388" s="54">
        <f>IF(OR(A2388="",C2388="",D2388=""),"",IF(COUNTIFS($A$5:$A$3004,A2388,$C$5:$C$3004,"&lt;"&amp;D2388,$D$5:$D$3004,"&gt;"&amp;C2388)&gt;1,"⚠️ пересечение",""))</f>
        <v/>
      </c>
      <c r="M2388" s="54">
        <f>IF(F2388="","",IF(J2388="✅ Сделано","✔ ",IF(J2388="❌ Пропущено","✖ ","⏰ "))&amp;IF(C2388="","",RIGHT("0"&amp;HOUR(C2388),2)&amp;":"&amp;RIGHT("0"&amp;MINUTE(C2388),2)&amp;IF(D2388="","","–"&amp;RIGHT("0"&amp;HOUR(D2388),2)&amp;":"&amp;RIGHT("0"&amp;MINUTE(D2388),2))&amp;" ")&amp;F2388)</f>
        <v/>
      </c>
      <c r="N2388" s="54">
        <f>IF(OR(A2388="",F2388=""),"",A2388&amp;"#"&amp;(COUNTIFS($A$5:$A$3004,A2388,$F$5:$F$3004,"?*",$O$5:$O$3004,"&lt;"&amp;O2388)+COUNTIFS($A$5:A2388,A2388,$F$5:F2388,"?*",$O$5:O2388,O2388)))</f>
        <v/>
      </c>
      <c r="O2388" s="54">
        <f>IF(A2388="","",IF(C2388="",0,C2388))</f>
        <v/>
      </c>
    </row>
    <row r="2389">
      <c r="A2389" s="58" t="n"/>
      <c r="B2389" s="49">
        <f>IF(A2389="","",CHOOSE(WEEKDAY(A2389,2),"Пн","Вт","Ср","Чт","Пт","Сб","Вс"))</f>
        <v/>
      </c>
      <c r="C2389" s="59" t="n"/>
      <c r="D2389" s="59" t="n"/>
      <c r="E2389" s="60">
        <f>IF(OR(C2389="",D2389=""),"",MOD(D2389-C2389,1)*24)</f>
        <v/>
      </c>
      <c r="F2389" s="50" t="n"/>
      <c r="G2389" s="51" t="n"/>
      <c r="H2389" s="51" t="n"/>
      <c r="I2389" s="51" t="n"/>
      <c r="J2389" s="51" t="n"/>
      <c r="K2389" s="51" t="n"/>
      <c r="L2389" s="54">
        <f>IF(OR(A2389="",C2389="",D2389=""),"",IF(COUNTIFS($A$5:$A$3004,A2389,$C$5:$C$3004,"&lt;"&amp;D2389,$D$5:$D$3004,"&gt;"&amp;C2389)&gt;1,"⚠️ пересечение",""))</f>
        <v/>
      </c>
      <c r="M2389" s="54">
        <f>IF(F2389="","",IF(J2389="✅ Сделано","✔ ",IF(J2389="❌ Пропущено","✖ ","⏰ "))&amp;IF(C2389="","",RIGHT("0"&amp;HOUR(C2389),2)&amp;":"&amp;RIGHT("0"&amp;MINUTE(C2389),2)&amp;IF(D2389="","","–"&amp;RIGHT("0"&amp;HOUR(D2389),2)&amp;":"&amp;RIGHT("0"&amp;MINUTE(D2389),2))&amp;" ")&amp;F2389)</f>
        <v/>
      </c>
      <c r="N2389" s="54">
        <f>IF(OR(A2389="",F2389=""),"",A2389&amp;"#"&amp;(COUNTIFS($A$5:$A$3004,A2389,$F$5:$F$3004,"?*",$O$5:$O$3004,"&lt;"&amp;O2389)+COUNTIFS($A$5:A2389,A2389,$F$5:F2389,"?*",$O$5:O2389,O2389)))</f>
        <v/>
      </c>
      <c r="O2389" s="54">
        <f>IF(A2389="","",IF(C2389="",0,C2389))</f>
        <v/>
      </c>
    </row>
    <row r="2390">
      <c r="A2390" s="58" t="n"/>
      <c r="B2390" s="49">
        <f>IF(A2390="","",CHOOSE(WEEKDAY(A2390,2),"Пн","Вт","Ср","Чт","Пт","Сб","Вс"))</f>
        <v/>
      </c>
      <c r="C2390" s="59" t="n"/>
      <c r="D2390" s="59" t="n"/>
      <c r="E2390" s="60">
        <f>IF(OR(C2390="",D2390=""),"",MOD(D2390-C2390,1)*24)</f>
        <v/>
      </c>
      <c r="F2390" s="50" t="n"/>
      <c r="G2390" s="51" t="n"/>
      <c r="H2390" s="51" t="n"/>
      <c r="I2390" s="51" t="n"/>
      <c r="J2390" s="51" t="n"/>
      <c r="K2390" s="51" t="n"/>
      <c r="L2390" s="54">
        <f>IF(OR(A2390="",C2390="",D2390=""),"",IF(COUNTIFS($A$5:$A$3004,A2390,$C$5:$C$3004,"&lt;"&amp;D2390,$D$5:$D$3004,"&gt;"&amp;C2390)&gt;1,"⚠️ пересечение",""))</f>
        <v/>
      </c>
      <c r="M2390" s="54">
        <f>IF(F2390="","",IF(J2390="✅ Сделано","✔ ",IF(J2390="❌ Пропущено","✖ ","⏰ "))&amp;IF(C2390="","",RIGHT("0"&amp;HOUR(C2390),2)&amp;":"&amp;RIGHT("0"&amp;MINUTE(C2390),2)&amp;IF(D2390="","","–"&amp;RIGHT("0"&amp;HOUR(D2390),2)&amp;":"&amp;RIGHT("0"&amp;MINUTE(D2390),2))&amp;" ")&amp;F2390)</f>
        <v/>
      </c>
      <c r="N2390" s="54">
        <f>IF(OR(A2390="",F2390=""),"",A2390&amp;"#"&amp;(COUNTIFS($A$5:$A$3004,A2390,$F$5:$F$3004,"?*",$O$5:$O$3004,"&lt;"&amp;O2390)+COUNTIFS($A$5:A2390,A2390,$F$5:F2390,"?*",$O$5:O2390,O2390)))</f>
        <v/>
      </c>
      <c r="O2390" s="54">
        <f>IF(A2390="","",IF(C2390="",0,C2390))</f>
        <v/>
      </c>
    </row>
    <row r="2391">
      <c r="A2391" s="58" t="n"/>
      <c r="B2391" s="49">
        <f>IF(A2391="","",CHOOSE(WEEKDAY(A2391,2),"Пн","Вт","Ср","Чт","Пт","Сб","Вс"))</f>
        <v/>
      </c>
      <c r="C2391" s="59" t="n"/>
      <c r="D2391" s="59" t="n"/>
      <c r="E2391" s="60">
        <f>IF(OR(C2391="",D2391=""),"",MOD(D2391-C2391,1)*24)</f>
        <v/>
      </c>
      <c r="F2391" s="50" t="n"/>
      <c r="G2391" s="51" t="n"/>
      <c r="H2391" s="51" t="n"/>
      <c r="I2391" s="51" t="n"/>
      <c r="J2391" s="51" t="n"/>
      <c r="K2391" s="51" t="n"/>
      <c r="L2391" s="54">
        <f>IF(OR(A2391="",C2391="",D2391=""),"",IF(COUNTIFS($A$5:$A$3004,A2391,$C$5:$C$3004,"&lt;"&amp;D2391,$D$5:$D$3004,"&gt;"&amp;C2391)&gt;1,"⚠️ пересечение",""))</f>
        <v/>
      </c>
      <c r="M2391" s="54">
        <f>IF(F2391="","",IF(J2391="✅ Сделано","✔ ",IF(J2391="❌ Пропущено","✖ ","⏰ "))&amp;IF(C2391="","",RIGHT("0"&amp;HOUR(C2391),2)&amp;":"&amp;RIGHT("0"&amp;MINUTE(C2391),2)&amp;IF(D2391="","","–"&amp;RIGHT("0"&amp;HOUR(D2391),2)&amp;":"&amp;RIGHT("0"&amp;MINUTE(D2391),2))&amp;" ")&amp;F2391)</f>
        <v/>
      </c>
      <c r="N2391" s="54">
        <f>IF(OR(A2391="",F2391=""),"",A2391&amp;"#"&amp;(COUNTIFS($A$5:$A$3004,A2391,$F$5:$F$3004,"?*",$O$5:$O$3004,"&lt;"&amp;O2391)+COUNTIFS($A$5:A2391,A2391,$F$5:F2391,"?*",$O$5:O2391,O2391)))</f>
        <v/>
      </c>
      <c r="O2391" s="54">
        <f>IF(A2391="","",IF(C2391="",0,C2391))</f>
        <v/>
      </c>
    </row>
    <row r="2392">
      <c r="A2392" s="58" t="n"/>
      <c r="B2392" s="49">
        <f>IF(A2392="","",CHOOSE(WEEKDAY(A2392,2),"Пн","Вт","Ср","Чт","Пт","Сб","Вс"))</f>
        <v/>
      </c>
      <c r="C2392" s="59" t="n"/>
      <c r="D2392" s="59" t="n"/>
      <c r="E2392" s="60">
        <f>IF(OR(C2392="",D2392=""),"",MOD(D2392-C2392,1)*24)</f>
        <v/>
      </c>
      <c r="F2392" s="50" t="n"/>
      <c r="G2392" s="51" t="n"/>
      <c r="H2392" s="51" t="n"/>
      <c r="I2392" s="51" t="n"/>
      <c r="J2392" s="51" t="n"/>
      <c r="K2392" s="51" t="n"/>
      <c r="L2392" s="54">
        <f>IF(OR(A2392="",C2392="",D2392=""),"",IF(COUNTIFS($A$5:$A$3004,A2392,$C$5:$C$3004,"&lt;"&amp;D2392,$D$5:$D$3004,"&gt;"&amp;C2392)&gt;1,"⚠️ пересечение",""))</f>
        <v/>
      </c>
      <c r="M2392" s="54">
        <f>IF(F2392="","",IF(J2392="✅ Сделано","✔ ",IF(J2392="❌ Пропущено","✖ ","⏰ "))&amp;IF(C2392="","",RIGHT("0"&amp;HOUR(C2392),2)&amp;":"&amp;RIGHT("0"&amp;MINUTE(C2392),2)&amp;IF(D2392="","","–"&amp;RIGHT("0"&amp;HOUR(D2392),2)&amp;":"&amp;RIGHT("0"&amp;MINUTE(D2392),2))&amp;" ")&amp;F2392)</f>
        <v/>
      </c>
      <c r="N2392" s="54">
        <f>IF(OR(A2392="",F2392=""),"",A2392&amp;"#"&amp;(COUNTIFS($A$5:$A$3004,A2392,$F$5:$F$3004,"?*",$O$5:$O$3004,"&lt;"&amp;O2392)+COUNTIFS($A$5:A2392,A2392,$F$5:F2392,"?*",$O$5:O2392,O2392)))</f>
        <v/>
      </c>
      <c r="O2392" s="54">
        <f>IF(A2392="","",IF(C2392="",0,C2392))</f>
        <v/>
      </c>
    </row>
    <row r="2393">
      <c r="A2393" s="58" t="n"/>
      <c r="B2393" s="49">
        <f>IF(A2393="","",CHOOSE(WEEKDAY(A2393,2),"Пн","Вт","Ср","Чт","Пт","Сб","Вс"))</f>
        <v/>
      </c>
      <c r="C2393" s="59" t="n"/>
      <c r="D2393" s="59" t="n"/>
      <c r="E2393" s="60">
        <f>IF(OR(C2393="",D2393=""),"",MOD(D2393-C2393,1)*24)</f>
        <v/>
      </c>
      <c r="F2393" s="50" t="n"/>
      <c r="G2393" s="51" t="n"/>
      <c r="H2393" s="51" t="n"/>
      <c r="I2393" s="51" t="n"/>
      <c r="J2393" s="51" t="n"/>
      <c r="K2393" s="51" t="n"/>
      <c r="L2393" s="54">
        <f>IF(OR(A2393="",C2393="",D2393=""),"",IF(COUNTIFS($A$5:$A$3004,A2393,$C$5:$C$3004,"&lt;"&amp;D2393,$D$5:$D$3004,"&gt;"&amp;C2393)&gt;1,"⚠️ пересечение",""))</f>
        <v/>
      </c>
      <c r="M2393" s="54">
        <f>IF(F2393="","",IF(J2393="✅ Сделано","✔ ",IF(J2393="❌ Пропущено","✖ ","⏰ "))&amp;IF(C2393="","",RIGHT("0"&amp;HOUR(C2393),2)&amp;":"&amp;RIGHT("0"&amp;MINUTE(C2393),2)&amp;IF(D2393="","","–"&amp;RIGHT("0"&amp;HOUR(D2393),2)&amp;":"&amp;RIGHT("0"&amp;MINUTE(D2393),2))&amp;" ")&amp;F2393)</f>
        <v/>
      </c>
      <c r="N2393" s="54">
        <f>IF(OR(A2393="",F2393=""),"",A2393&amp;"#"&amp;(COUNTIFS($A$5:$A$3004,A2393,$F$5:$F$3004,"?*",$O$5:$O$3004,"&lt;"&amp;O2393)+COUNTIFS($A$5:A2393,A2393,$F$5:F2393,"?*",$O$5:O2393,O2393)))</f>
        <v/>
      </c>
      <c r="O2393" s="54">
        <f>IF(A2393="","",IF(C2393="",0,C2393))</f>
        <v/>
      </c>
    </row>
    <row r="2394">
      <c r="A2394" s="58" t="n"/>
      <c r="B2394" s="49">
        <f>IF(A2394="","",CHOOSE(WEEKDAY(A2394,2),"Пн","Вт","Ср","Чт","Пт","Сб","Вс"))</f>
        <v/>
      </c>
      <c r="C2394" s="59" t="n"/>
      <c r="D2394" s="59" t="n"/>
      <c r="E2394" s="60">
        <f>IF(OR(C2394="",D2394=""),"",MOD(D2394-C2394,1)*24)</f>
        <v/>
      </c>
      <c r="F2394" s="50" t="n"/>
      <c r="G2394" s="51" t="n"/>
      <c r="H2394" s="51" t="n"/>
      <c r="I2394" s="51" t="n"/>
      <c r="J2394" s="51" t="n"/>
      <c r="K2394" s="51" t="n"/>
      <c r="L2394" s="54">
        <f>IF(OR(A2394="",C2394="",D2394=""),"",IF(COUNTIFS($A$5:$A$3004,A2394,$C$5:$C$3004,"&lt;"&amp;D2394,$D$5:$D$3004,"&gt;"&amp;C2394)&gt;1,"⚠️ пересечение",""))</f>
        <v/>
      </c>
      <c r="M2394" s="54">
        <f>IF(F2394="","",IF(J2394="✅ Сделано","✔ ",IF(J2394="❌ Пропущено","✖ ","⏰ "))&amp;IF(C2394="","",RIGHT("0"&amp;HOUR(C2394),2)&amp;":"&amp;RIGHT("0"&amp;MINUTE(C2394),2)&amp;IF(D2394="","","–"&amp;RIGHT("0"&amp;HOUR(D2394),2)&amp;":"&amp;RIGHT("0"&amp;MINUTE(D2394),2))&amp;" ")&amp;F2394)</f>
        <v/>
      </c>
      <c r="N2394" s="54">
        <f>IF(OR(A2394="",F2394=""),"",A2394&amp;"#"&amp;(COUNTIFS($A$5:$A$3004,A2394,$F$5:$F$3004,"?*",$O$5:$O$3004,"&lt;"&amp;O2394)+COUNTIFS($A$5:A2394,A2394,$F$5:F2394,"?*",$O$5:O2394,O2394)))</f>
        <v/>
      </c>
      <c r="O2394" s="54">
        <f>IF(A2394="","",IF(C2394="",0,C2394))</f>
        <v/>
      </c>
    </row>
    <row r="2395">
      <c r="A2395" s="58" t="n"/>
      <c r="B2395" s="49">
        <f>IF(A2395="","",CHOOSE(WEEKDAY(A2395,2),"Пн","Вт","Ср","Чт","Пт","Сб","Вс"))</f>
        <v/>
      </c>
      <c r="C2395" s="59" t="n"/>
      <c r="D2395" s="59" t="n"/>
      <c r="E2395" s="60">
        <f>IF(OR(C2395="",D2395=""),"",MOD(D2395-C2395,1)*24)</f>
        <v/>
      </c>
      <c r="F2395" s="50" t="n"/>
      <c r="G2395" s="51" t="n"/>
      <c r="H2395" s="51" t="n"/>
      <c r="I2395" s="51" t="n"/>
      <c r="J2395" s="51" t="n"/>
      <c r="K2395" s="51" t="n"/>
      <c r="L2395" s="54">
        <f>IF(OR(A2395="",C2395="",D2395=""),"",IF(COUNTIFS($A$5:$A$3004,A2395,$C$5:$C$3004,"&lt;"&amp;D2395,$D$5:$D$3004,"&gt;"&amp;C2395)&gt;1,"⚠️ пересечение",""))</f>
        <v/>
      </c>
      <c r="M2395" s="54">
        <f>IF(F2395="","",IF(J2395="✅ Сделано","✔ ",IF(J2395="❌ Пропущено","✖ ","⏰ "))&amp;IF(C2395="","",RIGHT("0"&amp;HOUR(C2395),2)&amp;":"&amp;RIGHT("0"&amp;MINUTE(C2395),2)&amp;IF(D2395="","","–"&amp;RIGHT("0"&amp;HOUR(D2395),2)&amp;":"&amp;RIGHT("0"&amp;MINUTE(D2395),2))&amp;" ")&amp;F2395)</f>
        <v/>
      </c>
      <c r="N2395" s="54">
        <f>IF(OR(A2395="",F2395=""),"",A2395&amp;"#"&amp;(COUNTIFS($A$5:$A$3004,A2395,$F$5:$F$3004,"?*",$O$5:$O$3004,"&lt;"&amp;O2395)+COUNTIFS($A$5:A2395,A2395,$F$5:F2395,"?*",$O$5:O2395,O2395)))</f>
        <v/>
      </c>
      <c r="O2395" s="54">
        <f>IF(A2395="","",IF(C2395="",0,C2395))</f>
        <v/>
      </c>
    </row>
    <row r="2396">
      <c r="A2396" s="58" t="n"/>
      <c r="B2396" s="49">
        <f>IF(A2396="","",CHOOSE(WEEKDAY(A2396,2),"Пн","Вт","Ср","Чт","Пт","Сб","Вс"))</f>
        <v/>
      </c>
      <c r="C2396" s="59" t="n"/>
      <c r="D2396" s="59" t="n"/>
      <c r="E2396" s="60">
        <f>IF(OR(C2396="",D2396=""),"",MOD(D2396-C2396,1)*24)</f>
        <v/>
      </c>
      <c r="F2396" s="50" t="n"/>
      <c r="G2396" s="51" t="n"/>
      <c r="H2396" s="51" t="n"/>
      <c r="I2396" s="51" t="n"/>
      <c r="J2396" s="51" t="n"/>
      <c r="K2396" s="51" t="n"/>
      <c r="L2396" s="54">
        <f>IF(OR(A2396="",C2396="",D2396=""),"",IF(COUNTIFS($A$5:$A$3004,A2396,$C$5:$C$3004,"&lt;"&amp;D2396,$D$5:$D$3004,"&gt;"&amp;C2396)&gt;1,"⚠️ пересечение",""))</f>
        <v/>
      </c>
      <c r="M2396" s="54">
        <f>IF(F2396="","",IF(J2396="✅ Сделано","✔ ",IF(J2396="❌ Пропущено","✖ ","⏰ "))&amp;IF(C2396="","",RIGHT("0"&amp;HOUR(C2396),2)&amp;":"&amp;RIGHT("0"&amp;MINUTE(C2396),2)&amp;IF(D2396="","","–"&amp;RIGHT("0"&amp;HOUR(D2396),2)&amp;":"&amp;RIGHT("0"&amp;MINUTE(D2396),2))&amp;" ")&amp;F2396)</f>
        <v/>
      </c>
      <c r="N2396" s="54">
        <f>IF(OR(A2396="",F2396=""),"",A2396&amp;"#"&amp;(COUNTIFS($A$5:$A$3004,A2396,$F$5:$F$3004,"?*",$O$5:$O$3004,"&lt;"&amp;O2396)+COUNTIFS($A$5:A2396,A2396,$F$5:F2396,"?*",$O$5:O2396,O2396)))</f>
        <v/>
      </c>
      <c r="O2396" s="54">
        <f>IF(A2396="","",IF(C2396="",0,C2396))</f>
        <v/>
      </c>
    </row>
    <row r="2397">
      <c r="A2397" s="58" t="n"/>
      <c r="B2397" s="49">
        <f>IF(A2397="","",CHOOSE(WEEKDAY(A2397,2),"Пн","Вт","Ср","Чт","Пт","Сб","Вс"))</f>
        <v/>
      </c>
      <c r="C2397" s="59" t="n"/>
      <c r="D2397" s="59" t="n"/>
      <c r="E2397" s="60">
        <f>IF(OR(C2397="",D2397=""),"",MOD(D2397-C2397,1)*24)</f>
        <v/>
      </c>
      <c r="F2397" s="50" t="n"/>
      <c r="G2397" s="51" t="n"/>
      <c r="H2397" s="51" t="n"/>
      <c r="I2397" s="51" t="n"/>
      <c r="J2397" s="51" t="n"/>
      <c r="K2397" s="51" t="n"/>
      <c r="L2397" s="54">
        <f>IF(OR(A2397="",C2397="",D2397=""),"",IF(COUNTIFS($A$5:$A$3004,A2397,$C$5:$C$3004,"&lt;"&amp;D2397,$D$5:$D$3004,"&gt;"&amp;C2397)&gt;1,"⚠️ пересечение",""))</f>
        <v/>
      </c>
      <c r="M2397" s="54">
        <f>IF(F2397="","",IF(J2397="✅ Сделано","✔ ",IF(J2397="❌ Пропущено","✖ ","⏰ "))&amp;IF(C2397="","",RIGHT("0"&amp;HOUR(C2397),2)&amp;":"&amp;RIGHT("0"&amp;MINUTE(C2397),2)&amp;IF(D2397="","","–"&amp;RIGHT("0"&amp;HOUR(D2397),2)&amp;":"&amp;RIGHT("0"&amp;MINUTE(D2397),2))&amp;" ")&amp;F2397)</f>
        <v/>
      </c>
      <c r="N2397" s="54">
        <f>IF(OR(A2397="",F2397=""),"",A2397&amp;"#"&amp;(COUNTIFS($A$5:$A$3004,A2397,$F$5:$F$3004,"?*",$O$5:$O$3004,"&lt;"&amp;O2397)+COUNTIFS($A$5:A2397,A2397,$F$5:F2397,"?*",$O$5:O2397,O2397)))</f>
        <v/>
      </c>
      <c r="O2397" s="54">
        <f>IF(A2397="","",IF(C2397="",0,C2397))</f>
        <v/>
      </c>
    </row>
    <row r="2398">
      <c r="A2398" s="58" t="n"/>
      <c r="B2398" s="49">
        <f>IF(A2398="","",CHOOSE(WEEKDAY(A2398,2),"Пн","Вт","Ср","Чт","Пт","Сб","Вс"))</f>
        <v/>
      </c>
      <c r="C2398" s="59" t="n"/>
      <c r="D2398" s="59" t="n"/>
      <c r="E2398" s="60">
        <f>IF(OR(C2398="",D2398=""),"",MOD(D2398-C2398,1)*24)</f>
        <v/>
      </c>
      <c r="F2398" s="50" t="n"/>
      <c r="G2398" s="51" t="n"/>
      <c r="H2398" s="51" t="n"/>
      <c r="I2398" s="51" t="n"/>
      <c r="J2398" s="51" t="n"/>
      <c r="K2398" s="51" t="n"/>
      <c r="L2398" s="54">
        <f>IF(OR(A2398="",C2398="",D2398=""),"",IF(COUNTIFS($A$5:$A$3004,A2398,$C$5:$C$3004,"&lt;"&amp;D2398,$D$5:$D$3004,"&gt;"&amp;C2398)&gt;1,"⚠️ пересечение",""))</f>
        <v/>
      </c>
      <c r="M2398" s="54">
        <f>IF(F2398="","",IF(J2398="✅ Сделано","✔ ",IF(J2398="❌ Пропущено","✖ ","⏰ "))&amp;IF(C2398="","",RIGHT("0"&amp;HOUR(C2398),2)&amp;":"&amp;RIGHT("0"&amp;MINUTE(C2398),2)&amp;IF(D2398="","","–"&amp;RIGHT("0"&amp;HOUR(D2398),2)&amp;":"&amp;RIGHT("0"&amp;MINUTE(D2398),2))&amp;" ")&amp;F2398)</f>
        <v/>
      </c>
      <c r="N2398" s="54">
        <f>IF(OR(A2398="",F2398=""),"",A2398&amp;"#"&amp;(COUNTIFS($A$5:$A$3004,A2398,$F$5:$F$3004,"?*",$O$5:$O$3004,"&lt;"&amp;O2398)+COUNTIFS($A$5:A2398,A2398,$F$5:F2398,"?*",$O$5:O2398,O2398)))</f>
        <v/>
      </c>
      <c r="O2398" s="54">
        <f>IF(A2398="","",IF(C2398="",0,C2398))</f>
        <v/>
      </c>
    </row>
    <row r="2399">
      <c r="A2399" s="58" t="n"/>
      <c r="B2399" s="49">
        <f>IF(A2399="","",CHOOSE(WEEKDAY(A2399,2),"Пн","Вт","Ср","Чт","Пт","Сб","Вс"))</f>
        <v/>
      </c>
      <c r="C2399" s="59" t="n"/>
      <c r="D2399" s="59" t="n"/>
      <c r="E2399" s="60">
        <f>IF(OR(C2399="",D2399=""),"",MOD(D2399-C2399,1)*24)</f>
        <v/>
      </c>
      <c r="F2399" s="50" t="n"/>
      <c r="G2399" s="51" t="n"/>
      <c r="H2399" s="51" t="n"/>
      <c r="I2399" s="51" t="n"/>
      <c r="J2399" s="51" t="n"/>
      <c r="K2399" s="51" t="n"/>
      <c r="L2399" s="54">
        <f>IF(OR(A2399="",C2399="",D2399=""),"",IF(COUNTIFS($A$5:$A$3004,A2399,$C$5:$C$3004,"&lt;"&amp;D2399,$D$5:$D$3004,"&gt;"&amp;C2399)&gt;1,"⚠️ пересечение",""))</f>
        <v/>
      </c>
      <c r="M2399" s="54">
        <f>IF(F2399="","",IF(J2399="✅ Сделано","✔ ",IF(J2399="❌ Пропущено","✖ ","⏰ "))&amp;IF(C2399="","",RIGHT("0"&amp;HOUR(C2399),2)&amp;":"&amp;RIGHT("0"&amp;MINUTE(C2399),2)&amp;IF(D2399="","","–"&amp;RIGHT("0"&amp;HOUR(D2399),2)&amp;":"&amp;RIGHT("0"&amp;MINUTE(D2399),2))&amp;" ")&amp;F2399)</f>
        <v/>
      </c>
      <c r="N2399" s="54">
        <f>IF(OR(A2399="",F2399=""),"",A2399&amp;"#"&amp;(COUNTIFS($A$5:$A$3004,A2399,$F$5:$F$3004,"?*",$O$5:$O$3004,"&lt;"&amp;O2399)+COUNTIFS($A$5:A2399,A2399,$F$5:F2399,"?*",$O$5:O2399,O2399)))</f>
        <v/>
      </c>
      <c r="O2399" s="54">
        <f>IF(A2399="","",IF(C2399="",0,C2399))</f>
        <v/>
      </c>
    </row>
    <row r="2400">
      <c r="A2400" s="58" t="n"/>
      <c r="B2400" s="49">
        <f>IF(A2400="","",CHOOSE(WEEKDAY(A2400,2),"Пн","Вт","Ср","Чт","Пт","Сб","Вс"))</f>
        <v/>
      </c>
      <c r="C2400" s="59" t="n"/>
      <c r="D2400" s="59" t="n"/>
      <c r="E2400" s="60">
        <f>IF(OR(C2400="",D2400=""),"",MOD(D2400-C2400,1)*24)</f>
        <v/>
      </c>
      <c r="F2400" s="50" t="n"/>
      <c r="G2400" s="51" t="n"/>
      <c r="H2400" s="51" t="n"/>
      <c r="I2400" s="51" t="n"/>
      <c r="J2400" s="51" t="n"/>
      <c r="K2400" s="51" t="n"/>
      <c r="L2400" s="54">
        <f>IF(OR(A2400="",C2400="",D2400=""),"",IF(COUNTIFS($A$5:$A$3004,A2400,$C$5:$C$3004,"&lt;"&amp;D2400,$D$5:$D$3004,"&gt;"&amp;C2400)&gt;1,"⚠️ пересечение",""))</f>
        <v/>
      </c>
      <c r="M2400" s="54">
        <f>IF(F2400="","",IF(J2400="✅ Сделано","✔ ",IF(J2400="❌ Пропущено","✖ ","⏰ "))&amp;IF(C2400="","",RIGHT("0"&amp;HOUR(C2400),2)&amp;":"&amp;RIGHT("0"&amp;MINUTE(C2400),2)&amp;IF(D2400="","","–"&amp;RIGHT("0"&amp;HOUR(D2400),2)&amp;":"&amp;RIGHT("0"&amp;MINUTE(D2400),2))&amp;" ")&amp;F2400)</f>
        <v/>
      </c>
      <c r="N2400" s="54">
        <f>IF(OR(A2400="",F2400=""),"",A2400&amp;"#"&amp;(COUNTIFS($A$5:$A$3004,A2400,$F$5:$F$3004,"?*",$O$5:$O$3004,"&lt;"&amp;O2400)+COUNTIFS($A$5:A2400,A2400,$F$5:F2400,"?*",$O$5:O2400,O2400)))</f>
        <v/>
      </c>
      <c r="O2400" s="54">
        <f>IF(A2400="","",IF(C2400="",0,C2400))</f>
        <v/>
      </c>
    </row>
    <row r="2401">
      <c r="A2401" s="58" t="n"/>
      <c r="B2401" s="49">
        <f>IF(A2401="","",CHOOSE(WEEKDAY(A2401,2),"Пн","Вт","Ср","Чт","Пт","Сб","Вс"))</f>
        <v/>
      </c>
      <c r="C2401" s="59" t="n"/>
      <c r="D2401" s="59" t="n"/>
      <c r="E2401" s="60">
        <f>IF(OR(C2401="",D2401=""),"",MOD(D2401-C2401,1)*24)</f>
        <v/>
      </c>
      <c r="F2401" s="50" t="n"/>
      <c r="G2401" s="51" t="n"/>
      <c r="H2401" s="51" t="n"/>
      <c r="I2401" s="51" t="n"/>
      <c r="J2401" s="51" t="n"/>
      <c r="K2401" s="51" t="n"/>
      <c r="L2401" s="54">
        <f>IF(OR(A2401="",C2401="",D2401=""),"",IF(COUNTIFS($A$5:$A$3004,A2401,$C$5:$C$3004,"&lt;"&amp;D2401,$D$5:$D$3004,"&gt;"&amp;C2401)&gt;1,"⚠️ пересечение",""))</f>
        <v/>
      </c>
      <c r="M2401" s="54">
        <f>IF(F2401="","",IF(J2401="✅ Сделано","✔ ",IF(J2401="❌ Пропущено","✖ ","⏰ "))&amp;IF(C2401="","",RIGHT("0"&amp;HOUR(C2401),2)&amp;":"&amp;RIGHT("0"&amp;MINUTE(C2401),2)&amp;IF(D2401="","","–"&amp;RIGHT("0"&amp;HOUR(D2401),2)&amp;":"&amp;RIGHT("0"&amp;MINUTE(D2401),2))&amp;" ")&amp;F2401)</f>
        <v/>
      </c>
      <c r="N2401" s="54">
        <f>IF(OR(A2401="",F2401=""),"",A2401&amp;"#"&amp;(COUNTIFS($A$5:$A$3004,A2401,$F$5:$F$3004,"?*",$O$5:$O$3004,"&lt;"&amp;O2401)+COUNTIFS($A$5:A2401,A2401,$F$5:F2401,"?*",$O$5:O2401,O2401)))</f>
        <v/>
      </c>
      <c r="O2401" s="54">
        <f>IF(A2401="","",IF(C2401="",0,C2401))</f>
        <v/>
      </c>
    </row>
    <row r="2402">
      <c r="A2402" s="58" t="n"/>
      <c r="B2402" s="49">
        <f>IF(A2402="","",CHOOSE(WEEKDAY(A2402,2),"Пн","Вт","Ср","Чт","Пт","Сб","Вс"))</f>
        <v/>
      </c>
      <c r="C2402" s="59" t="n"/>
      <c r="D2402" s="59" t="n"/>
      <c r="E2402" s="60">
        <f>IF(OR(C2402="",D2402=""),"",MOD(D2402-C2402,1)*24)</f>
        <v/>
      </c>
      <c r="F2402" s="50" t="n"/>
      <c r="G2402" s="51" t="n"/>
      <c r="H2402" s="51" t="n"/>
      <c r="I2402" s="51" t="n"/>
      <c r="J2402" s="51" t="n"/>
      <c r="K2402" s="51" t="n"/>
      <c r="L2402" s="54">
        <f>IF(OR(A2402="",C2402="",D2402=""),"",IF(COUNTIFS($A$5:$A$3004,A2402,$C$5:$C$3004,"&lt;"&amp;D2402,$D$5:$D$3004,"&gt;"&amp;C2402)&gt;1,"⚠️ пересечение",""))</f>
        <v/>
      </c>
      <c r="M2402" s="54">
        <f>IF(F2402="","",IF(J2402="✅ Сделано","✔ ",IF(J2402="❌ Пропущено","✖ ","⏰ "))&amp;IF(C2402="","",RIGHT("0"&amp;HOUR(C2402),2)&amp;":"&amp;RIGHT("0"&amp;MINUTE(C2402),2)&amp;IF(D2402="","","–"&amp;RIGHT("0"&amp;HOUR(D2402),2)&amp;":"&amp;RIGHT("0"&amp;MINUTE(D2402),2))&amp;" ")&amp;F2402)</f>
        <v/>
      </c>
      <c r="N2402" s="54">
        <f>IF(OR(A2402="",F2402=""),"",A2402&amp;"#"&amp;(COUNTIFS($A$5:$A$3004,A2402,$F$5:$F$3004,"?*",$O$5:$O$3004,"&lt;"&amp;O2402)+COUNTIFS($A$5:A2402,A2402,$F$5:F2402,"?*",$O$5:O2402,O2402)))</f>
        <v/>
      </c>
      <c r="O2402" s="54">
        <f>IF(A2402="","",IF(C2402="",0,C2402))</f>
        <v/>
      </c>
    </row>
    <row r="2403">
      <c r="A2403" s="58" t="n"/>
      <c r="B2403" s="49">
        <f>IF(A2403="","",CHOOSE(WEEKDAY(A2403,2),"Пн","Вт","Ср","Чт","Пт","Сб","Вс"))</f>
        <v/>
      </c>
      <c r="C2403" s="59" t="n"/>
      <c r="D2403" s="59" t="n"/>
      <c r="E2403" s="60">
        <f>IF(OR(C2403="",D2403=""),"",MOD(D2403-C2403,1)*24)</f>
        <v/>
      </c>
      <c r="F2403" s="50" t="n"/>
      <c r="G2403" s="51" t="n"/>
      <c r="H2403" s="51" t="n"/>
      <c r="I2403" s="51" t="n"/>
      <c r="J2403" s="51" t="n"/>
      <c r="K2403" s="51" t="n"/>
      <c r="L2403" s="54">
        <f>IF(OR(A2403="",C2403="",D2403=""),"",IF(COUNTIFS($A$5:$A$3004,A2403,$C$5:$C$3004,"&lt;"&amp;D2403,$D$5:$D$3004,"&gt;"&amp;C2403)&gt;1,"⚠️ пересечение",""))</f>
        <v/>
      </c>
      <c r="M2403" s="54">
        <f>IF(F2403="","",IF(J2403="✅ Сделано","✔ ",IF(J2403="❌ Пропущено","✖ ","⏰ "))&amp;IF(C2403="","",RIGHT("0"&amp;HOUR(C2403),2)&amp;":"&amp;RIGHT("0"&amp;MINUTE(C2403),2)&amp;IF(D2403="","","–"&amp;RIGHT("0"&amp;HOUR(D2403),2)&amp;":"&amp;RIGHT("0"&amp;MINUTE(D2403),2))&amp;" ")&amp;F2403)</f>
        <v/>
      </c>
      <c r="N2403" s="54">
        <f>IF(OR(A2403="",F2403=""),"",A2403&amp;"#"&amp;(COUNTIFS($A$5:$A$3004,A2403,$F$5:$F$3004,"?*",$O$5:$O$3004,"&lt;"&amp;O2403)+COUNTIFS($A$5:A2403,A2403,$F$5:F2403,"?*",$O$5:O2403,O2403)))</f>
        <v/>
      </c>
      <c r="O2403" s="54">
        <f>IF(A2403="","",IF(C2403="",0,C2403))</f>
        <v/>
      </c>
    </row>
    <row r="2404">
      <c r="A2404" s="58" t="n"/>
      <c r="B2404" s="49">
        <f>IF(A2404="","",CHOOSE(WEEKDAY(A2404,2),"Пн","Вт","Ср","Чт","Пт","Сб","Вс"))</f>
        <v/>
      </c>
      <c r="C2404" s="59" t="n"/>
      <c r="D2404" s="59" t="n"/>
      <c r="E2404" s="60">
        <f>IF(OR(C2404="",D2404=""),"",MOD(D2404-C2404,1)*24)</f>
        <v/>
      </c>
      <c r="F2404" s="50" t="n"/>
      <c r="G2404" s="51" t="n"/>
      <c r="H2404" s="51" t="n"/>
      <c r="I2404" s="51" t="n"/>
      <c r="J2404" s="51" t="n"/>
      <c r="K2404" s="51" t="n"/>
      <c r="L2404" s="54">
        <f>IF(OR(A2404="",C2404="",D2404=""),"",IF(COUNTIFS($A$5:$A$3004,A2404,$C$5:$C$3004,"&lt;"&amp;D2404,$D$5:$D$3004,"&gt;"&amp;C2404)&gt;1,"⚠️ пересечение",""))</f>
        <v/>
      </c>
      <c r="M2404" s="54">
        <f>IF(F2404="","",IF(J2404="✅ Сделано","✔ ",IF(J2404="❌ Пропущено","✖ ","⏰ "))&amp;IF(C2404="","",RIGHT("0"&amp;HOUR(C2404),2)&amp;":"&amp;RIGHT("0"&amp;MINUTE(C2404),2)&amp;IF(D2404="","","–"&amp;RIGHT("0"&amp;HOUR(D2404),2)&amp;":"&amp;RIGHT("0"&amp;MINUTE(D2404),2))&amp;" ")&amp;F2404)</f>
        <v/>
      </c>
      <c r="N2404" s="54">
        <f>IF(OR(A2404="",F2404=""),"",A2404&amp;"#"&amp;(COUNTIFS($A$5:$A$3004,A2404,$F$5:$F$3004,"?*",$O$5:$O$3004,"&lt;"&amp;O2404)+COUNTIFS($A$5:A2404,A2404,$F$5:F2404,"?*",$O$5:O2404,O2404)))</f>
        <v/>
      </c>
      <c r="O2404" s="54">
        <f>IF(A2404="","",IF(C2404="",0,C2404))</f>
        <v/>
      </c>
    </row>
    <row r="2405">
      <c r="A2405" s="58" t="n"/>
      <c r="B2405" s="49">
        <f>IF(A2405="","",CHOOSE(WEEKDAY(A2405,2),"Пн","Вт","Ср","Чт","Пт","Сб","Вс"))</f>
        <v/>
      </c>
      <c r="C2405" s="59" t="n"/>
      <c r="D2405" s="59" t="n"/>
      <c r="E2405" s="60">
        <f>IF(OR(C2405="",D2405=""),"",MOD(D2405-C2405,1)*24)</f>
        <v/>
      </c>
      <c r="F2405" s="50" t="n"/>
      <c r="G2405" s="51" t="n"/>
      <c r="H2405" s="51" t="n"/>
      <c r="I2405" s="51" t="n"/>
      <c r="J2405" s="51" t="n"/>
      <c r="K2405" s="51" t="n"/>
      <c r="L2405" s="54">
        <f>IF(OR(A2405="",C2405="",D2405=""),"",IF(COUNTIFS($A$5:$A$3004,A2405,$C$5:$C$3004,"&lt;"&amp;D2405,$D$5:$D$3004,"&gt;"&amp;C2405)&gt;1,"⚠️ пересечение",""))</f>
        <v/>
      </c>
      <c r="M2405" s="54">
        <f>IF(F2405="","",IF(J2405="✅ Сделано","✔ ",IF(J2405="❌ Пропущено","✖ ","⏰ "))&amp;IF(C2405="","",RIGHT("0"&amp;HOUR(C2405),2)&amp;":"&amp;RIGHT("0"&amp;MINUTE(C2405),2)&amp;IF(D2405="","","–"&amp;RIGHT("0"&amp;HOUR(D2405),2)&amp;":"&amp;RIGHT("0"&amp;MINUTE(D2405),2))&amp;" ")&amp;F2405)</f>
        <v/>
      </c>
      <c r="N2405" s="54">
        <f>IF(OR(A2405="",F2405=""),"",A2405&amp;"#"&amp;(COUNTIFS($A$5:$A$3004,A2405,$F$5:$F$3004,"?*",$O$5:$O$3004,"&lt;"&amp;O2405)+COUNTIFS($A$5:A2405,A2405,$F$5:F2405,"?*",$O$5:O2405,O2405)))</f>
        <v/>
      </c>
      <c r="O2405" s="54">
        <f>IF(A2405="","",IF(C2405="",0,C2405))</f>
        <v/>
      </c>
    </row>
    <row r="2406">
      <c r="A2406" s="58" t="n"/>
      <c r="B2406" s="49">
        <f>IF(A2406="","",CHOOSE(WEEKDAY(A2406,2),"Пн","Вт","Ср","Чт","Пт","Сб","Вс"))</f>
        <v/>
      </c>
      <c r="C2406" s="59" t="n"/>
      <c r="D2406" s="59" t="n"/>
      <c r="E2406" s="60">
        <f>IF(OR(C2406="",D2406=""),"",MOD(D2406-C2406,1)*24)</f>
        <v/>
      </c>
      <c r="F2406" s="50" t="n"/>
      <c r="G2406" s="51" t="n"/>
      <c r="H2406" s="51" t="n"/>
      <c r="I2406" s="51" t="n"/>
      <c r="J2406" s="51" t="n"/>
      <c r="K2406" s="51" t="n"/>
      <c r="L2406" s="54">
        <f>IF(OR(A2406="",C2406="",D2406=""),"",IF(COUNTIFS($A$5:$A$3004,A2406,$C$5:$C$3004,"&lt;"&amp;D2406,$D$5:$D$3004,"&gt;"&amp;C2406)&gt;1,"⚠️ пересечение",""))</f>
        <v/>
      </c>
      <c r="M2406" s="54">
        <f>IF(F2406="","",IF(J2406="✅ Сделано","✔ ",IF(J2406="❌ Пропущено","✖ ","⏰ "))&amp;IF(C2406="","",RIGHT("0"&amp;HOUR(C2406),2)&amp;":"&amp;RIGHT("0"&amp;MINUTE(C2406),2)&amp;IF(D2406="","","–"&amp;RIGHT("0"&amp;HOUR(D2406),2)&amp;":"&amp;RIGHT("0"&amp;MINUTE(D2406),2))&amp;" ")&amp;F2406)</f>
        <v/>
      </c>
      <c r="N2406" s="54">
        <f>IF(OR(A2406="",F2406=""),"",A2406&amp;"#"&amp;(COUNTIFS($A$5:$A$3004,A2406,$F$5:$F$3004,"?*",$O$5:$O$3004,"&lt;"&amp;O2406)+COUNTIFS($A$5:A2406,A2406,$F$5:F2406,"?*",$O$5:O2406,O2406)))</f>
        <v/>
      </c>
      <c r="O2406" s="54">
        <f>IF(A2406="","",IF(C2406="",0,C2406))</f>
        <v/>
      </c>
    </row>
    <row r="2407">
      <c r="A2407" s="58" t="n"/>
      <c r="B2407" s="49">
        <f>IF(A2407="","",CHOOSE(WEEKDAY(A2407,2),"Пн","Вт","Ср","Чт","Пт","Сб","Вс"))</f>
        <v/>
      </c>
      <c r="C2407" s="59" t="n"/>
      <c r="D2407" s="59" t="n"/>
      <c r="E2407" s="60">
        <f>IF(OR(C2407="",D2407=""),"",MOD(D2407-C2407,1)*24)</f>
        <v/>
      </c>
      <c r="F2407" s="50" t="n"/>
      <c r="G2407" s="51" t="n"/>
      <c r="H2407" s="51" t="n"/>
      <c r="I2407" s="51" t="n"/>
      <c r="J2407" s="51" t="n"/>
      <c r="K2407" s="51" t="n"/>
      <c r="L2407" s="54">
        <f>IF(OR(A2407="",C2407="",D2407=""),"",IF(COUNTIFS($A$5:$A$3004,A2407,$C$5:$C$3004,"&lt;"&amp;D2407,$D$5:$D$3004,"&gt;"&amp;C2407)&gt;1,"⚠️ пересечение",""))</f>
        <v/>
      </c>
      <c r="M2407" s="54">
        <f>IF(F2407="","",IF(J2407="✅ Сделано","✔ ",IF(J2407="❌ Пропущено","✖ ","⏰ "))&amp;IF(C2407="","",RIGHT("0"&amp;HOUR(C2407),2)&amp;":"&amp;RIGHT("0"&amp;MINUTE(C2407),2)&amp;IF(D2407="","","–"&amp;RIGHT("0"&amp;HOUR(D2407),2)&amp;":"&amp;RIGHT("0"&amp;MINUTE(D2407),2))&amp;" ")&amp;F2407)</f>
        <v/>
      </c>
      <c r="N2407" s="54">
        <f>IF(OR(A2407="",F2407=""),"",A2407&amp;"#"&amp;(COUNTIFS($A$5:$A$3004,A2407,$F$5:$F$3004,"?*",$O$5:$O$3004,"&lt;"&amp;O2407)+COUNTIFS($A$5:A2407,A2407,$F$5:F2407,"?*",$O$5:O2407,O2407)))</f>
        <v/>
      </c>
      <c r="O2407" s="54">
        <f>IF(A2407="","",IF(C2407="",0,C2407))</f>
        <v/>
      </c>
    </row>
    <row r="2408">
      <c r="A2408" s="58" t="n"/>
      <c r="B2408" s="49">
        <f>IF(A2408="","",CHOOSE(WEEKDAY(A2408,2),"Пн","Вт","Ср","Чт","Пт","Сб","Вс"))</f>
        <v/>
      </c>
      <c r="C2408" s="59" t="n"/>
      <c r="D2408" s="59" t="n"/>
      <c r="E2408" s="60">
        <f>IF(OR(C2408="",D2408=""),"",MOD(D2408-C2408,1)*24)</f>
        <v/>
      </c>
      <c r="F2408" s="50" t="n"/>
      <c r="G2408" s="51" t="n"/>
      <c r="H2408" s="51" t="n"/>
      <c r="I2408" s="51" t="n"/>
      <c r="J2408" s="51" t="n"/>
      <c r="K2408" s="51" t="n"/>
      <c r="L2408" s="54">
        <f>IF(OR(A2408="",C2408="",D2408=""),"",IF(COUNTIFS($A$5:$A$3004,A2408,$C$5:$C$3004,"&lt;"&amp;D2408,$D$5:$D$3004,"&gt;"&amp;C2408)&gt;1,"⚠️ пересечение",""))</f>
        <v/>
      </c>
      <c r="M2408" s="54">
        <f>IF(F2408="","",IF(J2408="✅ Сделано","✔ ",IF(J2408="❌ Пропущено","✖ ","⏰ "))&amp;IF(C2408="","",RIGHT("0"&amp;HOUR(C2408),2)&amp;":"&amp;RIGHT("0"&amp;MINUTE(C2408),2)&amp;IF(D2408="","","–"&amp;RIGHT("0"&amp;HOUR(D2408),2)&amp;":"&amp;RIGHT("0"&amp;MINUTE(D2408),2))&amp;" ")&amp;F2408)</f>
        <v/>
      </c>
      <c r="N2408" s="54">
        <f>IF(OR(A2408="",F2408=""),"",A2408&amp;"#"&amp;(COUNTIFS($A$5:$A$3004,A2408,$F$5:$F$3004,"?*",$O$5:$O$3004,"&lt;"&amp;O2408)+COUNTIFS($A$5:A2408,A2408,$F$5:F2408,"?*",$O$5:O2408,O2408)))</f>
        <v/>
      </c>
      <c r="O2408" s="54">
        <f>IF(A2408="","",IF(C2408="",0,C2408))</f>
        <v/>
      </c>
    </row>
    <row r="2409">
      <c r="A2409" s="58" t="n"/>
      <c r="B2409" s="49">
        <f>IF(A2409="","",CHOOSE(WEEKDAY(A2409,2),"Пн","Вт","Ср","Чт","Пт","Сб","Вс"))</f>
        <v/>
      </c>
      <c r="C2409" s="59" t="n"/>
      <c r="D2409" s="59" t="n"/>
      <c r="E2409" s="60">
        <f>IF(OR(C2409="",D2409=""),"",MOD(D2409-C2409,1)*24)</f>
        <v/>
      </c>
      <c r="F2409" s="50" t="n"/>
      <c r="G2409" s="51" t="n"/>
      <c r="H2409" s="51" t="n"/>
      <c r="I2409" s="51" t="n"/>
      <c r="J2409" s="51" t="n"/>
      <c r="K2409" s="51" t="n"/>
      <c r="L2409" s="54">
        <f>IF(OR(A2409="",C2409="",D2409=""),"",IF(COUNTIFS($A$5:$A$3004,A2409,$C$5:$C$3004,"&lt;"&amp;D2409,$D$5:$D$3004,"&gt;"&amp;C2409)&gt;1,"⚠️ пересечение",""))</f>
        <v/>
      </c>
      <c r="M2409" s="54">
        <f>IF(F2409="","",IF(J2409="✅ Сделано","✔ ",IF(J2409="❌ Пропущено","✖ ","⏰ "))&amp;IF(C2409="","",RIGHT("0"&amp;HOUR(C2409),2)&amp;":"&amp;RIGHT("0"&amp;MINUTE(C2409),2)&amp;IF(D2409="","","–"&amp;RIGHT("0"&amp;HOUR(D2409),2)&amp;":"&amp;RIGHT("0"&amp;MINUTE(D2409),2))&amp;" ")&amp;F2409)</f>
        <v/>
      </c>
      <c r="N2409" s="54">
        <f>IF(OR(A2409="",F2409=""),"",A2409&amp;"#"&amp;(COUNTIFS($A$5:$A$3004,A2409,$F$5:$F$3004,"?*",$O$5:$O$3004,"&lt;"&amp;O2409)+COUNTIFS($A$5:A2409,A2409,$F$5:F2409,"?*",$O$5:O2409,O2409)))</f>
        <v/>
      </c>
      <c r="O2409" s="54">
        <f>IF(A2409="","",IF(C2409="",0,C2409))</f>
        <v/>
      </c>
    </row>
    <row r="2410">
      <c r="A2410" s="58" t="n"/>
      <c r="B2410" s="49">
        <f>IF(A2410="","",CHOOSE(WEEKDAY(A2410,2),"Пн","Вт","Ср","Чт","Пт","Сб","Вс"))</f>
        <v/>
      </c>
      <c r="C2410" s="59" t="n"/>
      <c r="D2410" s="59" t="n"/>
      <c r="E2410" s="60">
        <f>IF(OR(C2410="",D2410=""),"",MOD(D2410-C2410,1)*24)</f>
        <v/>
      </c>
      <c r="F2410" s="50" t="n"/>
      <c r="G2410" s="51" t="n"/>
      <c r="H2410" s="51" t="n"/>
      <c r="I2410" s="51" t="n"/>
      <c r="J2410" s="51" t="n"/>
      <c r="K2410" s="51" t="n"/>
      <c r="L2410" s="54">
        <f>IF(OR(A2410="",C2410="",D2410=""),"",IF(COUNTIFS($A$5:$A$3004,A2410,$C$5:$C$3004,"&lt;"&amp;D2410,$D$5:$D$3004,"&gt;"&amp;C2410)&gt;1,"⚠️ пересечение",""))</f>
        <v/>
      </c>
      <c r="M2410" s="54">
        <f>IF(F2410="","",IF(J2410="✅ Сделано","✔ ",IF(J2410="❌ Пропущено","✖ ","⏰ "))&amp;IF(C2410="","",RIGHT("0"&amp;HOUR(C2410),2)&amp;":"&amp;RIGHT("0"&amp;MINUTE(C2410),2)&amp;IF(D2410="","","–"&amp;RIGHT("0"&amp;HOUR(D2410),2)&amp;":"&amp;RIGHT("0"&amp;MINUTE(D2410),2))&amp;" ")&amp;F2410)</f>
        <v/>
      </c>
      <c r="N2410" s="54">
        <f>IF(OR(A2410="",F2410=""),"",A2410&amp;"#"&amp;(COUNTIFS($A$5:$A$3004,A2410,$F$5:$F$3004,"?*",$O$5:$O$3004,"&lt;"&amp;O2410)+COUNTIFS($A$5:A2410,A2410,$F$5:F2410,"?*",$O$5:O2410,O2410)))</f>
        <v/>
      </c>
      <c r="O2410" s="54">
        <f>IF(A2410="","",IF(C2410="",0,C2410))</f>
        <v/>
      </c>
    </row>
    <row r="2411">
      <c r="A2411" s="58" t="n"/>
      <c r="B2411" s="49">
        <f>IF(A2411="","",CHOOSE(WEEKDAY(A2411,2),"Пн","Вт","Ср","Чт","Пт","Сб","Вс"))</f>
        <v/>
      </c>
      <c r="C2411" s="59" t="n"/>
      <c r="D2411" s="59" t="n"/>
      <c r="E2411" s="60">
        <f>IF(OR(C2411="",D2411=""),"",MOD(D2411-C2411,1)*24)</f>
        <v/>
      </c>
      <c r="F2411" s="50" t="n"/>
      <c r="G2411" s="51" t="n"/>
      <c r="H2411" s="51" t="n"/>
      <c r="I2411" s="51" t="n"/>
      <c r="J2411" s="51" t="n"/>
      <c r="K2411" s="51" t="n"/>
      <c r="L2411" s="54">
        <f>IF(OR(A2411="",C2411="",D2411=""),"",IF(COUNTIFS($A$5:$A$3004,A2411,$C$5:$C$3004,"&lt;"&amp;D2411,$D$5:$D$3004,"&gt;"&amp;C2411)&gt;1,"⚠️ пересечение",""))</f>
        <v/>
      </c>
      <c r="M2411" s="54">
        <f>IF(F2411="","",IF(J2411="✅ Сделано","✔ ",IF(J2411="❌ Пропущено","✖ ","⏰ "))&amp;IF(C2411="","",RIGHT("0"&amp;HOUR(C2411),2)&amp;":"&amp;RIGHT("0"&amp;MINUTE(C2411),2)&amp;IF(D2411="","","–"&amp;RIGHT("0"&amp;HOUR(D2411),2)&amp;":"&amp;RIGHT("0"&amp;MINUTE(D2411),2))&amp;" ")&amp;F2411)</f>
        <v/>
      </c>
      <c r="N2411" s="54">
        <f>IF(OR(A2411="",F2411=""),"",A2411&amp;"#"&amp;(COUNTIFS($A$5:$A$3004,A2411,$F$5:$F$3004,"?*",$O$5:$O$3004,"&lt;"&amp;O2411)+COUNTIFS($A$5:A2411,A2411,$F$5:F2411,"?*",$O$5:O2411,O2411)))</f>
        <v/>
      </c>
      <c r="O2411" s="54">
        <f>IF(A2411="","",IF(C2411="",0,C2411))</f>
        <v/>
      </c>
    </row>
    <row r="2412">
      <c r="A2412" s="58" t="n"/>
      <c r="B2412" s="49">
        <f>IF(A2412="","",CHOOSE(WEEKDAY(A2412,2),"Пн","Вт","Ср","Чт","Пт","Сб","Вс"))</f>
        <v/>
      </c>
      <c r="C2412" s="59" t="n"/>
      <c r="D2412" s="59" t="n"/>
      <c r="E2412" s="60">
        <f>IF(OR(C2412="",D2412=""),"",MOD(D2412-C2412,1)*24)</f>
        <v/>
      </c>
      <c r="F2412" s="50" t="n"/>
      <c r="G2412" s="51" t="n"/>
      <c r="H2412" s="51" t="n"/>
      <c r="I2412" s="51" t="n"/>
      <c r="J2412" s="51" t="n"/>
      <c r="K2412" s="51" t="n"/>
      <c r="L2412" s="54">
        <f>IF(OR(A2412="",C2412="",D2412=""),"",IF(COUNTIFS($A$5:$A$3004,A2412,$C$5:$C$3004,"&lt;"&amp;D2412,$D$5:$D$3004,"&gt;"&amp;C2412)&gt;1,"⚠️ пересечение",""))</f>
        <v/>
      </c>
      <c r="M2412" s="54">
        <f>IF(F2412="","",IF(J2412="✅ Сделано","✔ ",IF(J2412="❌ Пропущено","✖ ","⏰ "))&amp;IF(C2412="","",RIGHT("0"&amp;HOUR(C2412),2)&amp;":"&amp;RIGHT("0"&amp;MINUTE(C2412),2)&amp;IF(D2412="","","–"&amp;RIGHT("0"&amp;HOUR(D2412),2)&amp;":"&amp;RIGHT("0"&amp;MINUTE(D2412),2))&amp;" ")&amp;F2412)</f>
        <v/>
      </c>
      <c r="N2412" s="54">
        <f>IF(OR(A2412="",F2412=""),"",A2412&amp;"#"&amp;(COUNTIFS($A$5:$A$3004,A2412,$F$5:$F$3004,"?*",$O$5:$O$3004,"&lt;"&amp;O2412)+COUNTIFS($A$5:A2412,A2412,$F$5:F2412,"?*",$O$5:O2412,O2412)))</f>
        <v/>
      </c>
      <c r="O2412" s="54">
        <f>IF(A2412="","",IF(C2412="",0,C2412))</f>
        <v/>
      </c>
    </row>
    <row r="2413">
      <c r="A2413" s="58" t="n"/>
      <c r="B2413" s="49">
        <f>IF(A2413="","",CHOOSE(WEEKDAY(A2413,2),"Пн","Вт","Ср","Чт","Пт","Сб","Вс"))</f>
        <v/>
      </c>
      <c r="C2413" s="59" t="n"/>
      <c r="D2413" s="59" t="n"/>
      <c r="E2413" s="60">
        <f>IF(OR(C2413="",D2413=""),"",MOD(D2413-C2413,1)*24)</f>
        <v/>
      </c>
      <c r="F2413" s="50" t="n"/>
      <c r="G2413" s="51" t="n"/>
      <c r="H2413" s="51" t="n"/>
      <c r="I2413" s="51" t="n"/>
      <c r="J2413" s="51" t="n"/>
      <c r="K2413" s="51" t="n"/>
      <c r="L2413" s="54">
        <f>IF(OR(A2413="",C2413="",D2413=""),"",IF(COUNTIFS($A$5:$A$3004,A2413,$C$5:$C$3004,"&lt;"&amp;D2413,$D$5:$D$3004,"&gt;"&amp;C2413)&gt;1,"⚠️ пересечение",""))</f>
        <v/>
      </c>
      <c r="M2413" s="54">
        <f>IF(F2413="","",IF(J2413="✅ Сделано","✔ ",IF(J2413="❌ Пропущено","✖ ","⏰ "))&amp;IF(C2413="","",RIGHT("0"&amp;HOUR(C2413),2)&amp;":"&amp;RIGHT("0"&amp;MINUTE(C2413),2)&amp;IF(D2413="","","–"&amp;RIGHT("0"&amp;HOUR(D2413),2)&amp;":"&amp;RIGHT("0"&amp;MINUTE(D2413),2))&amp;" ")&amp;F2413)</f>
        <v/>
      </c>
      <c r="N2413" s="54">
        <f>IF(OR(A2413="",F2413=""),"",A2413&amp;"#"&amp;(COUNTIFS($A$5:$A$3004,A2413,$F$5:$F$3004,"?*",$O$5:$O$3004,"&lt;"&amp;O2413)+COUNTIFS($A$5:A2413,A2413,$F$5:F2413,"?*",$O$5:O2413,O2413)))</f>
        <v/>
      </c>
      <c r="O2413" s="54">
        <f>IF(A2413="","",IF(C2413="",0,C2413))</f>
        <v/>
      </c>
    </row>
    <row r="2414">
      <c r="A2414" s="58" t="n"/>
      <c r="B2414" s="49">
        <f>IF(A2414="","",CHOOSE(WEEKDAY(A2414,2),"Пн","Вт","Ср","Чт","Пт","Сб","Вс"))</f>
        <v/>
      </c>
      <c r="C2414" s="59" t="n"/>
      <c r="D2414" s="59" t="n"/>
      <c r="E2414" s="60">
        <f>IF(OR(C2414="",D2414=""),"",MOD(D2414-C2414,1)*24)</f>
        <v/>
      </c>
      <c r="F2414" s="50" t="n"/>
      <c r="G2414" s="51" t="n"/>
      <c r="H2414" s="51" t="n"/>
      <c r="I2414" s="51" t="n"/>
      <c r="J2414" s="51" t="n"/>
      <c r="K2414" s="51" t="n"/>
      <c r="L2414" s="54">
        <f>IF(OR(A2414="",C2414="",D2414=""),"",IF(COUNTIFS($A$5:$A$3004,A2414,$C$5:$C$3004,"&lt;"&amp;D2414,$D$5:$D$3004,"&gt;"&amp;C2414)&gt;1,"⚠️ пересечение",""))</f>
        <v/>
      </c>
      <c r="M2414" s="54">
        <f>IF(F2414="","",IF(J2414="✅ Сделано","✔ ",IF(J2414="❌ Пропущено","✖ ","⏰ "))&amp;IF(C2414="","",RIGHT("0"&amp;HOUR(C2414),2)&amp;":"&amp;RIGHT("0"&amp;MINUTE(C2414),2)&amp;IF(D2414="","","–"&amp;RIGHT("0"&amp;HOUR(D2414),2)&amp;":"&amp;RIGHT("0"&amp;MINUTE(D2414),2))&amp;" ")&amp;F2414)</f>
        <v/>
      </c>
      <c r="N2414" s="54">
        <f>IF(OR(A2414="",F2414=""),"",A2414&amp;"#"&amp;(COUNTIFS($A$5:$A$3004,A2414,$F$5:$F$3004,"?*",$O$5:$O$3004,"&lt;"&amp;O2414)+COUNTIFS($A$5:A2414,A2414,$F$5:F2414,"?*",$O$5:O2414,O2414)))</f>
        <v/>
      </c>
      <c r="O2414" s="54">
        <f>IF(A2414="","",IF(C2414="",0,C2414))</f>
        <v/>
      </c>
    </row>
    <row r="2415">
      <c r="A2415" s="58" t="n"/>
      <c r="B2415" s="49">
        <f>IF(A2415="","",CHOOSE(WEEKDAY(A2415,2),"Пн","Вт","Ср","Чт","Пт","Сб","Вс"))</f>
        <v/>
      </c>
      <c r="C2415" s="59" t="n"/>
      <c r="D2415" s="59" t="n"/>
      <c r="E2415" s="60">
        <f>IF(OR(C2415="",D2415=""),"",MOD(D2415-C2415,1)*24)</f>
        <v/>
      </c>
      <c r="F2415" s="50" t="n"/>
      <c r="G2415" s="51" t="n"/>
      <c r="H2415" s="51" t="n"/>
      <c r="I2415" s="51" t="n"/>
      <c r="J2415" s="51" t="n"/>
      <c r="K2415" s="51" t="n"/>
      <c r="L2415" s="54">
        <f>IF(OR(A2415="",C2415="",D2415=""),"",IF(COUNTIFS($A$5:$A$3004,A2415,$C$5:$C$3004,"&lt;"&amp;D2415,$D$5:$D$3004,"&gt;"&amp;C2415)&gt;1,"⚠️ пересечение",""))</f>
        <v/>
      </c>
      <c r="M2415" s="54">
        <f>IF(F2415="","",IF(J2415="✅ Сделано","✔ ",IF(J2415="❌ Пропущено","✖ ","⏰ "))&amp;IF(C2415="","",RIGHT("0"&amp;HOUR(C2415),2)&amp;":"&amp;RIGHT("0"&amp;MINUTE(C2415),2)&amp;IF(D2415="","","–"&amp;RIGHT("0"&amp;HOUR(D2415),2)&amp;":"&amp;RIGHT("0"&amp;MINUTE(D2415),2))&amp;" ")&amp;F2415)</f>
        <v/>
      </c>
      <c r="N2415" s="54">
        <f>IF(OR(A2415="",F2415=""),"",A2415&amp;"#"&amp;(COUNTIFS($A$5:$A$3004,A2415,$F$5:$F$3004,"?*",$O$5:$O$3004,"&lt;"&amp;O2415)+COUNTIFS($A$5:A2415,A2415,$F$5:F2415,"?*",$O$5:O2415,O2415)))</f>
        <v/>
      </c>
      <c r="O2415" s="54">
        <f>IF(A2415="","",IF(C2415="",0,C2415))</f>
        <v/>
      </c>
    </row>
    <row r="2416">
      <c r="A2416" s="58" t="n"/>
      <c r="B2416" s="49">
        <f>IF(A2416="","",CHOOSE(WEEKDAY(A2416,2),"Пн","Вт","Ср","Чт","Пт","Сб","Вс"))</f>
        <v/>
      </c>
      <c r="C2416" s="59" t="n"/>
      <c r="D2416" s="59" t="n"/>
      <c r="E2416" s="60">
        <f>IF(OR(C2416="",D2416=""),"",MOD(D2416-C2416,1)*24)</f>
        <v/>
      </c>
      <c r="F2416" s="50" t="n"/>
      <c r="G2416" s="51" t="n"/>
      <c r="H2416" s="51" t="n"/>
      <c r="I2416" s="51" t="n"/>
      <c r="J2416" s="51" t="n"/>
      <c r="K2416" s="51" t="n"/>
      <c r="L2416" s="54">
        <f>IF(OR(A2416="",C2416="",D2416=""),"",IF(COUNTIFS($A$5:$A$3004,A2416,$C$5:$C$3004,"&lt;"&amp;D2416,$D$5:$D$3004,"&gt;"&amp;C2416)&gt;1,"⚠️ пересечение",""))</f>
        <v/>
      </c>
      <c r="M2416" s="54">
        <f>IF(F2416="","",IF(J2416="✅ Сделано","✔ ",IF(J2416="❌ Пропущено","✖ ","⏰ "))&amp;IF(C2416="","",RIGHT("0"&amp;HOUR(C2416),2)&amp;":"&amp;RIGHT("0"&amp;MINUTE(C2416),2)&amp;IF(D2416="","","–"&amp;RIGHT("0"&amp;HOUR(D2416),2)&amp;":"&amp;RIGHT("0"&amp;MINUTE(D2416),2))&amp;" ")&amp;F2416)</f>
        <v/>
      </c>
      <c r="N2416" s="54">
        <f>IF(OR(A2416="",F2416=""),"",A2416&amp;"#"&amp;(COUNTIFS($A$5:$A$3004,A2416,$F$5:$F$3004,"?*",$O$5:$O$3004,"&lt;"&amp;O2416)+COUNTIFS($A$5:A2416,A2416,$F$5:F2416,"?*",$O$5:O2416,O2416)))</f>
        <v/>
      </c>
      <c r="O2416" s="54">
        <f>IF(A2416="","",IF(C2416="",0,C2416))</f>
        <v/>
      </c>
    </row>
    <row r="2417">
      <c r="A2417" s="58" t="n"/>
      <c r="B2417" s="49">
        <f>IF(A2417="","",CHOOSE(WEEKDAY(A2417,2),"Пн","Вт","Ср","Чт","Пт","Сб","Вс"))</f>
        <v/>
      </c>
      <c r="C2417" s="59" t="n"/>
      <c r="D2417" s="59" t="n"/>
      <c r="E2417" s="60">
        <f>IF(OR(C2417="",D2417=""),"",MOD(D2417-C2417,1)*24)</f>
        <v/>
      </c>
      <c r="F2417" s="50" t="n"/>
      <c r="G2417" s="51" t="n"/>
      <c r="H2417" s="51" t="n"/>
      <c r="I2417" s="51" t="n"/>
      <c r="J2417" s="51" t="n"/>
      <c r="K2417" s="51" t="n"/>
      <c r="L2417" s="54">
        <f>IF(OR(A2417="",C2417="",D2417=""),"",IF(COUNTIFS($A$5:$A$3004,A2417,$C$5:$C$3004,"&lt;"&amp;D2417,$D$5:$D$3004,"&gt;"&amp;C2417)&gt;1,"⚠️ пересечение",""))</f>
        <v/>
      </c>
      <c r="M2417" s="54">
        <f>IF(F2417="","",IF(J2417="✅ Сделано","✔ ",IF(J2417="❌ Пропущено","✖ ","⏰ "))&amp;IF(C2417="","",RIGHT("0"&amp;HOUR(C2417),2)&amp;":"&amp;RIGHT("0"&amp;MINUTE(C2417),2)&amp;IF(D2417="","","–"&amp;RIGHT("0"&amp;HOUR(D2417),2)&amp;":"&amp;RIGHT("0"&amp;MINUTE(D2417),2))&amp;" ")&amp;F2417)</f>
        <v/>
      </c>
      <c r="N2417" s="54">
        <f>IF(OR(A2417="",F2417=""),"",A2417&amp;"#"&amp;(COUNTIFS($A$5:$A$3004,A2417,$F$5:$F$3004,"?*",$O$5:$O$3004,"&lt;"&amp;O2417)+COUNTIFS($A$5:A2417,A2417,$F$5:F2417,"?*",$O$5:O2417,O2417)))</f>
        <v/>
      </c>
      <c r="O2417" s="54">
        <f>IF(A2417="","",IF(C2417="",0,C2417))</f>
        <v/>
      </c>
    </row>
    <row r="2418">
      <c r="A2418" s="58" t="n"/>
      <c r="B2418" s="49">
        <f>IF(A2418="","",CHOOSE(WEEKDAY(A2418,2),"Пн","Вт","Ср","Чт","Пт","Сб","Вс"))</f>
        <v/>
      </c>
      <c r="C2418" s="59" t="n"/>
      <c r="D2418" s="59" t="n"/>
      <c r="E2418" s="60">
        <f>IF(OR(C2418="",D2418=""),"",MOD(D2418-C2418,1)*24)</f>
        <v/>
      </c>
      <c r="F2418" s="50" t="n"/>
      <c r="G2418" s="51" t="n"/>
      <c r="H2418" s="51" t="n"/>
      <c r="I2418" s="51" t="n"/>
      <c r="J2418" s="51" t="n"/>
      <c r="K2418" s="51" t="n"/>
      <c r="L2418" s="54">
        <f>IF(OR(A2418="",C2418="",D2418=""),"",IF(COUNTIFS($A$5:$A$3004,A2418,$C$5:$C$3004,"&lt;"&amp;D2418,$D$5:$D$3004,"&gt;"&amp;C2418)&gt;1,"⚠️ пересечение",""))</f>
        <v/>
      </c>
      <c r="M2418" s="54">
        <f>IF(F2418="","",IF(J2418="✅ Сделано","✔ ",IF(J2418="❌ Пропущено","✖ ","⏰ "))&amp;IF(C2418="","",RIGHT("0"&amp;HOUR(C2418),2)&amp;":"&amp;RIGHT("0"&amp;MINUTE(C2418),2)&amp;IF(D2418="","","–"&amp;RIGHT("0"&amp;HOUR(D2418),2)&amp;":"&amp;RIGHT("0"&amp;MINUTE(D2418),2))&amp;" ")&amp;F2418)</f>
        <v/>
      </c>
      <c r="N2418" s="54">
        <f>IF(OR(A2418="",F2418=""),"",A2418&amp;"#"&amp;(COUNTIFS($A$5:$A$3004,A2418,$F$5:$F$3004,"?*",$O$5:$O$3004,"&lt;"&amp;O2418)+COUNTIFS($A$5:A2418,A2418,$F$5:F2418,"?*",$O$5:O2418,O2418)))</f>
        <v/>
      </c>
      <c r="O2418" s="54">
        <f>IF(A2418="","",IF(C2418="",0,C2418))</f>
        <v/>
      </c>
    </row>
    <row r="2419">
      <c r="A2419" s="58" t="n"/>
      <c r="B2419" s="49">
        <f>IF(A2419="","",CHOOSE(WEEKDAY(A2419,2),"Пн","Вт","Ср","Чт","Пт","Сб","Вс"))</f>
        <v/>
      </c>
      <c r="C2419" s="59" t="n"/>
      <c r="D2419" s="59" t="n"/>
      <c r="E2419" s="60">
        <f>IF(OR(C2419="",D2419=""),"",MOD(D2419-C2419,1)*24)</f>
        <v/>
      </c>
      <c r="F2419" s="50" t="n"/>
      <c r="G2419" s="51" t="n"/>
      <c r="H2419" s="51" t="n"/>
      <c r="I2419" s="51" t="n"/>
      <c r="J2419" s="51" t="n"/>
      <c r="K2419" s="51" t="n"/>
      <c r="L2419" s="54">
        <f>IF(OR(A2419="",C2419="",D2419=""),"",IF(COUNTIFS($A$5:$A$3004,A2419,$C$5:$C$3004,"&lt;"&amp;D2419,$D$5:$D$3004,"&gt;"&amp;C2419)&gt;1,"⚠️ пересечение",""))</f>
        <v/>
      </c>
      <c r="M2419" s="54">
        <f>IF(F2419="","",IF(J2419="✅ Сделано","✔ ",IF(J2419="❌ Пропущено","✖ ","⏰ "))&amp;IF(C2419="","",RIGHT("0"&amp;HOUR(C2419),2)&amp;":"&amp;RIGHT("0"&amp;MINUTE(C2419),2)&amp;IF(D2419="","","–"&amp;RIGHT("0"&amp;HOUR(D2419),2)&amp;":"&amp;RIGHT("0"&amp;MINUTE(D2419),2))&amp;" ")&amp;F2419)</f>
        <v/>
      </c>
      <c r="N2419" s="54">
        <f>IF(OR(A2419="",F2419=""),"",A2419&amp;"#"&amp;(COUNTIFS($A$5:$A$3004,A2419,$F$5:$F$3004,"?*",$O$5:$O$3004,"&lt;"&amp;O2419)+COUNTIFS($A$5:A2419,A2419,$F$5:F2419,"?*",$O$5:O2419,O2419)))</f>
        <v/>
      </c>
      <c r="O2419" s="54">
        <f>IF(A2419="","",IF(C2419="",0,C2419))</f>
        <v/>
      </c>
    </row>
    <row r="2420">
      <c r="A2420" s="58" t="n"/>
      <c r="B2420" s="49">
        <f>IF(A2420="","",CHOOSE(WEEKDAY(A2420,2),"Пн","Вт","Ср","Чт","Пт","Сб","Вс"))</f>
        <v/>
      </c>
      <c r="C2420" s="59" t="n"/>
      <c r="D2420" s="59" t="n"/>
      <c r="E2420" s="60">
        <f>IF(OR(C2420="",D2420=""),"",MOD(D2420-C2420,1)*24)</f>
        <v/>
      </c>
      <c r="F2420" s="50" t="n"/>
      <c r="G2420" s="51" t="n"/>
      <c r="H2420" s="51" t="n"/>
      <c r="I2420" s="51" t="n"/>
      <c r="J2420" s="51" t="n"/>
      <c r="K2420" s="51" t="n"/>
      <c r="L2420" s="54">
        <f>IF(OR(A2420="",C2420="",D2420=""),"",IF(COUNTIFS($A$5:$A$3004,A2420,$C$5:$C$3004,"&lt;"&amp;D2420,$D$5:$D$3004,"&gt;"&amp;C2420)&gt;1,"⚠️ пересечение",""))</f>
        <v/>
      </c>
      <c r="M2420" s="54">
        <f>IF(F2420="","",IF(J2420="✅ Сделано","✔ ",IF(J2420="❌ Пропущено","✖ ","⏰ "))&amp;IF(C2420="","",RIGHT("0"&amp;HOUR(C2420),2)&amp;":"&amp;RIGHT("0"&amp;MINUTE(C2420),2)&amp;IF(D2420="","","–"&amp;RIGHT("0"&amp;HOUR(D2420),2)&amp;":"&amp;RIGHT("0"&amp;MINUTE(D2420),2))&amp;" ")&amp;F2420)</f>
        <v/>
      </c>
      <c r="N2420" s="54">
        <f>IF(OR(A2420="",F2420=""),"",A2420&amp;"#"&amp;(COUNTIFS($A$5:$A$3004,A2420,$F$5:$F$3004,"?*",$O$5:$O$3004,"&lt;"&amp;O2420)+COUNTIFS($A$5:A2420,A2420,$F$5:F2420,"?*",$O$5:O2420,O2420)))</f>
        <v/>
      </c>
      <c r="O2420" s="54">
        <f>IF(A2420="","",IF(C2420="",0,C2420))</f>
        <v/>
      </c>
    </row>
    <row r="2421">
      <c r="A2421" s="58" t="n"/>
      <c r="B2421" s="49">
        <f>IF(A2421="","",CHOOSE(WEEKDAY(A2421,2),"Пн","Вт","Ср","Чт","Пт","Сб","Вс"))</f>
        <v/>
      </c>
      <c r="C2421" s="59" t="n"/>
      <c r="D2421" s="59" t="n"/>
      <c r="E2421" s="60">
        <f>IF(OR(C2421="",D2421=""),"",MOD(D2421-C2421,1)*24)</f>
        <v/>
      </c>
      <c r="F2421" s="50" t="n"/>
      <c r="G2421" s="51" t="n"/>
      <c r="H2421" s="51" t="n"/>
      <c r="I2421" s="51" t="n"/>
      <c r="J2421" s="51" t="n"/>
      <c r="K2421" s="51" t="n"/>
      <c r="L2421" s="54">
        <f>IF(OR(A2421="",C2421="",D2421=""),"",IF(COUNTIFS($A$5:$A$3004,A2421,$C$5:$C$3004,"&lt;"&amp;D2421,$D$5:$D$3004,"&gt;"&amp;C2421)&gt;1,"⚠️ пересечение",""))</f>
        <v/>
      </c>
      <c r="M2421" s="54">
        <f>IF(F2421="","",IF(J2421="✅ Сделано","✔ ",IF(J2421="❌ Пропущено","✖ ","⏰ "))&amp;IF(C2421="","",RIGHT("0"&amp;HOUR(C2421),2)&amp;":"&amp;RIGHT("0"&amp;MINUTE(C2421),2)&amp;IF(D2421="","","–"&amp;RIGHT("0"&amp;HOUR(D2421),2)&amp;":"&amp;RIGHT("0"&amp;MINUTE(D2421),2))&amp;" ")&amp;F2421)</f>
        <v/>
      </c>
      <c r="N2421" s="54">
        <f>IF(OR(A2421="",F2421=""),"",A2421&amp;"#"&amp;(COUNTIFS($A$5:$A$3004,A2421,$F$5:$F$3004,"?*",$O$5:$O$3004,"&lt;"&amp;O2421)+COUNTIFS($A$5:A2421,A2421,$F$5:F2421,"?*",$O$5:O2421,O2421)))</f>
        <v/>
      </c>
      <c r="O2421" s="54">
        <f>IF(A2421="","",IF(C2421="",0,C2421))</f>
        <v/>
      </c>
    </row>
    <row r="2422">
      <c r="A2422" s="58" t="n"/>
      <c r="B2422" s="49">
        <f>IF(A2422="","",CHOOSE(WEEKDAY(A2422,2),"Пн","Вт","Ср","Чт","Пт","Сб","Вс"))</f>
        <v/>
      </c>
      <c r="C2422" s="59" t="n"/>
      <c r="D2422" s="59" t="n"/>
      <c r="E2422" s="60">
        <f>IF(OR(C2422="",D2422=""),"",MOD(D2422-C2422,1)*24)</f>
        <v/>
      </c>
      <c r="F2422" s="50" t="n"/>
      <c r="G2422" s="51" t="n"/>
      <c r="H2422" s="51" t="n"/>
      <c r="I2422" s="51" t="n"/>
      <c r="J2422" s="51" t="n"/>
      <c r="K2422" s="51" t="n"/>
      <c r="L2422" s="54">
        <f>IF(OR(A2422="",C2422="",D2422=""),"",IF(COUNTIFS($A$5:$A$3004,A2422,$C$5:$C$3004,"&lt;"&amp;D2422,$D$5:$D$3004,"&gt;"&amp;C2422)&gt;1,"⚠️ пересечение",""))</f>
        <v/>
      </c>
      <c r="M2422" s="54">
        <f>IF(F2422="","",IF(J2422="✅ Сделано","✔ ",IF(J2422="❌ Пропущено","✖ ","⏰ "))&amp;IF(C2422="","",RIGHT("0"&amp;HOUR(C2422),2)&amp;":"&amp;RIGHT("0"&amp;MINUTE(C2422),2)&amp;IF(D2422="","","–"&amp;RIGHT("0"&amp;HOUR(D2422),2)&amp;":"&amp;RIGHT("0"&amp;MINUTE(D2422),2))&amp;" ")&amp;F2422)</f>
        <v/>
      </c>
      <c r="N2422" s="54">
        <f>IF(OR(A2422="",F2422=""),"",A2422&amp;"#"&amp;(COUNTIFS($A$5:$A$3004,A2422,$F$5:$F$3004,"?*",$O$5:$O$3004,"&lt;"&amp;O2422)+COUNTIFS($A$5:A2422,A2422,$F$5:F2422,"?*",$O$5:O2422,O2422)))</f>
        <v/>
      </c>
      <c r="O2422" s="54">
        <f>IF(A2422="","",IF(C2422="",0,C2422))</f>
        <v/>
      </c>
    </row>
    <row r="2423">
      <c r="A2423" s="58" t="n"/>
      <c r="B2423" s="49">
        <f>IF(A2423="","",CHOOSE(WEEKDAY(A2423,2),"Пн","Вт","Ср","Чт","Пт","Сб","Вс"))</f>
        <v/>
      </c>
      <c r="C2423" s="59" t="n"/>
      <c r="D2423" s="59" t="n"/>
      <c r="E2423" s="60">
        <f>IF(OR(C2423="",D2423=""),"",MOD(D2423-C2423,1)*24)</f>
        <v/>
      </c>
      <c r="F2423" s="50" t="n"/>
      <c r="G2423" s="51" t="n"/>
      <c r="H2423" s="51" t="n"/>
      <c r="I2423" s="51" t="n"/>
      <c r="J2423" s="51" t="n"/>
      <c r="K2423" s="51" t="n"/>
      <c r="L2423" s="54">
        <f>IF(OR(A2423="",C2423="",D2423=""),"",IF(COUNTIFS($A$5:$A$3004,A2423,$C$5:$C$3004,"&lt;"&amp;D2423,$D$5:$D$3004,"&gt;"&amp;C2423)&gt;1,"⚠️ пересечение",""))</f>
        <v/>
      </c>
      <c r="M2423" s="54">
        <f>IF(F2423="","",IF(J2423="✅ Сделано","✔ ",IF(J2423="❌ Пропущено","✖ ","⏰ "))&amp;IF(C2423="","",RIGHT("0"&amp;HOUR(C2423),2)&amp;":"&amp;RIGHT("0"&amp;MINUTE(C2423),2)&amp;IF(D2423="","","–"&amp;RIGHT("0"&amp;HOUR(D2423),2)&amp;":"&amp;RIGHT("0"&amp;MINUTE(D2423),2))&amp;" ")&amp;F2423)</f>
        <v/>
      </c>
      <c r="N2423" s="54">
        <f>IF(OR(A2423="",F2423=""),"",A2423&amp;"#"&amp;(COUNTIFS($A$5:$A$3004,A2423,$F$5:$F$3004,"?*",$O$5:$O$3004,"&lt;"&amp;O2423)+COUNTIFS($A$5:A2423,A2423,$F$5:F2423,"?*",$O$5:O2423,O2423)))</f>
        <v/>
      </c>
      <c r="O2423" s="54">
        <f>IF(A2423="","",IF(C2423="",0,C2423))</f>
        <v/>
      </c>
    </row>
    <row r="2424">
      <c r="A2424" s="58" t="n"/>
      <c r="B2424" s="49">
        <f>IF(A2424="","",CHOOSE(WEEKDAY(A2424,2),"Пн","Вт","Ср","Чт","Пт","Сб","Вс"))</f>
        <v/>
      </c>
      <c r="C2424" s="59" t="n"/>
      <c r="D2424" s="59" t="n"/>
      <c r="E2424" s="60">
        <f>IF(OR(C2424="",D2424=""),"",MOD(D2424-C2424,1)*24)</f>
        <v/>
      </c>
      <c r="F2424" s="50" t="n"/>
      <c r="G2424" s="51" t="n"/>
      <c r="H2424" s="51" t="n"/>
      <c r="I2424" s="51" t="n"/>
      <c r="J2424" s="51" t="n"/>
      <c r="K2424" s="51" t="n"/>
      <c r="L2424" s="54">
        <f>IF(OR(A2424="",C2424="",D2424=""),"",IF(COUNTIFS($A$5:$A$3004,A2424,$C$5:$C$3004,"&lt;"&amp;D2424,$D$5:$D$3004,"&gt;"&amp;C2424)&gt;1,"⚠️ пересечение",""))</f>
        <v/>
      </c>
      <c r="M2424" s="54">
        <f>IF(F2424="","",IF(J2424="✅ Сделано","✔ ",IF(J2424="❌ Пропущено","✖ ","⏰ "))&amp;IF(C2424="","",RIGHT("0"&amp;HOUR(C2424),2)&amp;":"&amp;RIGHT("0"&amp;MINUTE(C2424),2)&amp;IF(D2424="","","–"&amp;RIGHT("0"&amp;HOUR(D2424),2)&amp;":"&amp;RIGHT("0"&amp;MINUTE(D2424),2))&amp;" ")&amp;F2424)</f>
        <v/>
      </c>
      <c r="N2424" s="54">
        <f>IF(OR(A2424="",F2424=""),"",A2424&amp;"#"&amp;(COUNTIFS($A$5:$A$3004,A2424,$F$5:$F$3004,"?*",$O$5:$O$3004,"&lt;"&amp;O2424)+COUNTIFS($A$5:A2424,A2424,$F$5:F2424,"?*",$O$5:O2424,O2424)))</f>
        <v/>
      </c>
      <c r="O2424" s="54">
        <f>IF(A2424="","",IF(C2424="",0,C2424))</f>
        <v/>
      </c>
    </row>
    <row r="2425">
      <c r="A2425" s="58" t="n"/>
      <c r="B2425" s="49">
        <f>IF(A2425="","",CHOOSE(WEEKDAY(A2425,2),"Пн","Вт","Ср","Чт","Пт","Сб","Вс"))</f>
        <v/>
      </c>
      <c r="C2425" s="59" t="n"/>
      <c r="D2425" s="59" t="n"/>
      <c r="E2425" s="60">
        <f>IF(OR(C2425="",D2425=""),"",MOD(D2425-C2425,1)*24)</f>
        <v/>
      </c>
      <c r="F2425" s="50" t="n"/>
      <c r="G2425" s="51" t="n"/>
      <c r="H2425" s="51" t="n"/>
      <c r="I2425" s="51" t="n"/>
      <c r="J2425" s="51" t="n"/>
      <c r="K2425" s="51" t="n"/>
      <c r="L2425" s="54">
        <f>IF(OR(A2425="",C2425="",D2425=""),"",IF(COUNTIFS($A$5:$A$3004,A2425,$C$5:$C$3004,"&lt;"&amp;D2425,$D$5:$D$3004,"&gt;"&amp;C2425)&gt;1,"⚠️ пересечение",""))</f>
        <v/>
      </c>
      <c r="M2425" s="54">
        <f>IF(F2425="","",IF(J2425="✅ Сделано","✔ ",IF(J2425="❌ Пропущено","✖ ","⏰ "))&amp;IF(C2425="","",RIGHT("0"&amp;HOUR(C2425),2)&amp;":"&amp;RIGHT("0"&amp;MINUTE(C2425),2)&amp;IF(D2425="","","–"&amp;RIGHT("0"&amp;HOUR(D2425),2)&amp;":"&amp;RIGHT("0"&amp;MINUTE(D2425),2))&amp;" ")&amp;F2425)</f>
        <v/>
      </c>
      <c r="N2425" s="54">
        <f>IF(OR(A2425="",F2425=""),"",A2425&amp;"#"&amp;(COUNTIFS($A$5:$A$3004,A2425,$F$5:$F$3004,"?*",$O$5:$O$3004,"&lt;"&amp;O2425)+COUNTIFS($A$5:A2425,A2425,$F$5:F2425,"?*",$O$5:O2425,O2425)))</f>
        <v/>
      </c>
      <c r="O2425" s="54">
        <f>IF(A2425="","",IF(C2425="",0,C2425))</f>
        <v/>
      </c>
    </row>
    <row r="2426">
      <c r="A2426" s="58" t="n"/>
      <c r="B2426" s="49">
        <f>IF(A2426="","",CHOOSE(WEEKDAY(A2426,2),"Пн","Вт","Ср","Чт","Пт","Сб","Вс"))</f>
        <v/>
      </c>
      <c r="C2426" s="59" t="n"/>
      <c r="D2426" s="59" t="n"/>
      <c r="E2426" s="60">
        <f>IF(OR(C2426="",D2426=""),"",MOD(D2426-C2426,1)*24)</f>
        <v/>
      </c>
      <c r="F2426" s="50" t="n"/>
      <c r="G2426" s="51" t="n"/>
      <c r="H2426" s="51" t="n"/>
      <c r="I2426" s="51" t="n"/>
      <c r="J2426" s="51" t="n"/>
      <c r="K2426" s="51" t="n"/>
      <c r="L2426" s="54">
        <f>IF(OR(A2426="",C2426="",D2426=""),"",IF(COUNTIFS($A$5:$A$3004,A2426,$C$5:$C$3004,"&lt;"&amp;D2426,$D$5:$D$3004,"&gt;"&amp;C2426)&gt;1,"⚠️ пересечение",""))</f>
        <v/>
      </c>
      <c r="M2426" s="54">
        <f>IF(F2426="","",IF(J2426="✅ Сделано","✔ ",IF(J2426="❌ Пропущено","✖ ","⏰ "))&amp;IF(C2426="","",RIGHT("0"&amp;HOUR(C2426),2)&amp;":"&amp;RIGHT("0"&amp;MINUTE(C2426),2)&amp;IF(D2426="","","–"&amp;RIGHT("0"&amp;HOUR(D2426),2)&amp;":"&amp;RIGHT("0"&amp;MINUTE(D2426),2))&amp;" ")&amp;F2426)</f>
        <v/>
      </c>
      <c r="N2426" s="54">
        <f>IF(OR(A2426="",F2426=""),"",A2426&amp;"#"&amp;(COUNTIFS($A$5:$A$3004,A2426,$F$5:$F$3004,"?*",$O$5:$O$3004,"&lt;"&amp;O2426)+COUNTIFS($A$5:A2426,A2426,$F$5:F2426,"?*",$O$5:O2426,O2426)))</f>
        <v/>
      </c>
      <c r="O2426" s="54">
        <f>IF(A2426="","",IF(C2426="",0,C2426))</f>
        <v/>
      </c>
    </row>
    <row r="2427">
      <c r="A2427" s="58" t="n"/>
      <c r="B2427" s="49">
        <f>IF(A2427="","",CHOOSE(WEEKDAY(A2427,2),"Пн","Вт","Ср","Чт","Пт","Сб","Вс"))</f>
        <v/>
      </c>
      <c r="C2427" s="59" t="n"/>
      <c r="D2427" s="59" t="n"/>
      <c r="E2427" s="60">
        <f>IF(OR(C2427="",D2427=""),"",MOD(D2427-C2427,1)*24)</f>
        <v/>
      </c>
      <c r="F2427" s="50" t="n"/>
      <c r="G2427" s="51" t="n"/>
      <c r="H2427" s="51" t="n"/>
      <c r="I2427" s="51" t="n"/>
      <c r="J2427" s="51" t="n"/>
      <c r="K2427" s="51" t="n"/>
      <c r="L2427" s="54">
        <f>IF(OR(A2427="",C2427="",D2427=""),"",IF(COUNTIFS($A$5:$A$3004,A2427,$C$5:$C$3004,"&lt;"&amp;D2427,$D$5:$D$3004,"&gt;"&amp;C2427)&gt;1,"⚠️ пересечение",""))</f>
        <v/>
      </c>
      <c r="M2427" s="54">
        <f>IF(F2427="","",IF(J2427="✅ Сделано","✔ ",IF(J2427="❌ Пропущено","✖ ","⏰ "))&amp;IF(C2427="","",RIGHT("0"&amp;HOUR(C2427),2)&amp;":"&amp;RIGHT("0"&amp;MINUTE(C2427),2)&amp;IF(D2427="","","–"&amp;RIGHT("0"&amp;HOUR(D2427),2)&amp;":"&amp;RIGHT("0"&amp;MINUTE(D2427),2))&amp;" ")&amp;F2427)</f>
        <v/>
      </c>
      <c r="N2427" s="54">
        <f>IF(OR(A2427="",F2427=""),"",A2427&amp;"#"&amp;(COUNTIFS($A$5:$A$3004,A2427,$F$5:$F$3004,"?*",$O$5:$O$3004,"&lt;"&amp;O2427)+COUNTIFS($A$5:A2427,A2427,$F$5:F2427,"?*",$O$5:O2427,O2427)))</f>
        <v/>
      </c>
      <c r="O2427" s="54">
        <f>IF(A2427="","",IF(C2427="",0,C2427))</f>
        <v/>
      </c>
    </row>
    <row r="2428">
      <c r="A2428" s="58" t="n"/>
      <c r="B2428" s="49">
        <f>IF(A2428="","",CHOOSE(WEEKDAY(A2428,2),"Пн","Вт","Ср","Чт","Пт","Сб","Вс"))</f>
        <v/>
      </c>
      <c r="C2428" s="59" t="n"/>
      <c r="D2428" s="59" t="n"/>
      <c r="E2428" s="60">
        <f>IF(OR(C2428="",D2428=""),"",MOD(D2428-C2428,1)*24)</f>
        <v/>
      </c>
      <c r="F2428" s="50" t="n"/>
      <c r="G2428" s="51" t="n"/>
      <c r="H2428" s="51" t="n"/>
      <c r="I2428" s="51" t="n"/>
      <c r="J2428" s="51" t="n"/>
      <c r="K2428" s="51" t="n"/>
      <c r="L2428" s="54">
        <f>IF(OR(A2428="",C2428="",D2428=""),"",IF(COUNTIFS($A$5:$A$3004,A2428,$C$5:$C$3004,"&lt;"&amp;D2428,$D$5:$D$3004,"&gt;"&amp;C2428)&gt;1,"⚠️ пересечение",""))</f>
        <v/>
      </c>
      <c r="M2428" s="54">
        <f>IF(F2428="","",IF(J2428="✅ Сделано","✔ ",IF(J2428="❌ Пропущено","✖ ","⏰ "))&amp;IF(C2428="","",RIGHT("0"&amp;HOUR(C2428),2)&amp;":"&amp;RIGHT("0"&amp;MINUTE(C2428),2)&amp;IF(D2428="","","–"&amp;RIGHT("0"&amp;HOUR(D2428),2)&amp;":"&amp;RIGHT("0"&amp;MINUTE(D2428),2))&amp;" ")&amp;F2428)</f>
        <v/>
      </c>
      <c r="N2428" s="54">
        <f>IF(OR(A2428="",F2428=""),"",A2428&amp;"#"&amp;(COUNTIFS($A$5:$A$3004,A2428,$F$5:$F$3004,"?*",$O$5:$O$3004,"&lt;"&amp;O2428)+COUNTIFS($A$5:A2428,A2428,$F$5:F2428,"?*",$O$5:O2428,O2428)))</f>
        <v/>
      </c>
      <c r="O2428" s="54">
        <f>IF(A2428="","",IF(C2428="",0,C2428))</f>
        <v/>
      </c>
    </row>
    <row r="2429">
      <c r="A2429" s="58" t="n"/>
      <c r="B2429" s="49">
        <f>IF(A2429="","",CHOOSE(WEEKDAY(A2429,2),"Пн","Вт","Ср","Чт","Пт","Сб","Вс"))</f>
        <v/>
      </c>
      <c r="C2429" s="59" t="n"/>
      <c r="D2429" s="59" t="n"/>
      <c r="E2429" s="60">
        <f>IF(OR(C2429="",D2429=""),"",MOD(D2429-C2429,1)*24)</f>
        <v/>
      </c>
      <c r="F2429" s="50" t="n"/>
      <c r="G2429" s="51" t="n"/>
      <c r="H2429" s="51" t="n"/>
      <c r="I2429" s="51" t="n"/>
      <c r="J2429" s="51" t="n"/>
      <c r="K2429" s="51" t="n"/>
      <c r="L2429" s="54">
        <f>IF(OR(A2429="",C2429="",D2429=""),"",IF(COUNTIFS($A$5:$A$3004,A2429,$C$5:$C$3004,"&lt;"&amp;D2429,$D$5:$D$3004,"&gt;"&amp;C2429)&gt;1,"⚠️ пересечение",""))</f>
        <v/>
      </c>
      <c r="M2429" s="54">
        <f>IF(F2429="","",IF(J2429="✅ Сделано","✔ ",IF(J2429="❌ Пропущено","✖ ","⏰ "))&amp;IF(C2429="","",RIGHT("0"&amp;HOUR(C2429),2)&amp;":"&amp;RIGHT("0"&amp;MINUTE(C2429),2)&amp;IF(D2429="","","–"&amp;RIGHT("0"&amp;HOUR(D2429),2)&amp;":"&amp;RIGHT("0"&amp;MINUTE(D2429),2))&amp;" ")&amp;F2429)</f>
        <v/>
      </c>
      <c r="N2429" s="54">
        <f>IF(OR(A2429="",F2429=""),"",A2429&amp;"#"&amp;(COUNTIFS($A$5:$A$3004,A2429,$F$5:$F$3004,"?*",$O$5:$O$3004,"&lt;"&amp;O2429)+COUNTIFS($A$5:A2429,A2429,$F$5:F2429,"?*",$O$5:O2429,O2429)))</f>
        <v/>
      </c>
      <c r="O2429" s="54">
        <f>IF(A2429="","",IF(C2429="",0,C2429))</f>
        <v/>
      </c>
    </row>
    <row r="2430">
      <c r="A2430" s="58" t="n"/>
      <c r="B2430" s="49">
        <f>IF(A2430="","",CHOOSE(WEEKDAY(A2430,2),"Пн","Вт","Ср","Чт","Пт","Сб","Вс"))</f>
        <v/>
      </c>
      <c r="C2430" s="59" t="n"/>
      <c r="D2430" s="59" t="n"/>
      <c r="E2430" s="60">
        <f>IF(OR(C2430="",D2430=""),"",MOD(D2430-C2430,1)*24)</f>
        <v/>
      </c>
      <c r="F2430" s="50" t="n"/>
      <c r="G2430" s="51" t="n"/>
      <c r="H2430" s="51" t="n"/>
      <c r="I2430" s="51" t="n"/>
      <c r="J2430" s="51" t="n"/>
      <c r="K2430" s="51" t="n"/>
      <c r="L2430" s="54">
        <f>IF(OR(A2430="",C2430="",D2430=""),"",IF(COUNTIFS($A$5:$A$3004,A2430,$C$5:$C$3004,"&lt;"&amp;D2430,$D$5:$D$3004,"&gt;"&amp;C2430)&gt;1,"⚠️ пересечение",""))</f>
        <v/>
      </c>
      <c r="M2430" s="54">
        <f>IF(F2430="","",IF(J2430="✅ Сделано","✔ ",IF(J2430="❌ Пропущено","✖ ","⏰ "))&amp;IF(C2430="","",RIGHT("0"&amp;HOUR(C2430),2)&amp;":"&amp;RIGHT("0"&amp;MINUTE(C2430),2)&amp;IF(D2430="","","–"&amp;RIGHT("0"&amp;HOUR(D2430),2)&amp;":"&amp;RIGHT("0"&amp;MINUTE(D2430),2))&amp;" ")&amp;F2430)</f>
        <v/>
      </c>
      <c r="N2430" s="54">
        <f>IF(OR(A2430="",F2430=""),"",A2430&amp;"#"&amp;(COUNTIFS($A$5:$A$3004,A2430,$F$5:$F$3004,"?*",$O$5:$O$3004,"&lt;"&amp;O2430)+COUNTIFS($A$5:A2430,A2430,$F$5:F2430,"?*",$O$5:O2430,O2430)))</f>
        <v/>
      </c>
      <c r="O2430" s="54">
        <f>IF(A2430="","",IF(C2430="",0,C2430))</f>
        <v/>
      </c>
    </row>
    <row r="2431">
      <c r="A2431" s="58" t="n"/>
      <c r="B2431" s="49">
        <f>IF(A2431="","",CHOOSE(WEEKDAY(A2431,2),"Пн","Вт","Ср","Чт","Пт","Сб","Вс"))</f>
        <v/>
      </c>
      <c r="C2431" s="59" t="n"/>
      <c r="D2431" s="59" t="n"/>
      <c r="E2431" s="60">
        <f>IF(OR(C2431="",D2431=""),"",MOD(D2431-C2431,1)*24)</f>
        <v/>
      </c>
      <c r="F2431" s="50" t="n"/>
      <c r="G2431" s="51" t="n"/>
      <c r="H2431" s="51" t="n"/>
      <c r="I2431" s="51" t="n"/>
      <c r="J2431" s="51" t="n"/>
      <c r="K2431" s="51" t="n"/>
      <c r="L2431" s="54">
        <f>IF(OR(A2431="",C2431="",D2431=""),"",IF(COUNTIFS($A$5:$A$3004,A2431,$C$5:$C$3004,"&lt;"&amp;D2431,$D$5:$D$3004,"&gt;"&amp;C2431)&gt;1,"⚠️ пересечение",""))</f>
        <v/>
      </c>
      <c r="M2431" s="54">
        <f>IF(F2431="","",IF(J2431="✅ Сделано","✔ ",IF(J2431="❌ Пропущено","✖ ","⏰ "))&amp;IF(C2431="","",RIGHT("0"&amp;HOUR(C2431),2)&amp;":"&amp;RIGHT("0"&amp;MINUTE(C2431),2)&amp;IF(D2431="","","–"&amp;RIGHT("0"&amp;HOUR(D2431),2)&amp;":"&amp;RIGHT("0"&amp;MINUTE(D2431),2))&amp;" ")&amp;F2431)</f>
        <v/>
      </c>
      <c r="N2431" s="54">
        <f>IF(OR(A2431="",F2431=""),"",A2431&amp;"#"&amp;(COUNTIFS($A$5:$A$3004,A2431,$F$5:$F$3004,"?*",$O$5:$O$3004,"&lt;"&amp;O2431)+COUNTIFS($A$5:A2431,A2431,$F$5:F2431,"?*",$O$5:O2431,O2431)))</f>
        <v/>
      </c>
      <c r="O2431" s="54">
        <f>IF(A2431="","",IF(C2431="",0,C2431))</f>
        <v/>
      </c>
    </row>
    <row r="2432">
      <c r="A2432" s="58" t="n"/>
      <c r="B2432" s="49">
        <f>IF(A2432="","",CHOOSE(WEEKDAY(A2432,2),"Пн","Вт","Ср","Чт","Пт","Сб","Вс"))</f>
        <v/>
      </c>
      <c r="C2432" s="59" t="n"/>
      <c r="D2432" s="59" t="n"/>
      <c r="E2432" s="60">
        <f>IF(OR(C2432="",D2432=""),"",MOD(D2432-C2432,1)*24)</f>
        <v/>
      </c>
      <c r="F2432" s="50" t="n"/>
      <c r="G2432" s="51" t="n"/>
      <c r="H2432" s="51" t="n"/>
      <c r="I2432" s="51" t="n"/>
      <c r="J2432" s="51" t="n"/>
      <c r="K2432" s="51" t="n"/>
      <c r="L2432" s="54">
        <f>IF(OR(A2432="",C2432="",D2432=""),"",IF(COUNTIFS($A$5:$A$3004,A2432,$C$5:$C$3004,"&lt;"&amp;D2432,$D$5:$D$3004,"&gt;"&amp;C2432)&gt;1,"⚠️ пересечение",""))</f>
        <v/>
      </c>
      <c r="M2432" s="54">
        <f>IF(F2432="","",IF(J2432="✅ Сделано","✔ ",IF(J2432="❌ Пропущено","✖ ","⏰ "))&amp;IF(C2432="","",RIGHT("0"&amp;HOUR(C2432),2)&amp;":"&amp;RIGHT("0"&amp;MINUTE(C2432),2)&amp;IF(D2432="","","–"&amp;RIGHT("0"&amp;HOUR(D2432),2)&amp;":"&amp;RIGHT("0"&amp;MINUTE(D2432),2))&amp;" ")&amp;F2432)</f>
        <v/>
      </c>
      <c r="N2432" s="54">
        <f>IF(OR(A2432="",F2432=""),"",A2432&amp;"#"&amp;(COUNTIFS($A$5:$A$3004,A2432,$F$5:$F$3004,"?*",$O$5:$O$3004,"&lt;"&amp;O2432)+COUNTIFS($A$5:A2432,A2432,$F$5:F2432,"?*",$O$5:O2432,O2432)))</f>
        <v/>
      </c>
      <c r="O2432" s="54">
        <f>IF(A2432="","",IF(C2432="",0,C2432))</f>
        <v/>
      </c>
    </row>
    <row r="2433">
      <c r="A2433" s="58" t="n"/>
      <c r="B2433" s="49">
        <f>IF(A2433="","",CHOOSE(WEEKDAY(A2433,2),"Пн","Вт","Ср","Чт","Пт","Сб","Вс"))</f>
        <v/>
      </c>
      <c r="C2433" s="59" t="n"/>
      <c r="D2433" s="59" t="n"/>
      <c r="E2433" s="60">
        <f>IF(OR(C2433="",D2433=""),"",MOD(D2433-C2433,1)*24)</f>
        <v/>
      </c>
      <c r="F2433" s="50" t="n"/>
      <c r="G2433" s="51" t="n"/>
      <c r="H2433" s="51" t="n"/>
      <c r="I2433" s="51" t="n"/>
      <c r="J2433" s="51" t="n"/>
      <c r="K2433" s="51" t="n"/>
      <c r="L2433" s="54">
        <f>IF(OR(A2433="",C2433="",D2433=""),"",IF(COUNTIFS($A$5:$A$3004,A2433,$C$5:$C$3004,"&lt;"&amp;D2433,$D$5:$D$3004,"&gt;"&amp;C2433)&gt;1,"⚠️ пересечение",""))</f>
        <v/>
      </c>
      <c r="M2433" s="54">
        <f>IF(F2433="","",IF(J2433="✅ Сделано","✔ ",IF(J2433="❌ Пропущено","✖ ","⏰ "))&amp;IF(C2433="","",RIGHT("0"&amp;HOUR(C2433),2)&amp;":"&amp;RIGHT("0"&amp;MINUTE(C2433),2)&amp;IF(D2433="","","–"&amp;RIGHT("0"&amp;HOUR(D2433),2)&amp;":"&amp;RIGHT("0"&amp;MINUTE(D2433),2))&amp;" ")&amp;F2433)</f>
        <v/>
      </c>
      <c r="N2433" s="54">
        <f>IF(OR(A2433="",F2433=""),"",A2433&amp;"#"&amp;(COUNTIFS($A$5:$A$3004,A2433,$F$5:$F$3004,"?*",$O$5:$O$3004,"&lt;"&amp;O2433)+COUNTIFS($A$5:A2433,A2433,$F$5:F2433,"?*",$O$5:O2433,O2433)))</f>
        <v/>
      </c>
      <c r="O2433" s="54">
        <f>IF(A2433="","",IF(C2433="",0,C2433))</f>
        <v/>
      </c>
    </row>
    <row r="2434">
      <c r="A2434" s="58" t="n"/>
      <c r="B2434" s="49">
        <f>IF(A2434="","",CHOOSE(WEEKDAY(A2434,2),"Пн","Вт","Ср","Чт","Пт","Сб","Вс"))</f>
        <v/>
      </c>
      <c r="C2434" s="59" t="n"/>
      <c r="D2434" s="59" t="n"/>
      <c r="E2434" s="60">
        <f>IF(OR(C2434="",D2434=""),"",MOD(D2434-C2434,1)*24)</f>
        <v/>
      </c>
      <c r="F2434" s="50" t="n"/>
      <c r="G2434" s="51" t="n"/>
      <c r="H2434" s="51" t="n"/>
      <c r="I2434" s="51" t="n"/>
      <c r="J2434" s="51" t="n"/>
      <c r="K2434" s="51" t="n"/>
      <c r="L2434" s="54">
        <f>IF(OR(A2434="",C2434="",D2434=""),"",IF(COUNTIFS($A$5:$A$3004,A2434,$C$5:$C$3004,"&lt;"&amp;D2434,$D$5:$D$3004,"&gt;"&amp;C2434)&gt;1,"⚠️ пересечение",""))</f>
        <v/>
      </c>
      <c r="M2434" s="54">
        <f>IF(F2434="","",IF(J2434="✅ Сделано","✔ ",IF(J2434="❌ Пропущено","✖ ","⏰ "))&amp;IF(C2434="","",RIGHT("0"&amp;HOUR(C2434),2)&amp;":"&amp;RIGHT("0"&amp;MINUTE(C2434),2)&amp;IF(D2434="","","–"&amp;RIGHT("0"&amp;HOUR(D2434),2)&amp;":"&amp;RIGHT("0"&amp;MINUTE(D2434),2))&amp;" ")&amp;F2434)</f>
        <v/>
      </c>
      <c r="N2434" s="54">
        <f>IF(OR(A2434="",F2434=""),"",A2434&amp;"#"&amp;(COUNTIFS($A$5:$A$3004,A2434,$F$5:$F$3004,"?*",$O$5:$O$3004,"&lt;"&amp;O2434)+COUNTIFS($A$5:A2434,A2434,$F$5:F2434,"?*",$O$5:O2434,O2434)))</f>
        <v/>
      </c>
      <c r="O2434" s="54">
        <f>IF(A2434="","",IF(C2434="",0,C2434))</f>
        <v/>
      </c>
    </row>
    <row r="2435">
      <c r="A2435" s="58" t="n"/>
      <c r="B2435" s="49">
        <f>IF(A2435="","",CHOOSE(WEEKDAY(A2435,2),"Пн","Вт","Ср","Чт","Пт","Сб","Вс"))</f>
        <v/>
      </c>
      <c r="C2435" s="59" t="n"/>
      <c r="D2435" s="59" t="n"/>
      <c r="E2435" s="60">
        <f>IF(OR(C2435="",D2435=""),"",MOD(D2435-C2435,1)*24)</f>
        <v/>
      </c>
      <c r="F2435" s="50" t="n"/>
      <c r="G2435" s="51" t="n"/>
      <c r="H2435" s="51" t="n"/>
      <c r="I2435" s="51" t="n"/>
      <c r="J2435" s="51" t="n"/>
      <c r="K2435" s="51" t="n"/>
      <c r="L2435" s="54">
        <f>IF(OR(A2435="",C2435="",D2435=""),"",IF(COUNTIFS($A$5:$A$3004,A2435,$C$5:$C$3004,"&lt;"&amp;D2435,$D$5:$D$3004,"&gt;"&amp;C2435)&gt;1,"⚠️ пересечение",""))</f>
        <v/>
      </c>
      <c r="M2435" s="54">
        <f>IF(F2435="","",IF(J2435="✅ Сделано","✔ ",IF(J2435="❌ Пропущено","✖ ","⏰ "))&amp;IF(C2435="","",RIGHT("0"&amp;HOUR(C2435),2)&amp;":"&amp;RIGHT("0"&amp;MINUTE(C2435),2)&amp;IF(D2435="","","–"&amp;RIGHT("0"&amp;HOUR(D2435),2)&amp;":"&amp;RIGHT("0"&amp;MINUTE(D2435),2))&amp;" ")&amp;F2435)</f>
        <v/>
      </c>
      <c r="N2435" s="54">
        <f>IF(OR(A2435="",F2435=""),"",A2435&amp;"#"&amp;(COUNTIFS($A$5:$A$3004,A2435,$F$5:$F$3004,"?*",$O$5:$O$3004,"&lt;"&amp;O2435)+COUNTIFS($A$5:A2435,A2435,$F$5:F2435,"?*",$O$5:O2435,O2435)))</f>
        <v/>
      </c>
      <c r="O2435" s="54">
        <f>IF(A2435="","",IF(C2435="",0,C2435))</f>
        <v/>
      </c>
    </row>
    <row r="2436">
      <c r="A2436" s="58" t="n"/>
      <c r="B2436" s="49">
        <f>IF(A2436="","",CHOOSE(WEEKDAY(A2436,2),"Пн","Вт","Ср","Чт","Пт","Сб","Вс"))</f>
        <v/>
      </c>
      <c r="C2436" s="59" t="n"/>
      <c r="D2436" s="59" t="n"/>
      <c r="E2436" s="60">
        <f>IF(OR(C2436="",D2436=""),"",MOD(D2436-C2436,1)*24)</f>
        <v/>
      </c>
      <c r="F2436" s="50" t="n"/>
      <c r="G2436" s="51" t="n"/>
      <c r="H2436" s="51" t="n"/>
      <c r="I2436" s="51" t="n"/>
      <c r="J2436" s="51" t="n"/>
      <c r="K2436" s="51" t="n"/>
      <c r="L2436" s="54">
        <f>IF(OR(A2436="",C2436="",D2436=""),"",IF(COUNTIFS($A$5:$A$3004,A2436,$C$5:$C$3004,"&lt;"&amp;D2436,$D$5:$D$3004,"&gt;"&amp;C2436)&gt;1,"⚠️ пересечение",""))</f>
        <v/>
      </c>
      <c r="M2436" s="54">
        <f>IF(F2436="","",IF(J2436="✅ Сделано","✔ ",IF(J2436="❌ Пропущено","✖ ","⏰ "))&amp;IF(C2436="","",RIGHT("0"&amp;HOUR(C2436),2)&amp;":"&amp;RIGHT("0"&amp;MINUTE(C2436),2)&amp;IF(D2436="","","–"&amp;RIGHT("0"&amp;HOUR(D2436),2)&amp;":"&amp;RIGHT("0"&amp;MINUTE(D2436),2))&amp;" ")&amp;F2436)</f>
        <v/>
      </c>
      <c r="N2436" s="54">
        <f>IF(OR(A2436="",F2436=""),"",A2436&amp;"#"&amp;(COUNTIFS($A$5:$A$3004,A2436,$F$5:$F$3004,"?*",$O$5:$O$3004,"&lt;"&amp;O2436)+COUNTIFS($A$5:A2436,A2436,$F$5:F2436,"?*",$O$5:O2436,O2436)))</f>
        <v/>
      </c>
      <c r="O2436" s="54">
        <f>IF(A2436="","",IF(C2436="",0,C2436))</f>
        <v/>
      </c>
    </row>
    <row r="2437">
      <c r="A2437" s="58" t="n"/>
      <c r="B2437" s="49">
        <f>IF(A2437="","",CHOOSE(WEEKDAY(A2437,2),"Пн","Вт","Ср","Чт","Пт","Сб","Вс"))</f>
        <v/>
      </c>
      <c r="C2437" s="59" t="n"/>
      <c r="D2437" s="59" t="n"/>
      <c r="E2437" s="60">
        <f>IF(OR(C2437="",D2437=""),"",MOD(D2437-C2437,1)*24)</f>
        <v/>
      </c>
      <c r="F2437" s="50" t="n"/>
      <c r="G2437" s="51" t="n"/>
      <c r="H2437" s="51" t="n"/>
      <c r="I2437" s="51" t="n"/>
      <c r="J2437" s="51" t="n"/>
      <c r="K2437" s="51" t="n"/>
      <c r="L2437" s="54">
        <f>IF(OR(A2437="",C2437="",D2437=""),"",IF(COUNTIFS($A$5:$A$3004,A2437,$C$5:$C$3004,"&lt;"&amp;D2437,$D$5:$D$3004,"&gt;"&amp;C2437)&gt;1,"⚠️ пересечение",""))</f>
        <v/>
      </c>
      <c r="M2437" s="54">
        <f>IF(F2437="","",IF(J2437="✅ Сделано","✔ ",IF(J2437="❌ Пропущено","✖ ","⏰ "))&amp;IF(C2437="","",RIGHT("0"&amp;HOUR(C2437),2)&amp;":"&amp;RIGHT("0"&amp;MINUTE(C2437),2)&amp;IF(D2437="","","–"&amp;RIGHT("0"&amp;HOUR(D2437),2)&amp;":"&amp;RIGHT("0"&amp;MINUTE(D2437),2))&amp;" ")&amp;F2437)</f>
        <v/>
      </c>
      <c r="N2437" s="54">
        <f>IF(OR(A2437="",F2437=""),"",A2437&amp;"#"&amp;(COUNTIFS($A$5:$A$3004,A2437,$F$5:$F$3004,"?*",$O$5:$O$3004,"&lt;"&amp;O2437)+COUNTIFS($A$5:A2437,A2437,$F$5:F2437,"?*",$O$5:O2437,O2437)))</f>
        <v/>
      </c>
      <c r="O2437" s="54">
        <f>IF(A2437="","",IF(C2437="",0,C2437))</f>
        <v/>
      </c>
    </row>
    <row r="2438">
      <c r="A2438" s="58" t="n"/>
      <c r="B2438" s="49">
        <f>IF(A2438="","",CHOOSE(WEEKDAY(A2438,2),"Пн","Вт","Ср","Чт","Пт","Сб","Вс"))</f>
        <v/>
      </c>
      <c r="C2438" s="59" t="n"/>
      <c r="D2438" s="59" t="n"/>
      <c r="E2438" s="60">
        <f>IF(OR(C2438="",D2438=""),"",MOD(D2438-C2438,1)*24)</f>
        <v/>
      </c>
      <c r="F2438" s="50" t="n"/>
      <c r="G2438" s="51" t="n"/>
      <c r="H2438" s="51" t="n"/>
      <c r="I2438" s="51" t="n"/>
      <c r="J2438" s="51" t="n"/>
      <c r="K2438" s="51" t="n"/>
      <c r="L2438" s="54">
        <f>IF(OR(A2438="",C2438="",D2438=""),"",IF(COUNTIFS($A$5:$A$3004,A2438,$C$5:$C$3004,"&lt;"&amp;D2438,$D$5:$D$3004,"&gt;"&amp;C2438)&gt;1,"⚠️ пересечение",""))</f>
        <v/>
      </c>
      <c r="M2438" s="54">
        <f>IF(F2438="","",IF(J2438="✅ Сделано","✔ ",IF(J2438="❌ Пропущено","✖ ","⏰ "))&amp;IF(C2438="","",RIGHT("0"&amp;HOUR(C2438),2)&amp;":"&amp;RIGHT("0"&amp;MINUTE(C2438),2)&amp;IF(D2438="","","–"&amp;RIGHT("0"&amp;HOUR(D2438),2)&amp;":"&amp;RIGHT("0"&amp;MINUTE(D2438),2))&amp;" ")&amp;F2438)</f>
        <v/>
      </c>
      <c r="N2438" s="54">
        <f>IF(OR(A2438="",F2438=""),"",A2438&amp;"#"&amp;(COUNTIFS($A$5:$A$3004,A2438,$F$5:$F$3004,"?*",$O$5:$O$3004,"&lt;"&amp;O2438)+COUNTIFS($A$5:A2438,A2438,$F$5:F2438,"?*",$O$5:O2438,O2438)))</f>
        <v/>
      </c>
      <c r="O2438" s="54">
        <f>IF(A2438="","",IF(C2438="",0,C2438))</f>
        <v/>
      </c>
    </row>
    <row r="2439">
      <c r="A2439" s="58" t="n"/>
      <c r="B2439" s="49">
        <f>IF(A2439="","",CHOOSE(WEEKDAY(A2439,2),"Пн","Вт","Ср","Чт","Пт","Сб","Вс"))</f>
        <v/>
      </c>
      <c r="C2439" s="59" t="n"/>
      <c r="D2439" s="59" t="n"/>
      <c r="E2439" s="60">
        <f>IF(OR(C2439="",D2439=""),"",MOD(D2439-C2439,1)*24)</f>
        <v/>
      </c>
      <c r="F2439" s="50" t="n"/>
      <c r="G2439" s="51" t="n"/>
      <c r="H2439" s="51" t="n"/>
      <c r="I2439" s="51" t="n"/>
      <c r="J2439" s="51" t="n"/>
      <c r="K2439" s="51" t="n"/>
      <c r="L2439" s="54">
        <f>IF(OR(A2439="",C2439="",D2439=""),"",IF(COUNTIFS($A$5:$A$3004,A2439,$C$5:$C$3004,"&lt;"&amp;D2439,$D$5:$D$3004,"&gt;"&amp;C2439)&gt;1,"⚠️ пересечение",""))</f>
        <v/>
      </c>
      <c r="M2439" s="54">
        <f>IF(F2439="","",IF(J2439="✅ Сделано","✔ ",IF(J2439="❌ Пропущено","✖ ","⏰ "))&amp;IF(C2439="","",RIGHT("0"&amp;HOUR(C2439),2)&amp;":"&amp;RIGHT("0"&amp;MINUTE(C2439),2)&amp;IF(D2439="","","–"&amp;RIGHT("0"&amp;HOUR(D2439),2)&amp;":"&amp;RIGHT("0"&amp;MINUTE(D2439),2))&amp;" ")&amp;F2439)</f>
        <v/>
      </c>
      <c r="N2439" s="54">
        <f>IF(OR(A2439="",F2439=""),"",A2439&amp;"#"&amp;(COUNTIFS($A$5:$A$3004,A2439,$F$5:$F$3004,"?*",$O$5:$O$3004,"&lt;"&amp;O2439)+COUNTIFS($A$5:A2439,A2439,$F$5:F2439,"?*",$O$5:O2439,O2439)))</f>
        <v/>
      </c>
      <c r="O2439" s="54">
        <f>IF(A2439="","",IF(C2439="",0,C2439))</f>
        <v/>
      </c>
    </row>
    <row r="2440">
      <c r="A2440" s="58" t="n"/>
      <c r="B2440" s="49">
        <f>IF(A2440="","",CHOOSE(WEEKDAY(A2440,2),"Пн","Вт","Ср","Чт","Пт","Сб","Вс"))</f>
        <v/>
      </c>
      <c r="C2440" s="59" t="n"/>
      <c r="D2440" s="59" t="n"/>
      <c r="E2440" s="60">
        <f>IF(OR(C2440="",D2440=""),"",MOD(D2440-C2440,1)*24)</f>
        <v/>
      </c>
      <c r="F2440" s="50" t="n"/>
      <c r="G2440" s="51" t="n"/>
      <c r="H2440" s="51" t="n"/>
      <c r="I2440" s="51" t="n"/>
      <c r="J2440" s="51" t="n"/>
      <c r="K2440" s="51" t="n"/>
      <c r="L2440" s="54">
        <f>IF(OR(A2440="",C2440="",D2440=""),"",IF(COUNTIFS($A$5:$A$3004,A2440,$C$5:$C$3004,"&lt;"&amp;D2440,$D$5:$D$3004,"&gt;"&amp;C2440)&gt;1,"⚠️ пересечение",""))</f>
        <v/>
      </c>
      <c r="M2440" s="54">
        <f>IF(F2440="","",IF(J2440="✅ Сделано","✔ ",IF(J2440="❌ Пропущено","✖ ","⏰ "))&amp;IF(C2440="","",RIGHT("0"&amp;HOUR(C2440),2)&amp;":"&amp;RIGHT("0"&amp;MINUTE(C2440),2)&amp;IF(D2440="","","–"&amp;RIGHT("0"&amp;HOUR(D2440),2)&amp;":"&amp;RIGHT("0"&amp;MINUTE(D2440),2))&amp;" ")&amp;F2440)</f>
        <v/>
      </c>
      <c r="N2440" s="54">
        <f>IF(OR(A2440="",F2440=""),"",A2440&amp;"#"&amp;(COUNTIFS($A$5:$A$3004,A2440,$F$5:$F$3004,"?*",$O$5:$O$3004,"&lt;"&amp;O2440)+COUNTIFS($A$5:A2440,A2440,$F$5:F2440,"?*",$O$5:O2440,O2440)))</f>
        <v/>
      </c>
      <c r="O2440" s="54">
        <f>IF(A2440="","",IF(C2440="",0,C2440))</f>
        <v/>
      </c>
    </row>
    <row r="2441">
      <c r="A2441" s="58" t="n"/>
      <c r="B2441" s="49">
        <f>IF(A2441="","",CHOOSE(WEEKDAY(A2441,2),"Пн","Вт","Ср","Чт","Пт","Сб","Вс"))</f>
        <v/>
      </c>
      <c r="C2441" s="59" t="n"/>
      <c r="D2441" s="59" t="n"/>
      <c r="E2441" s="60">
        <f>IF(OR(C2441="",D2441=""),"",MOD(D2441-C2441,1)*24)</f>
        <v/>
      </c>
      <c r="F2441" s="50" t="n"/>
      <c r="G2441" s="51" t="n"/>
      <c r="H2441" s="51" t="n"/>
      <c r="I2441" s="51" t="n"/>
      <c r="J2441" s="51" t="n"/>
      <c r="K2441" s="51" t="n"/>
      <c r="L2441" s="54">
        <f>IF(OR(A2441="",C2441="",D2441=""),"",IF(COUNTIFS($A$5:$A$3004,A2441,$C$5:$C$3004,"&lt;"&amp;D2441,$D$5:$D$3004,"&gt;"&amp;C2441)&gt;1,"⚠️ пересечение",""))</f>
        <v/>
      </c>
      <c r="M2441" s="54">
        <f>IF(F2441="","",IF(J2441="✅ Сделано","✔ ",IF(J2441="❌ Пропущено","✖ ","⏰ "))&amp;IF(C2441="","",RIGHT("0"&amp;HOUR(C2441),2)&amp;":"&amp;RIGHT("0"&amp;MINUTE(C2441),2)&amp;IF(D2441="","","–"&amp;RIGHT("0"&amp;HOUR(D2441),2)&amp;":"&amp;RIGHT("0"&amp;MINUTE(D2441),2))&amp;" ")&amp;F2441)</f>
        <v/>
      </c>
      <c r="N2441" s="54">
        <f>IF(OR(A2441="",F2441=""),"",A2441&amp;"#"&amp;(COUNTIFS($A$5:$A$3004,A2441,$F$5:$F$3004,"?*",$O$5:$O$3004,"&lt;"&amp;O2441)+COUNTIFS($A$5:A2441,A2441,$F$5:F2441,"?*",$O$5:O2441,O2441)))</f>
        <v/>
      </c>
      <c r="O2441" s="54">
        <f>IF(A2441="","",IF(C2441="",0,C2441))</f>
        <v/>
      </c>
    </row>
    <row r="2442">
      <c r="A2442" s="58" t="n"/>
      <c r="B2442" s="49">
        <f>IF(A2442="","",CHOOSE(WEEKDAY(A2442,2),"Пн","Вт","Ср","Чт","Пт","Сб","Вс"))</f>
        <v/>
      </c>
      <c r="C2442" s="59" t="n"/>
      <c r="D2442" s="59" t="n"/>
      <c r="E2442" s="60">
        <f>IF(OR(C2442="",D2442=""),"",MOD(D2442-C2442,1)*24)</f>
        <v/>
      </c>
      <c r="F2442" s="50" t="n"/>
      <c r="G2442" s="51" t="n"/>
      <c r="H2442" s="51" t="n"/>
      <c r="I2442" s="51" t="n"/>
      <c r="J2442" s="51" t="n"/>
      <c r="K2442" s="51" t="n"/>
      <c r="L2442" s="54">
        <f>IF(OR(A2442="",C2442="",D2442=""),"",IF(COUNTIFS($A$5:$A$3004,A2442,$C$5:$C$3004,"&lt;"&amp;D2442,$D$5:$D$3004,"&gt;"&amp;C2442)&gt;1,"⚠️ пересечение",""))</f>
        <v/>
      </c>
      <c r="M2442" s="54">
        <f>IF(F2442="","",IF(J2442="✅ Сделано","✔ ",IF(J2442="❌ Пропущено","✖ ","⏰ "))&amp;IF(C2442="","",RIGHT("0"&amp;HOUR(C2442),2)&amp;":"&amp;RIGHT("0"&amp;MINUTE(C2442),2)&amp;IF(D2442="","","–"&amp;RIGHT("0"&amp;HOUR(D2442),2)&amp;":"&amp;RIGHT("0"&amp;MINUTE(D2442),2))&amp;" ")&amp;F2442)</f>
        <v/>
      </c>
      <c r="N2442" s="54">
        <f>IF(OR(A2442="",F2442=""),"",A2442&amp;"#"&amp;(COUNTIFS($A$5:$A$3004,A2442,$F$5:$F$3004,"?*",$O$5:$O$3004,"&lt;"&amp;O2442)+COUNTIFS($A$5:A2442,A2442,$F$5:F2442,"?*",$O$5:O2442,O2442)))</f>
        <v/>
      </c>
      <c r="O2442" s="54">
        <f>IF(A2442="","",IF(C2442="",0,C2442))</f>
        <v/>
      </c>
    </row>
    <row r="2443">
      <c r="A2443" s="58" t="n"/>
      <c r="B2443" s="49">
        <f>IF(A2443="","",CHOOSE(WEEKDAY(A2443,2),"Пн","Вт","Ср","Чт","Пт","Сб","Вс"))</f>
        <v/>
      </c>
      <c r="C2443" s="59" t="n"/>
      <c r="D2443" s="59" t="n"/>
      <c r="E2443" s="60">
        <f>IF(OR(C2443="",D2443=""),"",MOD(D2443-C2443,1)*24)</f>
        <v/>
      </c>
      <c r="F2443" s="50" t="n"/>
      <c r="G2443" s="51" t="n"/>
      <c r="H2443" s="51" t="n"/>
      <c r="I2443" s="51" t="n"/>
      <c r="J2443" s="51" t="n"/>
      <c r="K2443" s="51" t="n"/>
      <c r="L2443" s="54">
        <f>IF(OR(A2443="",C2443="",D2443=""),"",IF(COUNTIFS($A$5:$A$3004,A2443,$C$5:$C$3004,"&lt;"&amp;D2443,$D$5:$D$3004,"&gt;"&amp;C2443)&gt;1,"⚠️ пересечение",""))</f>
        <v/>
      </c>
      <c r="M2443" s="54">
        <f>IF(F2443="","",IF(J2443="✅ Сделано","✔ ",IF(J2443="❌ Пропущено","✖ ","⏰ "))&amp;IF(C2443="","",RIGHT("0"&amp;HOUR(C2443),2)&amp;":"&amp;RIGHT("0"&amp;MINUTE(C2443),2)&amp;IF(D2443="","","–"&amp;RIGHT("0"&amp;HOUR(D2443),2)&amp;":"&amp;RIGHT("0"&amp;MINUTE(D2443),2))&amp;" ")&amp;F2443)</f>
        <v/>
      </c>
      <c r="N2443" s="54">
        <f>IF(OR(A2443="",F2443=""),"",A2443&amp;"#"&amp;(COUNTIFS($A$5:$A$3004,A2443,$F$5:$F$3004,"?*",$O$5:$O$3004,"&lt;"&amp;O2443)+COUNTIFS($A$5:A2443,A2443,$F$5:F2443,"?*",$O$5:O2443,O2443)))</f>
        <v/>
      </c>
      <c r="O2443" s="54">
        <f>IF(A2443="","",IF(C2443="",0,C2443))</f>
        <v/>
      </c>
    </row>
    <row r="2444">
      <c r="A2444" s="58" t="n"/>
      <c r="B2444" s="49">
        <f>IF(A2444="","",CHOOSE(WEEKDAY(A2444,2),"Пн","Вт","Ср","Чт","Пт","Сб","Вс"))</f>
        <v/>
      </c>
      <c r="C2444" s="59" t="n"/>
      <c r="D2444" s="59" t="n"/>
      <c r="E2444" s="60">
        <f>IF(OR(C2444="",D2444=""),"",MOD(D2444-C2444,1)*24)</f>
        <v/>
      </c>
      <c r="F2444" s="50" t="n"/>
      <c r="G2444" s="51" t="n"/>
      <c r="H2444" s="51" t="n"/>
      <c r="I2444" s="51" t="n"/>
      <c r="J2444" s="51" t="n"/>
      <c r="K2444" s="51" t="n"/>
      <c r="L2444" s="54">
        <f>IF(OR(A2444="",C2444="",D2444=""),"",IF(COUNTIFS($A$5:$A$3004,A2444,$C$5:$C$3004,"&lt;"&amp;D2444,$D$5:$D$3004,"&gt;"&amp;C2444)&gt;1,"⚠️ пересечение",""))</f>
        <v/>
      </c>
      <c r="M2444" s="54">
        <f>IF(F2444="","",IF(J2444="✅ Сделано","✔ ",IF(J2444="❌ Пропущено","✖ ","⏰ "))&amp;IF(C2444="","",RIGHT("0"&amp;HOUR(C2444),2)&amp;":"&amp;RIGHT("0"&amp;MINUTE(C2444),2)&amp;IF(D2444="","","–"&amp;RIGHT("0"&amp;HOUR(D2444),2)&amp;":"&amp;RIGHT("0"&amp;MINUTE(D2444),2))&amp;" ")&amp;F2444)</f>
        <v/>
      </c>
      <c r="N2444" s="54">
        <f>IF(OR(A2444="",F2444=""),"",A2444&amp;"#"&amp;(COUNTIFS($A$5:$A$3004,A2444,$F$5:$F$3004,"?*",$O$5:$O$3004,"&lt;"&amp;O2444)+COUNTIFS($A$5:A2444,A2444,$F$5:F2444,"?*",$O$5:O2444,O2444)))</f>
        <v/>
      </c>
      <c r="O2444" s="54">
        <f>IF(A2444="","",IF(C2444="",0,C2444))</f>
        <v/>
      </c>
    </row>
    <row r="2445">
      <c r="A2445" s="58" t="n"/>
      <c r="B2445" s="49">
        <f>IF(A2445="","",CHOOSE(WEEKDAY(A2445,2),"Пн","Вт","Ср","Чт","Пт","Сб","Вс"))</f>
        <v/>
      </c>
      <c r="C2445" s="59" t="n"/>
      <c r="D2445" s="59" t="n"/>
      <c r="E2445" s="60">
        <f>IF(OR(C2445="",D2445=""),"",MOD(D2445-C2445,1)*24)</f>
        <v/>
      </c>
      <c r="F2445" s="50" t="n"/>
      <c r="G2445" s="51" t="n"/>
      <c r="H2445" s="51" t="n"/>
      <c r="I2445" s="51" t="n"/>
      <c r="J2445" s="51" t="n"/>
      <c r="K2445" s="51" t="n"/>
      <c r="L2445" s="54">
        <f>IF(OR(A2445="",C2445="",D2445=""),"",IF(COUNTIFS($A$5:$A$3004,A2445,$C$5:$C$3004,"&lt;"&amp;D2445,$D$5:$D$3004,"&gt;"&amp;C2445)&gt;1,"⚠️ пересечение",""))</f>
        <v/>
      </c>
      <c r="M2445" s="54">
        <f>IF(F2445="","",IF(J2445="✅ Сделано","✔ ",IF(J2445="❌ Пропущено","✖ ","⏰ "))&amp;IF(C2445="","",RIGHT("0"&amp;HOUR(C2445),2)&amp;":"&amp;RIGHT("0"&amp;MINUTE(C2445),2)&amp;IF(D2445="","","–"&amp;RIGHT("0"&amp;HOUR(D2445),2)&amp;":"&amp;RIGHT("0"&amp;MINUTE(D2445),2))&amp;" ")&amp;F2445)</f>
        <v/>
      </c>
      <c r="N2445" s="54">
        <f>IF(OR(A2445="",F2445=""),"",A2445&amp;"#"&amp;(COUNTIFS($A$5:$A$3004,A2445,$F$5:$F$3004,"?*",$O$5:$O$3004,"&lt;"&amp;O2445)+COUNTIFS($A$5:A2445,A2445,$F$5:F2445,"?*",$O$5:O2445,O2445)))</f>
        <v/>
      </c>
      <c r="O2445" s="54">
        <f>IF(A2445="","",IF(C2445="",0,C2445))</f>
        <v/>
      </c>
    </row>
    <row r="2446">
      <c r="A2446" s="58" t="n"/>
      <c r="B2446" s="49">
        <f>IF(A2446="","",CHOOSE(WEEKDAY(A2446,2),"Пн","Вт","Ср","Чт","Пт","Сб","Вс"))</f>
        <v/>
      </c>
      <c r="C2446" s="59" t="n"/>
      <c r="D2446" s="59" t="n"/>
      <c r="E2446" s="60">
        <f>IF(OR(C2446="",D2446=""),"",MOD(D2446-C2446,1)*24)</f>
        <v/>
      </c>
      <c r="F2446" s="50" t="n"/>
      <c r="G2446" s="51" t="n"/>
      <c r="H2446" s="51" t="n"/>
      <c r="I2446" s="51" t="n"/>
      <c r="J2446" s="51" t="n"/>
      <c r="K2446" s="51" t="n"/>
      <c r="L2446" s="54">
        <f>IF(OR(A2446="",C2446="",D2446=""),"",IF(COUNTIFS($A$5:$A$3004,A2446,$C$5:$C$3004,"&lt;"&amp;D2446,$D$5:$D$3004,"&gt;"&amp;C2446)&gt;1,"⚠️ пересечение",""))</f>
        <v/>
      </c>
      <c r="M2446" s="54">
        <f>IF(F2446="","",IF(J2446="✅ Сделано","✔ ",IF(J2446="❌ Пропущено","✖ ","⏰ "))&amp;IF(C2446="","",RIGHT("0"&amp;HOUR(C2446),2)&amp;":"&amp;RIGHT("0"&amp;MINUTE(C2446),2)&amp;IF(D2446="","","–"&amp;RIGHT("0"&amp;HOUR(D2446),2)&amp;":"&amp;RIGHT("0"&amp;MINUTE(D2446),2))&amp;" ")&amp;F2446)</f>
        <v/>
      </c>
      <c r="N2446" s="54">
        <f>IF(OR(A2446="",F2446=""),"",A2446&amp;"#"&amp;(COUNTIFS($A$5:$A$3004,A2446,$F$5:$F$3004,"?*",$O$5:$O$3004,"&lt;"&amp;O2446)+COUNTIFS($A$5:A2446,A2446,$F$5:F2446,"?*",$O$5:O2446,O2446)))</f>
        <v/>
      </c>
      <c r="O2446" s="54">
        <f>IF(A2446="","",IF(C2446="",0,C2446))</f>
        <v/>
      </c>
    </row>
    <row r="2447">
      <c r="A2447" s="58" t="n"/>
      <c r="B2447" s="49">
        <f>IF(A2447="","",CHOOSE(WEEKDAY(A2447,2),"Пн","Вт","Ср","Чт","Пт","Сб","Вс"))</f>
        <v/>
      </c>
      <c r="C2447" s="59" t="n"/>
      <c r="D2447" s="59" t="n"/>
      <c r="E2447" s="60">
        <f>IF(OR(C2447="",D2447=""),"",MOD(D2447-C2447,1)*24)</f>
        <v/>
      </c>
      <c r="F2447" s="50" t="n"/>
      <c r="G2447" s="51" t="n"/>
      <c r="H2447" s="51" t="n"/>
      <c r="I2447" s="51" t="n"/>
      <c r="J2447" s="51" t="n"/>
      <c r="K2447" s="51" t="n"/>
      <c r="L2447" s="54">
        <f>IF(OR(A2447="",C2447="",D2447=""),"",IF(COUNTIFS($A$5:$A$3004,A2447,$C$5:$C$3004,"&lt;"&amp;D2447,$D$5:$D$3004,"&gt;"&amp;C2447)&gt;1,"⚠️ пересечение",""))</f>
        <v/>
      </c>
      <c r="M2447" s="54">
        <f>IF(F2447="","",IF(J2447="✅ Сделано","✔ ",IF(J2447="❌ Пропущено","✖ ","⏰ "))&amp;IF(C2447="","",RIGHT("0"&amp;HOUR(C2447),2)&amp;":"&amp;RIGHT("0"&amp;MINUTE(C2447),2)&amp;IF(D2447="","","–"&amp;RIGHT("0"&amp;HOUR(D2447),2)&amp;":"&amp;RIGHT("0"&amp;MINUTE(D2447),2))&amp;" ")&amp;F2447)</f>
        <v/>
      </c>
      <c r="N2447" s="54">
        <f>IF(OR(A2447="",F2447=""),"",A2447&amp;"#"&amp;(COUNTIFS($A$5:$A$3004,A2447,$F$5:$F$3004,"?*",$O$5:$O$3004,"&lt;"&amp;O2447)+COUNTIFS($A$5:A2447,A2447,$F$5:F2447,"?*",$O$5:O2447,O2447)))</f>
        <v/>
      </c>
      <c r="O2447" s="54">
        <f>IF(A2447="","",IF(C2447="",0,C2447))</f>
        <v/>
      </c>
    </row>
    <row r="2448">
      <c r="A2448" s="58" t="n"/>
      <c r="B2448" s="49">
        <f>IF(A2448="","",CHOOSE(WEEKDAY(A2448,2),"Пн","Вт","Ср","Чт","Пт","Сб","Вс"))</f>
        <v/>
      </c>
      <c r="C2448" s="59" t="n"/>
      <c r="D2448" s="59" t="n"/>
      <c r="E2448" s="60">
        <f>IF(OR(C2448="",D2448=""),"",MOD(D2448-C2448,1)*24)</f>
        <v/>
      </c>
      <c r="F2448" s="50" t="n"/>
      <c r="G2448" s="51" t="n"/>
      <c r="H2448" s="51" t="n"/>
      <c r="I2448" s="51" t="n"/>
      <c r="J2448" s="51" t="n"/>
      <c r="K2448" s="51" t="n"/>
      <c r="L2448" s="54">
        <f>IF(OR(A2448="",C2448="",D2448=""),"",IF(COUNTIFS($A$5:$A$3004,A2448,$C$5:$C$3004,"&lt;"&amp;D2448,$D$5:$D$3004,"&gt;"&amp;C2448)&gt;1,"⚠️ пересечение",""))</f>
        <v/>
      </c>
      <c r="M2448" s="54">
        <f>IF(F2448="","",IF(J2448="✅ Сделано","✔ ",IF(J2448="❌ Пропущено","✖ ","⏰ "))&amp;IF(C2448="","",RIGHT("0"&amp;HOUR(C2448),2)&amp;":"&amp;RIGHT("0"&amp;MINUTE(C2448),2)&amp;IF(D2448="","","–"&amp;RIGHT("0"&amp;HOUR(D2448),2)&amp;":"&amp;RIGHT("0"&amp;MINUTE(D2448),2))&amp;" ")&amp;F2448)</f>
        <v/>
      </c>
      <c r="N2448" s="54">
        <f>IF(OR(A2448="",F2448=""),"",A2448&amp;"#"&amp;(COUNTIFS($A$5:$A$3004,A2448,$F$5:$F$3004,"?*",$O$5:$O$3004,"&lt;"&amp;O2448)+COUNTIFS($A$5:A2448,A2448,$F$5:F2448,"?*",$O$5:O2448,O2448)))</f>
        <v/>
      </c>
      <c r="O2448" s="54">
        <f>IF(A2448="","",IF(C2448="",0,C2448))</f>
        <v/>
      </c>
    </row>
    <row r="2449">
      <c r="A2449" s="58" t="n"/>
      <c r="B2449" s="49">
        <f>IF(A2449="","",CHOOSE(WEEKDAY(A2449,2),"Пн","Вт","Ср","Чт","Пт","Сб","Вс"))</f>
        <v/>
      </c>
      <c r="C2449" s="59" t="n"/>
      <c r="D2449" s="59" t="n"/>
      <c r="E2449" s="60">
        <f>IF(OR(C2449="",D2449=""),"",MOD(D2449-C2449,1)*24)</f>
        <v/>
      </c>
      <c r="F2449" s="50" t="n"/>
      <c r="G2449" s="51" t="n"/>
      <c r="H2449" s="51" t="n"/>
      <c r="I2449" s="51" t="n"/>
      <c r="J2449" s="51" t="n"/>
      <c r="K2449" s="51" t="n"/>
      <c r="L2449" s="54">
        <f>IF(OR(A2449="",C2449="",D2449=""),"",IF(COUNTIFS($A$5:$A$3004,A2449,$C$5:$C$3004,"&lt;"&amp;D2449,$D$5:$D$3004,"&gt;"&amp;C2449)&gt;1,"⚠️ пересечение",""))</f>
        <v/>
      </c>
      <c r="M2449" s="54">
        <f>IF(F2449="","",IF(J2449="✅ Сделано","✔ ",IF(J2449="❌ Пропущено","✖ ","⏰ "))&amp;IF(C2449="","",RIGHT("0"&amp;HOUR(C2449),2)&amp;":"&amp;RIGHT("0"&amp;MINUTE(C2449),2)&amp;IF(D2449="","","–"&amp;RIGHT("0"&amp;HOUR(D2449),2)&amp;":"&amp;RIGHT("0"&amp;MINUTE(D2449),2))&amp;" ")&amp;F2449)</f>
        <v/>
      </c>
      <c r="N2449" s="54">
        <f>IF(OR(A2449="",F2449=""),"",A2449&amp;"#"&amp;(COUNTIFS($A$5:$A$3004,A2449,$F$5:$F$3004,"?*",$O$5:$O$3004,"&lt;"&amp;O2449)+COUNTIFS($A$5:A2449,A2449,$F$5:F2449,"?*",$O$5:O2449,O2449)))</f>
        <v/>
      </c>
      <c r="O2449" s="54">
        <f>IF(A2449="","",IF(C2449="",0,C2449))</f>
        <v/>
      </c>
    </row>
    <row r="2450">
      <c r="A2450" s="58" t="n"/>
      <c r="B2450" s="49">
        <f>IF(A2450="","",CHOOSE(WEEKDAY(A2450,2),"Пн","Вт","Ср","Чт","Пт","Сб","Вс"))</f>
        <v/>
      </c>
      <c r="C2450" s="59" t="n"/>
      <c r="D2450" s="59" t="n"/>
      <c r="E2450" s="60">
        <f>IF(OR(C2450="",D2450=""),"",MOD(D2450-C2450,1)*24)</f>
        <v/>
      </c>
      <c r="F2450" s="50" t="n"/>
      <c r="G2450" s="51" t="n"/>
      <c r="H2450" s="51" t="n"/>
      <c r="I2450" s="51" t="n"/>
      <c r="J2450" s="51" t="n"/>
      <c r="K2450" s="51" t="n"/>
      <c r="L2450" s="54">
        <f>IF(OR(A2450="",C2450="",D2450=""),"",IF(COUNTIFS($A$5:$A$3004,A2450,$C$5:$C$3004,"&lt;"&amp;D2450,$D$5:$D$3004,"&gt;"&amp;C2450)&gt;1,"⚠️ пересечение",""))</f>
        <v/>
      </c>
      <c r="M2450" s="54">
        <f>IF(F2450="","",IF(J2450="✅ Сделано","✔ ",IF(J2450="❌ Пропущено","✖ ","⏰ "))&amp;IF(C2450="","",RIGHT("0"&amp;HOUR(C2450),2)&amp;":"&amp;RIGHT("0"&amp;MINUTE(C2450),2)&amp;IF(D2450="","","–"&amp;RIGHT("0"&amp;HOUR(D2450),2)&amp;":"&amp;RIGHT("0"&amp;MINUTE(D2450),2))&amp;" ")&amp;F2450)</f>
        <v/>
      </c>
      <c r="N2450" s="54">
        <f>IF(OR(A2450="",F2450=""),"",A2450&amp;"#"&amp;(COUNTIFS($A$5:$A$3004,A2450,$F$5:$F$3004,"?*",$O$5:$O$3004,"&lt;"&amp;O2450)+COUNTIFS($A$5:A2450,A2450,$F$5:F2450,"?*",$O$5:O2450,O2450)))</f>
        <v/>
      </c>
      <c r="O2450" s="54">
        <f>IF(A2450="","",IF(C2450="",0,C2450))</f>
        <v/>
      </c>
    </row>
    <row r="2451">
      <c r="A2451" s="58" t="n"/>
      <c r="B2451" s="49">
        <f>IF(A2451="","",CHOOSE(WEEKDAY(A2451,2),"Пн","Вт","Ср","Чт","Пт","Сб","Вс"))</f>
        <v/>
      </c>
      <c r="C2451" s="59" t="n"/>
      <c r="D2451" s="59" t="n"/>
      <c r="E2451" s="60">
        <f>IF(OR(C2451="",D2451=""),"",MOD(D2451-C2451,1)*24)</f>
        <v/>
      </c>
      <c r="F2451" s="50" t="n"/>
      <c r="G2451" s="51" t="n"/>
      <c r="H2451" s="51" t="n"/>
      <c r="I2451" s="51" t="n"/>
      <c r="J2451" s="51" t="n"/>
      <c r="K2451" s="51" t="n"/>
      <c r="L2451" s="54">
        <f>IF(OR(A2451="",C2451="",D2451=""),"",IF(COUNTIFS($A$5:$A$3004,A2451,$C$5:$C$3004,"&lt;"&amp;D2451,$D$5:$D$3004,"&gt;"&amp;C2451)&gt;1,"⚠️ пересечение",""))</f>
        <v/>
      </c>
      <c r="M2451" s="54">
        <f>IF(F2451="","",IF(J2451="✅ Сделано","✔ ",IF(J2451="❌ Пропущено","✖ ","⏰ "))&amp;IF(C2451="","",RIGHT("0"&amp;HOUR(C2451),2)&amp;":"&amp;RIGHT("0"&amp;MINUTE(C2451),2)&amp;IF(D2451="","","–"&amp;RIGHT("0"&amp;HOUR(D2451),2)&amp;":"&amp;RIGHT("0"&amp;MINUTE(D2451),2))&amp;" ")&amp;F2451)</f>
        <v/>
      </c>
      <c r="N2451" s="54">
        <f>IF(OR(A2451="",F2451=""),"",A2451&amp;"#"&amp;(COUNTIFS($A$5:$A$3004,A2451,$F$5:$F$3004,"?*",$O$5:$O$3004,"&lt;"&amp;O2451)+COUNTIFS($A$5:A2451,A2451,$F$5:F2451,"?*",$O$5:O2451,O2451)))</f>
        <v/>
      </c>
      <c r="O2451" s="54">
        <f>IF(A2451="","",IF(C2451="",0,C2451))</f>
        <v/>
      </c>
    </row>
    <row r="2452">
      <c r="A2452" s="58" t="n"/>
      <c r="B2452" s="49">
        <f>IF(A2452="","",CHOOSE(WEEKDAY(A2452,2),"Пн","Вт","Ср","Чт","Пт","Сб","Вс"))</f>
        <v/>
      </c>
      <c r="C2452" s="59" t="n"/>
      <c r="D2452" s="59" t="n"/>
      <c r="E2452" s="60">
        <f>IF(OR(C2452="",D2452=""),"",MOD(D2452-C2452,1)*24)</f>
        <v/>
      </c>
      <c r="F2452" s="50" t="n"/>
      <c r="G2452" s="51" t="n"/>
      <c r="H2452" s="51" t="n"/>
      <c r="I2452" s="51" t="n"/>
      <c r="J2452" s="51" t="n"/>
      <c r="K2452" s="51" t="n"/>
      <c r="L2452" s="54">
        <f>IF(OR(A2452="",C2452="",D2452=""),"",IF(COUNTIFS($A$5:$A$3004,A2452,$C$5:$C$3004,"&lt;"&amp;D2452,$D$5:$D$3004,"&gt;"&amp;C2452)&gt;1,"⚠️ пересечение",""))</f>
        <v/>
      </c>
      <c r="M2452" s="54">
        <f>IF(F2452="","",IF(J2452="✅ Сделано","✔ ",IF(J2452="❌ Пропущено","✖ ","⏰ "))&amp;IF(C2452="","",RIGHT("0"&amp;HOUR(C2452),2)&amp;":"&amp;RIGHT("0"&amp;MINUTE(C2452),2)&amp;IF(D2452="","","–"&amp;RIGHT("0"&amp;HOUR(D2452),2)&amp;":"&amp;RIGHT("0"&amp;MINUTE(D2452),2))&amp;" ")&amp;F2452)</f>
        <v/>
      </c>
      <c r="N2452" s="54">
        <f>IF(OR(A2452="",F2452=""),"",A2452&amp;"#"&amp;(COUNTIFS($A$5:$A$3004,A2452,$F$5:$F$3004,"?*",$O$5:$O$3004,"&lt;"&amp;O2452)+COUNTIFS($A$5:A2452,A2452,$F$5:F2452,"?*",$O$5:O2452,O2452)))</f>
        <v/>
      </c>
      <c r="O2452" s="54">
        <f>IF(A2452="","",IF(C2452="",0,C2452))</f>
        <v/>
      </c>
    </row>
    <row r="2453">
      <c r="A2453" s="58" t="n"/>
      <c r="B2453" s="49">
        <f>IF(A2453="","",CHOOSE(WEEKDAY(A2453,2),"Пн","Вт","Ср","Чт","Пт","Сб","Вс"))</f>
        <v/>
      </c>
      <c r="C2453" s="59" t="n"/>
      <c r="D2453" s="59" t="n"/>
      <c r="E2453" s="60">
        <f>IF(OR(C2453="",D2453=""),"",MOD(D2453-C2453,1)*24)</f>
        <v/>
      </c>
      <c r="F2453" s="50" t="n"/>
      <c r="G2453" s="51" t="n"/>
      <c r="H2453" s="51" t="n"/>
      <c r="I2453" s="51" t="n"/>
      <c r="J2453" s="51" t="n"/>
      <c r="K2453" s="51" t="n"/>
      <c r="L2453" s="54">
        <f>IF(OR(A2453="",C2453="",D2453=""),"",IF(COUNTIFS($A$5:$A$3004,A2453,$C$5:$C$3004,"&lt;"&amp;D2453,$D$5:$D$3004,"&gt;"&amp;C2453)&gt;1,"⚠️ пересечение",""))</f>
        <v/>
      </c>
      <c r="M2453" s="54">
        <f>IF(F2453="","",IF(J2453="✅ Сделано","✔ ",IF(J2453="❌ Пропущено","✖ ","⏰ "))&amp;IF(C2453="","",RIGHT("0"&amp;HOUR(C2453),2)&amp;":"&amp;RIGHT("0"&amp;MINUTE(C2453),2)&amp;IF(D2453="","","–"&amp;RIGHT("0"&amp;HOUR(D2453),2)&amp;":"&amp;RIGHT("0"&amp;MINUTE(D2453),2))&amp;" ")&amp;F2453)</f>
        <v/>
      </c>
      <c r="N2453" s="54">
        <f>IF(OR(A2453="",F2453=""),"",A2453&amp;"#"&amp;(COUNTIFS($A$5:$A$3004,A2453,$F$5:$F$3004,"?*",$O$5:$O$3004,"&lt;"&amp;O2453)+COUNTIFS($A$5:A2453,A2453,$F$5:F2453,"?*",$O$5:O2453,O2453)))</f>
        <v/>
      </c>
      <c r="O2453" s="54">
        <f>IF(A2453="","",IF(C2453="",0,C2453))</f>
        <v/>
      </c>
    </row>
    <row r="2454">
      <c r="A2454" s="58" t="n"/>
      <c r="B2454" s="49">
        <f>IF(A2454="","",CHOOSE(WEEKDAY(A2454,2),"Пн","Вт","Ср","Чт","Пт","Сб","Вс"))</f>
        <v/>
      </c>
      <c r="C2454" s="59" t="n"/>
      <c r="D2454" s="59" t="n"/>
      <c r="E2454" s="60">
        <f>IF(OR(C2454="",D2454=""),"",MOD(D2454-C2454,1)*24)</f>
        <v/>
      </c>
      <c r="F2454" s="50" t="n"/>
      <c r="G2454" s="51" t="n"/>
      <c r="H2454" s="51" t="n"/>
      <c r="I2454" s="51" t="n"/>
      <c r="J2454" s="51" t="n"/>
      <c r="K2454" s="51" t="n"/>
      <c r="L2454" s="54">
        <f>IF(OR(A2454="",C2454="",D2454=""),"",IF(COUNTIFS($A$5:$A$3004,A2454,$C$5:$C$3004,"&lt;"&amp;D2454,$D$5:$D$3004,"&gt;"&amp;C2454)&gt;1,"⚠️ пересечение",""))</f>
        <v/>
      </c>
      <c r="M2454" s="54">
        <f>IF(F2454="","",IF(J2454="✅ Сделано","✔ ",IF(J2454="❌ Пропущено","✖ ","⏰ "))&amp;IF(C2454="","",RIGHT("0"&amp;HOUR(C2454),2)&amp;":"&amp;RIGHT("0"&amp;MINUTE(C2454),2)&amp;IF(D2454="","","–"&amp;RIGHT("0"&amp;HOUR(D2454),2)&amp;":"&amp;RIGHT("0"&amp;MINUTE(D2454),2))&amp;" ")&amp;F2454)</f>
        <v/>
      </c>
      <c r="N2454" s="54">
        <f>IF(OR(A2454="",F2454=""),"",A2454&amp;"#"&amp;(COUNTIFS($A$5:$A$3004,A2454,$F$5:$F$3004,"?*",$O$5:$O$3004,"&lt;"&amp;O2454)+COUNTIFS($A$5:A2454,A2454,$F$5:F2454,"?*",$O$5:O2454,O2454)))</f>
        <v/>
      </c>
      <c r="O2454" s="54">
        <f>IF(A2454="","",IF(C2454="",0,C2454))</f>
        <v/>
      </c>
    </row>
    <row r="2455">
      <c r="A2455" s="58" t="n"/>
      <c r="B2455" s="49">
        <f>IF(A2455="","",CHOOSE(WEEKDAY(A2455,2),"Пн","Вт","Ср","Чт","Пт","Сб","Вс"))</f>
        <v/>
      </c>
      <c r="C2455" s="59" t="n"/>
      <c r="D2455" s="59" t="n"/>
      <c r="E2455" s="60">
        <f>IF(OR(C2455="",D2455=""),"",MOD(D2455-C2455,1)*24)</f>
        <v/>
      </c>
      <c r="F2455" s="50" t="n"/>
      <c r="G2455" s="51" t="n"/>
      <c r="H2455" s="51" t="n"/>
      <c r="I2455" s="51" t="n"/>
      <c r="J2455" s="51" t="n"/>
      <c r="K2455" s="51" t="n"/>
      <c r="L2455" s="54">
        <f>IF(OR(A2455="",C2455="",D2455=""),"",IF(COUNTIFS($A$5:$A$3004,A2455,$C$5:$C$3004,"&lt;"&amp;D2455,$D$5:$D$3004,"&gt;"&amp;C2455)&gt;1,"⚠️ пересечение",""))</f>
        <v/>
      </c>
      <c r="M2455" s="54">
        <f>IF(F2455="","",IF(J2455="✅ Сделано","✔ ",IF(J2455="❌ Пропущено","✖ ","⏰ "))&amp;IF(C2455="","",RIGHT("0"&amp;HOUR(C2455),2)&amp;":"&amp;RIGHT("0"&amp;MINUTE(C2455),2)&amp;IF(D2455="","","–"&amp;RIGHT("0"&amp;HOUR(D2455),2)&amp;":"&amp;RIGHT("0"&amp;MINUTE(D2455),2))&amp;" ")&amp;F2455)</f>
        <v/>
      </c>
      <c r="N2455" s="54">
        <f>IF(OR(A2455="",F2455=""),"",A2455&amp;"#"&amp;(COUNTIFS($A$5:$A$3004,A2455,$F$5:$F$3004,"?*",$O$5:$O$3004,"&lt;"&amp;O2455)+COUNTIFS($A$5:A2455,A2455,$F$5:F2455,"?*",$O$5:O2455,O2455)))</f>
        <v/>
      </c>
      <c r="O2455" s="54">
        <f>IF(A2455="","",IF(C2455="",0,C2455))</f>
        <v/>
      </c>
    </row>
    <row r="2456">
      <c r="A2456" s="58" t="n"/>
      <c r="B2456" s="49">
        <f>IF(A2456="","",CHOOSE(WEEKDAY(A2456,2),"Пн","Вт","Ср","Чт","Пт","Сб","Вс"))</f>
        <v/>
      </c>
      <c r="C2456" s="59" t="n"/>
      <c r="D2456" s="59" t="n"/>
      <c r="E2456" s="60">
        <f>IF(OR(C2456="",D2456=""),"",MOD(D2456-C2456,1)*24)</f>
        <v/>
      </c>
      <c r="F2456" s="50" t="n"/>
      <c r="G2456" s="51" t="n"/>
      <c r="H2456" s="51" t="n"/>
      <c r="I2456" s="51" t="n"/>
      <c r="J2456" s="51" t="n"/>
      <c r="K2456" s="51" t="n"/>
      <c r="L2456" s="54">
        <f>IF(OR(A2456="",C2456="",D2456=""),"",IF(COUNTIFS($A$5:$A$3004,A2456,$C$5:$C$3004,"&lt;"&amp;D2456,$D$5:$D$3004,"&gt;"&amp;C2456)&gt;1,"⚠️ пересечение",""))</f>
        <v/>
      </c>
      <c r="M2456" s="54">
        <f>IF(F2456="","",IF(J2456="✅ Сделано","✔ ",IF(J2456="❌ Пропущено","✖ ","⏰ "))&amp;IF(C2456="","",RIGHT("0"&amp;HOUR(C2456),2)&amp;":"&amp;RIGHT("0"&amp;MINUTE(C2456),2)&amp;IF(D2456="","","–"&amp;RIGHT("0"&amp;HOUR(D2456),2)&amp;":"&amp;RIGHT("0"&amp;MINUTE(D2456),2))&amp;" ")&amp;F2456)</f>
        <v/>
      </c>
      <c r="N2456" s="54">
        <f>IF(OR(A2456="",F2456=""),"",A2456&amp;"#"&amp;(COUNTIFS($A$5:$A$3004,A2456,$F$5:$F$3004,"?*",$O$5:$O$3004,"&lt;"&amp;O2456)+COUNTIFS($A$5:A2456,A2456,$F$5:F2456,"?*",$O$5:O2456,O2456)))</f>
        <v/>
      </c>
      <c r="O2456" s="54">
        <f>IF(A2456="","",IF(C2456="",0,C2456))</f>
        <v/>
      </c>
    </row>
    <row r="2457">
      <c r="A2457" s="58" t="n"/>
      <c r="B2457" s="49">
        <f>IF(A2457="","",CHOOSE(WEEKDAY(A2457,2),"Пн","Вт","Ср","Чт","Пт","Сб","Вс"))</f>
        <v/>
      </c>
      <c r="C2457" s="59" t="n"/>
      <c r="D2457" s="59" t="n"/>
      <c r="E2457" s="60">
        <f>IF(OR(C2457="",D2457=""),"",MOD(D2457-C2457,1)*24)</f>
        <v/>
      </c>
      <c r="F2457" s="50" t="n"/>
      <c r="G2457" s="51" t="n"/>
      <c r="H2457" s="51" t="n"/>
      <c r="I2457" s="51" t="n"/>
      <c r="J2457" s="51" t="n"/>
      <c r="K2457" s="51" t="n"/>
      <c r="L2457" s="54">
        <f>IF(OR(A2457="",C2457="",D2457=""),"",IF(COUNTIFS($A$5:$A$3004,A2457,$C$5:$C$3004,"&lt;"&amp;D2457,$D$5:$D$3004,"&gt;"&amp;C2457)&gt;1,"⚠️ пересечение",""))</f>
        <v/>
      </c>
      <c r="M2457" s="54">
        <f>IF(F2457="","",IF(J2457="✅ Сделано","✔ ",IF(J2457="❌ Пропущено","✖ ","⏰ "))&amp;IF(C2457="","",RIGHT("0"&amp;HOUR(C2457),2)&amp;":"&amp;RIGHT("0"&amp;MINUTE(C2457),2)&amp;IF(D2457="","","–"&amp;RIGHT("0"&amp;HOUR(D2457),2)&amp;":"&amp;RIGHT("0"&amp;MINUTE(D2457),2))&amp;" ")&amp;F2457)</f>
        <v/>
      </c>
      <c r="N2457" s="54">
        <f>IF(OR(A2457="",F2457=""),"",A2457&amp;"#"&amp;(COUNTIFS($A$5:$A$3004,A2457,$F$5:$F$3004,"?*",$O$5:$O$3004,"&lt;"&amp;O2457)+COUNTIFS($A$5:A2457,A2457,$F$5:F2457,"?*",$O$5:O2457,O2457)))</f>
        <v/>
      </c>
      <c r="O2457" s="54">
        <f>IF(A2457="","",IF(C2457="",0,C2457))</f>
        <v/>
      </c>
    </row>
    <row r="2458">
      <c r="A2458" s="58" t="n"/>
      <c r="B2458" s="49">
        <f>IF(A2458="","",CHOOSE(WEEKDAY(A2458,2),"Пн","Вт","Ср","Чт","Пт","Сб","Вс"))</f>
        <v/>
      </c>
      <c r="C2458" s="59" t="n"/>
      <c r="D2458" s="59" t="n"/>
      <c r="E2458" s="60">
        <f>IF(OR(C2458="",D2458=""),"",MOD(D2458-C2458,1)*24)</f>
        <v/>
      </c>
      <c r="F2458" s="50" t="n"/>
      <c r="G2458" s="51" t="n"/>
      <c r="H2458" s="51" t="n"/>
      <c r="I2458" s="51" t="n"/>
      <c r="J2458" s="51" t="n"/>
      <c r="K2458" s="51" t="n"/>
      <c r="L2458" s="54">
        <f>IF(OR(A2458="",C2458="",D2458=""),"",IF(COUNTIFS($A$5:$A$3004,A2458,$C$5:$C$3004,"&lt;"&amp;D2458,$D$5:$D$3004,"&gt;"&amp;C2458)&gt;1,"⚠️ пересечение",""))</f>
        <v/>
      </c>
      <c r="M2458" s="54">
        <f>IF(F2458="","",IF(J2458="✅ Сделано","✔ ",IF(J2458="❌ Пропущено","✖ ","⏰ "))&amp;IF(C2458="","",RIGHT("0"&amp;HOUR(C2458),2)&amp;":"&amp;RIGHT("0"&amp;MINUTE(C2458),2)&amp;IF(D2458="","","–"&amp;RIGHT("0"&amp;HOUR(D2458),2)&amp;":"&amp;RIGHT("0"&amp;MINUTE(D2458),2))&amp;" ")&amp;F2458)</f>
        <v/>
      </c>
      <c r="N2458" s="54">
        <f>IF(OR(A2458="",F2458=""),"",A2458&amp;"#"&amp;(COUNTIFS($A$5:$A$3004,A2458,$F$5:$F$3004,"?*",$O$5:$O$3004,"&lt;"&amp;O2458)+COUNTIFS($A$5:A2458,A2458,$F$5:F2458,"?*",$O$5:O2458,O2458)))</f>
        <v/>
      </c>
      <c r="O2458" s="54">
        <f>IF(A2458="","",IF(C2458="",0,C2458))</f>
        <v/>
      </c>
    </row>
    <row r="2459">
      <c r="A2459" s="58" t="n"/>
      <c r="B2459" s="49">
        <f>IF(A2459="","",CHOOSE(WEEKDAY(A2459,2),"Пн","Вт","Ср","Чт","Пт","Сб","Вс"))</f>
        <v/>
      </c>
      <c r="C2459" s="59" t="n"/>
      <c r="D2459" s="59" t="n"/>
      <c r="E2459" s="60">
        <f>IF(OR(C2459="",D2459=""),"",MOD(D2459-C2459,1)*24)</f>
        <v/>
      </c>
      <c r="F2459" s="50" t="n"/>
      <c r="G2459" s="51" t="n"/>
      <c r="H2459" s="51" t="n"/>
      <c r="I2459" s="51" t="n"/>
      <c r="J2459" s="51" t="n"/>
      <c r="K2459" s="51" t="n"/>
      <c r="L2459" s="54">
        <f>IF(OR(A2459="",C2459="",D2459=""),"",IF(COUNTIFS($A$5:$A$3004,A2459,$C$5:$C$3004,"&lt;"&amp;D2459,$D$5:$D$3004,"&gt;"&amp;C2459)&gt;1,"⚠️ пересечение",""))</f>
        <v/>
      </c>
      <c r="M2459" s="54">
        <f>IF(F2459="","",IF(J2459="✅ Сделано","✔ ",IF(J2459="❌ Пропущено","✖ ","⏰ "))&amp;IF(C2459="","",RIGHT("0"&amp;HOUR(C2459),2)&amp;":"&amp;RIGHT("0"&amp;MINUTE(C2459),2)&amp;IF(D2459="","","–"&amp;RIGHT("0"&amp;HOUR(D2459),2)&amp;":"&amp;RIGHT("0"&amp;MINUTE(D2459),2))&amp;" ")&amp;F2459)</f>
        <v/>
      </c>
      <c r="N2459" s="54">
        <f>IF(OR(A2459="",F2459=""),"",A2459&amp;"#"&amp;(COUNTIFS($A$5:$A$3004,A2459,$F$5:$F$3004,"?*",$O$5:$O$3004,"&lt;"&amp;O2459)+COUNTIFS($A$5:A2459,A2459,$F$5:F2459,"?*",$O$5:O2459,O2459)))</f>
        <v/>
      </c>
      <c r="O2459" s="54">
        <f>IF(A2459="","",IF(C2459="",0,C2459))</f>
        <v/>
      </c>
    </row>
    <row r="2460">
      <c r="A2460" s="58" t="n"/>
      <c r="B2460" s="49">
        <f>IF(A2460="","",CHOOSE(WEEKDAY(A2460,2),"Пн","Вт","Ср","Чт","Пт","Сб","Вс"))</f>
        <v/>
      </c>
      <c r="C2460" s="59" t="n"/>
      <c r="D2460" s="59" t="n"/>
      <c r="E2460" s="60">
        <f>IF(OR(C2460="",D2460=""),"",MOD(D2460-C2460,1)*24)</f>
        <v/>
      </c>
      <c r="F2460" s="50" t="n"/>
      <c r="G2460" s="51" t="n"/>
      <c r="H2460" s="51" t="n"/>
      <c r="I2460" s="51" t="n"/>
      <c r="J2460" s="51" t="n"/>
      <c r="K2460" s="51" t="n"/>
      <c r="L2460" s="54">
        <f>IF(OR(A2460="",C2460="",D2460=""),"",IF(COUNTIFS($A$5:$A$3004,A2460,$C$5:$C$3004,"&lt;"&amp;D2460,$D$5:$D$3004,"&gt;"&amp;C2460)&gt;1,"⚠️ пересечение",""))</f>
        <v/>
      </c>
      <c r="M2460" s="54">
        <f>IF(F2460="","",IF(J2460="✅ Сделано","✔ ",IF(J2460="❌ Пропущено","✖ ","⏰ "))&amp;IF(C2460="","",RIGHT("0"&amp;HOUR(C2460),2)&amp;":"&amp;RIGHT("0"&amp;MINUTE(C2460),2)&amp;IF(D2460="","","–"&amp;RIGHT("0"&amp;HOUR(D2460),2)&amp;":"&amp;RIGHT("0"&amp;MINUTE(D2460),2))&amp;" ")&amp;F2460)</f>
        <v/>
      </c>
      <c r="N2460" s="54">
        <f>IF(OR(A2460="",F2460=""),"",A2460&amp;"#"&amp;(COUNTIFS($A$5:$A$3004,A2460,$F$5:$F$3004,"?*",$O$5:$O$3004,"&lt;"&amp;O2460)+COUNTIFS($A$5:A2460,A2460,$F$5:F2460,"?*",$O$5:O2460,O2460)))</f>
        <v/>
      </c>
      <c r="O2460" s="54">
        <f>IF(A2460="","",IF(C2460="",0,C2460))</f>
        <v/>
      </c>
    </row>
    <row r="2461">
      <c r="A2461" s="58" t="n"/>
      <c r="B2461" s="49">
        <f>IF(A2461="","",CHOOSE(WEEKDAY(A2461,2),"Пн","Вт","Ср","Чт","Пт","Сб","Вс"))</f>
        <v/>
      </c>
      <c r="C2461" s="59" t="n"/>
      <c r="D2461" s="59" t="n"/>
      <c r="E2461" s="60">
        <f>IF(OR(C2461="",D2461=""),"",MOD(D2461-C2461,1)*24)</f>
        <v/>
      </c>
      <c r="F2461" s="50" t="n"/>
      <c r="G2461" s="51" t="n"/>
      <c r="H2461" s="51" t="n"/>
      <c r="I2461" s="51" t="n"/>
      <c r="J2461" s="51" t="n"/>
      <c r="K2461" s="51" t="n"/>
      <c r="L2461" s="54">
        <f>IF(OR(A2461="",C2461="",D2461=""),"",IF(COUNTIFS($A$5:$A$3004,A2461,$C$5:$C$3004,"&lt;"&amp;D2461,$D$5:$D$3004,"&gt;"&amp;C2461)&gt;1,"⚠️ пересечение",""))</f>
        <v/>
      </c>
      <c r="M2461" s="54">
        <f>IF(F2461="","",IF(J2461="✅ Сделано","✔ ",IF(J2461="❌ Пропущено","✖ ","⏰ "))&amp;IF(C2461="","",RIGHT("0"&amp;HOUR(C2461),2)&amp;":"&amp;RIGHT("0"&amp;MINUTE(C2461),2)&amp;IF(D2461="","","–"&amp;RIGHT("0"&amp;HOUR(D2461),2)&amp;":"&amp;RIGHT("0"&amp;MINUTE(D2461),2))&amp;" ")&amp;F2461)</f>
        <v/>
      </c>
      <c r="N2461" s="54">
        <f>IF(OR(A2461="",F2461=""),"",A2461&amp;"#"&amp;(COUNTIFS($A$5:$A$3004,A2461,$F$5:$F$3004,"?*",$O$5:$O$3004,"&lt;"&amp;O2461)+COUNTIFS($A$5:A2461,A2461,$F$5:F2461,"?*",$O$5:O2461,O2461)))</f>
        <v/>
      </c>
      <c r="O2461" s="54">
        <f>IF(A2461="","",IF(C2461="",0,C2461))</f>
        <v/>
      </c>
    </row>
    <row r="2462">
      <c r="A2462" s="58" t="n"/>
      <c r="B2462" s="49">
        <f>IF(A2462="","",CHOOSE(WEEKDAY(A2462,2),"Пн","Вт","Ср","Чт","Пт","Сб","Вс"))</f>
        <v/>
      </c>
      <c r="C2462" s="59" t="n"/>
      <c r="D2462" s="59" t="n"/>
      <c r="E2462" s="60">
        <f>IF(OR(C2462="",D2462=""),"",MOD(D2462-C2462,1)*24)</f>
        <v/>
      </c>
      <c r="F2462" s="50" t="n"/>
      <c r="G2462" s="51" t="n"/>
      <c r="H2462" s="51" t="n"/>
      <c r="I2462" s="51" t="n"/>
      <c r="J2462" s="51" t="n"/>
      <c r="K2462" s="51" t="n"/>
      <c r="L2462" s="54">
        <f>IF(OR(A2462="",C2462="",D2462=""),"",IF(COUNTIFS($A$5:$A$3004,A2462,$C$5:$C$3004,"&lt;"&amp;D2462,$D$5:$D$3004,"&gt;"&amp;C2462)&gt;1,"⚠️ пересечение",""))</f>
        <v/>
      </c>
      <c r="M2462" s="54">
        <f>IF(F2462="","",IF(J2462="✅ Сделано","✔ ",IF(J2462="❌ Пропущено","✖ ","⏰ "))&amp;IF(C2462="","",RIGHT("0"&amp;HOUR(C2462),2)&amp;":"&amp;RIGHT("0"&amp;MINUTE(C2462),2)&amp;IF(D2462="","","–"&amp;RIGHT("0"&amp;HOUR(D2462),2)&amp;":"&amp;RIGHT("0"&amp;MINUTE(D2462),2))&amp;" ")&amp;F2462)</f>
        <v/>
      </c>
      <c r="N2462" s="54">
        <f>IF(OR(A2462="",F2462=""),"",A2462&amp;"#"&amp;(COUNTIFS($A$5:$A$3004,A2462,$F$5:$F$3004,"?*",$O$5:$O$3004,"&lt;"&amp;O2462)+COUNTIFS($A$5:A2462,A2462,$F$5:F2462,"?*",$O$5:O2462,O2462)))</f>
        <v/>
      </c>
      <c r="O2462" s="54">
        <f>IF(A2462="","",IF(C2462="",0,C2462))</f>
        <v/>
      </c>
    </row>
    <row r="2463">
      <c r="A2463" s="58" t="n"/>
      <c r="B2463" s="49">
        <f>IF(A2463="","",CHOOSE(WEEKDAY(A2463,2),"Пн","Вт","Ср","Чт","Пт","Сб","Вс"))</f>
        <v/>
      </c>
      <c r="C2463" s="59" t="n"/>
      <c r="D2463" s="59" t="n"/>
      <c r="E2463" s="60">
        <f>IF(OR(C2463="",D2463=""),"",MOD(D2463-C2463,1)*24)</f>
        <v/>
      </c>
      <c r="F2463" s="50" t="n"/>
      <c r="G2463" s="51" t="n"/>
      <c r="H2463" s="51" t="n"/>
      <c r="I2463" s="51" t="n"/>
      <c r="J2463" s="51" t="n"/>
      <c r="K2463" s="51" t="n"/>
      <c r="L2463" s="54">
        <f>IF(OR(A2463="",C2463="",D2463=""),"",IF(COUNTIFS($A$5:$A$3004,A2463,$C$5:$C$3004,"&lt;"&amp;D2463,$D$5:$D$3004,"&gt;"&amp;C2463)&gt;1,"⚠️ пересечение",""))</f>
        <v/>
      </c>
      <c r="M2463" s="54">
        <f>IF(F2463="","",IF(J2463="✅ Сделано","✔ ",IF(J2463="❌ Пропущено","✖ ","⏰ "))&amp;IF(C2463="","",RIGHT("0"&amp;HOUR(C2463),2)&amp;":"&amp;RIGHT("0"&amp;MINUTE(C2463),2)&amp;IF(D2463="","","–"&amp;RIGHT("0"&amp;HOUR(D2463),2)&amp;":"&amp;RIGHT("0"&amp;MINUTE(D2463),2))&amp;" ")&amp;F2463)</f>
        <v/>
      </c>
      <c r="N2463" s="54">
        <f>IF(OR(A2463="",F2463=""),"",A2463&amp;"#"&amp;(COUNTIFS($A$5:$A$3004,A2463,$F$5:$F$3004,"?*",$O$5:$O$3004,"&lt;"&amp;O2463)+COUNTIFS($A$5:A2463,A2463,$F$5:F2463,"?*",$O$5:O2463,O2463)))</f>
        <v/>
      </c>
      <c r="O2463" s="54">
        <f>IF(A2463="","",IF(C2463="",0,C2463))</f>
        <v/>
      </c>
    </row>
    <row r="2464">
      <c r="A2464" s="58" t="n"/>
      <c r="B2464" s="49">
        <f>IF(A2464="","",CHOOSE(WEEKDAY(A2464,2),"Пн","Вт","Ср","Чт","Пт","Сб","Вс"))</f>
        <v/>
      </c>
      <c r="C2464" s="59" t="n"/>
      <c r="D2464" s="59" t="n"/>
      <c r="E2464" s="60">
        <f>IF(OR(C2464="",D2464=""),"",MOD(D2464-C2464,1)*24)</f>
        <v/>
      </c>
      <c r="F2464" s="50" t="n"/>
      <c r="G2464" s="51" t="n"/>
      <c r="H2464" s="51" t="n"/>
      <c r="I2464" s="51" t="n"/>
      <c r="J2464" s="51" t="n"/>
      <c r="K2464" s="51" t="n"/>
      <c r="L2464" s="54">
        <f>IF(OR(A2464="",C2464="",D2464=""),"",IF(COUNTIFS($A$5:$A$3004,A2464,$C$5:$C$3004,"&lt;"&amp;D2464,$D$5:$D$3004,"&gt;"&amp;C2464)&gt;1,"⚠️ пересечение",""))</f>
        <v/>
      </c>
      <c r="M2464" s="54">
        <f>IF(F2464="","",IF(J2464="✅ Сделано","✔ ",IF(J2464="❌ Пропущено","✖ ","⏰ "))&amp;IF(C2464="","",RIGHT("0"&amp;HOUR(C2464),2)&amp;":"&amp;RIGHT("0"&amp;MINUTE(C2464),2)&amp;IF(D2464="","","–"&amp;RIGHT("0"&amp;HOUR(D2464),2)&amp;":"&amp;RIGHT("0"&amp;MINUTE(D2464),2))&amp;" ")&amp;F2464)</f>
        <v/>
      </c>
      <c r="N2464" s="54">
        <f>IF(OR(A2464="",F2464=""),"",A2464&amp;"#"&amp;(COUNTIFS($A$5:$A$3004,A2464,$F$5:$F$3004,"?*",$O$5:$O$3004,"&lt;"&amp;O2464)+COUNTIFS($A$5:A2464,A2464,$F$5:F2464,"?*",$O$5:O2464,O2464)))</f>
        <v/>
      </c>
      <c r="O2464" s="54">
        <f>IF(A2464="","",IF(C2464="",0,C2464))</f>
        <v/>
      </c>
    </row>
    <row r="2465">
      <c r="A2465" s="58" t="n"/>
      <c r="B2465" s="49">
        <f>IF(A2465="","",CHOOSE(WEEKDAY(A2465,2),"Пн","Вт","Ср","Чт","Пт","Сб","Вс"))</f>
        <v/>
      </c>
      <c r="C2465" s="59" t="n"/>
      <c r="D2465" s="59" t="n"/>
      <c r="E2465" s="60">
        <f>IF(OR(C2465="",D2465=""),"",MOD(D2465-C2465,1)*24)</f>
        <v/>
      </c>
      <c r="F2465" s="50" t="n"/>
      <c r="G2465" s="51" t="n"/>
      <c r="H2465" s="51" t="n"/>
      <c r="I2465" s="51" t="n"/>
      <c r="J2465" s="51" t="n"/>
      <c r="K2465" s="51" t="n"/>
      <c r="L2465" s="54">
        <f>IF(OR(A2465="",C2465="",D2465=""),"",IF(COUNTIFS($A$5:$A$3004,A2465,$C$5:$C$3004,"&lt;"&amp;D2465,$D$5:$D$3004,"&gt;"&amp;C2465)&gt;1,"⚠️ пересечение",""))</f>
        <v/>
      </c>
      <c r="M2465" s="54">
        <f>IF(F2465="","",IF(J2465="✅ Сделано","✔ ",IF(J2465="❌ Пропущено","✖ ","⏰ "))&amp;IF(C2465="","",RIGHT("0"&amp;HOUR(C2465),2)&amp;":"&amp;RIGHT("0"&amp;MINUTE(C2465),2)&amp;IF(D2465="","","–"&amp;RIGHT("0"&amp;HOUR(D2465),2)&amp;":"&amp;RIGHT("0"&amp;MINUTE(D2465),2))&amp;" ")&amp;F2465)</f>
        <v/>
      </c>
      <c r="N2465" s="54">
        <f>IF(OR(A2465="",F2465=""),"",A2465&amp;"#"&amp;(COUNTIFS($A$5:$A$3004,A2465,$F$5:$F$3004,"?*",$O$5:$O$3004,"&lt;"&amp;O2465)+COUNTIFS($A$5:A2465,A2465,$F$5:F2465,"?*",$O$5:O2465,O2465)))</f>
        <v/>
      </c>
      <c r="O2465" s="54">
        <f>IF(A2465="","",IF(C2465="",0,C2465))</f>
        <v/>
      </c>
    </row>
    <row r="2466">
      <c r="A2466" s="58" t="n"/>
      <c r="B2466" s="49">
        <f>IF(A2466="","",CHOOSE(WEEKDAY(A2466,2),"Пн","Вт","Ср","Чт","Пт","Сб","Вс"))</f>
        <v/>
      </c>
      <c r="C2466" s="59" t="n"/>
      <c r="D2466" s="59" t="n"/>
      <c r="E2466" s="60">
        <f>IF(OR(C2466="",D2466=""),"",MOD(D2466-C2466,1)*24)</f>
        <v/>
      </c>
      <c r="F2466" s="50" t="n"/>
      <c r="G2466" s="51" t="n"/>
      <c r="H2466" s="51" t="n"/>
      <c r="I2466" s="51" t="n"/>
      <c r="J2466" s="51" t="n"/>
      <c r="K2466" s="51" t="n"/>
      <c r="L2466" s="54">
        <f>IF(OR(A2466="",C2466="",D2466=""),"",IF(COUNTIFS($A$5:$A$3004,A2466,$C$5:$C$3004,"&lt;"&amp;D2466,$D$5:$D$3004,"&gt;"&amp;C2466)&gt;1,"⚠️ пересечение",""))</f>
        <v/>
      </c>
      <c r="M2466" s="54">
        <f>IF(F2466="","",IF(J2466="✅ Сделано","✔ ",IF(J2466="❌ Пропущено","✖ ","⏰ "))&amp;IF(C2466="","",RIGHT("0"&amp;HOUR(C2466),2)&amp;":"&amp;RIGHT("0"&amp;MINUTE(C2466),2)&amp;IF(D2466="","","–"&amp;RIGHT("0"&amp;HOUR(D2466),2)&amp;":"&amp;RIGHT("0"&amp;MINUTE(D2466),2))&amp;" ")&amp;F2466)</f>
        <v/>
      </c>
      <c r="N2466" s="54">
        <f>IF(OR(A2466="",F2466=""),"",A2466&amp;"#"&amp;(COUNTIFS($A$5:$A$3004,A2466,$F$5:$F$3004,"?*",$O$5:$O$3004,"&lt;"&amp;O2466)+COUNTIFS($A$5:A2466,A2466,$F$5:F2466,"?*",$O$5:O2466,O2466)))</f>
        <v/>
      </c>
      <c r="O2466" s="54">
        <f>IF(A2466="","",IF(C2466="",0,C2466))</f>
        <v/>
      </c>
    </row>
    <row r="2467">
      <c r="A2467" s="58" t="n"/>
      <c r="B2467" s="49">
        <f>IF(A2467="","",CHOOSE(WEEKDAY(A2467,2),"Пн","Вт","Ср","Чт","Пт","Сб","Вс"))</f>
        <v/>
      </c>
      <c r="C2467" s="59" t="n"/>
      <c r="D2467" s="59" t="n"/>
      <c r="E2467" s="60">
        <f>IF(OR(C2467="",D2467=""),"",MOD(D2467-C2467,1)*24)</f>
        <v/>
      </c>
      <c r="F2467" s="50" t="n"/>
      <c r="G2467" s="51" t="n"/>
      <c r="H2467" s="51" t="n"/>
      <c r="I2467" s="51" t="n"/>
      <c r="J2467" s="51" t="n"/>
      <c r="K2467" s="51" t="n"/>
      <c r="L2467" s="54">
        <f>IF(OR(A2467="",C2467="",D2467=""),"",IF(COUNTIFS($A$5:$A$3004,A2467,$C$5:$C$3004,"&lt;"&amp;D2467,$D$5:$D$3004,"&gt;"&amp;C2467)&gt;1,"⚠️ пересечение",""))</f>
        <v/>
      </c>
      <c r="M2467" s="54">
        <f>IF(F2467="","",IF(J2467="✅ Сделано","✔ ",IF(J2467="❌ Пропущено","✖ ","⏰ "))&amp;IF(C2467="","",RIGHT("0"&amp;HOUR(C2467),2)&amp;":"&amp;RIGHT("0"&amp;MINUTE(C2467),2)&amp;IF(D2467="","","–"&amp;RIGHT("0"&amp;HOUR(D2467),2)&amp;":"&amp;RIGHT("0"&amp;MINUTE(D2467),2))&amp;" ")&amp;F2467)</f>
        <v/>
      </c>
      <c r="N2467" s="54">
        <f>IF(OR(A2467="",F2467=""),"",A2467&amp;"#"&amp;(COUNTIFS($A$5:$A$3004,A2467,$F$5:$F$3004,"?*",$O$5:$O$3004,"&lt;"&amp;O2467)+COUNTIFS($A$5:A2467,A2467,$F$5:F2467,"?*",$O$5:O2467,O2467)))</f>
        <v/>
      </c>
      <c r="O2467" s="54">
        <f>IF(A2467="","",IF(C2467="",0,C2467))</f>
        <v/>
      </c>
    </row>
    <row r="2468">
      <c r="A2468" s="58" t="n"/>
      <c r="B2468" s="49">
        <f>IF(A2468="","",CHOOSE(WEEKDAY(A2468,2),"Пн","Вт","Ср","Чт","Пт","Сб","Вс"))</f>
        <v/>
      </c>
      <c r="C2468" s="59" t="n"/>
      <c r="D2468" s="59" t="n"/>
      <c r="E2468" s="60">
        <f>IF(OR(C2468="",D2468=""),"",MOD(D2468-C2468,1)*24)</f>
        <v/>
      </c>
      <c r="F2468" s="50" t="n"/>
      <c r="G2468" s="51" t="n"/>
      <c r="H2468" s="51" t="n"/>
      <c r="I2468" s="51" t="n"/>
      <c r="J2468" s="51" t="n"/>
      <c r="K2468" s="51" t="n"/>
      <c r="L2468" s="54">
        <f>IF(OR(A2468="",C2468="",D2468=""),"",IF(COUNTIFS($A$5:$A$3004,A2468,$C$5:$C$3004,"&lt;"&amp;D2468,$D$5:$D$3004,"&gt;"&amp;C2468)&gt;1,"⚠️ пересечение",""))</f>
        <v/>
      </c>
      <c r="M2468" s="54">
        <f>IF(F2468="","",IF(J2468="✅ Сделано","✔ ",IF(J2468="❌ Пропущено","✖ ","⏰ "))&amp;IF(C2468="","",RIGHT("0"&amp;HOUR(C2468),2)&amp;":"&amp;RIGHT("0"&amp;MINUTE(C2468),2)&amp;IF(D2468="","","–"&amp;RIGHT("0"&amp;HOUR(D2468),2)&amp;":"&amp;RIGHT("0"&amp;MINUTE(D2468),2))&amp;" ")&amp;F2468)</f>
        <v/>
      </c>
      <c r="N2468" s="54">
        <f>IF(OR(A2468="",F2468=""),"",A2468&amp;"#"&amp;(COUNTIFS($A$5:$A$3004,A2468,$F$5:$F$3004,"?*",$O$5:$O$3004,"&lt;"&amp;O2468)+COUNTIFS($A$5:A2468,A2468,$F$5:F2468,"?*",$O$5:O2468,O2468)))</f>
        <v/>
      </c>
      <c r="O2468" s="54">
        <f>IF(A2468="","",IF(C2468="",0,C2468))</f>
        <v/>
      </c>
    </row>
    <row r="2469">
      <c r="A2469" s="58" t="n"/>
      <c r="B2469" s="49">
        <f>IF(A2469="","",CHOOSE(WEEKDAY(A2469,2),"Пн","Вт","Ср","Чт","Пт","Сб","Вс"))</f>
        <v/>
      </c>
      <c r="C2469" s="59" t="n"/>
      <c r="D2469" s="59" t="n"/>
      <c r="E2469" s="60">
        <f>IF(OR(C2469="",D2469=""),"",MOD(D2469-C2469,1)*24)</f>
        <v/>
      </c>
      <c r="F2469" s="50" t="n"/>
      <c r="G2469" s="51" t="n"/>
      <c r="H2469" s="51" t="n"/>
      <c r="I2469" s="51" t="n"/>
      <c r="J2469" s="51" t="n"/>
      <c r="K2469" s="51" t="n"/>
      <c r="L2469" s="54">
        <f>IF(OR(A2469="",C2469="",D2469=""),"",IF(COUNTIFS($A$5:$A$3004,A2469,$C$5:$C$3004,"&lt;"&amp;D2469,$D$5:$D$3004,"&gt;"&amp;C2469)&gt;1,"⚠️ пересечение",""))</f>
        <v/>
      </c>
      <c r="M2469" s="54">
        <f>IF(F2469="","",IF(J2469="✅ Сделано","✔ ",IF(J2469="❌ Пропущено","✖ ","⏰ "))&amp;IF(C2469="","",RIGHT("0"&amp;HOUR(C2469),2)&amp;":"&amp;RIGHT("0"&amp;MINUTE(C2469),2)&amp;IF(D2469="","","–"&amp;RIGHT("0"&amp;HOUR(D2469),2)&amp;":"&amp;RIGHT("0"&amp;MINUTE(D2469),2))&amp;" ")&amp;F2469)</f>
        <v/>
      </c>
      <c r="N2469" s="54">
        <f>IF(OR(A2469="",F2469=""),"",A2469&amp;"#"&amp;(COUNTIFS($A$5:$A$3004,A2469,$F$5:$F$3004,"?*",$O$5:$O$3004,"&lt;"&amp;O2469)+COUNTIFS($A$5:A2469,A2469,$F$5:F2469,"?*",$O$5:O2469,O2469)))</f>
        <v/>
      </c>
      <c r="O2469" s="54">
        <f>IF(A2469="","",IF(C2469="",0,C2469))</f>
        <v/>
      </c>
    </row>
    <row r="2470">
      <c r="A2470" s="58" t="n"/>
      <c r="B2470" s="49">
        <f>IF(A2470="","",CHOOSE(WEEKDAY(A2470,2),"Пн","Вт","Ср","Чт","Пт","Сб","Вс"))</f>
        <v/>
      </c>
      <c r="C2470" s="59" t="n"/>
      <c r="D2470" s="59" t="n"/>
      <c r="E2470" s="60">
        <f>IF(OR(C2470="",D2470=""),"",MOD(D2470-C2470,1)*24)</f>
        <v/>
      </c>
      <c r="F2470" s="50" t="n"/>
      <c r="G2470" s="51" t="n"/>
      <c r="H2470" s="51" t="n"/>
      <c r="I2470" s="51" t="n"/>
      <c r="J2470" s="51" t="n"/>
      <c r="K2470" s="51" t="n"/>
      <c r="L2470" s="54">
        <f>IF(OR(A2470="",C2470="",D2470=""),"",IF(COUNTIFS($A$5:$A$3004,A2470,$C$5:$C$3004,"&lt;"&amp;D2470,$D$5:$D$3004,"&gt;"&amp;C2470)&gt;1,"⚠️ пересечение",""))</f>
        <v/>
      </c>
      <c r="M2470" s="54">
        <f>IF(F2470="","",IF(J2470="✅ Сделано","✔ ",IF(J2470="❌ Пропущено","✖ ","⏰ "))&amp;IF(C2470="","",RIGHT("0"&amp;HOUR(C2470),2)&amp;":"&amp;RIGHT("0"&amp;MINUTE(C2470),2)&amp;IF(D2470="","","–"&amp;RIGHT("0"&amp;HOUR(D2470),2)&amp;":"&amp;RIGHT("0"&amp;MINUTE(D2470),2))&amp;" ")&amp;F2470)</f>
        <v/>
      </c>
      <c r="N2470" s="54">
        <f>IF(OR(A2470="",F2470=""),"",A2470&amp;"#"&amp;(COUNTIFS($A$5:$A$3004,A2470,$F$5:$F$3004,"?*",$O$5:$O$3004,"&lt;"&amp;O2470)+COUNTIFS($A$5:A2470,A2470,$F$5:F2470,"?*",$O$5:O2470,O2470)))</f>
        <v/>
      </c>
      <c r="O2470" s="54">
        <f>IF(A2470="","",IF(C2470="",0,C2470))</f>
        <v/>
      </c>
    </row>
    <row r="2471">
      <c r="A2471" s="58" t="n"/>
      <c r="B2471" s="49">
        <f>IF(A2471="","",CHOOSE(WEEKDAY(A2471,2),"Пн","Вт","Ср","Чт","Пт","Сб","Вс"))</f>
        <v/>
      </c>
      <c r="C2471" s="59" t="n"/>
      <c r="D2471" s="59" t="n"/>
      <c r="E2471" s="60">
        <f>IF(OR(C2471="",D2471=""),"",MOD(D2471-C2471,1)*24)</f>
        <v/>
      </c>
      <c r="F2471" s="50" t="n"/>
      <c r="G2471" s="51" t="n"/>
      <c r="H2471" s="51" t="n"/>
      <c r="I2471" s="51" t="n"/>
      <c r="J2471" s="51" t="n"/>
      <c r="K2471" s="51" t="n"/>
      <c r="L2471" s="54">
        <f>IF(OR(A2471="",C2471="",D2471=""),"",IF(COUNTIFS($A$5:$A$3004,A2471,$C$5:$C$3004,"&lt;"&amp;D2471,$D$5:$D$3004,"&gt;"&amp;C2471)&gt;1,"⚠️ пересечение",""))</f>
        <v/>
      </c>
      <c r="M2471" s="54">
        <f>IF(F2471="","",IF(J2471="✅ Сделано","✔ ",IF(J2471="❌ Пропущено","✖ ","⏰ "))&amp;IF(C2471="","",RIGHT("0"&amp;HOUR(C2471),2)&amp;":"&amp;RIGHT("0"&amp;MINUTE(C2471),2)&amp;IF(D2471="","","–"&amp;RIGHT("0"&amp;HOUR(D2471),2)&amp;":"&amp;RIGHT("0"&amp;MINUTE(D2471),2))&amp;" ")&amp;F2471)</f>
        <v/>
      </c>
      <c r="N2471" s="54">
        <f>IF(OR(A2471="",F2471=""),"",A2471&amp;"#"&amp;(COUNTIFS($A$5:$A$3004,A2471,$F$5:$F$3004,"?*",$O$5:$O$3004,"&lt;"&amp;O2471)+COUNTIFS($A$5:A2471,A2471,$F$5:F2471,"?*",$O$5:O2471,O2471)))</f>
        <v/>
      </c>
      <c r="O2471" s="54">
        <f>IF(A2471="","",IF(C2471="",0,C2471))</f>
        <v/>
      </c>
    </row>
    <row r="2472">
      <c r="A2472" s="58" t="n"/>
      <c r="B2472" s="49">
        <f>IF(A2472="","",CHOOSE(WEEKDAY(A2472,2),"Пн","Вт","Ср","Чт","Пт","Сб","Вс"))</f>
        <v/>
      </c>
      <c r="C2472" s="59" t="n"/>
      <c r="D2472" s="59" t="n"/>
      <c r="E2472" s="60">
        <f>IF(OR(C2472="",D2472=""),"",MOD(D2472-C2472,1)*24)</f>
        <v/>
      </c>
      <c r="F2472" s="50" t="n"/>
      <c r="G2472" s="51" t="n"/>
      <c r="H2472" s="51" t="n"/>
      <c r="I2472" s="51" t="n"/>
      <c r="J2472" s="51" t="n"/>
      <c r="K2472" s="51" t="n"/>
      <c r="L2472" s="54">
        <f>IF(OR(A2472="",C2472="",D2472=""),"",IF(COUNTIFS($A$5:$A$3004,A2472,$C$5:$C$3004,"&lt;"&amp;D2472,$D$5:$D$3004,"&gt;"&amp;C2472)&gt;1,"⚠️ пересечение",""))</f>
        <v/>
      </c>
      <c r="M2472" s="54">
        <f>IF(F2472="","",IF(J2472="✅ Сделано","✔ ",IF(J2472="❌ Пропущено","✖ ","⏰ "))&amp;IF(C2472="","",RIGHT("0"&amp;HOUR(C2472),2)&amp;":"&amp;RIGHT("0"&amp;MINUTE(C2472),2)&amp;IF(D2472="","","–"&amp;RIGHT("0"&amp;HOUR(D2472),2)&amp;":"&amp;RIGHT("0"&amp;MINUTE(D2472),2))&amp;" ")&amp;F2472)</f>
        <v/>
      </c>
      <c r="N2472" s="54">
        <f>IF(OR(A2472="",F2472=""),"",A2472&amp;"#"&amp;(COUNTIFS($A$5:$A$3004,A2472,$F$5:$F$3004,"?*",$O$5:$O$3004,"&lt;"&amp;O2472)+COUNTIFS($A$5:A2472,A2472,$F$5:F2472,"?*",$O$5:O2472,O2472)))</f>
        <v/>
      </c>
      <c r="O2472" s="54">
        <f>IF(A2472="","",IF(C2472="",0,C2472))</f>
        <v/>
      </c>
    </row>
    <row r="2473">
      <c r="A2473" s="58" t="n"/>
      <c r="B2473" s="49">
        <f>IF(A2473="","",CHOOSE(WEEKDAY(A2473,2),"Пн","Вт","Ср","Чт","Пт","Сб","Вс"))</f>
        <v/>
      </c>
      <c r="C2473" s="59" t="n"/>
      <c r="D2473" s="59" t="n"/>
      <c r="E2473" s="60">
        <f>IF(OR(C2473="",D2473=""),"",MOD(D2473-C2473,1)*24)</f>
        <v/>
      </c>
      <c r="F2473" s="50" t="n"/>
      <c r="G2473" s="51" t="n"/>
      <c r="H2473" s="51" t="n"/>
      <c r="I2473" s="51" t="n"/>
      <c r="J2473" s="51" t="n"/>
      <c r="K2473" s="51" t="n"/>
      <c r="L2473" s="54">
        <f>IF(OR(A2473="",C2473="",D2473=""),"",IF(COUNTIFS($A$5:$A$3004,A2473,$C$5:$C$3004,"&lt;"&amp;D2473,$D$5:$D$3004,"&gt;"&amp;C2473)&gt;1,"⚠️ пересечение",""))</f>
        <v/>
      </c>
      <c r="M2473" s="54">
        <f>IF(F2473="","",IF(J2473="✅ Сделано","✔ ",IF(J2473="❌ Пропущено","✖ ","⏰ "))&amp;IF(C2473="","",RIGHT("0"&amp;HOUR(C2473),2)&amp;":"&amp;RIGHT("0"&amp;MINUTE(C2473),2)&amp;IF(D2473="","","–"&amp;RIGHT("0"&amp;HOUR(D2473),2)&amp;":"&amp;RIGHT("0"&amp;MINUTE(D2473),2))&amp;" ")&amp;F2473)</f>
        <v/>
      </c>
      <c r="N2473" s="54">
        <f>IF(OR(A2473="",F2473=""),"",A2473&amp;"#"&amp;(COUNTIFS($A$5:$A$3004,A2473,$F$5:$F$3004,"?*",$O$5:$O$3004,"&lt;"&amp;O2473)+COUNTIFS($A$5:A2473,A2473,$F$5:F2473,"?*",$O$5:O2473,O2473)))</f>
        <v/>
      </c>
      <c r="O2473" s="54">
        <f>IF(A2473="","",IF(C2473="",0,C2473))</f>
        <v/>
      </c>
    </row>
    <row r="2474">
      <c r="A2474" s="58" t="n"/>
      <c r="B2474" s="49">
        <f>IF(A2474="","",CHOOSE(WEEKDAY(A2474,2),"Пн","Вт","Ср","Чт","Пт","Сб","Вс"))</f>
        <v/>
      </c>
      <c r="C2474" s="59" t="n"/>
      <c r="D2474" s="59" t="n"/>
      <c r="E2474" s="60">
        <f>IF(OR(C2474="",D2474=""),"",MOD(D2474-C2474,1)*24)</f>
        <v/>
      </c>
      <c r="F2474" s="50" t="n"/>
      <c r="G2474" s="51" t="n"/>
      <c r="H2474" s="51" t="n"/>
      <c r="I2474" s="51" t="n"/>
      <c r="J2474" s="51" t="n"/>
      <c r="K2474" s="51" t="n"/>
      <c r="L2474" s="54">
        <f>IF(OR(A2474="",C2474="",D2474=""),"",IF(COUNTIFS($A$5:$A$3004,A2474,$C$5:$C$3004,"&lt;"&amp;D2474,$D$5:$D$3004,"&gt;"&amp;C2474)&gt;1,"⚠️ пересечение",""))</f>
        <v/>
      </c>
      <c r="M2474" s="54">
        <f>IF(F2474="","",IF(J2474="✅ Сделано","✔ ",IF(J2474="❌ Пропущено","✖ ","⏰ "))&amp;IF(C2474="","",RIGHT("0"&amp;HOUR(C2474),2)&amp;":"&amp;RIGHT("0"&amp;MINUTE(C2474),2)&amp;IF(D2474="","","–"&amp;RIGHT("0"&amp;HOUR(D2474),2)&amp;":"&amp;RIGHT("0"&amp;MINUTE(D2474),2))&amp;" ")&amp;F2474)</f>
        <v/>
      </c>
      <c r="N2474" s="54">
        <f>IF(OR(A2474="",F2474=""),"",A2474&amp;"#"&amp;(COUNTIFS($A$5:$A$3004,A2474,$F$5:$F$3004,"?*",$O$5:$O$3004,"&lt;"&amp;O2474)+COUNTIFS($A$5:A2474,A2474,$F$5:F2474,"?*",$O$5:O2474,O2474)))</f>
        <v/>
      </c>
      <c r="O2474" s="54">
        <f>IF(A2474="","",IF(C2474="",0,C2474))</f>
        <v/>
      </c>
    </row>
    <row r="2475">
      <c r="A2475" s="58" t="n"/>
      <c r="B2475" s="49">
        <f>IF(A2475="","",CHOOSE(WEEKDAY(A2475,2),"Пн","Вт","Ср","Чт","Пт","Сб","Вс"))</f>
        <v/>
      </c>
      <c r="C2475" s="59" t="n"/>
      <c r="D2475" s="59" t="n"/>
      <c r="E2475" s="60">
        <f>IF(OR(C2475="",D2475=""),"",MOD(D2475-C2475,1)*24)</f>
        <v/>
      </c>
      <c r="F2475" s="50" t="n"/>
      <c r="G2475" s="51" t="n"/>
      <c r="H2475" s="51" t="n"/>
      <c r="I2475" s="51" t="n"/>
      <c r="J2475" s="51" t="n"/>
      <c r="K2475" s="51" t="n"/>
      <c r="L2475" s="54">
        <f>IF(OR(A2475="",C2475="",D2475=""),"",IF(COUNTIFS($A$5:$A$3004,A2475,$C$5:$C$3004,"&lt;"&amp;D2475,$D$5:$D$3004,"&gt;"&amp;C2475)&gt;1,"⚠️ пересечение",""))</f>
        <v/>
      </c>
      <c r="M2475" s="54">
        <f>IF(F2475="","",IF(J2475="✅ Сделано","✔ ",IF(J2475="❌ Пропущено","✖ ","⏰ "))&amp;IF(C2475="","",RIGHT("0"&amp;HOUR(C2475),2)&amp;":"&amp;RIGHT("0"&amp;MINUTE(C2475),2)&amp;IF(D2475="","","–"&amp;RIGHT("0"&amp;HOUR(D2475),2)&amp;":"&amp;RIGHT("0"&amp;MINUTE(D2475),2))&amp;" ")&amp;F2475)</f>
        <v/>
      </c>
      <c r="N2475" s="54">
        <f>IF(OR(A2475="",F2475=""),"",A2475&amp;"#"&amp;(COUNTIFS($A$5:$A$3004,A2475,$F$5:$F$3004,"?*",$O$5:$O$3004,"&lt;"&amp;O2475)+COUNTIFS($A$5:A2475,A2475,$F$5:F2475,"?*",$O$5:O2475,O2475)))</f>
        <v/>
      </c>
      <c r="O2475" s="54">
        <f>IF(A2475="","",IF(C2475="",0,C2475))</f>
        <v/>
      </c>
    </row>
    <row r="2476">
      <c r="A2476" s="58" t="n"/>
      <c r="B2476" s="49">
        <f>IF(A2476="","",CHOOSE(WEEKDAY(A2476,2),"Пн","Вт","Ср","Чт","Пт","Сб","Вс"))</f>
        <v/>
      </c>
      <c r="C2476" s="59" t="n"/>
      <c r="D2476" s="59" t="n"/>
      <c r="E2476" s="60">
        <f>IF(OR(C2476="",D2476=""),"",MOD(D2476-C2476,1)*24)</f>
        <v/>
      </c>
      <c r="F2476" s="50" t="n"/>
      <c r="G2476" s="51" t="n"/>
      <c r="H2476" s="51" t="n"/>
      <c r="I2476" s="51" t="n"/>
      <c r="J2476" s="51" t="n"/>
      <c r="K2476" s="51" t="n"/>
      <c r="L2476" s="54">
        <f>IF(OR(A2476="",C2476="",D2476=""),"",IF(COUNTIFS($A$5:$A$3004,A2476,$C$5:$C$3004,"&lt;"&amp;D2476,$D$5:$D$3004,"&gt;"&amp;C2476)&gt;1,"⚠️ пересечение",""))</f>
        <v/>
      </c>
      <c r="M2476" s="54">
        <f>IF(F2476="","",IF(J2476="✅ Сделано","✔ ",IF(J2476="❌ Пропущено","✖ ","⏰ "))&amp;IF(C2476="","",RIGHT("0"&amp;HOUR(C2476),2)&amp;":"&amp;RIGHT("0"&amp;MINUTE(C2476),2)&amp;IF(D2476="","","–"&amp;RIGHT("0"&amp;HOUR(D2476),2)&amp;":"&amp;RIGHT("0"&amp;MINUTE(D2476),2))&amp;" ")&amp;F2476)</f>
        <v/>
      </c>
      <c r="N2476" s="54">
        <f>IF(OR(A2476="",F2476=""),"",A2476&amp;"#"&amp;(COUNTIFS($A$5:$A$3004,A2476,$F$5:$F$3004,"?*",$O$5:$O$3004,"&lt;"&amp;O2476)+COUNTIFS($A$5:A2476,A2476,$F$5:F2476,"?*",$O$5:O2476,O2476)))</f>
        <v/>
      </c>
      <c r="O2476" s="54">
        <f>IF(A2476="","",IF(C2476="",0,C2476))</f>
        <v/>
      </c>
    </row>
    <row r="2477">
      <c r="A2477" s="58" t="n"/>
      <c r="B2477" s="49">
        <f>IF(A2477="","",CHOOSE(WEEKDAY(A2477,2),"Пн","Вт","Ср","Чт","Пт","Сб","Вс"))</f>
        <v/>
      </c>
      <c r="C2477" s="59" t="n"/>
      <c r="D2477" s="59" t="n"/>
      <c r="E2477" s="60">
        <f>IF(OR(C2477="",D2477=""),"",MOD(D2477-C2477,1)*24)</f>
        <v/>
      </c>
      <c r="F2477" s="50" t="n"/>
      <c r="G2477" s="51" t="n"/>
      <c r="H2477" s="51" t="n"/>
      <c r="I2477" s="51" t="n"/>
      <c r="J2477" s="51" t="n"/>
      <c r="K2477" s="51" t="n"/>
      <c r="L2477" s="54">
        <f>IF(OR(A2477="",C2477="",D2477=""),"",IF(COUNTIFS($A$5:$A$3004,A2477,$C$5:$C$3004,"&lt;"&amp;D2477,$D$5:$D$3004,"&gt;"&amp;C2477)&gt;1,"⚠️ пересечение",""))</f>
        <v/>
      </c>
      <c r="M2477" s="54">
        <f>IF(F2477="","",IF(J2477="✅ Сделано","✔ ",IF(J2477="❌ Пропущено","✖ ","⏰ "))&amp;IF(C2477="","",RIGHT("0"&amp;HOUR(C2477),2)&amp;":"&amp;RIGHT("0"&amp;MINUTE(C2477),2)&amp;IF(D2477="","","–"&amp;RIGHT("0"&amp;HOUR(D2477),2)&amp;":"&amp;RIGHT("0"&amp;MINUTE(D2477),2))&amp;" ")&amp;F2477)</f>
        <v/>
      </c>
      <c r="N2477" s="54">
        <f>IF(OR(A2477="",F2477=""),"",A2477&amp;"#"&amp;(COUNTIFS($A$5:$A$3004,A2477,$F$5:$F$3004,"?*",$O$5:$O$3004,"&lt;"&amp;O2477)+COUNTIFS($A$5:A2477,A2477,$F$5:F2477,"?*",$O$5:O2477,O2477)))</f>
        <v/>
      </c>
      <c r="O2477" s="54">
        <f>IF(A2477="","",IF(C2477="",0,C2477))</f>
        <v/>
      </c>
    </row>
    <row r="2478">
      <c r="A2478" s="58" t="n"/>
      <c r="B2478" s="49">
        <f>IF(A2478="","",CHOOSE(WEEKDAY(A2478,2),"Пн","Вт","Ср","Чт","Пт","Сб","Вс"))</f>
        <v/>
      </c>
      <c r="C2478" s="59" t="n"/>
      <c r="D2478" s="59" t="n"/>
      <c r="E2478" s="60">
        <f>IF(OR(C2478="",D2478=""),"",MOD(D2478-C2478,1)*24)</f>
        <v/>
      </c>
      <c r="F2478" s="50" t="n"/>
      <c r="G2478" s="51" t="n"/>
      <c r="H2478" s="51" t="n"/>
      <c r="I2478" s="51" t="n"/>
      <c r="J2478" s="51" t="n"/>
      <c r="K2478" s="51" t="n"/>
      <c r="L2478" s="54">
        <f>IF(OR(A2478="",C2478="",D2478=""),"",IF(COUNTIFS($A$5:$A$3004,A2478,$C$5:$C$3004,"&lt;"&amp;D2478,$D$5:$D$3004,"&gt;"&amp;C2478)&gt;1,"⚠️ пересечение",""))</f>
        <v/>
      </c>
      <c r="M2478" s="54">
        <f>IF(F2478="","",IF(J2478="✅ Сделано","✔ ",IF(J2478="❌ Пропущено","✖ ","⏰ "))&amp;IF(C2478="","",RIGHT("0"&amp;HOUR(C2478),2)&amp;":"&amp;RIGHT("0"&amp;MINUTE(C2478),2)&amp;IF(D2478="","","–"&amp;RIGHT("0"&amp;HOUR(D2478),2)&amp;":"&amp;RIGHT("0"&amp;MINUTE(D2478),2))&amp;" ")&amp;F2478)</f>
        <v/>
      </c>
      <c r="N2478" s="54">
        <f>IF(OR(A2478="",F2478=""),"",A2478&amp;"#"&amp;(COUNTIFS($A$5:$A$3004,A2478,$F$5:$F$3004,"?*",$O$5:$O$3004,"&lt;"&amp;O2478)+COUNTIFS($A$5:A2478,A2478,$F$5:F2478,"?*",$O$5:O2478,O2478)))</f>
        <v/>
      </c>
      <c r="O2478" s="54">
        <f>IF(A2478="","",IF(C2478="",0,C2478))</f>
        <v/>
      </c>
    </row>
    <row r="2479">
      <c r="A2479" s="58" t="n"/>
      <c r="B2479" s="49">
        <f>IF(A2479="","",CHOOSE(WEEKDAY(A2479,2),"Пн","Вт","Ср","Чт","Пт","Сб","Вс"))</f>
        <v/>
      </c>
      <c r="C2479" s="59" t="n"/>
      <c r="D2479" s="59" t="n"/>
      <c r="E2479" s="60">
        <f>IF(OR(C2479="",D2479=""),"",MOD(D2479-C2479,1)*24)</f>
        <v/>
      </c>
      <c r="F2479" s="50" t="n"/>
      <c r="G2479" s="51" t="n"/>
      <c r="H2479" s="51" t="n"/>
      <c r="I2479" s="51" t="n"/>
      <c r="J2479" s="51" t="n"/>
      <c r="K2479" s="51" t="n"/>
      <c r="L2479" s="54">
        <f>IF(OR(A2479="",C2479="",D2479=""),"",IF(COUNTIFS($A$5:$A$3004,A2479,$C$5:$C$3004,"&lt;"&amp;D2479,$D$5:$D$3004,"&gt;"&amp;C2479)&gt;1,"⚠️ пересечение",""))</f>
        <v/>
      </c>
      <c r="M2479" s="54">
        <f>IF(F2479="","",IF(J2479="✅ Сделано","✔ ",IF(J2479="❌ Пропущено","✖ ","⏰ "))&amp;IF(C2479="","",RIGHT("0"&amp;HOUR(C2479),2)&amp;":"&amp;RIGHT("0"&amp;MINUTE(C2479),2)&amp;IF(D2479="","","–"&amp;RIGHT("0"&amp;HOUR(D2479),2)&amp;":"&amp;RIGHT("0"&amp;MINUTE(D2479),2))&amp;" ")&amp;F2479)</f>
        <v/>
      </c>
      <c r="N2479" s="54">
        <f>IF(OR(A2479="",F2479=""),"",A2479&amp;"#"&amp;(COUNTIFS($A$5:$A$3004,A2479,$F$5:$F$3004,"?*",$O$5:$O$3004,"&lt;"&amp;O2479)+COUNTIFS($A$5:A2479,A2479,$F$5:F2479,"?*",$O$5:O2479,O2479)))</f>
        <v/>
      </c>
      <c r="O2479" s="54">
        <f>IF(A2479="","",IF(C2479="",0,C2479))</f>
        <v/>
      </c>
    </row>
    <row r="2480">
      <c r="A2480" s="58" t="n"/>
      <c r="B2480" s="49">
        <f>IF(A2480="","",CHOOSE(WEEKDAY(A2480,2),"Пн","Вт","Ср","Чт","Пт","Сб","Вс"))</f>
        <v/>
      </c>
      <c r="C2480" s="59" t="n"/>
      <c r="D2480" s="59" t="n"/>
      <c r="E2480" s="60">
        <f>IF(OR(C2480="",D2480=""),"",MOD(D2480-C2480,1)*24)</f>
        <v/>
      </c>
      <c r="F2480" s="50" t="n"/>
      <c r="G2480" s="51" t="n"/>
      <c r="H2480" s="51" t="n"/>
      <c r="I2480" s="51" t="n"/>
      <c r="J2480" s="51" t="n"/>
      <c r="K2480" s="51" t="n"/>
      <c r="L2480" s="54">
        <f>IF(OR(A2480="",C2480="",D2480=""),"",IF(COUNTIFS($A$5:$A$3004,A2480,$C$5:$C$3004,"&lt;"&amp;D2480,$D$5:$D$3004,"&gt;"&amp;C2480)&gt;1,"⚠️ пересечение",""))</f>
        <v/>
      </c>
      <c r="M2480" s="54">
        <f>IF(F2480="","",IF(J2480="✅ Сделано","✔ ",IF(J2480="❌ Пропущено","✖ ","⏰ "))&amp;IF(C2480="","",RIGHT("0"&amp;HOUR(C2480),2)&amp;":"&amp;RIGHT("0"&amp;MINUTE(C2480),2)&amp;IF(D2480="","","–"&amp;RIGHT("0"&amp;HOUR(D2480),2)&amp;":"&amp;RIGHT("0"&amp;MINUTE(D2480),2))&amp;" ")&amp;F2480)</f>
        <v/>
      </c>
      <c r="N2480" s="54">
        <f>IF(OR(A2480="",F2480=""),"",A2480&amp;"#"&amp;(COUNTIFS($A$5:$A$3004,A2480,$F$5:$F$3004,"?*",$O$5:$O$3004,"&lt;"&amp;O2480)+COUNTIFS($A$5:A2480,A2480,$F$5:F2480,"?*",$O$5:O2480,O2480)))</f>
        <v/>
      </c>
      <c r="O2480" s="54">
        <f>IF(A2480="","",IF(C2480="",0,C2480))</f>
        <v/>
      </c>
    </row>
    <row r="2481">
      <c r="A2481" s="58" t="n"/>
      <c r="B2481" s="49">
        <f>IF(A2481="","",CHOOSE(WEEKDAY(A2481,2),"Пн","Вт","Ср","Чт","Пт","Сб","Вс"))</f>
        <v/>
      </c>
      <c r="C2481" s="59" t="n"/>
      <c r="D2481" s="59" t="n"/>
      <c r="E2481" s="60">
        <f>IF(OR(C2481="",D2481=""),"",MOD(D2481-C2481,1)*24)</f>
        <v/>
      </c>
      <c r="F2481" s="50" t="n"/>
      <c r="G2481" s="51" t="n"/>
      <c r="H2481" s="51" t="n"/>
      <c r="I2481" s="51" t="n"/>
      <c r="J2481" s="51" t="n"/>
      <c r="K2481" s="51" t="n"/>
      <c r="L2481" s="54">
        <f>IF(OR(A2481="",C2481="",D2481=""),"",IF(COUNTIFS($A$5:$A$3004,A2481,$C$5:$C$3004,"&lt;"&amp;D2481,$D$5:$D$3004,"&gt;"&amp;C2481)&gt;1,"⚠️ пересечение",""))</f>
        <v/>
      </c>
      <c r="M2481" s="54">
        <f>IF(F2481="","",IF(J2481="✅ Сделано","✔ ",IF(J2481="❌ Пропущено","✖ ","⏰ "))&amp;IF(C2481="","",RIGHT("0"&amp;HOUR(C2481),2)&amp;":"&amp;RIGHT("0"&amp;MINUTE(C2481),2)&amp;IF(D2481="","","–"&amp;RIGHT("0"&amp;HOUR(D2481),2)&amp;":"&amp;RIGHT("0"&amp;MINUTE(D2481),2))&amp;" ")&amp;F2481)</f>
        <v/>
      </c>
      <c r="N2481" s="54">
        <f>IF(OR(A2481="",F2481=""),"",A2481&amp;"#"&amp;(COUNTIFS($A$5:$A$3004,A2481,$F$5:$F$3004,"?*",$O$5:$O$3004,"&lt;"&amp;O2481)+COUNTIFS($A$5:A2481,A2481,$F$5:F2481,"?*",$O$5:O2481,O2481)))</f>
        <v/>
      </c>
      <c r="O2481" s="54">
        <f>IF(A2481="","",IF(C2481="",0,C2481))</f>
        <v/>
      </c>
    </row>
    <row r="2482">
      <c r="A2482" s="58" t="n"/>
      <c r="B2482" s="49">
        <f>IF(A2482="","",CHOOSE(WEEKDAY(A2482,2),"Пн","Вт","Ср","Чт","Пт","Сб","Вс"))</f>
        <v/>
      </c>
      <c r="C2482" s="59" t="n"/>
      <c r="D2482" s="59" t="n"/>
      <c r="E2482" s="60">
        <f>IF(OR(C2482="",D2482=""),"",MOD(D2482-C2482,1)*24)</f>
        <v/>
      </c>
      <c r="F2482" s="50" t="n"/>
      <c r="G2482" s="51" t="n"/>
      <c r="H2482" s="51" t="n"/>
      <c r="I2482" s="51" t="n"/>
      <c r="J2482" s="51" t="n"/>
      <c r="K2482" s="51" t="n"/>
      <c r="L2482" s="54">
        <f>IF(OR(A2482="",C2482="",D2482=""),"",IF(COUNTIFS($A$5:$A$3004,A2482,$C$5:$C$3004,"&lt;"&amp;D2482,$D$5:$D$3004,"&gt;"&amp;C2482)&gt;1,"⚠️ пересечение",""))</f>
        <v/>
      </c>
      <c r="M2482" s="54">
        <f>IF(F2482="","",IF(J2482="✅ Сделано","✔ ",IF(J2482="❌ Пропущено","✖ ","⏰ "))&amp;IF(C2482="","",RIGHT("0"&amp;HOUR(C2482),2)&amp;":"&amp;RIGHT("0"&amp;MINUTE(C2482),2)&amp;IF(D2482="","","–"&amp;RIGHT("0"&amp;HOUR(D2482),2)&amp;":"&amp;RIGHT("0"&amp;MINUTE(D2482),2))&amp;" ")&amp;F2482)</f>
        <v/>
      </c>
      <c r="N2482" s="54">
        <f>IF(OR(A2482="",F2482=""),"",A2482&amp;"#"&amp;(COUNTIFS($A$5:$A$3004,A2482,$F$5:$F$3004,"?*",$O$5:$O$3004,"&lt;"&amp;O2482)+COUNTIFS($A$5:A2482,A2482,$F$5:F2482,"?*",$O$5:O2482,O2482)))</f>
        <v/>
      </c>
      <c r="O2482" s="54">
        <f>IF(A2482="","",IF(C2482="",0,C2482))</f>
        <v/>
      </c>
    </row>
    <row r="2483">
      <c r="A2483" s="58" t="n"/>
      <c r="B2483" s="49">
        <f>IF(A2483="","",CHOOSE(WEEKDAY(A2483,2),"Пн","Вт","Ср","Чт","Пт","Сб","Вс"))</f>
        <v/>
      </c>
      <c r="C2483" s="59" t="n"/>
      <c r="D2483" s="59" t="n"/>
      <c r="E2483" s="60">
        <f>IF(OR(C2483="",D2483=""),"",MOD(D2483-C2483,1)*24)</f>
        <v/>
      </c>
      <c r="F2483" s="50" t="n"/>
      <c r="G2483" s="51" t="n"/>
      <c r="H2483" s="51" t="n"/>
      <c r="I2483" s="51" t="n"/>
      <c r="J2483" s="51" t="n"/>
      <c r="K2483" s="51" t="n"/>
      <c r="L2483" s="54">
        <f>IF(OR(A2483="",C2483="",D2483=""),"",IF(COUNTIFS($A$5:$A$3004,A2483,$C$5:$C$3004,"&lt;"&amp;D2483,$D$5:$D$3004,"&gt;"&amp;C2483)&gt;1,"⚠️ пересечение",""))</f>
        <v/>
      </c>
      <c r="M2483" s="54">
        <f>IF(F2483="","",IF(J2483="✅ Сделано","✔ ",IF(J2483="❌ Пропущено","✖ ","⏰ "))&amp;IF(C2483="","",RIGHT("0"&amp;HOUR(C2483),2)&amp;":"&amp;RIGHT("0"&amp;MINUTE(C2483),2)&amp;IF(D2483="","","–"&amp;RIGHT("0"&amp;HOUR(D2483),2)&amp;":"&amp;RIGHT("0"&amp;MINUTE(D2483),2))&amp;" ")&amp;F2483)</f>
        <v/>
      </c>
      <c r="N2483" s="54">
        <f>IF(OR(A2483="",F2483=""),"",A2483&amp;"#"&amp;(COUNTIFS($A$5:$A$3004,A2483,$F$5:$F$3004,"?*",$O$5:$O$3004,"&lt;"&amp;O2483)+COUNTIFS($A$5:A2483,A2483,$F$5:F2483,"?*",$O$5:O2483,O2483)))</f>
        <v/>
      </c>
      <c r="O2483" s="54">
        <f>IF(A2483="","",IF(C2483="",0,C2483))</f>
        <v/>
      </c>
    </row>
    <row r="2484">
      <c r="A2484" s="58" t="n"/>
      <c r="B2484" s="49">
        <f>IF(A2484="","",CHOOSE(WEEKDAY(A2484,2),"Пн","Вт","Ср","Чт","Пт","Сб","Вс"))</f>
        <v/>
      </c>
      <c r="C2484" s="59" t="n"/>
      <c r="D2484" s="59" t="n"/>
      <c r="E2484" s="60">
        <f>IF(OR(C2484="",D2484=""),"",MOD(D2484-C2484,1)*24)</f>
        <v/>
      </c>
      <c r="F2484" s="50" t="n"/>
      <c r="G2484" s="51" t="n"/>
      <c r="H2484" s="51" t="n"/>
      <c r="I2484" s="51" t="n"/>
      <c r="J2484" s="51" t="n"/>
      <c r="K2484" s="51" t="n"/>
      <c r="L2484" s="54">
        <f>IF(OR(A2484="",C2484="",D2484=""),"",IF(COUNTIFS($A$5:$A$3004,A2484,$C$5:$C$3004,"&lt;"&amp;D2484,$D$5:$D$3004,"&gt;"&amp;C2484)&gt;1,"⚠️ пересечение",""))</f>
        <v/>
      </c>
      <c r="M2484" s="54">
        <f>IF(F2484="","",IF(J2484="✅ Сделано","✔ ",IF(J2484="❌ Пропущено","✖ ","⏰ "))&amp;IF(C2484="","",RIGHT("0"&amp;HOUR(C2484),2)&amp;":"&amp;RIGHT("0"&amp;MINUTE(C2484),2)&amp;IF(D2484="","","–"&amp;RIGHT("0"&amp;HOUR(D2484),2)&amp;":"&amp;RIGHT("0"&amp;MINUTE(D2484),2))&amp;" ")&amp;F2484)</f>
        <v/>
      </c>
      <c r="N2484" s="54">
        <f>IF(OR(A2484="",F2484=""),"",A2484&amp;"#"&amp;(COUNTIFS($A$5:$A$3004,A2484,$F$5:$F$3004,"?*",$O$5:$O$3004,"&lt;"&amp;O2484)+COUNTIFS($A$5:A2484,A2484,$F$5:F2484,"?*",$O$5:O2484,O2484)))</f>
        <v/>
      </c>
      <c r="O2484" s="54">
        <f>IF(A2484="","",IF(C2484="",0,C2484))</f>
        <v/>
      </c>
    </row>
    <row r="2485">
      <c r="A2485" s="58" t="n"/>
      <c r="B2485" s="49">
        <f>IF(A2485="","",CHOOSE(WEEKDAY(A2485,2),"Пн","Вт","Ср","Чт","Пт","Сб","Вс"))</f>
        <v/>
      </c>
      <c r="C2485" s="59" t="n"/>
      <c r="D2485" s="59" t="n"/>
      <c r="E2485" s="60">
        <f>IF(OR(C2485="",D2485=""),"",MOD(D2485-C2485,1)*24)</f>
        <v/>
      </c>
      <c r="F2485" s="50" t="n"/>
      <c r="G2485" s="51" t="n"/>
      <c r="H2485" s="51" t="n"/>
      <c r="I2485" s="51" t="n"/>
      <c r="J2485" s="51" t="n"/>
      <c r="K2485" s="51" t="n"/>
      <c r="L2485" s="54">
        <f>IF(OR(A2485="",C2485="",D2485=""),"",IF(COUNTIFS($A$5:$A$3004,A2485,$C$5:$C$3004,"&lt;"&amp;D2485,$D$5:$D$3004,"&gt;"&amp;C2485)&gt;1,"⚠️ пересечение",""))</f>
        <v/>
      </c>
      <c r="M2485" s="54">
        <f>IF(F2485="","",IF(J2485="✅ Сделано","✔ ",IF(J2485="❌ Пропущено","✖ ","⏰ "))&amp;IF(C2485="","",RIGHT("0"&amp;HOUR(C2485),2)&amp;":"&amp;RIGHT("0"&amp;MINUTE(C2485),2)&amp;IF(D2485="","","–"&amp;RIGHT("0"&amp;HOUR(D2485),2)&amp;":"&amp;RIGHT("0"&amp;MINUTE(D2485),2))&amp;" ")&amp;F2485)</f>
        <v/>
      </c>
      <c r="N2485" s="54">
        <f>IF(OR(A2485="",F2485=""),"",A2485&amp;"#"&amp;(COUNTIFS($A$5:$A$3004,A2485,$F$5:$F$3004,"?*",$O$5:$O$3004,"&lt;"&amp;O2485)+COUNTIFS($A$5:A2485,A2485,$F$5:F2485,"?*",$O$5:O2485,O2485)))</f>
        <v/>
      </c>
      <c r="O2485" s="54">
        <f>IF(A2485="","",IF(C2485="",0,C2485))</f>
        <v/>
      </c>
    </row>
    <row r="2486">
      <c r="A2486" s="58" t="n"/>
      <c r="B2486" s="49">
        <f>IF(A2486="","",CHOOSE(WEEKDAY(A2486,2),"Пн","Вт","Ср","Чт","Пт","Сб","Вс"))</f>
        <v/>
      </c>
      <c r="C2486" s="59" t="n"/>
      <c r="D2486" s="59" t="n"/>
      <c r="E2486" s="60">
        <f>IF(OR(C2486="",D2486=""),"",MOD(D2486-C2486,1)*24)</f>
        <v/>
      </c>
      <c r="F2486" s="50" t="n"/>
      <c r="G2486" s="51" t="n"/>
      <c r="H2486" s="51" t="n"/>
      <c r="I2486" s="51" t="n"/>
      <c r="J2486" s="51" t="n"/>
      <c r="K2486" s="51" t="n"/>
      <c r="L2486" s="54">
        <f>IF(OR(A2486="",C2486="",D2486=""),"",IF(COUNTIFS($A$5:$A$3004,A2486,$C$5:$C$3004,"&lt;"&amp;D2486,$D$5:$D$3004,"&gt;"&amp;C2486)&gt;1,"⚠️ пересечение",""))</f>
        <v/>
      </c>
      <c r="M2486" s="54">
        <f>IF(F2486="","",IF(J2486="✅ Сделано","✔ ",IF(J2486="❌ Пропущено","✖ ","⏰ "))&amp;IF(C2486="","",RIGHT("0"&amp;HOUR(C2486),2)&amp;":"&amp;RIGHT("0"&amp;MINUTE(C2486),2)&amp;IF(D2486="","","–"&amp;RIGHT("0"&amp;HOUR(D2486),2)&amp;":"&amp;RIGHT("0"&amp;MINUTE(D2486),2))&amp;" ")&amp;F2486)</f>
        <v/>
      </c>
      <c r="N2486" s="54">
        <f>IF(OR(A2486="",F2486=""),"",A2486&amp;"#"&amp;(COUNTIFS($A$5:$A$3004,A2486,$F$5:$F$3004,"?*",$O$5:$O$3004,"&lt;"&amp;O2486)+COUNTIFS($A$5:A2486,A2486,$F$5:F2486,"?*",$O$5:O2486,O2486)))</f>
        <v/>
      </c>
      <c r="O2486" s="54">
        <f>IF(A2486="","",IF(C2486="",0,C2486))</f>
        <v/>
      </c>
    </row>
    <row r="2487">
      <c r="A2487" s="58" t="n"/>
      <c r="B2487" s="49">
        <f>IF(A2487="","",CHOOSE(WEEKDAY(A2487,2),"Пн","Вт","Ср","Чт","Пт","Сб","Вс"))</f>
        <v/>
      </c>
      <c r="C2487" s="59" t="n"/>
      <c r="D2487" s="59" t="n"/>
      <c r="E2487" s="60">
        <f>IF(OR(C2487="",D2487=""),"",MOD(D2487-C2487,1)*24)</f>
        <v/>
      </c>
      <c r="F2487" s="50" t="n"/>
      <c r="G2487" s="51" t="n"/>
      <c r="H2487" s="51" t="n"/>
      <c r="I2487" s="51" t="n"/>
      <c r="J2487" s="51" t="n"/>
      <c r="K2487" s="51" t="n"/>
      <c r="L2487" s="54">
        <f>IF(OR(A2487="",C2487="",D2487=""),"",IF(COUNTIFS($A$5:$A$3004,A2487,$C$5:$C$3004,"&lt;"&amp;D2487,$D$5:$D$3004,"&gt;"&amp;C2487)&gt;1,"⚠️ пересечение",""))</f>
        <v/>
      </c>
      <c r="M2487" s="54">
        <f>IF(F2487="","",IF(J2487="✅ Сделано","✔ ",IF(J2487="❌ Пропущено","✖ ","⏰ "))&amp;IF(C2487="","",RIGHT("0"&amp;HOUR(C2487),2)&amp;":"&amp;RIGHT("0"&amp;MINUTE(C2487),2)&amp;IF(D2487="","","–"&amp;RIGHT("0"&amp;HOUR(D2487),2)&amp;":"&amp;RIGHT("0"&amp;MINUTE(D2487),2))&amp;" ")&amp;F2487)</f>
        <v/>
      </c>
      <c r="N2487" s="54">
        <f>IF(OR(A2487="",F2487=""),"",A2487&amp;"#"&amp;(COUNTIFS($A$5:$A$3004,A2487,$F$5:$F$3004,"?*",$O$5:$O$3004,"&lt;"&amp;O2487)+COUNTIFS($A$5:A2487,A2487,$F$5:F2487,"?*",$O$5:O2487,O2487)))</f>
        <v/>
      </c>
      <c r="O2487" s="54">
        <f>IF(A2487="","",IF(C2487="",0,C2487))</f>
        <v/>
      </c>
    </row>
    <row r="2488">
      <c r="A2488" s="58" t="n"/>
      <c r="B2488" s="49">
        <f>IF(A2488="","",CHOOSE(WEEKDAY(A2488,2),"Пн","Вт","Ср","Чт","Пт","Сб","Вс"))</f>
        <v/>
      </c>
      <c r="C2488" s="59" t="n"/>
      <c r="D2488" s="59" t="n"/>
      <c r="E2488" s="60">
        <f>IF(OR(C2488="",D2488=""),"",MOD(D2488-C2488,1)*24)</f>
        <v/>
      </c>
      <c r="F2488" s="50" t="n"/>
      <c r="G2488" s="51" t="n"/>
      <c r="H2488" s="51" t="n"/>
      <c r="I2488" s="51" t="n"/>
      <c r="J2488" s="51" t="n"/>
      <c r="K2488" s="51" t="n"/>
      <c r="L2488" s="54">
        <f>IF(OR(A2488="",C2488="",D2488=""),"",IF(COUNTIFS($A$5:$A$3004,A2488,$C$5:$C$3004,"&lt;"&amp;D2488,$D$5:$D$3004,"&gt;"&amp;C2488)&gt;1,"⚠️ пересечение",""))</f>
        <v/>
      </c>
      <c r="M2488" s="54">
        <f>IF(F2488="","",IF(J2488="✅ Сделано","✔ ",IF(J2488="❌ Пропущено","✖ ","⏰ "))&amp;IF(C2488="","",RIGHT("0"&amp;HOUR(C2488),2)&amp;":"&amp;RIGHT("0"&amp;MINUTE(C2488),2)&amp;IF(D2488="","","–"&amp;RIGHT("0"&amp;HOUR(D2488),2)&amp;":"&amp;RIGHT("0"&amp;MINUTE(D2488),2))&amp;" ")&amp;F2488)</f>
        <v/>
      </c>
      <c r="N2488" s="54">
        <f>IF(OR(A2488="",F2488=""),"",A2488&amp;"#"&amp;(COUNTIFS($A$5:$A$3004,A2488,$F$5:$F$3004,"?*",$O$5:$O$3004,"&lt;"&amp;O2488)+COUNTIFS($A$5:A2488,A2488,$F$5:F2488,"?*",$O$5:O2488,O2488)))</f>
        <v/>
      </c>
      <c r="O2488" s="54">
        <f>IF(A2488="","",IF(C2488="",0,C2488))</f>
        <v/>
      </c>
    </row>
    <row r="2489">
      <c r="A2489" s="58" t="n"/>
      <c r="B2489" s="49">
        <f>IF(A2489="","",CHOOSE(WEEKDAY(A2489,2),"Пн","Вт","Ср","Чт","Пт","Сб","Вс"))</f>
        <v/>
      </c>
      <c r="C2489" s="59" t="n"/>
      <c r="D2489" s="59" t="n"/>
      <c r="E2489" s="60">
        <f>IF(OR(C2489="",D2489=""),"",MOD(D2489-C2489,1)*24)</f>
        <v/>
      </c>
      <c r="F2489" s="50" t="n"/>
      <c r="G2489" s="51" t="n"/>
      <c r="H2489" s="51" t="n"/>
      <c r="I2489" s="51" t="n"/>
      <c r="J2489" s="51" t="n"/>
      <c r="K2489" s="51" t="n"/>
      <c r="L2489" s="54">
        <f>IF(OR(A2489="",C2489="",D2489=""),"",IF(COUNTIFS($A$5:$A$3004,A2489,$C$5:$C$3004,"&lt;"&amp;D2489,$D$5:$D$3004,"&gt;"&amp;C2489)&gt;1,"⚠️ пересечение",""))</f>
        <v/>
      </c>
      <c r="M2489" s="54">
        <f>IF(F2489="","",IF(J2489="✅ Сделано","✔ ",IF(J2489="❌ Пропущено","✖ ","⏰ "))&amp;IF(C2489="","",RIGHT("0"&amp;HOUR(C2489),2)&amp;":"&amp;RIGHT("0"&amp;MINUTE(C2489),2)&amp;IF(D2489="","","–"&amp;RIGHT("0"&amp;HOUR(D2489),2)&amp;":"&amp;RIGHT("0"&amp;MINUTE(D2489),2))&amp;" ")&amp;F2489)</f>
        <v/>
      </c>
      <c r="N2489" s="54">
        <f>IF(OR(A2489="",F2489=""),"",A2489&amp;"#"&amp;(COUNTIFS($A$5:$A$3004,A2489,$F$5:$F$3004,"?*",$O$5:$O$3004,"&lt;"&amp;O2489)+COUNTIFS($A$5:A2489,A2489,$F$5:F2489,"?*",$O$5:O2489,O2489)))</f>
        <v/>
      </c>
      <c r="O2489" s="54">
        <f>IF(A2489="","",IF(C2489="",0,C2489))</f>
        <v/>
      </c>
    </row>
    <row r="2490">
      <c r="A2490" s="58" t="n"/>
      <c r="B2490" s="49">
        <f>IF(A2490="","",CHOOSE(WEEKDAY(A2490,2),"Пн","Вт","Ср","Чт","Пт","Сб","Вс"))</f>
        <v/>
      </c>
      <c r="C2490" s="59" t="n"/>
      <c r="D2490" s="59" t="n"/>
      <c r="E2490" s="60">
        <f>IF(OR(C2490="",D2490=""),"",MOD(D2490-C2490,1)*24)</f>
        <v/>
      </c>
      <c r="F2490" s="50" t="n"/>
      <c r="G2490" s="51" t="n"/>
      <c r="H2490" s="51" t="n"/>
      <c r="I2490" s="51" t="n"/>
      <c r="J2490" s="51" t="n"/>
      <c r="K2490" s="51" t="n"/>
      <c r="L2490" s="54">
        <f>IF(OR(A2490="",C2490="",D2490=""),"",IF(COUNTIFS($A$5:$A$3004,A2490,$C$5:$C$3004,"&lt;"&amp;D2490,$D$5:$D$3004,"&gt;"&amp;C2490)&gt;1,"⚠️ пересечение",""))</f>
        <v/>
      </c>
      <c r="M2490" s="54">
        <f>IF(F2490="","",IF(J2490="✅ Сделано","✔ ",IF(J2490="❌ Пропущено","✖ ","⏰ "))&amp;IF(C2490="","",RIGHT("0"&amp;HOUR(C2490),2)&amp;":"&amp;RIGHT("0"&amp;MINUTE(C2490),2)&amp;IF(D2490="","","–"&amp;RIGHT("0"&amp;HOUR(D2490),2)&amp;":"&amp;RIGHT("0"&amp;MINUTE(D2490),2))&amp;" ")&amp;F2490)</f>
        <v/>
      </c>
      <c r="N2490" s="54">
        <f>IF(OR(A2490="",F2490=""),"",A2490&amp;"#"&amp;(COUNTIFS($A$5:$A$3004,A2490,$F$5:$F$3004,"?*",$O$5:$O$3004,"&lt;"&amp;O2490)+COUNTIFS($A$5:A2490,A2490,$F$5:F2490,"?*",$O$5:O2490,O2490)))</f>
        <v/>
      </c>
      <c r="O2490" s="54">
        <f>IF(A2490="","",IF(C2490="",0,C2490))</f>
        <v/>
      </c>
    </row>
    <row r="2491">
      <c r="A2491" s="58" t="n"/>
      <c r="B2491" s="49">
        <f>IF(A2491="","",CHOOSE(WEEKDAY(A2491,2),"Пн","Вт","Ср","Чт","Пт","Сб","Вс"))</f>
        <v/>
      </c>
      <c r="C2491" s="59" t="n"/>
      <c r="D2491" s="59" t="n"/>
      <c r="E2491" s="60">
        <f>IF(OR(C2491="",D2491=""),"",MOD(D2491-C2491,1)*24)</f>
        <v/>
      </c>
      <c r="F2491" s="50" t="n"/>
      <c r="G2491" s="51" t="n"/>
      <c r="H2491" s="51" t="n"/>
      <c r="I2491" s="51" t="n"/>
      <c r="J2491" s="51" t="n"/>
      <c r="K2491" s="51" t="n"/>
      <c r="L2491" s="54">
        <f>IF(OR(A2491="",C2491="",D2491=""),"",IF(COUNTIFS($A$5:$A$3004,A2491,$C$5:$C$3004,"&lt;"&amp;D2491,$D$5:$D$3004,"&gt;"&amp;C2491)&gt;1,"⚠️ пересечение",""))</f>
        <v/>
      </c>
      <c r="M2491" s="54">
        <f>IF(F2491="","",IF(J2491="✅ Сделано","✔ ",IF(J2491="❌ Пропущено","✖ ","⏰ "))&amp;IF(C2491="","",RIGHT("0"&amp;HOUR(C2491),2)&amp;":"&amp;RIGHT("0"&amp;MINUTE(C2491),2)&amp;IF(D2491="","","–"&amp;RIGHT("0"&amp;HOUR(D2491),2)&amp;":"&amp;RIGHT("0"&amp;MINUTE(D2491),2))&amp;" ")&amp;F2491)</f>
        <v/>
      </c>
      <c r="N2491" s="54">
        <f>IF(OR(A2491="",F2491=""),"",A2491&amp;"#"&amp;(COUNTIFS($A$5:$A$3004,A2491,$F$5:$F$3004,"?*",$O$5:$O$3004,"&lt;"&amp;O2491)+COUNTIFS($A$5:A2491,A2491,$F$5:F2491,"?*",$O$5:O2491,O2491)))</f>
        <v/>
      </c>
      <c r="O2491" s="54">
        <f>IF(A2491="","",IF(C2491="",0,C2491))</f>
        <v/>
      </c>
    </row>
    <row r="2492">
      <c r="A2492" s="58" t="n"/>
      <c r="B2492" s="49">
        <f>IF(A2492="","",CHOOSE(WEEKDAY(A2492,2),"Пн","Вт","Ср","Чт","Пт","Сб","Вс"))</f>
        <v/>
      </c>
      <c r="C2492" s="59" t="n"/>
      <c r="D2492" s="59" t="n"/>
      <c r="E2492" s="60">
        <f>IF(OR(C2492="",D2492=""),"",MOD(D2492-C2492,1)*24)</f>
        <v/>
      </c>
      <c r="F2492" s="50" t="n"/>
      <c r="G2492" s="51" t="n"/>
      <c r="H2492" s="51" t="n"/>
      <c r="I2492" s="51" t="n"/>
      <c r="J2492" s="51" t="n"/>
      <c r="K2492" s="51" t="n"/>
      <c r="L2492" s="54">
        <f>IF(OR(A2492="",C2492="",D2492=""),"",IF(COUNTIFS($A$5:$A$3004,A2492,$C$5:$C$3004,"&lt;"&amp;D2492,$D$5:$D$3004,"&gt;"&amp;C2492)&gt;1,"⚠️ пересечение",""))</f>
        <v/>
      </c>
      <c r="M2492" s="54">
        <f>IF(F2492="","",IF(J2492="✅ Сделано","✔ ",IF(J2492="❌ Пропущено","✖ ","⏰ "))&amp;IF(C2492="","",RIGHT("0"&amp;HOUR(C2492),2)&amp;":"&amp;RIGHT("0"&amp;MINUTE(C2492),2)&amp;IF(D2492="","","–"&amp;RIGHT("0"&amp;HOUR(D2492),2)&amp;":"&amp;RIGHT("0"&amp;MINUTE(D2492),2))&amp;" ")&amp;F2492)</f>
        <v/>
      </c>
      <c r="N2492" s="54">
        <f>IF(OR(A2492="",F2492=""),"",A2492&amp;"#"&amp;(COUNTIFS($A$5:$A$3004,A2492,$F$5:$F$3004,"?*",$O$5:$O$3004,"&lt;"&amp;O2492)+COUNTIFS($A$5:A2492,A2492,$F$5:F2492,"?*",$O$5:O2492,O2492)))</f>
        <v/>
      </c>
      <c r="O2492" s="54">
        <f>IF(A2492="","",IF(C2492="",0,C2492))</f>
        <v/>
      </c>
    </row>
    <row r="2493">
      <c r="A2493" s="58" t="n"/>
      <c r="B2493" s="49">
        <f>IF(A2493="","",CHOOSE(WEEKDAY(A2493,2),"Пн","Вт","Ср","Чт","Пт","Сб","Вс"))</f>
        <v/>
      </c>
      <c r="C2493" s="59" t="n"/>
      <c r="D2493" s="59" t="n"/>
      <c r="E2493" s="60">
        <f>IF(OR(C2493="",D2493=""),"",MOD(D2493-C2493,1)*24)</f>
        <v/>
      </c>
      <c r="F2493" s="50" t="n"/>
      <c r="G2493" s="51" t="n"/>
      <c r="H2493" s="51" t="n"/>
      <c r="I2493" s="51" t="n"/>
      <c r="J2493" s="51" t="n"/>
      <c r="K2493" s="51" t="n"/>
      <c r="L2493" s="54">
        <f>IF(OR(A2493="",C2493="",D2493=""),"",IF(COUNTIFS($A$5:$A$3004,A2493,$C$5:$C$3004,"&lt;"&amp;D2493,$D$5:$D$3004,"&gt;"&amp;C2493)&gt;1,"⚠️ пересечение",""))</f>
        <v/>
      </c>
      <c r="M2493" s="54">
        <f>IF(F2493="","",IF(J2493="✅ Сделано","✔ ",IF(J2493="❌ Пропущено","✖ ","⏰ "))&amp;IF(C2493="","",RIGHT("0"&amp;HOUR(C2493),2)&amp;":"&amp;RIGHT("0"&amp;MINUTE(C2493),2)&amp;IF(D2493="","","–"&amp;RIGHT("0"&amp;HOUR(D2493),2)&amp;":"&amp;RIGHT("0"&amp;MINUTE(D2493),2))&amp;" ")&amp;F2493)</f>
        <v/>
      </c>
      <c r="N2493" s="54">
        <f>IF(OR(A2493="",F2493=""),"",A2493&amp;"#"&amp;(COUNTIFS($A$5:$A$3004,A2493,$F$5:$F$3004,"?*",$O$5:$O$3004,"&lt;"&amp;O2493)+COUNTIFS($A$5:A2493,A2493,$F$5:F2493,"?*",$O$5:O2493,O2493)))</f>
        <v/>
      </c>
      <c r="O2493" s="54">
        <f>IF(A2493="","",IF(C2493="",0,C2493))</f>
        <v/>
      </c>
    </row>
    <row r="2494">
      <c r="A2494" s="58" t="n"/>
      <c r="B2494" s="49">
        <f>IF(A2494="","",CHOOSE(WEEKDAY(A2494,2),"Пн","Вт","Ср","Чт","Пт","Сб","Вс"))</f>
        <v/>
      </c>
      <c r="C2494" s="59" t="n"/>
      <c r="D2494" s="59" t="n"/>
      <c r="E2494" s="60">
        <f>IF(OR(C2494="",D2494=""),"",MOD(D2494-C2494,1)*24)</f>
        <v/>
      </c>
      <c r="F2494" s="50" t="n"/>
      <c r="G2494" s="51" t="n"/>
      <c r="H2494" s="51" t="n"/>
      <c r="I2494" s="51" t="n"/>
      <c r="J2494" s="51" t="n"/>
      <c r="K2494" s="51" t="n"/>
      <c r="L2494" s="54">
        <f>IF(OR(A2494="",C2494="",D2494=""),"",IF(COUNTIFS($A$5:$A$3004,A2494,$C$5:$C$3004,"&lt;"&amp;D2494,$D$5:$D$3004,"&gt;"&amp;C2494)&gt;1,"⚠️ пересечение",""))</f>
        <v/>
      </c>
      <c r="M2494" s="54">
        <f>IF(F2494="","",IF(J2494="✅ Сделано","✔ ",IF(J2494="❌ Пропущено","✖ ","⏰ "))&amp;IF(C2494="","",RIGHT("0"&amp;HOUR(C2494),2)&amp;":"&amp;RIGHT("0"&amp;MINUTE(C2494),2)&amp;IF(D2494="","","–"&amp;RIGHT("0"&amp;HOUR(D2494),2)&amp;":"&amp;RIGHT("0"&amp;MINUTE(D2494),2))&amp;" ")&amp;F2494)</f>
        <v/>
      </c>
      <c r="N2494" s="54">
        <f>IF(OR(A2494="",F2494=""),"",A2494&amp;"#"&amp;(COUNTIFS($A$5:$A$3004,A2494,$F$5:$F$3004,"?*",$O$5:$O$3004,"&lt;"&amp;O2494)+COUNTIFS($A$5:A2494,A2494,$F$5:F2494,"?*",$O$5:O2494,O2494)))</f>
        <v/>
      </c>
      <c r="O2494" s="54">
        <f>IF(A2494="","",IF(C2494="",0,C2494))</f>
        <v/>
      </c>
    </row>
    <row r="2495">
      <c r="A2495" s="58" t="n"/>
      <c r="B2495" s="49">
        <f>IF(A2495="","",CHOOSE(WEEKDAY(A2495,2),"Пн","Вт","Ср","Чт","Пт","Сб","Вс"))</f>
        <v/>
      </c>
      <c r="C2495" s="59" t="n"/>
      <c r="D2495" s="59" t="n"/>
      <c r="E2495" s="60">
        <f>IF(OR(C2495="",D2495=""),"",MOD(D2495-C2495,1)*24)</f>
        <v/>
      </c>
      <c r="F2495" s="50" t="n"/>
      <c r="G2495" s="51" t="n"/>
      <c r="H2495" s="51" t="n"/>
      <c r="I2495" s="51" t="n"/>
      <c r="J2495" s="51" t="n"/>
      <c r="K2495" s="51" t="n"/>
      <c r="L2495" s="54">
        <f>IF(OR(A2495="",C2495="",D2495=""),"",IF(COUNTIFS($A$5:$A$3004,A2495,$C$5:$C$3004,"&lt;"&amp;D2495,$D$5:$D$3004,"&gt;"&amp;C2495)&gt;1,"⚠️ пересечение",""))</f>
        <v/>
      </c>
      <c r="M2495" s="54">
        <f>IF(F2495="","",IF(J2495="✅ Сделано","✔ ",IF(J2495="❌ Пропущено","✖ ","⏰ "))&amp;IF(C2495="","",RIGHT("0"&amp;HOUR(C2495),2)&amp;":"&amp;RIGHT("0"&amp;MINUTE(C2495),2)&amp;IF(D2495="","","–"&amp;RIGHT("0"&amp;HOUR(D2495),2)&amp;":"&amp;RIGHT("0"&amp;MINUTE(D2495),2))&amp;" ")&amp;F2495)</f>
        <v/>
      </c>
      <c r="N2495" s="54">
        <f>IF(OR(A2495="",F2495=""),"",A2495&amp;"#"&amp;(COUNTIFS($A$5:$A$3004,A2495,$F$5:$F$3004,"?*",$O$5:$O$3004,"&lt;"&amp;O2495)+COUNTIFS($A$5:A2495,A2495,$F$5:F2495,"?*",$O$5:O2495,O2495)))</f>
        <v/>
      </c>
      <c r="O2495" s="54">
        <f>IF(A2495="","",IF(C2495="",0,C2495))</f>
        <v/>
      </c>
    </row>
    <row r="2496">
      <c r="A2496" s="58" t="n"/>
      <c r="B2496" s="49">
        <f>IF(A2496="","",CHOOSE(WEEKDAY(A2496,2),"Пн","Вт","Ср","Чт","Пт","Сб","Вс"))</f>
        <v/>
      </c>
      <c r="C2496" s="59" t="n"/>
      <c r="D2496" s="59" t="n"/>
      <c r="E2496" s="60">
        <f>IF(OR(C2496="",D2496=""),"",MOD(D2496-C2496,1)*24)</f>
        <v/>
      </c>
      <c r="F2496" s="50" t="n"/>
      <c r="G2496" s="51" t="n"/>
      <c r="H2496" s="51" t="n"/>
      <c r="I2496" s="51" t="n"/>
      <c r="J2496" s="51" t="n"/>
      <c r="K2496" s="51" t="n"/>
      <c r="L2496" s="54">
        <f>IF(OR(A2496="",C2496="",D2496=""),"",IF(COUNTIFS($A$5:$A$3004,A2496,$C$5:$C$3004,"&lt;"&amp;D2496,$D$5:$D$3004,"&gt;"&amp;C2496)&gt;1,"⚠️ пересечение",""))</f>
        <v/>
      </c>
      <c r="M2496" s="54">
        <f>IF(F2496="","",IF(J2496="✅ Сделано","✔ ",IF(J2496="❌ Пропущено","✖ ","⏰ "))&amp;IF(C2496="","",RIGHT("0"&amp;HOUR(C2496),2)&amp;":"&amp;RIGHT("0"&amp;MINUTE(C2496),2)&amp;IF(D2496="","","–"&amp;RIGHT("0"&amp;HOUR(D2496),2)&amp;":"&amp;RIGHT("0"&amp;MINUTE(D2496),2))&amp;" ")&amp;F2496)</f>
        <v/>
      </c>
      <c r="N2496" s="54">
        <f>IF(OR(A2496="",F2496=""),"",A2496&amp;"#"&amp;(COUNTIFS($A$5:$A$3004,A2496,$F$5:$F$3004,"?*",$O$5:$O$3004,"&lt;"&amp;O2496)+COUNTIFS($A$5:A2496,A2496,$F$5:F2496,"?*",$O$5:O2496,O2496)))</f>
        <v/>
      </c>
      <c r="O2496" s="54">
        <f>IF(A2496="","",IF(C2496="",0,C2496))</f>
        <v/>
      </c>
    </row>
    <row r="2497">
      <c r="A2497" s="58" t="n"/>
      <c r="B2497" s="49">
        <f>IF(A2497="","",CHOOSE(WEEKDAY(A2497,2),"Пн","Вт","Ср","Чт","Пт","Сб","Вс"))</f>
        <v/>
      </c>
      <c r="C2497" s="59" t="n"/>
      <c r="D2497" s="59" t="n"/>
      <c r="E2497" s="60">
        <f>IF(OR(C2497="",D2497=""),"",MOD(D2497-C2497,1)*24)</f>
        <v/>
      </c>
      <c r="F2497" s="50" t="n"/>
      <c r="G2497" s="51" t="n"/>
      <c r="H2497" s="51" t="n"/>
      <c r="I2497" s="51" t="n"/>
      <c r="J2497" s="51" t="n"/>
      <c r="K2497" s="51" t="n"/>
      <c r="L2497" s="54">
        <f>IF(OR(A2497="",C2497="",D2497=""),"",IF(COUNTIFS($A$5:$A$3004,A2497,$C$5:$C$3004,"&lt;"&amp;D2497,$D$5:$D$3004,"&gt;"&amp;C2497)&gt;1,"⚠️ пересечение",""))</f>
        <v/>
      </c>
      <c r="M2497" s="54">
        <f>IF(F2497="","",IF(J2497="✅ Сделано","✔ ",IF(J2497="❌ Пропущено","✖ ","⏰ "))&amp;IF(C2497="","",RIGHT("0"&amp;HOUR(C2497),2)&amp;":"&amp;RIGHT("0"&amp;MINUTE(C2497),2)&amp;IF(D2497="","","–"&amp;RIGHT("0"&amp;HOUR(D2497),2)&amp;":"&amp;RIGHT("0"&amp;MINUTE(D2497),2))&amp;" ")&amp;F2497)</f>
        <v/>
      </c>
      <c r="N2497" s="54">
        <f>IF(OR(A2497="",F2497=""),"",A2497&amp;"#"&amp;(COUNTIFS($A$5:$A$3004,A2497,$F$5:$F$3004,"?*",$O$5:$O$3004,"&lt;"&amp;O2497)+COUNTIFS($A$5:A2497,A2497,$F$5:F2497,"?*",$O$5:O2497,O2497)))</f>
        <v/>
      </c>
      <c r="O2497" s="54">
        <f>IF(A2497="","",IF(C2497="",0,C2497))</f>
        <v/>
      </c>
    </row>
    <row r="2498">
      <c r="A2498" s="58" t="n"/>
      <c r="B2498" s="49">
        <f>IF(A2498="","",CHOOSE(WEEKDAY(A2498,2),"Пн","Вт","Ср","Чт","Пт","Сб","Вс"))</f>
        <v/>
      </c>
      <c r="C2498" s="59" t="n"/>
      <c r="D2498" s="59" t="n"/>
      <c r="E2498" s="60">
        <f>IF(OR(C2498="",D2498=""),"",MOD(D2498-C2498,1)*24)</f>
        <v/>
      </c>
      <c r="F2498" s="50" t="n"/>
      <c r="G2498" s="51" t="n"/>
      <c r="H2498" s="51" t="n"/>
      <c r="I2498" s="51" t="n"/>
      <c r="J2498" s="51" t="n"/>
      <c r="K2498" s="51" t="n"/>
      <c r="L2498" s="54">
        <f>IF(OR(A2498="",C2498="",D2498=""),"",IF(COUNTIFS($A$5:$A$3004,A2498,$C$5:$C$3004,"&lt;"&amp;D2498,$D$5:$D$3004,"&gt;"&amp;C2498)&gt;1,"⚠️ пересечение",""))</f>
        <v/>
      </c>
      <c r="M2498" s="54">
        <f>IF(F2498="","",IF(J2498="✅ Сделано","✔ ",IF(J2498="❌ Пропущено","✖ ","⏰ "))&amp;IF(C2498="","",RIGHT("0"&amp;HOUR(C2498),2)&amp;":"&amp;RIGHT("0"&amp;MINUTE(C2498),2)&amp;IF(D2498="","","–"&amp;RIGHT("0"&amp;HOUR(D2498),2)&amp;":"&amp;RIGHT("0"&amp;MINUTE(D2498),2))&amp;" ")&amp;F2498)</f>
        <v/>
      </c>
      <c r="N2498" s="54">
        <f>IF(OR(A2498="",F2498=""),"",A2498&amp;"#"&amp;(COUNTIFS($A$5:$A$3004,A2498,$F$5:$F$3004,"?*",$O$5:$O$3004,"&lt;"&amp;O2498)+COUNTIFS($A$5:A2498,A2498,$F$5:F2498,"?*",$O$5:O2498,O2498)))</f>
        <v/>
      </c>
      <c r="O2498" s="54">
        <f>IF(A2498="","",IF(C2498="",0,C2498))</f>
        <v/>
      </c>
    </row>
    <row r="2499">
      <c r="A2499" s="58" t="n"/>
      <c r="B2499" s="49">
        <f>IF(A2499="","",CHOOSE(WEEKDAY(A2499,2),"Пн","Вт","Ср","Чт","Пт","Сб","Вс"))</f>
        <v/>
      </c>
      <c r="C2499" s="59" t="n"/>
      <c r="D2499" s="59" t="n"/>
      <c r="E2499" s="60">
        <f>IF(OR(C2499="",D2499=""),"",MOD(D2499-C2499,1)*24)</f>
        <v/>
      </c>
      <c r="F2499" s="50" t="n"/>
      <c r="G2499" s="51" t="n"/>
      <c r="H2499" s="51" t="n"/>
      <c r="I2499" s="51" t="n"/>
      <c r="J2499" s="51" t="n"/>
      <c r="K2499" s="51" t="n"/>
      <c r="L2499" s="54">
        <f>IF(OR(A2499="",C2499="",D2499=""),"",IF(COUNTIFS($A$5:$A$3004,A2499,$C$5:$C$3004,"&lt;"&amp;D2499,$D$5:$D$3004,"&gt;"&amp;C2499)&gt;1,"⚠️ пересечение",""))</f>
        <v/>
      </c>
      <c r="M2499" s="54">
        <f>IF(F2499="","",IF(J2499="✅ Сделано","✔ ",IF(J2499="❌ Пропущено","✖ ","⏰ "))&amp;IF(C2499="","",RIGHT("0"&amp;HOUR(C2499),2)&amp;":"&amp;RIGHT("0"&amp;MINUTE(C2499),2)&amp;IF(D2499="","","–"&amp;RIGHT("0"&amp;HOUR(D2499),2)&amp;":"&amp;RIGHT("0"&amp;MINUTE(D2499),2))&amp;" ")&amp;F2499)</f>
        <v/>
      </c>
      <c r="N2499" s="54">
        <f>IF(OR(A2499="",F2499=""),"",A2499&amp;"#"&amp;(COUNTIFS($A$5:$A$3004,A2499,$F$5:$F$3004,"?*",$O$5:$O$3004,"&lt;"&amp;O2499)+COUNTIFS($A$5:A2499,A2499,$F$5:F2499,"?*",$O$5:O2499,O2499)))</f>
        <v/>
      </c>
      <c r="O2499" s="54">
        <f>IF(A2499="","",IF(C2499="",0,C2499))</f>
        <v/>
      </c>
    </row>
    <row r="2500">
      <c r="A2500" s="58" t="n"/>
      <c r="B2500" s="49">
        <f>IF(A2500="","",CHOOSE(WEEKDAY(A2500,2),"Пн","Вт","Ср","Чт","Пт","Сб","Вс"))</f>
        <v/>
      </c>
      <c r="C2500" s="59" t="n"/>
      <c r="D2500" s="59" t="n"/>
      <c r="E2500" s="60">
        <f>IF(OR(C2500="",D2500=""),"",MOD(D2500-C2500,1)*24)</f>
        <v/>
      </c>
      <c r="F2500" s="50" t="n"/>
      <c r="G2500" s="51" t="n"/>
      <c r="H2500" s="51" t="n"/>
      <c r="I2500" s="51" t="n"/>
      <c r="J2500" s="51" t="n"/>
      <c r="K2500" s="51" t="n"/>
      <c r="L2500" s="54">
        <f>IF(OR(A2500="",C2500="",D2500=""),"",IF(COUNTIFS($A$5:$A$3004,A2500,$C$5:$C$3004,"&lt;"&amp;D2500,$D$5:$D$3004,"&gt;"&amp;C2500)&gt;1,"⚠️ пересечение",""))</f>
        <v/>
      </c>
      <c r="M2500" s="54">
        <f>IF(F2500="","",IF(J2500="✅ Сделано","✔ ",IF(J2500="❌ Пропущено","✖ ","⏰ "))&amp;IF(C2500="","",RIGHT("0"&amp;HOUR(C2500),2)&amp;":"&amp;RIGHT("0"&amp;MINUTE(C2500),2)&amp;IF(D2500="","","–"&amp;RIGHT("0"&amp;HOUR(D2500),2)&amp;":"&amp;RIGHT("0"&amp;MINUTE(D2500),2))&amp;" ")&amp;F2500)</f>
        <v/>
      </c>
      <c r="N2500" s="54">
        <f>IF(OR(A2500="",F2500=""),"",A2500&amp;"#"&amp;(COUNTIFS($A$5:$A$3004,A2500,$F$5:$F$3004,"?*",$O$5:$O$3004,"&lt;"&amp;O2500)+COUNTIFS($A$5:A2500,A2500,$F$5:F2500,"?*",$O$5:O2500,O2500)))</f>
        <v/>
      </c>
      <c r="O2500" s="54">
        <f>IF(A2500="","",IF(C2500="",0,C2500))</f>
        <v/>
      </c>
    </row>
    <row r="2501">
      <c r="A2501" s="58" t="n"/>
      <c r="B2501" s="49">
        <f>IF(A2501="","",CHOOSE(WEEKDAY(A2501,2),"Пн","Вт","Ср","Чт","Пт","Сб","Вс"))</f>
        <v/>
      </c>
      <c r="C2501" s="59" t="n"/>
      <c r="D2501" s="59" t="n"/>
      <c r="E2501" s="60">
        <f>IF(OR(C2501="",D2501=""),"",MOD(D2501-C2501,1)*24)</f>
        <v/>
      </c>
      <c r="F2501" s="50" t="n"/>
      <c r="G2501" s="51" t="n"/>
      <c r="H2501" s="51" t="n"/>
      <c r="I2501" s="51" t="n"/>
      <c r="J2501" s="51" t="n"/>
      <c r="K2501" s="51" t="n"/>
      <c r="L2501" s="54">
        <f>IF(OR(A2501="",C2501="",D2501=""),"",IF(COUNTIFS($A$5:$A$3004,A2501,$C$5:$C$3004,"&lt;"&amp;D2501,$D$5:$D$3004,"&gt;"&amp;C2501)&gt;1,"⚠️ пересечение",""))</f>
        <v/>
      </c>
      <c r="M2501" s="54">
        <f>IF(F2501="","",IF(J2501="✅ Сделано","✔ ",IF(J2501="❌ Пропущено","✖ ","⏰ "))&amp;IF(C2501="","",RIGHT("0"&amp;HOUR(C2501),2)&amp;":"&amp;RIGHT("0"&amp;MINUTE(C2501),2)&amp;IF(D2501="","","–"&amp;RIGHT("0"&amp;HOUR(D2501),2)&amp;":"&amp;RIGHT("0"&amp;MINUTE(D2501),2))&amp;" ")&amp;F2501)</f>
        <v/>
      </c>
      <c r="N2501" s="54">
        <f>IF(OR(A2501="",F2501=""),"",A2501&amp;"#"&amp;(COUNTIFS($A$5:$A$3004,A2501,$F$5:$F$3004,"?*",$O$5:$O$3004,"&lt;"&amp;O2501)+COUNTIFS($A$5:A2501,A2501,$F$5:F2501,"?*",$O$5:O2501,O2501)))</f>
        <v/>
      </c>
      <c r="O2501" s="54">
        <f>IF(A2501="","",IF(C2501="",0,C2501))</f>
        <v/>
      </c>
    </row>
    <row r="2502">
      <c r="A2502" s="58" t="n"/>
      <c r="B2502" s="49">
        <f>IF(A2502="","",CHOOSE(WEEKDAY(A2502,2),"Пн","Вт","Ср","Чт","Пт","Сб","Вс"))</f>
        <v/>
      </c>
      <c r="C2502" s="59" t="n"/>
      <c r="D2502" s="59" t="n"/>
      <c r="E2502" s="60">
        <f>IF(OR(C2502="",D2502=""),"",MOD(D2502-C2502,1)*24)</f>
        <v/>
      </c>
      <c r="F2502" s="50" t="n"/>
      <c r="G2502" s="51" t="n"/>
      <c r="H2502" s="51" t="n"/>
      <c r="I2502" s="51" t="n"/>
      <c r="J2502" s="51" t="n"/>
      <c r="K2502" s="51" t="n"/>
      <c r="L2502" s="54">
        <f>IF(OR(A2502="",C2502="",D2502=""),"",IF(COUNTIFS($A$5:$A$3004,A2502,$C$5:$C$3004,"&lt;"&amp;D2502,$D$5:$D$3004,"&gt;"&amp;C2502)&gt;1,"⚠️ пересечение",""))</f>
        <v/>
      </c>
      <c r="M2502" s="54">
        <f>IF(F2502="","",IF(J2502="✅ Сделано","✔ ",IF(J2502="❌ Пропущено","✖ ","⏰ "))&amp;IF(C2502="","",RIGHT("0"&amp;HOUR(C2502),2)&amp;":"&amp;RIGHT("0"&amp;MINUTE(C2502),2)&amp;IF(D2502="","","–"&amp;RIGHT("0"&amp;HOUR(D2502),2)&amp;":"&amp;RIGHT("0"&amp;MINUTE(D2502),2))&amp;" ")&amp;F2502)</f>
        <v/>
      </c>
      <c r="N2502" s="54">
        <f>IF(OR(A2502="",F2502=""),"",A2502&amp;"#"&amp;(COUNTIFS($A$5:$A$3004,A2502,$F$5:$F$3004,"?*",$O$5:$O$3004,"&lt;"&amp;O2502)+COUNTIFS($A$5:A2502,A2502,$F$5:F2502,"?*",$O$5:O2502,O2502)))</f>
        <v/>
      </c>
      <c r="O2502" s="54">
        <f>IF(A2502="","",IF(C2502="",0,C2502))</f>
        <v/>
      </c>
    </row>
    <row r="2503">
      <c r="A2503" s="58" t="n"/>
      <c r="B2503" s="49">
        <f>IF(A2503="","",CHOOSE(WEEKDAY(A2503,2),"Пн","Вт","Ср","Чт","Пт","Сб","Вс"))</f>
        <v/>
      </c>
      <c r="C2503" s="59" t="n"/>
      <c r="D2503" s="59" t="n"/>
      <c r="E2503" s="60">
        <f>IF(OR(C2503="",D2503=""),"",MOD(D2503-C2503,1)*24)</f>
        <v/>
      </c>
      <c r="F2503" s="50" t="n"/>
      <c r="G2503" s="51" t="n"/>
      <c r="H2503" s="51" t="n"/>
      <c r="I2503" s="51" t="n"/>
      <c r="J2503" s="51" t="n"/>
      <c r="K2503" s="51" t="n"/>
      <c r="L2503" s="54">
        <f>IF(OR(A2503="",C2503="",D2503=""),"",IF(COUNTIFS($A$5:$A$3004,A2503,$C$5:$C$3004,"&lt;"&amp;D2503,$D$5:$D$3004,"&gt;"&amp;C2503)&gt;1,"⚠️ пересечение",""))</f>
        <v/>
      </c>
      <c r="M2503" s="54">
        <f>IF(F2503="","",IF(J2503="✅ Сделано","✔ ",IF(J2503="❌ Пропущено","✖ ","⏰ "))&amp;IF(C2503="","",RIGHT("0"&amp;HOUR(C2503),2)&amp;":"&amp;RIGHT("0"&amp;MINUTE(C2503),2)&amp;IF(D2503="","","–"&amp;RIGHT("0"&amp;HOUR(D2503),2)&amp;":"&amp;RIGHT("0"&amp;MINUTE(D2503),2))&amp;" ")&amp;F2503)</f>
        <v/>
      </c>
      <c r="N2503" s="54">
        <f>IF(OR(A2503="",F2503=""),"",A2503&amp;"#"&amp;(COUNTIFS($A$5:$A$3004,A2503,$F$5:$F$3004,"?*",$O$5:$O$3004,"&lt;"&amp;O2503)+COUNTIFS($A$5:A2503,A2503,$F$5:F2503,"?*",$O$5:O2503,O2503)))</f>
        <v/>
      </c>
      <c r="O2503" s="54">
        <f>IF(A2503="","",IF(C2503="",0,C2503))</f>
        <v/>
      </c>
    </row>
    <row r="2504">
      <c r="A2504" s="58" t="n"/>
      <c r="B2504" s="49">
        <f>IF(A2504="","",CHOOSE(WEEKDAY(A2504,2),"Пн","Вт","Ср","Чт","Пт","Сб","Вс"))</f>
        <v/>
      </c>
      <c r="C2504" s="59" t="n"/>
      <c r="D2504" s="59" t="n"/>
      <c r="E2504" s="60">
        <f>IF(OR(C2504="",D2504=""),"",MOD(D2504-C2504,1)*24)</f>
        <v/>
      </c>
      <c r="F2504" s="50" t="n"/>
      <c r="G2504" s="51" t="n"/>
      <c r="H2504" s="51" t="n"/>
      <c r="I2504" s="51" t="n"/>
      <c r="J2504" s="51" t="n"/>
      <c r="K2504" s="51" t="n"/>
      <c r="L2504" s="54">
        <f>IF(OR(A2504="",C2504="",D2504=""),"",IF(COUNTIFS($A$5:$A$3004,A2504,$C$5:$C$3004,"&lt;"&amp;D2504,$D$5:$D$3004,"&gt;"&amp;C2504)&gt;1,"⚠️ пересечение",""))</f>
        <v/>
      </c>
      <c r="M2504" s="54">
        <f>IF(F2504="","",IF(J2504="✅ Сделано","✔ ",IF(J2504="❌ Пропущено","✖ ","⏰ "))&amp;IF(C2504="","",RIGHT("0"&amp;HOUR(C2504),2)&amp;":"&amp;RIGHT("0"&amp;MINUTE(C2504),2)&amp;IF(D2504="","","–"&amp;RIGHT("0"&amp;HOUR(D2504),2)&amp;":"&amp;RIGHT("0"&amp;MINUTE(D2504),2))&amp;" ")&amp;F2504)</f>
        <v/>
      </c>
      <c r="N2504" s="54">
        <f>IF(OR(A2504="",F2504=""),"",A2504&amp;"#"&amp;(COUNTIFS($A$5:$A$3004,A2504,$F$5:$F$3004,"?*",$O$5:$O$3004,"&lt;"&amp;O2504)+COUNTIFS($A$5:A2504,A2504,$F$5:F2504,"?*",$O$5:O2504,O2504)))</f>
        <v/>
      </c>
      <c r="O2504" s="54">
        <f>IF(A2504="","",IF(C2504="",0,C2504))</f>
        <v/>
      </c>
    </row>
    <row r="2505">
      <c r="A2505" s="58" t="n"/>
      <c r="B2505" s="49">
        <f>IF(A2505="","",CHOOSE(WEEKDAY(A2505,2),"Пн","Вт","Ср","Чт","Пт","Сб","Вс"))</f>
        <v/>
      </c>
      <c r="C2505" s="59" t="n"/>
      <c r="D2505" s="59" t="n"/>
      <c r="E2505" s="60">
        <f>IF(OR(C2505="",D2505=""),"",MOD(D2505-C2505,1)*24)</f>
        <v/>
      </c>
      <c r="F2505" s="50" t="n"/>
      <c r="G2505" s="51" t="n"/>
      <c r="H2505" s="51" t="n"/>
      <c r="I2505" s="51" t="n"/>
      <c r="J2505" s="51" t="n"/>
      <c r="K2505" s="51" t="n"/>
      <c r="L2505" s="54">
        <f>IF(OR(A2505="",C2505="",D2505=""),"",IF(COUNTIFS($A$5:$A$3004,A2505,$C$5:$C$3004,"&lt;"&amp;D2505,$D$5:$D$3004,"&gt;"&amp;C2505)&gt;1,"⚠️ пересечение",""))</f>
        <v/>
      </c>
      <c r="M2505" s="54">
        <f>IF(F2505="","",IF(J2505="✅ Сделано","✔ ",IF(J2505="❌ Пропущено","✖ ","⏰ "))&amp;IF(C2505="","",RIGHT("0"&amp;HOUR(C2505),2)&amp;":"&amp;RIGHT("0"&amp;MINUTE(C2505),2)&amp;IF(D2505="","","–"&amp;RIGHT("0"&amp;HOUR(D2505),2)&amp;":"&amp;RIGHT("0"&amp;MINUTE(D2505),2))&amp;" ")&amp;F2505)</f>
        <v/>
      </c>
      <c r="N2505" s="54">
        <f>IF(OR(A2505="",F2505=""),"",A2505&amp;"#"&amp;(COUNTIFS($A$5:$A$3004,A2505,$F$5:$F$3004,"?*",$O$5:$O$3004,"&lt;"&amp;O2505)+COUNTIFS($A$5:A2505,A2505,$F$5:F2505,"?*",$O$5:O2505,O2505)))</f>
        <v/>
      </c>
      <c r="O2505" s="54">
        <f>IF(A2505="","",IF(C2505="",0,C2505))</f>
        <v/>
      </c>
    </row>
    <row r="2506">
      <c r="A2506" s="58" t="n"/>
      <c r="B2506" s="49">
        <f>IF(A2506="","",CHOOSE(WEEKDAY(A2506,2),"Пн","Вт","Ср","Чт","Пт","Сб","Вс"))</f>
        <v/>
      </c>
      <c r="C2506" s="59" t="n"/>
      <c r="D2506" s="59" t="n"/>
      <c r="E2506" s="60">
        <f>IF(OR(C2506="",D2506=""),"",MOD(D2506-C2506,1)*24)</f>
        <v/>
      </c>
      <c r="F2506" s="50" t="n"/>
      <c r="G2506" s="51" t="n"/>
      <c r="H2506" s="51" t="n"/>
      <c r="I2506" s="51" t="n"/>
      <c r="J2506" s="51" t="n"/>
      <c r="K2506" s="51" t="n"/>
      <c r="L2506" s="54">
        <f>IF(OR(A2506="",C2506="",D2506=""),"",IF(COUNTIFS($A$5:$A$3004,A2506,$C$5:$C$3004,"&lt;"&amp;D2506,$D$5:$D$3004,"&gt;"&amp;C2506)&gt;1,"⚠️ пересечение",""))</f>
        <v/>
      </c>
      <c r="M2506" s="54">
        <f>IF(F2506="","",IF(J2506="✅ Сделано","✔ ",IF(J2506="❌ Пропущено","✖ ","⏰ "))&amp;IF(C2506="","",RIGHT("0"&amp;HOUR(C2506),2)&amp;":"&amp;RIGHT("0"&amp;MINUTE(C2506),2)&amp;IF(D2506="","","–"&amp;RIGHT("0"&amp;HOUR(D2506),2)&amp;":"&amp;RIGHT("0"&amp;MINUTE(D2506),2))&amp;" ")&amp;F2506)</f>
        <v/>
      </c>
      <c r="N2506" s="54">
        <f>IF(OR(A2506="",F2506=""),"",A2506&amp;"#"&amp;(COUNTIFS($A$5:$A$3004,A2506,$F$5:$F$3004,"?*",$O$5:$O$3004,"&lt;"&amp;O2506)+COUNTIFS($A$5:A2506,A2506,$F$5:F2506,"?*",$O$5:O2506,O2506)))</f>
        <v/>
      </c>
      <c r="O2506" s="54">
        <f>IF(A2506="","",IF(C2506="",0,C2506))</f>
        <v/>
      </c>
    </row>
    <row r="2507">
      <c r="A2507" s="58" t="n"/>
      <c r="B2507" s="49">
        <f>IF(A2507="","",CHOOSE(WEEKDAY(A2507,2),"Пн","Вт","Ср","Чт","Пт","Сб","Вс"))</f>
        <v/>
      </c>
      <c r="C2507" s="59" t="n"/>
      <c r="D2507" s="59" t="n"/>
      <c r="E2507" s="60">
        <f>IF(OR(C2507="",D2507=""),"",MOD(D2507-C2507,1)*24)</f>
        <v/>
      </c>
      <c r="F2507" s="50" t="n"/>
      <c r="G2507" s="51" t="n"/>
      <c r="H2507" s="51" t="n"/>
      <c r="I2507" s="51" t="n"/>
      <c r="J2507" s="51" t="n"/>
      <c r="K2507" s="51" t="n"/>
      <c r="L2507" s="54">
        <f>IF(OR(A2507="",C2507="",D2507=""),"",IF(COUNTIFS($A$5:$A$3004,A2507,$C$5:$C$3004,"&lt;"&amp;D2507,$D$5:$D$3004,"&gt;"&amp;C2507)&gt;1,"⚠️ пересечение",""))</f>
        <v/>
      </c>
      <c r="M2507" s="54">
        <f>IF(F2507="","",IF(J2507="✅ Сделано","✔ ",IF(J2507="❌ Пропущено","✖ ","⏰ "))&amp;IF(C2507="","",RIGHT("0"&amp;HOUR(C2507),2)&amp;":"&amp;RIGHT("0"&amp;MINUTE(C2507),2)&amp;IF(D2507="","","–"&amp;RIGHT("0"&amp;HOUR(D2507),2)&amp;":"&amp;RIGHT("0"&amp;MINUTE(D2507),2))&amp;" ")&amp;F2507)</f>
        <v/>
      </c>
      <c r="N2507" s="54">
        <f>IF(OR(A2507="",F2507=""),"",A2507&amp;"#"&amp;(COUNTIFS($A$5:$A$3004,A2507,$F$5:$F$3004,"?*",$O$5:$O$3004,"&lt;"&amp;O2507)+COUNTIFS($A$5:A2507,A2507,$F$5:F2507,"?*",$O$5:O2507,O2507)))</f>
        <v/>
      </c>
      <c r="O2507" s="54">
        <f>IF(A2507="","",IF(C2507="",0,C2507))</f>
        <v/>
      </c>
    </row>
    <row r="2508">
      <c r="A2508" s="58" t="n"/>
      <c r="B2508" s="49">
        <f>IF(A2508="","",CHOOSE(WEEKDAY(A2508,2),"Пн","Вт","Ср","Чт","Пт","Сб","Вс"))</f>
        <v/>
      </c>
      <c r="C2508" s="59" t="n"/>
      <c r="D2508" s="59" t="n"/>
      <c r="E2508" s="60">
        <f>IF(OR(C2508="",D2508=""),"",MOD(D2508-C2508,1)*24)</f>
        <v/>
      </c>
      <c r="F2508" s="50" t="n"/>
      <c r="G2508" s="51" t="n"/>
      <c r="H2508" s="51" t="n"/>
      <c r="I2508" s="51" t="n"/>
      <c r="J2508" s="51" t="n"/>
      <c r="K2508" s="51" t="n"/>
      <c r="L2508" s="54">
        <f>IF(OR(A2508="",C2508="",D2508=""),"",IF(COUNTIFS($A$5:$A$3004,A2508,$C$5:$C$3004,"&lt;"&amp;D2508,$D$5:$D$3004,"&gt;"&amp;C2508)&gt;1,"⚠️ пересечение",""))</f>
        <v/>
      </c>
      <c r="M2508" s="54">
        <f>IF(F2508="","",IF(J2508="✅ Сделано","✔ ",IF(J2508="❌ Пропущено","✖ ","⏰ "))&amp;IF(C2508="","",RIGHT("0"&amp;HOUR(C2508),2)&amp;":"&amp;RIGHT("0"&amp;MINUTE(C2508),2)&amp;IF(D2508="","","–"&amp;RIGHT("0"&amp;HOUR(D2508),2)&amp;":"&amp;RIGHT("0"&amp;MINUTE(D2508),2))&amp;" ")&amp;F2508)</f>
        <v/>
      </c>
      <c r="N2508" s="54">
        <f>IF(OR(A2508="",F2508=""),"",A2508&amp;"#"&amp;(COUNTIFS($A$5:$A$3004,A2508,$F$5:$F$3004,"?*",$O$5:$O$3004,"&lt;"&amp;O2508)+COUNTIFS($A$5:A2508,A2508,$F$5:F2508,"?*",$O$5:O2508,O2508)))</f>
        <v/>
      </c>
      <c r="O2508" s="54">
        <f>IF(A2508="","",IF(C2508="",0,C2508))</f>
        <v/>
      </c>
    </row>
    <row r="2509">
      <c r="A2509" s="58" t="n"/>
      <c r="B2509" s="49">
        <f>IF(A2509="","",CHOOSE(WEEKDAY(A2509,2),"Пн","Вт","Ср","Чт","Пт","Сб","Вс"))</f>
        <v/>
      </c>
      <c r="C2509" s="59" t="n"/>
      <c r="D2509" s="59" t="n"/>
      <c r="E2509" s="60">
        <f>IF(OR(C2509="",D2509=""),"",MOD(D2509-C2509,1)*24)</f>
        <v/>
      </c>
      <c r="F2509" s="50" t="n"/>
      <c r="G2509" s="51" t="n"/>
      <c r="H2509" s="51" t="n"/>
      <c r="I2509" s="51" t="n"/>
      <c r="J2509" s="51" t="n"/>
      <c r="K2509" s="51" t="n"/>
      <c r="L2509" s="54">
        <f>IF(OR(A2509="",C2509="",D2509=""),"",IF(COUNTIFS($A$5:$A$3004,A2509,$C$5:$C$3004,"&lt;"&amp;D2509,$D$5:$D$3004,"&gt;"&amp;C2509)&gt;1,"⚠️ пересечение",""))</f>
        <v/>
      </c>
      <c r="M2509" s="54">
        <f>IF(F2509="","",IF(J2509="✅ Сделано","✔ ",IF(J2509="❌ Пропущено","✖ ","⏰ "))&amp;IF(C2509="","",RIGHT("0"&amp;HOUR(C2509),2)&amp;":"&amp;RIGHT("0"&amp;MINUTE(C2509),2)&amp;IF(D2509="","","–"&amp;RIGHT("0"&amp;HOUR(D2509),2)&amp;":"&amp;RIGHT("0"&amp;MINUTE(D2509),2))&amp;" ")&amp;F2509)</f>
        <v/>
      </c>
      <c r="N2509" s="54">
        <f>IF(OR(A2509="",F2509=""),"",A2509&amp;"#"&amp;(COUNTIFS($A$5:$A$3004,A2509,$F$5:$F$3004,"?*",$O$5:$O$3004,"&lt;"&amp;O2509)+COUNTIFS($A$5:A2509,A2509,$F$5:F2509,"?*",$O$5:O2509,O2509)))</f>
        <v/>
      </c>
      <c r="O2509" s="54">
        <f>IF(A2509="","",IF(C2509="",0,C2509))</f>
        <v/>
      </c>
    </row>
    <row r="2510">
      <c r="A2510" s="58" t="n"/>
      <c r="B2510" s="49">
        <f>IF(A2510="","",CHOOSE(WEEKDAY(A2510,2),"Пн","Вт","Ср","Чт","Пт","Сб","Вс"))</f>
        <v/>
      </c>
      <c r="C2510" s="59" t="n"/>
      <c r="D2510" s="59" t="n"/>
      <c r="E2510" s="60">
        <f>IF(OR(C2510="",D2510=""),"",MOD(D2510-C2510,1)*24)</f>
        <v/>
      </c>
      <c r="F2510" s="50" t="n"/>
      <c r="G2510" s="51" t="n"/>
      <c r="H2510" s="51" t="n"/>
      <c r="I2510" s="51" t="n"/>
      <c r="J2510" s="51" t="n"/>
      <c r="K2510" s="51" t="n"/>
      <c r="L2510" s="54">
        <f>IF(OR(A2510="",C2510="",D2510=""),"",IF(COUNTIFS($A$5:$A$3004,A2510,$C$5:$C$3004,"&lt;"&amp;D2510,$D$5:$D$3004,"&gt;"&amp;C2510)&gt;1,"⚠️ пересечение",""))</f>
        <v/>
      </c>
      <c r="M2510" s="54">
        <f>IF(F2510="","",IF(J2510="✅ Сделано","✔ ",IF(J2510="❌ Пропущено","✖ ","⏰ "))&amp;IF(C2510="","",RIGHT("0"&amp;HOUR(C2510),2)&amp;":"&amp;RIGHT("0"&amp;MINUTE(C2510),2)&amp;IF(D2510="","","–"&amp;RIGHT("0"&amp;HOUR(D2510),2)&amp;":"&amp;RIGHT("0"&amp;MINUTE(D2510),2))&amp;" ")&amp;F2510)</f>
        <v/>
      </c>
      <c r="N2510" s="54">
        <f>IF(OR(A2510="",F2510=""),"",A2510&amp;"#"&amp;(COUNTIFS($A$5:$A$3004,A2510,$F$5:$F$3004,"?*",$O$5:$O$3004,"&lt;"&amp;O2510)+COUNTIFS($A$5:A2510,A2510,$F$5:F2510,"?*",$O$5:O2510,O2510)))</f>
        <v/>
      </c>
      <c r="O2510" s="54">
        <f>IF(A2510="","",IF(C2510="",0,C2510))</f>
        <v/>
      </c>
    </row>
    <row r="2511">
      <c r="A2511" s="58" t="n"/>
      <c r="B2511" s="49">
        <f>IF(A2511="","",CHOOSE(WEEKDAY(A2511,2),"Пн","Вт","Ср","Чт","Пт","Сб","Вс"))</f>
        <v/>
      </c>
      <c r="C2511" s="59" t="n"/>
      <c r="D2511" s="59" t="n"/>
      <c r="E2511" s="60">
        <f>IF(OR(C2511="",D2511=""),"",MOD(D2511-C2511,1)*24)</f>
        <v/>
      </c>
      <c r="F2511" s="50" t="n"/>
      <c r="G2511" s="51" t="n"/>
      <c r="H2511" s="51" t="n"/>
      <c r="I2511" s="51" t="n"/>
      <c r="J2511" s="51" t="n"/>
      <c r="K2511" s="51" t="n"/>
      <c r="L2511" s="54">
        <f>IF(OR(A2511="",C2511="",D2511=""),"",IF(COUNTIFS($A$5:$A$3004,A2511,$C$5:$C$3004,"&lt;"&amp;D2511,$D$5:$D$3004,"&gt;"&amp;C2511)&gt;1,"⚠️ пересечение",""))</f>
        <v/>
      </c>
      <c r="M2511" s="54">
        <f>IF(F2511="","",IF(J2511="✅ Сделано","✔ ",IF(J2511="❌ Пропущено","✖ ","⏰ "))&amp;IF(C2511="","",RIGHT("0"&amp;HOUR(C2511),2)&amp;":"&amp;RIGHT("0"&amp;MINUTE(C2511),2)&amp;IF(D2511="","","–"&amp;RIGHT("0"&amp;HOUR(D2511),2)&amp;":"&amp;RIGHT("0"&amp;MINUTE(D2511),2))&amp;" ")&amp;F2511)</f>
        <v/>
      </c>
      <c r="N2511" s="54">
        <f>IF(OR(A2511="",F2511=""),"",A2511&amp;"#"&amp;(COUNTIFS($A$5:$A$3004,A2511,$F$5:$F$3004,"?*",$O$5:$O$3004,"&lt;"&amp;O2511)+COUNTIFS($A$5:A2511,A2511,$F$5:F2511,"?*",$O$5:O2511,O2511)))</f>
        <v/>
      </c>
      <c r="O2511" s="54">
        <f>IF(A2511="","",IF(C2511="",0,C2511))</f>
        <v/>
      </c>
    </row>
    <row r="2512">
      <c r="A2512" s="58" t="n"/>
      <c r="B2512" s="49">
        <f>IF(A2512="","",CHOOSE(WEEKDAY(A2512,2),"Пн","Вт","Ср","Чт","Пт","Сб","Вс"))</f>
        <v/>
      </c>
      <c r="C2512" s="59" t="n"/>
      <c r="D2512" s="59" t="n"/>
      <c r="E2512" s="60">
        <f>IF(OR(C2512="",D2512=""),"",MOD(D2512-C2512,1)*24)</f>
        <v/>
      </c>
      <c r="F2512" s="50" t="n"/>
      <c r="G2512" s="51" t="n"/>
      <c r="H2512" s="51" t="n"/>
      <c r="I2512" s="51" t="n"/>
      <c r="J2512" s="51" t="n"/>
      <c r="K2512" s="51" t="n"/>
      <c r="L2512" s="54">
        <f>IF(OR(A2512="",C2512="",D2512=""),"",IF(COUNTIFS($A$5:$A$3004,A2512,$C$5:$C$3004,"&lt;"&amp;D2512,$D$5:$D$3004,"&gt;"&amp;C2512)&gt;1,"⚠️ пересечение",""))</f>
        <v/>
      </c>
      <c r="M2512" s="54">
        <f>IF(F2512="","",IF(J2512="✅ Сделано","✔ ",IF(J2512="❌ Пропущено","✖ ","⏰ "))&amp;IF(C2512="","",RIGHT("0"&amp;HOUR(C2512),2)&amp;":"&amp;RIGHT("0"&amp;MINUTE(C2512),2)&amp;IF(D2512="","","–"&amp;RIGHT("0"&amp;HOUR(D2512),2)&amp;":"&amp;RIGHT("0"&amp;MINUTE(D2512),2))&amp;" ")&amp;F2512)</f>
        <v/>
      </c>
      <c r="N2512" s="54">
        <f>IF(OR(A2512="",F2512=""),"",A2512&amp;"#"&amp;(COUNTIFS($A$5:$A$3004,A2512,$F$5:$F$3004,"?*",$O$5:$O$3004,"&lt;"&amp;O2512)+COUNTIFS($A$5:A2512,A2512,$F$5:F2512,"?*",$O$5:O2512,O2512)))</f>
        <v/>
      </c>
      <c r="O2512" s="54">
        <f>IF(A2512="","",IF(C2512="",0,C2512))</f>
        <v/>
      </c>
    </row>
    <row r="2513">
      <c r="A2513" s="58" t="n"/>
      <c r="B2513" s="49">
        <f>IF(A2513="","",CHOOSE(WEEKDAY(A2513,2),"Пн","Вт","Ср","Чт","Пт","Сб","Вс"))</f>
        <v/>
      </c>
      <c r="C2513" s="59" t="n"/>
      <c r="D2513" s="59" t="n"/>
      <c r="E2513" s="60">
        <f>IF(OR(C2513="",D2513=""),"",MOD(D2513-C2513,1)*24)</f>
        <v/>
      </c>
      <c r="F2513" s="50" t="n"/>
      <c r="G2513" s="51" t="n"/>
      <c r="H2513" s="51" t="n"/>
      <c r="I2513" s="51" t="n"/>
      <c r="J2513" s="51" t="n"/>
      <c r="K2513" s="51" t="n"/>
      <c r="L2513" s="54">
        <f>IF(OR(A2513="",C2513="",D2513=""),"",IF(COUNTIFS($A$5:$A$3004,A2513,$C$5:$C$3004,"&lt;"&amp;D2513,$D$5:$D$3004,"&gt;"&amp;C2513)&gt;1,"⚠️ пересечение",""))</f>
        <v/>
      </c>
      <c r="M2513" s="54">
        <f>IF(F2513="","",IF(J2513="✅ Сделано","✔ ",IF(J2513="❌ Пропущено","✖ ","⏰ "))&amp;IF(C2513="","",RIGHT("0"&amp;HOUR(C2513),2)&amp;":"&amp;RIGHT("0"&amp;MINUTE(C2513),2)&amp;IF(D2513="","","–"&amp;RIGHT("0"&amp;HOUR(D2513),2)&amp;":"&amp;RIGHT("0"&amp;MINUTE(D2513),2))&amp;" ")&amp;F2513)</f>
        <v/>
      </c>
      <c r="N2513" s="54">
        <f>IF(OR(A2513="",F2513=""),"",A2513&amp;"#"&amp;(COUNTIFS($A$5:$A$3004,A2513,$F$5:$F$3004,"?*",$O$5:$O$3004,"&lt;"&amp;O2513)+COUNTIFS($A$5:A2513,A2513,$F$5:F2513,"?*",$O$5:O2513,O2513)))</f>
        <v/>
      </c>
      <c r="O2513" s="54">
        <f>IF(A2513="","",IF(C2513="",0,C2513))</f>
        <v/>
      </c>
    </row>
    <row r="2514">
      <c r="A2514" s="58" t="n"/>
      <c r="B2514" s="49">
        <f>IF(A2514="","",CHOOSE(WEEKDAY(A2514,2),"Пн","Вт","Ср","Чт","Пт","Сб","Вс"))</f>
        <v/>
      </c>
      <c r="C2514" s="59" t="n"/>
      <c r="D2514" s="59" t="n"/>
      <c r="E2514" s="60">
        <f>IF(OR(C2514="",D2514=""),"",MOD(D2514-C2514,1)*24)</f>
        <v/>
      </c>
      <c r="F2514" s="50" t="n"/>
      <c r="G2514" s="51" t="n"/>
      <c r="H2514" s="51" t="n"/>
      <c r="I2514" s="51" t="n"/>
      <c r="J2514" s="51" t="n"/>
      <c r="K2514" s="51" t="n"/>
      <c r="L2514" s="54">
        <f>IF(OR(A2514="",C2514="",D2514=""),"",IF(COUNTIFS($A$5:$A$3004,A2514,$C$5:$C$3004,"&lt;"&amp;D2514,$D$5:$D$3004,"&gt;"&amp;C2514)&gt;1,"⚠️ пересечение",""))</f>
        <v/>
      </c>
      <c r="M2514" s="54">
        <f>IF(F2514="","",IF(J2514="✅ Сделано","✔ ",IF(J2514="❌ Пропущено","✖ ","⏰ "))&amp;IF(C2514="","",RIGHT("0"&amp;HOUR(C2514),2)&amp;":"&amp;RIGHT("0"&amp;MINUTE(C2514),2)&amp;IF(D2514="","","–"&amp;RIGHT("0"&amp;HOUR(D2514),2)&amp;":"&amp;RIGHT("0"&amp;MINUTE(D2514),2))&amp;" ")&amp;F2514)</f>
        <v/>
      </c>
      <c r="N2514" s="54">
        <f>IF(OR(A2514="",F2514=""),"",A2514&amp;"#"&amp;(COUNTIFS($A$5:$A$3004,A2514,$F$5:$F$3004,"?*",$O$5:$O$3004,"&lt;"&amp;O2514)+COUNTIFS($A$5:A2514,A2514,$F$5:F2514,"?*",$O$5:O2514,O2514)))</f>
        <v/>
      </c>
      <c r="O2514" s="54">
        <f>IF(A2514="","",IF(C2514="",0,C2514))</f>
        <v/>
      </c>
    </row>
    <row r="2515">
      <c r="A2515" s="58" t="n"/>
      <c r="B2515" s="49">
        <f>IF(A2515="","",CHOOSE(WEEKDAY(A2515,2),"Пн","Вт","Ср","Чт","Пт","Сб","Вс"))</f>
        <v/>
      </c>
      <c r="C2515" s="59" t="n"/>
      <c r="D2515" s="59" t="n"/>
      <c r="E2515" s="60">
        <f>IF(OR(C2515="",D2515=""),"",MOD(D2515-C2515,1)*24)</f>
        <v/>
      </c>
      <c r="F2515" s="50" t="n"/>
      <c r="G2515" s="51" t="n"/>
      <c r="H2515" s="51" t="n"/>
      <c r="I2515" s="51" t="n"/>
      <c r="J2515" s="51" t="n"/>
      <c r="K2515" s="51" t="n"/>
      <c r="L2515" s="54">
        <f>IF(OR(A2515="",C2515="",D2515=""),"",IF(COUNTIFS($A$5:$A$3004,A2515,$C$5:$C$3004,"&lt;"&amp;D2515,$D$5:$D$3004,"&gt;"&amp;C2515)&gt;1,"⚠️ пересечение",""))</f>
        <v/>
      </c>
      <c r="M2515" s="54">
        <f>IF(F2515="","",IF(J2515="✅ Сделано","✔ ",IF(J2515="❌ Пропущено","✖ ","⏰ "))&amp;IF(C2515="","",RIGHT("0"&amp;HOUR(C2515),2)&amp;":"&amp;RIGHT("0"&amp;MINUTE(C2515),2)&amp;IF(D2515="","","–"&amp;RIGHT("0"&amp;HOUR(D2515),2)&amp;":"&amp;RIGHT("0"&amp;MINUTE(D2515),2))&amp;" ")&amp;F2515)</f>
        <v/>
      </c>
      <c r="N2515" s="54">
        <f>IF(OR(A2515="",F2515=""),"",A2515&amp;"#"&amp;(COUNTIFS($A$5:$A$3004,A2515,$F$5:$F$3004,"?*",$O$5:$O$3004,"&lt;"&amp;O2515)+COUNTIFS($A$5:A2515,A2515,$F$5:F2515,"?*",$O$5:O2515,O2515)))</f>
        <v/>
      </c>
      <c r="O2515" s="54">
        <f>IF(A2515="","",IF(C2515="",0,C2515))</f>
        <v/>
      </c>
    </row>
    <row r="2516">
      <c r="A2516" s="58" t="n"/>
      <c r="B2516" s="49">
        <f>IF(A2516="","",CHOOSE(WEEKDAY(A2516,2),"Пн","Вт","Ср","Чт","Пт","Сб","Вс"))</f>
        <v/>
      </c>
      <c r="C2516" s="59" t="n"/>
      <c r="D2516" s="59" t="n"/>
      <c r="E2516" s="60">
        <f>IF(OR(C2516="",D2516=""),"",MOD(D2516-C2516,1)*24)</f>
        <v/>
      </c>
      <c r="F2516" s="50" t="n"/>
      <c r="G2516" s="51" t="n"/>
      <c r="H2516" s="51" t="n"/>
      <c r="I2516" s="51" t="n"/>
      <c r="J2516" s="51" t="n"/>
      <c r="K2516" s="51" t="n"/>
      <c r="L2516" s="54">
        <f>IF(OR(A2516="",C2516="",D2516=""),"",IF(COUNTIFS($A$5:$A$3004,A2516,$C$5:$C$3004,"&lt;"&amp;D2516,$D$5:$D$3004,"&gt;"&amp;C2516)&gt;1,"⚠️ пересечение",""))</f>
        <v/>
      </c>
      <c r="M2516" s="54">
        <f>IF(F2516="","",IF(J2516="✅ Сделано","✔ ",IF(J2516="❌ Пропущено","✖ ","⏰ "))&amp;IF(C2516="","",RIGHT("0"&amp;HOUR(C2516),2)&amp;":"&amp;RIGHT("0"&amp;MINUTE(C2516),2)&amp;IF(D2516="","","–"&amp;RIGHT("0"&amp;HOUR(D2516),2)&amp;":"&amp;RIGHT("0"&amp;MINUTE(D2516),2))&amp;" ")&amp;F2516)</f>
        <v/>
      </c>
      <c r="N2516" s="54">
        <f>IF(OR(A2516="",F2516=""),"",A2516&amp;"#"&amp;(COUNTIFS($A$5:$A$3004,A2516,$F$5:$F$3004,"?*",$O$5:$O$3004,"&lt;"&amp;O2516)+COUNTIFS($A$5:A2516,A2516,$F$5:F2516,"?*",$O$5:O2516,O2516)))</f>
        <v/>
      </c>
      <c r="O2516" s="54">
        <f>IF(A2516="","",IF(C2516="",0,C2516))</f>
        <v/>
      </c>
    </row>
    <row r="2517">
      <c r="A2517" s="58" t="n"/>
      <c r="B2517" s="49">
        <f>IF(A2517="","",CHOOSE(WEEKDAY(A2517,2),"Пн","Вт","Ср","Чт","Пт","Сб","Вс"))</f>
        <v/>
      </c>
      <c r="C2517" s="59" t="n"/>
      <c r="D2517" s="59" t="n"/>
      <c r="E2517" s="60">
        <f>IF(OR(C2517="",D2517=""),"",MOD(D2517-C2517,1)*24)</f>
        <v/>
      </c>
      <c r="F2517" s="50" t="n"/>
      <c r="G2517" s="51" t="n"/>
      <c r="H2517" s="51" t="n"/>
      <c r="I2517" s="51" t="n"/>
      <c r="J2517" s="51" t="n"/>
      <c r="K2517" s="51" t="n"/>
      <c r="L2517" s="54">
        <f>IF(OR(A2517="",C2517="",D2517=""),"",IF(COUNTIFS($A$5:$A$3004,A2517,$C$5:$C$3004,"&lt;"&amp;D2517,$D$5:$D$3004,"&gt;"&amp;C2517)&gt;1,"⚠️ пересечение",""))</f>
        <v/>
      </c>
      <c r="M2517" s="54">
        <f>IF(F2517="","",IF(J2517="✅ Сделано","✔ ",IF(J2517="❌ Пропущено","✖ ","⏰ "))&amp;IF(C2517="","",RIGHT("0"&amp;HOUR(C2517),2)&amp;":"&amp;RIGHT("0"&amp;MINUTE(C2517),2)&amp;IF(D2517="","","–"&amp;RIGHT("0"&amp;HOUR(D2517),2)&amp;":"&amp;RIGHT("0"&amp;MINUTE(D2517),2))&amp;" ")&amp;F2517)</f>
        <v/>
      </c>
      <c r="N2517" s="54">
        <f>IF(OR(A2517="",F2517=""),"",A2517&amp;"#"&amp;(COUNTIFS($A$5:$A$3004,A2517,$F$5:$F$3004,"?*",$O$5:$O$3004,"&lt;"&amp;O2517)+COUNTIFS($A$5:A2517,A2517,$F$5:F2517,"?*",$O$5:O2517,O2517)))</f>
        <v/>
      </c>
      <c r="O2517" s="54">
        <f>IF(A2517="","",IF(C2517="",0,C2517))</f>
        <v/>
      </c>
    </row>
    <row r="2518">
      <c r="A2518" s="58" t="n"/>
      <c r="B2518" s="49">
        <f>IF(A2518="","",CHOOSE(WEEKDAY(A2518,2),"Пн","Вт","Ср","Чт","Пт","Сб","Вс"))</f>
        <v/>
      </c>
      <c r="C2518" s="59" t="n"/>
      <c r="D2518" s="59" t="n"/>
      <c r="E2518" s="60">
        <f>IF(OR(C2518="",D2518=""),"",MOD(D2518-C2518,1)*24)</f>
        <v/>
      </c>
      <c r="F2518" s="50" t="n"/>
      <c r="G2518" s="51" t="n"/>
      <c r="H2518" s="51" t="n"/>
      <c r="I2518" s="51" t="n"/>
      <c r="J2518" s="51" t="n"/>
      <c r="K2518" s="51" t="n"/>
      <c r="L2518" s="54">
        <f>IF(OR(A2518="",C2518="",D2518=""),"",IF(COUNTIFS($A$5:$A$3004,A2518,$C$5:$C$3004,"&lt;"&amp;D2518,$D$5:$D$3004,"&gt;"&amp;C2518)&gt;1,"⚠️ пересечение",""))</f>
        <v/>
      </c>
      <c r="M2518" s="54">
        <f>IF(F2518="","",IF(J2518="✅ Сделано","✔ ",IF(J2518="❌ Пропущено","✖ ","⏰ "))&amp;IF(C2518="","",RIGHT("0"&amp;HOUR(C2518),2)&amp;":"&amp;RIGHT("0"&amp;MINUTE(C2518),2)&amp;IF(D2518="","","–"&amp;RIGHT("0"&amp;HOUR(D2518),2)&amp;":"&amp;RIGHT("0"&amp;MINUTE(D2518),2))&amp;" ")&amp;F2518)</f>
        <v/>
      </c>
      <c r="N2518" s="54">
        <f>IF(OR(A2518="",F2518=""),"",A2518&amp;"#"&amp;(COUNTIFS($A$5:$A$3004,A2518,$F$5:$F$3004,"?*",$O$5:$O$3004,"&lt;"&amp;O2518)+COUNTIFS($A$5:A2518,A2518,$F$5:F2518,"?*",$O$5:O2518,O2518)))</f>
        <v/>
      </c>
      <c r="O2518" s="54">
        <f>IF(A2518="","",IF(C2518="",0,C2518))</f>
        <v/>
      </c>
    </row>
    <row r="2519">
      <c r="A2519" s="58" t="n"/>
      <c r="B2519" s="49">
        <f>IF(A2519="","",CHOOSE(WEEKDAY(A2519,2),"Пн","Вт","Ср","Чт","Пт","Сб","Вс"))</f>
        <v/>
      </c>
      <c r="C2519" s="59" t="n"/>
      <c r="D2519" s="59" t="n"/>
      <c r="E2519" s="60">
        <f>IF(OR(C2519="",D2519=""),"",MOD(D2519-C2519,1)*24)</f>
        <v/>
      </c>
      <c r="F2519" s="50" t="n"/>
      <c r="G2519" s="51" t="n"/>
      <c r="H2519" s="51" t="n"/>
      <c r="I2519" s="51" t="n"/>
      <c r="J2519" s="51" t="n"/>
      <c r="K2519" s="51" t="n"/>
      <c r="L2519" s="54">
        <f>IF(OR(A2519="",C2519="",D2519=""),"",IF(COUNTIFS($A$5:$A$3004,A2519,$C$5:$C$3004,"&lt;"&amp;D2519,$D$5:$D$3004,"&gt;"&amp;C2519)&gt;1,"⚠️ пересечение",""))</f>
        <v/>
      </c>
      <c r="M2519" s="54">
        <f>IF(F2519="","",IF(J2519="✅ Сделано","✔ ",IF(J2519="❌ Пропущено","✖ ","⏰ "))&amp;IF(C2519="","",RIGHT("0"&amp;HOUR(C2519),2)&amp;":"&amp;RIGHT("0"&amp;MINUTE(C2519),2)&amp;IF(D2519="","","–"&amp;RIGHT("0"&amp;HOUR(D2519),2)&amp;":"&amp;RIGHT("0"&amp;MINUTE(D2519),2))&amp;" ")&amp;F2519)</f>
        <v/>
      </c>
      <c r="N2519" s="54">
        <f>IF(OR(A2519="",F2519=""),"",A2519&amp;"#"&amp;(COUNTIFS($A$5:$A$3004,A2519,$F$5:$F$3004,"?*",$O$5:$O$3004,"&lt;"&amp;O2519)+COUNTIFS($A$5:A2519,A2519,$F$5:F2519,"?*",$O$5:O2519,O2519)))</f>
        <v/>
      </c>
      <c r="O2519" s="54">
        <f>IF(A2519="","",IF(C2519="",0,C2519))</f>
        <v/>
      </c>
    </row>
    <row r="2520">
      <c r="A2520" s="58" t="n"/>
      <c r="B2520" s="49">
        <f>IF(A2520="","",CHOOSE(WEEKDAY(A2520,2),"Пн","Вт","Ср","Чт","Пт","Сб","Вс"))</f>
        <v/>
      </c>
      <c r="C2520" s="59" t="n"/>
      <c r="D2520" s="59" t="n"/>
      <c r="E2520" s="60">
        <f>IF(OR(C2520="",D2520=""),"",MOD(D2520-C2520,1)*24)</f>
        <v/>
      </c>
      <c r="F2520" s="50" t="n"/>
      <c r="G2520" s="51" t="n"/>
      <c r="H2520" s="51" t="n"/>
      <c r="I2520" s="51" t="n"/>
      <c r="J2520" s="51" t="n"/>
      <c r="K2520" s="51" t="n"/>
      <c r="L2520" s="54">
        <f>IF(OR(A2520="",C2520="",D2520=""),"",IF(COUNTIFS($A$5:$A$3004,A2520,$C$5:$C$3004,"&lt;"&amp;D2520,$D$5:$D$3004,"&gt;"&amp;C2520)&gt;1,"⚠️ пересечение",""))</f>
        <v/>
      </c>
      <c r="M2520" s="54">
        <f>IF(F2520="","",IF(J2520="✅ Сделано","✔ ",IF(J2520="❌ Пропущено","✖ ","⏰ "))&amp;IF(C2520="","",RIGHT("0"&amp;HOUR(C2520),2)&amp;":"&amp;RIGHT("0"&amp;MINUTE(C2520),2)&amp;IF(D2520="","","–"&amp;RIGHT("0"&amp;HOUR(D2520),2)&amp;":"&amp;RIGHT("0"&amp;MINUTE(D2520),2))&amp;" ")&amp;F2520)</f>
        <v/>
      </c>
      <c r="N2520" s="54">
        <f>IF(OR(A2520="",F2520=""),"",A2520&amp;"#"&amp;(COUNTIFS($A$5:$A$3004,A2520,$F$5:$F$3004,"?*",$O$5:$O$3004,"&lt;"&amp;O2520)+COUNTIFS($A$5:A2520,A2520,$F$5:F2520,"?*",$O$5:O2520,O2520)))</f>
        <v/>
      </c>
      <c r="O2520" s="54">
        <f>IF(A2520="","",IF(C2520="",0,C2520))</f>
        <v/>
      </c>
    </row>
    <row r="2521">
      <c r="A2521" s="58" t="n"/>
      <c r="B2521" s="49">
        <f>IF(A2521="","",CHOOSE(WEEKDAY(A2521,2),"Пн","Вт","Ср","Чт","Пт","Сб","Вс"))</f>
        <v/>
      </c>
      <c r="C2521" s="59" t="n"/>
      <c r="D2521" s="59" t="n"/>
      <c r="E2521" s="60">
        <f>IF(OR(C2521="",D2521=""),"",MOD(D2521-C2521,1)*24)</f>
        <v/>
      </c>
      <c r="F2521" s="50" t="n"/>
      <c r="G2521" s="51" t="n"/>
      <c r="H2521" s="51" t="n"/>
      <c r="I2521" s="51" t="n"/>
      <c r="J2521" s="51" t="n"/>
      <c r="K2521" s="51" t="n"/>
      <c r="L2521" s="54">
        <f>IF(OR(A2521="",C2521="",D2521=""),"",IF(COUNTIFS($A$5:$A$3004,A2521,$C$5:$C$3004,"&lt;"&amp;D2521,$D$5:$D$3004,"&gt;"&amp;C2521)&gt;1,"⚠️ пересечение",""))</f>
        <v/>
      </c>
      <c r="M2521" s="54">
        <f>IF(F2521="","",IF(J2521="✅ Сделано","✔ ",IF(J2521="❌ Пропущено","✖ ","⏰ "))&amp;IF(C2521="","",RIGHT("0"&amp;HOUR(C2521),2)&amp;":"&amp;RIGHT("0"&amp;MINUTE(C2521),2)&amp;IF(D2521="","","–"&amp;RIGHT("0"&amp;HOUR(D2521),2)&amp;":"&amp;RIGHT("0"&amp;MINUTE(D2521),2))&amp;" ")&amp;F2521)</f>
        <v/>
      </c>
      <c r="N2521" s="54">
        <f>IF(OR(A2521="",F2521=""),"",A2521&amp;"#"&amp;(COUNTIFS($A$5:$A$3004,A2521,$F$5:$F$3004,"?*",$O$5:$O$3004,"&lt;"&amp;O2521)+COUNTIFS($A$5:A2521,A2521,$F$5:F2521,"?*",$O$5:O2521,O2521)))</f>
        <v/>
      </c>
      <c r="O2521" s="54">
        <f>IF(A2521="","",IF(C2521="",0,C2521))</f>
        <v/>
      </c>
    </row>
    <row r="2522">
      <c r="A2522" s="58" t="n"/>
      <c r="B2522" s="49">
        <f>IF(A2522="","",CHOOSE(WEEKDAY(A2522,2),"Пн","Вт","Ср","Чт","Пт","Сб","Вс"))</f>
        <v/>
      </c>
      <c r="C2522" s="59" t="n"/>
      <c r="D2522" s="59" t="n"/>
      <c r="E2522" s="60">
        <f>IF(OR(C2522="",D2522=""),"",MOD(D2522-C2522,1)*24)</f>
        <v/>
      </c>
      <c r="F2522" s="50" t="n"/>
      <c r="G2522" s="51" t="n"/>
      <c r="H2522" s="51" t="n"/>
      <c r="I2522" s="51" t="n"/>
      <c r="J2522" s="51" t="n"/>
      <c r="K2522" s="51" t="n"/>
      <c r="L2522" s="54">
        <f>IF(OR(A2522="",C2522="",D2522=""),"",IF(COUNTIFS($A$5:$A$3004,A2522,$C$5:$C$3004,"&lt;"&amp;D2522,$D$5:$D$3004,"&gt;"&amp;C2522)&gt;1,"⚠️ пересечение",""))</f>
        <v/>
      </c>
      <c r="M2522" s="54">
        <f>IF(F2522="","",IF(J2522="✅ Сделано","✔ ",IF(J2522="❌ Пропущено","✖ ","⏰ "))&amp;IF(C2522="","",RIGHT("0"&amp;HOUR(C2522),2)&amp;":"&amp;RIGHT("0"&amp;MINUTE(C2522),2)&amp;IF(D2522="","","–"&amp;RIGHT("0"&amp;HOUR(D2522),2)&amp;":"&amp;RIGHT("0"&amp;MINUTE(D2522),2))&amp;" ")&amp;F2522)</f>
        <v/>
      </c>
      <c r="N2522" s="54">
        <f>IF(OR(A2522="",F2522=""),"",A2522&amp;"#"&amp;(COUNTIFS($A$5:$A$3004,A2522,$F$5:$F$3004,"?*",$O$5:$O$3004,"&lt;"&amp;O2522)+COUNTIFS($A$5:A2522,A2522,$F$5:F2522,"?*",$O$5:O2522,O2522)))</f>
        <v/>
      </c>
      <c r="O2522" s="54">
        <f>IF(A2522="","",IF(C2522="",0,C2522))</f>
        <v/>
      </c>
    </row>
    <row r="2523">
      <c r="A2523" s="58" t="n"/>
      <c r="B2523" s="49">
        <f>IF(A2523="","",CHOOSE(WEEKDAY(A2523,2),"Пн","Вт","Ср","Чт","Пт","Сб","Вс"))</f>
        <v/>
      </c>
      <c r="C2523" s="59" t="n"/>
      <c r="D2523" s="59" t="n"/>
      <c r="E2523" s="60">
        <f>IF(OR(C2523="",D2523=""),"",MOD(D2523-C2523,1)*24)</f>
        <v/>
      </c>
      <c r="F2523" s="50" t="n"/>
      <c r="G2523" s="51" t="n"/>
      <c r="H2523" s="51" t="n"/>
      <c r="I2523" s="51" t="n"/>
      <c r="J2523" s="51" t="n"/>
      <c r="K2523" s="51" t="n"/>
      <c r="L2523" s="54">
        <f>IF(OR(A2523="",C2523="",D2523=""),"",IF(COUNTIFS($A$5:$A$3004,A2523,$C$5:$C$3004,"&lt;"&amp;D2523,$D$5:$D$3004,"&gt;"&amp;C2523)&gt;1,"⚠️ пересечение",""))</f>
        <v/>
      </c>
      <c r="M2523" s="54">
        <f>IF(F2523="","",IF(J2523="✅ Сделано","✔ ",IF(J2523="❌ Пропущено","✖ ","⏰ "))&amp;IF(C2523="","",RIGHT("0"&amp;HOUR(C2523),2)&amp;":"&amp;RIGHT("0"&amp;MINUTE(C2523),2)&amp;IF(D2523="","","–"&amp;RIGHT("0"&amp;HOUR(D2523),2)&amp;":"&amp;RIGHT("0"&amp;MINUTE(D2523),2))&amp;" ")&amp;F2523)</f>
        <v/>
      </c>
      <c r="N2523" s="54">
        <f>IF(OR(A2523="",F2523=""),"",A2523&amp;"#"&amp;(COUNTIFS($A$5:$A$3004,A2523,$F$5:$F$3004,"?*",$O$5:$O$3004,"&lt;"&amp;O2523)+COUNTIFS($A$5:A2523,A2523,$F$5:F2523,"?*",$O$5:O2523,O2523)))</f>
        <v/>
      </c>
      <c r="O2523" s="54">
        <f>IF(A2523="","",IF(C2523="",0,C2523))</f>
        <v/>
      </c>
    </row>
    <row r="2524">
      <c r="A2524" s="58" t="n"/>
      <c r="B2524" s="49">
        <f>IF(A2524="","",CHOOSE(WEEKDAY(A2524,2),"Пн","Вт","Ср","Чт","Пт","Сб","Вс"))</f>
        <v/>
      </c>
      <c r="C2524" s="59" t="n"/>
      <c r="D2524" s="59" t="n"/>
      <c r="E2524" s="60">
        <f>IF(OR(C2524="",D2524=""),"",MOD(D2524-C2524,1)*24)</f>
        <v/>
      </c>
      <c r="F2524" s="50" t="n"/>
      <c r="G2524" s="51" t="n"/>
      <c r="H2524" s="51" t="n"/>
      <c r="I2524" s="51" t="n"/>
      <c r="J2524" s="51" t="n"/>
      <c r="K2524" s="51" t="n"/>
      <c r="L2524" s="54">
        <f>IF(OR(A2524="",C2524="",D2524=""),"",IF(COUNTIFS($A$5:$A$3004,A2524,$C$5:$C$3004,"&lt;"&amp;D2524,$D$5:$D$3004,"&gt;"&amp;C2524)&gt;1,"⚠️ пересечение",""))</f>
        <v/>
      </c>
      <c r="M2524" s="54">
        <f>IF(F2524="","",IF(J2524="✅ Сделано","✔ ",IF(J2524="❌ Пропущено","✖ ","⏰ "))&amp;IF(C2524="","",RIGHT("0"&amp;HOUR(C2524),2)&amp;":"&amp;RIGHT("0"&amp;MINUTE(C2524),2)&amp;IF(D2524="","","–"&amp;RIGHT("0"&amp;HOUR(D2524),2)&amp;":"&amp;RIGHT("0"&amp;MINUTE(D2524),2))&amp;" ")&amp;F2524)</f>
        <v/>
      </c>
      <c r="N2524" s="54">
        <f>IF(OR(A2524="",F2524=""),"",A2524&amp;"#"&amp;(COUNTIFS($A$5:$A$3004,A2524,$F$5:$F$3004,"?*",$O$5:$O$3004,"&lt;"&amp;O2524)+COUNTIFS($A$5:A2524,A2524,$F$5:F2524,"?*",$O$5:O2524,O2524)))</f>
        <v/>
      </c>
      <c r="O2524" s="54">
        <f>IF(A2524="","",IF(C2524="",0,C2524))</f>
        <v/>
      </c>
    </row>
    <row r="2525">
      <c r="A2525" s="58" t="n"/>
      <c r="B2525" s="49">
        <f>IF(A2525="","",CHOOSE(WEEKDAY(A2525,2),"Пн","Вт","Ср","Чт","Пт","Сб","Вс"))</f>
        <v/>
      </c>
      <c r="C2525" s="59" t="n"/>
      <c r="D2525" s="59" t="n"/>
      <c r="E2525" s="60">
        <f>IF(OR(C2525="",D2525=""),"",MOD(D2525-C2525,1)*24)</f>
        <v/>
      </c>
      <c r="F2525" s="50" t="n"/>
      <c r="G2525" s="51" t="n"/>
      <c r="H2525" s="51" t="n"/>
      <c r="I2525" s="51" t="n"/>
      <c r="J2525" s="51" t="n"/>
      <c r="K2525" s="51" t="n"/>
      <c r="L2525" s="54">
        <f>IF(OR(A2525="",C2525="",D2525=""),"",IF(COUNTIFS($A$5:$A$3004,A2525,$C$5:$C$3004,"&lt;"&amp;D2525,$D$5:$D$3004,"&gt;"&amp;C2525)&gt;1,"⚠️ пересечение",""))</f>
        <v/>
      </c>
      <c r="M2525" s="54">
        <f>IF(F2525="","",IF(J2525="✅ Сделано","✔ ",IF(J2525="❌ Пропущено","✖ ","⏰ "))&amp;IF(C2525="","",RIGHT("0"&amp;HOUR(C2525),2)&amp;":"&amp;RIGHT("0"&amp;MINUTE(C2525),2)&amp;IF(D2525="","","–"&amp;RIGHT("0"&amp;HOUR(D2525),2)&amp;":"&amp;RIGHT("0"&amp;MINUTE(D2525),2))&amp;" ")&amp;F2525)</f>
        <v/>
      </c>
      <c r="N2525" s="54">
        <f>IF(OR(A2525="",F2525=""),"",A2525&amp;"#"&amp;(COUNTIFS($A$5:$A$3004,A2525,$F$5:$F$3004,"?*",$O$5:$O$3004,"&lt;"&amp;O2525)+COUNTIFS($A$5:A2525,A2525,$F$5:F2525,"?*",$O$5:O2525,O2525)))</f>
        <v/>
      </c>
      <c r="O2525" s="54">
        <f>IF(A2525="","",IF(C2525="",0,C2525))</f>
        <v/>
      </c>
    </row>
    <row r="2526">
      <c r="A2526" s="58" t="n"/>
      <c r="B2526" s="49">
        <f>IF(A2526="","",CHOOSE(WEEKDAY(A2526,2),"Пн","Вт","Ср","Чт","Пт","Сб","Вс"))</f>
        <v/>
      </c>
      <c r="C2526" s="59" t="n"/>
      <c r="D2526" s="59" t="n"/>
      <c r="E2526" s="60">
        <f>IF(OR(C2526="",D2526=""),"",MOD(D2526-C2526,1)*24)</f>
        <v/>
      </c>
      <c r="F2526" s="50" t="n"/>
      <c r="G2526" s="51" t="n"/>
      <c r="H2526" s="51" t="n"/>
      <c r="I2526" s="51" t="n"/>
      <c r="J2526" s="51" t="n"/>
      <c r="K2526" s="51" t="n"/>
      <c r="L2526" s="54">
        <f>IF(OR(A2526="",C2526="",D2526=""),"",IF(COUNTIFS($A$5:$A$3004,A2526,$C$5:$C$3004,"&lt;"&amp;D2526,$D$5:$D$3004,"&gt;"&amp;C2526)&gt;1,"⚠️ пересечение",""))</f>
        <v/>
      </c>
      <c r="M2526" s="54">
        <f>IF(F2526="","",IF(J2526="✅ Сделано","✔ ",IF(J2526="❌ Пропущено","✖ ","⏰ "))&amp;IF(C2526="","",RIGHT("0"&amp;HOUR(C2526),2)&amp;":"&amp;RIGHT("0"&amp;MINUTE(C2526),2)&amp;IF(D2526="","","–"&amp;RIGHT("0"&amp;HOUR(D2526),2)&amp;":"&amp;RIGHT("0"&amp;MINUTE(D2526),2))&amp;" ")&amp;F2526)</f>
        <v/>
      </c>
      <c r="N2526" s="54">
        <f>IF(OR(A2526="",F2526=""),"",A2526&amp;"#"&amp;(COUNTIFS($A$5:$A$3004,A2526,$F$5:$F$3004,"?*",$O$5:$O$3004,"&lt;"&amp;O2526)+COUNTIFS($A$5:A2526,A2526,$F$5:F2526,"?*",$O$5:O2526,O2526)))</f>
        <v/>
      </c>
      <c r="O2526" s="54">
        <f>IF(A2526="","",IF(C2526="",0,C2526))</f>
        <v/>
      </c>
    </row>
    <row r="2527">
      <c r="A2527" s="58" t="n"/>
      <c r="B2527" s="49">
        <f>IF(A2527="","",CHOOSE(WEEKDAY(A2527,2),"Пн","Вт","Ср","Чт","Пт","Сб","Вс"))</f>
        <v/>
      </c>
      <c r="C2527" s="59" t="n"/>
      <c r="D2527" s="59" t="n"/>
      <c r="E2527" s="60">
        <f>IF(OR(C2527="",D2527=""),"",MOD(D2527-C2527,1)*24)</f>
        <v/>
      </c>
      <c r="F2527" s="50" t="n"/>
      <c r="G2527" s="51" t="n"/>
      <c r="H2527" s="51" t="n"/>
      <c r="I2527" s="51" t="n"/>
      <c r="J2527" s="51" t="n"/>
      <c r="K2527" s="51" t="n"/>
      <c r="L2527" s="54">
        <f>IF(OR(A2527="",C2527="",D2527=""),"",IF(COUNTIFS($A$5:$A$3004,A2527,$C$5:$C$3004,"&lt;"&amp;D2527,$D$5:$D$3004,"&gt;"&amp;C2527)&gt;1,"⚠️ пересечение",""))</f>
        <v/>
      </c>
      <c r="M2527" s="54">
        <f>IF(F2527="","",IF(J2527="✅ Сделано","✔ ",IF(J2527="❌ Пропущено","✖ ","⏰ "))&amp;IF(C2527="","",RIGHT("0"&amp;HOUR(C2527),2)&amp;":"&amp;RIGHT("0"&amp;MINUTE(C2527),2)&amp;IF(D2527="","","–"&amp;RIGHT("0"&amp;HOUR(D2527),2)&amp;":"&amp;RIGHT("0"&amp;MINUTE(D2527),2))&amp;" ")&amp;F2527)</f>
        <v/>
      </c>
      <c r="N2527" s="54">
        <f>IF(OR(A2527="",F2527=""),"",A2527&amp;"#"&amp;(COUNTIFS($A$5:$A$3004,A2527,$F$5:$F$3004,"?*",$O$5:$O$3004,"&lt;"&amp;O2527)+COUNTIFS($A$5:A2527,A2527,$F$5:F2527,"?*",$O$5:O2527,O2527)))</f>
        <v/>
      </c>
      <c r="O2527" s="54">
        <f>IF(A2527="","",IF(C2527="",0,C2527))</f>
        <v/>
      </c>
    </row>
    <row r="2528">
      <c r="A2528" s="58" t="n"/>
      <c r="B2528" s="49">
        <f>IF(A2528="","",CHOOSE(WEEKDAY(A2528,2),"Пн","Вт","Ср","Чт","Пт","Сб","Вс"))</f>
        <v/>
      </c>
      <c r="C2528" s="59" t="n"/>
      <c r="D2528" s="59" t="n"/>
      <c r="E2528" s="60">
        <f>IF(OR(C2528="",D2528=""),"",MOD(D2528-C2528,1)*24)</f>
        <v/>
      </c>
      <c r="F2528" s="50" t="n"/>
      <c r="G2528" s="51" t="n"/>
      <c r="H2528" s="51" t="n"/>
      <c r="I2528" s="51" t="n"/>
      <c r="J2528" s="51" t="n"/>
      <c r="K2528" s="51" t="n"/>
      <c r="L2528" s="54">
        <f>IF(OR(A2528="",C2528="",D2528=""),"",IF(COUNTIFS($A$5:$A$3004,A2528,$C$5:$C$3004,"&lt;"&amp;D2528,$D$5:$D$3004,"&gt;"&amp;C2528)&gt;1,"⚠️ пересечение",""))</f>
        <v/>
      </c>
      <c r="M2528" s="54">
        <f>IF(F2528="","",IF(J2528="✅ Сделано","✔ ",IF(J2528="❌ Пропущено","✖ ","⏰ "))&amp;IF(C2528="","",RIGHT("0"&amp;HOUR(C2528),2)&amp;":"&amp;RIGHT("0"&amp;MINUTE(C2528),2)&amp;IF(D2528="","","–"&amp;RIGHT("0"&amp;HOUR(D2528),2)&amp;":"&amp;RIGHT("0"&amp;MINUTE(D2528),2))&amp;" ")&amp;F2528)</f>
        <v/>
      </c>
      <c r="N2528" s="54">
        <f>IF(OR(A2528="",F2528=""),"",A2528&amp;"#"&amp;(COUNTIFS($A$5:$A$3004,A2528,$F$5:$F$3004,"?*",$O$5:$O$3004,"&lt;"&amp;O2528)+COUNTIFS($A$5:A2528,A2528,$F$5:F2528,"?*",$O$5:O2528,O2528)))</f>
        <v/>
      </c>
      <c r="O2528" s="54">
        <f>IF(A2528="","",IF(C2528="",0,C2528))</f>
        <v/>
      </c>
    </row>
    <row r="2529">
      <c r="A2529" s="58" t="n"/>
      <c r="B2529" s="49">
        <f>IF(A2529="","",CHOOSE(WEEKDAY(A2529,2),"Пн","Вт","Ср","Чт","Пт","Сб","Вс"))</f>
        <v/>
      </c>
      <c r="C2529" s="59" t="n"/>
      <c r="D2529" s="59" t="n"/>
      <c r="E2529" s="60">
        <f>IF(OR(C2529="",D2529=""),"",MOD(D2529-C2529,1)*24)</f>
        <v/>
      </c>
      <c r="F2529" s="50" t="n"/>
      <c r="G2529" s="51" t="n"/>
      <c r="H2529" s="51" t="n"/>
      <c r="I2529" s="51" t="n"/>
      <c r="J2529" s="51" t="n"/>
      <c r="K2529" s="51" t="n"/>
      <c r="L2529" s="54">
        <f>IF(OR(A2529="",C2529="",D2529=""),"",IF(COUNTIFS($A$5:$A$3004,A2529,$C$5:$C$3004,"&lt;"&amp;D2529,$D$5:$D$3004,"&gt;"&amp;C2529)&gt;1,"⚠️ пересечение",""))</f>
        <v/>
      </c>
      <c r="M2529" s="54">
        <f>IF(F2529="","",IF(J2529="✅ Сделано","✔ ",IF(J2529="❌ Пропущено","✖ ","⏰ "))&amp;IF(C2529="","",RIGHT("0"&amp;HOUR(C2529),2)&amp;":"&amp;RIGHT("0"&amp;MINUTE(C2529),2)&amp;IF(D2529="","","–"&amp;RIGHT("0"&amp;HOUR(D2529),2)&amp;":"&amp;RIGHT("0"&amp;MINUTE(D2529),2))&amp;" ")&amp;F2529)</f>
        <v/>
      </c>
      <c r="N2529" s="54">
        <f>IF(OR(A2529="",F2529=""),"",A2529&amp;"#"&amp;(COUNTIFS($A$5:$A$3004,A2529,$F$5:$F$3004,"?*",$O$5:$O$3004,"&lt;"&amp;O2529)+COUNTIFS($A$5:A2529,A2529,$F$5:F2529,"?*",$O$5:O2529,O2529)))</f>
        <v/>
      </c>
      <c r="O2529" s="54">
        <f>IF(A2529="","",IF(C2529="",0,C2529))</f>
        <v/>
      </c>
    </row>
    <row r="2530">
      <c r="A2530" s="58" t="n"/>
      <c r="B2530" s="49">
        <f>IF(A2530="","",CHOOSE(WEEKDAY(A2530,2),"Пн","Вт","Ср","Чт","Пт","Сб","Вс"))</f>
        <v/>
      </c>
      <c r="C2530" s="59" t="n"/>
      <c r="D2530" s="59" t="n"/>
      <c r="E2530" s="60">
        <f>IF(OR(C2530="",D2530=""),"",MOD(D2530-C2530,1)*24)</f>
        <v/>
      </c>
      <c r="F2530" s="50" t="n"/>
      <c r="G2530" s="51" t="n"/>
      <c r="H2530" s="51" t="n"/>
      <c r="I2530" s="51" t="n"/>
      <c r="J2530" s="51" t="n"/>
      <c r="K2530" s="51" t="n"/>
      <c r="L2530" s="54">
        <f>IF(OR(A2530="",C2530="",D2530=""),"",IF(COUNTIFS($A$5:$A$3004,A2530,$C$5:$C$3004,"&lt;"&amp;D2530,$D$5:$D$3004,"&gt;"&amp;C2530)&gt;1,"⚠️ пересечение",""))</f>
        <v/>
      </c>
      <c r="M2530" s="54">
        <f>IF(F2530="","",IF(J2530="✅ Сделано","✔ ",IF(J2530="❌ Пропущено","✖ ","⏰ "))&amp;IF(C2530="","",RIGHT("0"&amp;HOUR(C2530),2)&amp;":"&amp;RIGHT("0"&amp;MINUTE(C2530),2)&amp;IF(D2530="","","–"&amp;RIGHT("0"&amp;HOUR(D2530),2)&amp;":"&amp;RIGHT("0"&amp;MINUTE(D2530),2))&amp;" ")&amp;F2530)</f>
        <v/>
      </c>
      <c r="N2530" s="54">
        <f>IF(OR(A2530="",F2530=""),"",A2530&amp;"#"&amp;(COUNTIFS($A$5:$A$3004,A2530,$F$5:$F$3004,"?*",$O$5:$O$3004,"&lt;"&amp;O2530)+COUNTIFS($A$5:A2530,A2530,$F$5:F2530,"?*",$O$5:O2530,O2530)))</f>
        <v/>
      </c>
      <c r="O2530" s="54">
        <f>IF(A2530="","",IF(C2530="",0,C2530))</f>
        <v/>
      </c>
    </row>
    <row r="2531">
      <c r="A2531" s="58" t="n"/>
      <c r="B2531" s="49">
        <f>IF(A2531="","",CHOOSE(WEEKDAY(A2531,2),"Пн","Вт","Ср","Чт","Пт","Сб","Вс"))</f>
        <v/>
      </c>
      <c r="C2531" s="59" t="n"/>
      <c r="D2531" s="59" t="n"/>
      <c r="E2531" s="60">
        <f>IF(OR(C2531="",D2531=""),"",MOD(D2531-C2531,1)*24)</f>
        <v/>
      </c>
      <c r="F2531" s="50" t="n"/>
      <c r="G2531" s="51" t="n"/>
      <c r="H2531" s="51" t="n"/>
      <c r="I2531" s="51" t="n"/>
      <c r="J2531" s="51" t="n"/>
      <c r="K2531" s="51" t="n"/>
      <c r="L2531" s="54">
        <f>IF(OR(A2531="",C2531="",D2531=""),"",IF(COUNTIFS($A$5:$A$3004,A2531,$C$5:$C$3004,"&lt;"&amp;D2531,$D$5:$D$3004,"&gt;"&amp;C2531)&gt;1,"⚠️ пересечение",""))</f>
        <v/>
      </c>
      <c r="M2531" s="54">
        <f>IF(F2531="","",IF(J2531="✅ Сделано","✔ ",IF(J2531="❌ Пропущено","✖ ","⏰ "))&amp;IF(C2531="","",RIGHT("0"&amp;HOUR(C2531),2)&amp;":"&amp;RIGHT("0"&amp;MINUTE(C2531),2)&amp;IF(D2531="","","–"&amp;RIGHT("0"&amp;HOUR(D2531),2)&amp;":"&amp;RIGHT("0"&amp;MINUTE(D2531),2))&amp;" ")&amp;F2531)</f>
        <v/>
      </c>
      <c r="N2531" s="54">
        <f>IF(OR(A2531="",F2531=""),"",A2531&amp;"#"&amp;(COUNTIFS($A$5:$A$3004,A2531,$F$5:$F$3004,"?*",$O$5:$O$3004,"&lt;"&amp;O2531)+COUNTIFS($A$5:A2531,A2531,$F$5:F2531,"?*",$O$5:O2531,O2531)))</f>
        <v/>
      </c>
      <c r="O2531" s="54">
        <f>IF(A2531="","",IF(C2531="",0,C2531))</f>
        <v/>
      </c>
    </row>
    <row r="2532">
      <c r="A2532" s="58" t="n"/>
      <c r="B2532" s="49">
        <f>IF(A2532="","",CHOOSE(WEEKDAY(A2532,2),"Пн","Вт","Ср","Чт","Пт","Сб","Вс"))</f>
        <v/>
      </c>
      <c r="C2532" s="59" t="n"/>
      <c r="D2532" s="59" t="n"/>
      <c r="E2532" s="60">
        <f>IF(OR(C2532="",D2532=""),"",MOD(D2532-C2532,1)*24)</f>
        <v/>
      </c>
      <c r="F2532" s="50" t="n"/>
      <c r="G2532" s="51" t="n"/>
      <c r="H2532" s="51" t="n"/>
      <c r="I2532" s="51" t="n"/>
      <c r="J2532" s="51" t="n"/>
      <c r="K2532" s="51" t="n"/>
      <c r="L2532" s="54">
        <f>IF(OR(A2532="",C2532="",D2532=""),"",IF(COUNTIFS($A$5:$A$3004,A2532,$C$5:$C$3004,"&lt;"&amp;D2532,$D$5:$D$3004,"&gt;"&amp;C2532)&gt;1,"⚠️ пересечение",""))</f>
        <v/>
      </c>
      <c r="M2532" s="54">
        <f>IF(F2532="","",IF(J2532="✅ Сделано","✔ ",IF(J2532="❌ Пропущено","✖ ","⏰ "))&amp;IF(C2532="","",RIGHT("0"&amp;HOUR(C2532),2)&amp;":"&amp;RIGHT("0"&amp;MINUTE(C2532),2)&amp;IF(D2532="","","–"&amp;RIGHT("0"&amp;HOUR(D2532),2)&amp;":"&amp;RIGHT("0"&amp;MINUTE(D2532),2))&amp;" ")&amp;F2532)</f>
        <v/>
      </c>
      <c r="N2532" s="54">
        <f>IF(OR(A2532="",F2532=""),"",A2532&amp;"#"&amp;(COUNTIFS($A$5:$A$3004,A2532,$F$5:$F$3004,"?*",$O$5:$O$3004,"&lt;"&amp;O2532)+COUNTIFS($A$5:A2532,A2532,$F$5:F2532,"?*",$O$5:O2532,O2532)))</f>
        <v/>
      </c>
      <c r="O2532" s="54">
        <f>IF(A2532="","",IF(C2532="",0,C2532))</f>
        <v/>
      </c>
    </row>
    <row r="2533">
      <c r="A2533" s="58" t="n"/>
      <c r="B2533" s="49">
        <f>IF(A2533="","",CHOOSE(WEEKDAY(A2533,2),"Пн","Вт","Ср","Чт","Пт","Сб","Вс"))</f>
        <v/>
      </c>
      <c r="C2533" s="59" t="n"/>
      <c r="D2533" s="59" t="n"/>
      <c r="E2533" s="60">
        <f>IF(OR(C2533="",D2533=""),"",MOD(D2533-C2533,1)*24)</f>
        <v/>
      </c>
      <c r="F2533" s="50" t="n"/>
      <c r="G2533" s="51" t="n"/>
      <c r="H2533" s="51" t="n"/>
      <c r="I2533" s="51" t="n"/>
      <c r="J2533" s="51" t="n"/>
      <c r="K2533" s="51" t="n"/>
      <c r="L2533" s="54">
        <f>IF(OR(A2533="",C2533="",D2533=""),"",IF(COUNTIFS($A$5:$A$3004,A2533,$C$5:$C$3004,"&lt;"&amp;D2533,$D$5:$D$3004,"&gt;"&amp;C2533)&gt;1,"⚠️ пересечение",""))</f>
        <v/>
      </c>
      <c r="M2533" s="54">
        <f>IF(F2533="","",IF(J2533="✅ Сделано","✔ ",IF(J2533="❌ Пропущено","✖ ","⏰ "))&amp;IF(C2533="","",RIGHT("0"&amp;HOUR(C2533),2)&amp;":"&amp;RIGHT("0"&amp;MINUTE(C2533),2)&amp;IF(D2533="","","–"&amp;RIGHT("0"&amp;HOUR(D2533),2)&amp;":"&amp;RIGHT("0"&amp;MINUTE(D2533),2))&amp;" ")&amp;F2533)</f>
        <v/>
      </c>
      <c r="N2533" s="54">
        <f>IF(OR(A2533="",F2533=""),"",A2533&amp;"#"&amp;(COUNTIFS($A$5:$A$3004,A2533,$F$5:$F$3004,"?*",$O$5:$O$3004,"&lt;"&amp;O2533)+COUNTIFS($A$5:A2533,A2533,$F$5:F2533,"?*",$O$5:O2533,O2533)))</f>
        <v/>
      </c>
      <c r="O2533" s="54">
        <f>IF(A2533="","",IF(C2533="",0,C2533))</f>
        <v/>
      </c>
    </row>
    <row r="2534">
      <c r="A2534" s="58" t="n"/>
      <c r="B2534" s="49">
        <f>IF(A2534="","",CHOOSE(WEEKDAY(A2534,2),"Пн","Вт","Ср","Чт","Пт","Сб","Вс"))</f>
        <v/>
      </c>
      <c r="C2534" s="59" t="n"/>
      <c r="D2534" s="59" t="n"/>
      <c r="E2534" s="60">
        <f>IF(OR(C2534="",D2534=""),"",MOD(D2534-C2534,1)*24)</f>
        <v/>
      </c>
      <c r="F2534" s="50" t="n"/>
      <c r="G2534" s="51" t="n"/>
      <c r="H2534" s="51" t="n"/>
      <c r="I2534" s="51" t="n"/>
      <c r="J2534" s="51" t="n"/>
      <c r="K2534" s="51" t="n"/>
      <c r="L2534" s="54">
        <f>IF(OR(A2534="",C2534="",D2534=""),"",IF(COUNTIFS($A$5:$A$3004,A2534,$C$5:$C$3004,"&lt;"&amp;D2534,$D$5:$D$3004,"&gt;"&amp;C2534)&gt;1,"⚠️ пересечение",""))</f>
        <v/>
      </c>
      <c r="M2534" s="54">
        <f>IF(F2534="","",IF(J2534="✅ Сделано","✔ ",IF(J2534="❌ Пропущено","✖ ","⏰ "))&amp;IF(C2534="","",RIGHT("0"&amp;HOUR(C2534),2)&amp;":"&amp;RIGHT("0"&amp;MINUTE(C2534),2)&amp;IF(D2534="","","–"&amp;RIGHT("0"&amp;HOUR(D2534),2)&amp;":"&amp;RIGHT("0"&amp;MINUTE(D2534),2))&amp;" ")&amp;F2534)</f>
        <v/>
      </c>
      <c r="N2534" s="54">
        <f>IF(OR(A2534="",F2534=""),"",A2534&amp;"#"&amp;(COUNTIFS($A$5:$A$3004,A2534,$F$5:$F$3004,"?*",$O$5:$O$3004,"&lt;"&amp;O2534)+COUNTIFS($A$5:A2534,A2534,$F$5:F2534,"?*",$O$5:O2534,O2534)))</f>
        <v/>
      </c>
      <c r="O2534" s="54">
        <f>IF(A2534="","",IF(C2534="",0,C2534))</f>
        <v/>
      </c>
    </row>
    <row r="2535">
      <c r="A2535" s="58" t="n"/>
      <c r="B2535" s="49">
        <f>IF(A2535="","",CHOOSE(WEEKDAY(A2535,2),"Пн","Вт","Ср","Чт","Пт","Сб","Вс"))</f>
        <v/>
      </c>
      <c r="C2535" s="59" t="n"/>
      <c r="D2535" s="59" t="n"/>
      <c r="E2535" s="60">
        <f>IF(OR(C2535="",D2535=""),"",MOD(D2535-C2535,1)*24)</f>
        <v/>
      </c>
      <c r="F2535" s="50" t="n"/>
      <c r="G2535" s="51" t="n"/>
      <c r="H2535" s="51" t="n"/>
      <c r="I2535" s="51" t="n"/>
      <c r="J2535" s="51" t="n"/>
      <c r="K2535" s="51" t="n"/>
      <c r="L2535" s="54">
        <f>IF(OR(A2535="",C2535="",D2535=""),"",IF(COUNTIFS($A$5:$A$3004,A2535,$C$5:$C$3004,"&lt;"&amp;D2535,$D$5:$D$3004,"&gt;"&amp;C2535)&gt;1,"⚠️ пересечение",""))</f>
        <v/>
      </c>
      <c r="M2535" s="54">
        <f>IF(F2535="","",IF(J2535="✅ Сделано","✔ ",IF(J2535="❌ Пропущено","✖ ","⏰ "))&amp;IF(C2535="","",RIGHT("0"&amp;HOUR(C2535),2)&amp;":"&amp;RIGHT("0"&amp;MINUTE(C2535),2)&amp;IF(D2535="","","–"&amp;RIGHT("0"&amp;HOUR(D2535),2)&amp;":"&amp;RIGHT("0"&amp;MINUTE(D2535),2))&amp;" ")&amp;F2535)</f>
        <v/>
      </c>
      <c r="N2535" s="54">
        <f>IF(OR(A2535="",F2535=""),"",A2535&amp;"#"&amp;(COUNTIFS($A$5:$A$3004,A2535,$F$5:$F$3004,"?*",$O$5:$O$3004,"&lt;"&amp;O2535)+COUNTIFS($A$5:A2535,A2535,$F$5:F2535,"?*",$O$5:O2535,O2535)))</f>
        <v/>
      </c>
      <c r="O2535" s="54">
        <f>IF(A2535="","",IF(C2535="",0,C2535))</f>
        <v/>
      </c>
    </row>
    <row r="2536">
      <c r="A2536" s="58" t="n"/>
      <c r="B2536" s="49">
        <f>IF(A2536="","",CHOOSE(WEEKDAY(A2536,2),"Пн","Вт","Ср","Чт","Пт","Сб","Вс"))</f>
        <v/>
      </c>
      <c r="C2536" s="59" t="n"/>
      <c r="D2536" s="59" t="n"/>
      <c r="E2536" s="60">
        <f>IF(OR(C2536="",D2536=""),"",MOD(D2536-C2536,1)*24)</f>
        <v/>
      </c>
      <c r="F2536" s="50" t="n"/>
      <c r="G2536" s="51" t="n"/>
      <c r="H2536" s="51" t="n"/>
      <c r="I2536" s="51" t="n"/>
      <c r="J2536" s="51" t="n"/>
      <c r="K2536" s="51" t="n"/>
      <c r="L2536" s="54">
        <f>IF(OR(A2536="",C2536="",D2536=""),"",IF(COUNTIFS($A$5:$A$3004,A2536,$C$5:$C$3004,"&lt;"&amp;D2536,$D$5:$D$3004,"&gt;"&amp;C2536)&gt;1,"⚠️ пересечение",""))</f>
        <v/>
      </c>
      <c r="M2536" s="54">
        <f>IF(F2536="","",IF(J2536="✅ Сделано","✔ ",IF(J2536="❌ Пропущено","✖ ","⏰ "))&amp;IF(C2536="","",RIGHT("0"&amp;HOUR(C2536),2)&amp;":"&amp;RIGHT("0"&amp;MINUTE(C2536),2)&amp;IF(D2536="","","–"&amp;RIGHT("0"&amp;HOUR(D2536),2)&amp;":"&amp;RIGHT("0"&amp;MINUTE(D2536),2))&amp;" ")&amp;F2536)</f>
        <v/>
      </c>
      <c r="N2536" s="54">
        <f>IF(OR(A2536="",F2536=""),"",A2536&amp;"#"&amp;(COUNTIFS($A$5:$A$3004,A2536,$F$5:$F$3004,"?*",$O$5:$O$3004,"&lt;"&amp;O2536)+COUNTIFS($A$5:A2536,A2536,$F$5:F2536,"?*",$O$5:O2536,O2536)))</f>
        <v/>
      </c>
      <c r="O2536" s="54">
        <f>IF(A2536="","",IF(C2536="",0,C2536))</f>
        <v/>
      </c>
    </row>
    <row r="2537">
      <c r="A2537" s="58" t="n"/>
      <c r="B2537" s="49">
        <f>IF(A2537="","",CHOOSE(WEEKDAY(A2537,2),"Пн","Вт","Ср","Чт","Пт","Сб","Вс"))</f>
        <v/>
      </c>
      <c r="C2537" s="59" t="n"/>
      <c r="D2537" s="59" t="n"/>
      <c r="E2537" s="60">
        <f>IF(OR(C2537="",D2537=""),"",MOD(D2537-C2537,1)*24)</f>
        <v/>
      </c>
      <c r="F2537" s="50" t="n"/>
      <c r="G2537" s="51" t="n"/>
      <c r="H2537" s="51" t="n"/>
      <c r="I2537" s="51" t="n"/>
      <c r="J2537" s="51" t="n"/>
      <c r="K2537" s="51" t="n"/>
      <c r="L2537" s="54">
        <f>IF(OR(A2537="",C2537="",D2537=""),"",IF(COUNTIFS($A$5:$A$3004,A2537,$C$5:$C$3004,"&lt;"&amp;D2537,$D$5:$D$3004,"&gt;"&amp;C2537)&gt;1,"⚠️ пересечение",""))</f>
        <v/>
      </c>
      <c r="M2537" s="54">
        <f>IF(F2537="","",IF(J2537="✅ Сделано","✔ ",IF(J2537="❌ Пропущено","✖ ","⏰ "))&amp;IF(C2537="","",RIGHT("0"&amp;HOUR(C2537),2)&amp;":"&amp;RIGHT("0"&amp;MINUTE(C2537),2)&amp;IF(D2537="","","–"&amp;RIGHT("0"&amp;HOUR(D2537),2)&amp;":"&amp;RIGHT("0"&amp;MINUTE(D2537),2))&amp;" ")&amp;F2537)</f>
        <v/>
      </c>
      <c r="N2537" s="54">
        <f>IF(OR(A2537="",F2537=""),"",A2537&amp;"#"&amp;(COUNTIFS($A$5:$A$3004,A2537,$F$5:$F$3004,"?*",$O$5:$O$3004,"&lt;"&amp;O2537)+COUNTIFS($A$5:A2537,A2537,$F$5:F2537,"?*",$O$5:O2537,O2537)))</f>
        <v/>
      </c>
      <c r="O2537" s="54">
        <f>IF(A2537="","",IF(C2537="",0,C2537))</f>
        <v/>
      </c>
    </row>
    <row r="2538">
      <c r="A2538" s="58" t="n"/>
      <c r="B2538" s="49">
        <f>IF(A2538="","",CHOOSE(WEEKDAY(A2538,2),"Пн","Вт","Ср","Чт","Пт","Сб","Вс"))</f>
        <v/>
      </c>
      <c r="C2538" s="59" t="n"/>
      <c r="D2538" s="59" t="n"/>
      <c r="E2538" s="60">
        <f>IF(OR(C2538="",D2538=""),"",MOD(D2538-C2538,1)*24)</f>
        <v/>
      </c>
      <c r="F2538" s="50" t="n"/>
      <c r="G2538" s="51" t="n"/>
      <c r="H2538" s="51" t="n"/>
      <c r="I2538" s="51" t="n"/>
      <c r="J2538" s="51" t="n"/>
      <c r="K2538" s="51" t="n"/>
      <c r="L2538" s="54">
        <f>IF(OR(A2538="",C2538="",D2538=""),"",IF(COUNTIFS($A$5:$A$3004,A2538,$C$5:$C$3004,"&lt;"&amp;D2538,$D$5:$D$3004,"&gt;"&amp;C2538)&gt;1,"⚠️ пересечение",""))</f>
        <v/>
      </c>
      <c r="M2538" s="54">
        <f>IF(F2538="","",IF(J2538="✅ Сделано","✔ ",IF(J2538="❌ Пропущено","✖ ","⏰ "))&amp;IF(C2538="","",RIGHT("0"&amp;HOUR(C2538),2)&amp;":"&amp;RIGHT("0"&amp;MINUTE(C2538),2)&amp;IF(D2538="","","–"&amp;RIGHT("0"&amp;HOUR(D2538),2)&amp;":"&amp;RIGHT("0"&amp;MINUTE(D2538),2))&amp;" ")&amp;F2538)</f>
        <v/>
      </c>
      <c r="N2538" s="54">
        <f>IF(OR(A2538="",F2538=""),"",A2538&amp;"#"&amp;(COUNTIFS($A$5:$A$3004,A2538,$F$5:$F$3004,"?*",$O$5:$O$3004,"&lt;"&amp;O2538)+COUNTIFS($A$5:A2538,A2538,$F$5:F2538,"?*",$O$5:O2538,O2538)))</f>
        <v/>
      </c>
      <c r="O2538" s="54">
        <f>IF(A2538="","",IF(C2538="",0,C2538))</f>
        <v/>
      </c>
    </row>
    <row r="2539">
      <c r="A2539" s="58" t="n"/>
      <c r="B2539" s="49">
        <f>IF(A2539="","",CHOOSE(WEEKDAY(A2539,2),"Пн","Вт","Ср","Чт","Пт","Сб","Вс"))</f>
        <v/>
      </c>
      <c r="C2539" s="59" t="n"/>
      <c r="D2539" s="59" t="n"/>
      <c r="E2539" s="60">
        <f>IF(OR(C2539="",D2539=""),"",MOD(D2539-C2539,1)*24)</f>
        <v/>
      </c>
      <c r="F2539" s="50" t="n"/>
      <c r="G2539" s="51" t="n"/>
      <c r="H2539" s="51" t="n"/>
      <c r="I2539" s="51" t="n"/>
      <c r="J2539" s="51" t="n"/>
      <c r="K2539" s="51" t="n"/>
      <c r="L2539" s="54">
        <f>IF(OR(A2539="",C2539="",D2539=""),"",IF(COUNTIFS($A$5:$A$3004,A2539,$C$5:$C$3004,"&lt;"&amp;D2539,$D$5:$D$3004,"&gt;"&amp;C2539)&gt;1,"⚠️ пересечение",""))</f>
        <v/>
      </c>
      <c r="M2539" s="54">
        <f>IF(F2539="","",IF(J2539="✅ Сделано","✔ ",IF(J2539="❌ Пропущено","✖ ","⏰ "))&amp;IF(C2539="","",RIGHT("0"&amp;HOUR(C2539),2)&amp;":"&amp;RIGHT("0"&amp;MINUTE(C2539),2)&amp;IF(D2539="","","–"&amp;RIGHT("0"&amp;HOUR(D2539),2)&amp;":"&amp;RIGHT("0"&amp;MINUTE(D2539),2))&amp;" ")&amp;F2539)</f>
        <v/>
      </c>
      <c r="N2539" s="54">
        <f>IF(OR(A2539="",F2539=""),"",A2539&amp;"#"&amp;(COUNTIFS($A$5:$A$3004,A2539,$F$5:$F$3004,"?*",$O$5:$O$3004,"&lt;"&amp;O2539)+COUNTIFS($A$5:A2539,A2539,$F$5:F2539,"?*",$O$5:O2539,O2539)))</f>
        <v/>
      </c>
      <c r="O2539" s="54">
        <f>IF(A2539="","",IF(C2539="",0,C2539))</f>
        <v/>
      </c>
    </row>
    <row r="2540">
      <c r="A2540" s="58" t="n"/>
      <c r="B2540" s="49">
        <f>IF(A2540="","",CHOOSE(WEEKDAY(A2540,2),"Пн","Вт","Ср","Чт","Пт","Сб","Вс"))</f>
        <v/>
      </c>
      <c r="C2540" s="59" t="n"/>
      <c r="D2540" s="59" t="n"/>
      <c r="E2540" s="60">
        <f>IF(OR(C2540="",D2540=""),"",MOD(D2540-C2540,1)*24)</f>
        <v/>
      </c>
      <c r="F2540" s="50" t="n"/>
      <c r="G2540" s="51" t="n"/>
      <c r="H2540" s="51" t="n"/>
      <c r="I2540" s="51" t="n"/>
      <c r="J2540" s="51" t="n"/>
      <c r="K2540" s="51" t="n"/>
      <c r="L2540" s="54">
        <f>IF(OR(A2540="",C2540="",D2540=""),"",IF(COUNTIFS($A$5:$A$3004,A2540,$C$5:$C$3004,"&lt;"&amp;D2540,$D$5:$D$3004,"&gt;"&amp;C2540)&gt;1,"⚠️ пересечение",""))</f>
        <v/>
      </c>
      <c r="M2540" s="54">
        <f>IF(F2540="","",IF(J2540="✅ Сделано","✔ ",IF(J2540="❌ Пропущено","✖ ","⏰ "))&amp;IF(C2540="","",RIGHT("0"&amp;HOUR(C2540),2)&amp;":"&amp;RIGHT("0"&amp;MINUTE(C2540),2)&amp;IF(D2540="","","–"&amp;RIGHT("0"&amp;HOUR(D2540),2)&amp;":"&amp;RIGHT("0"&amp;MINUTE(D2540),2))&amp;" ")&amp;F2540)</f>
        <v/>
      </c>
      <c r="N2540" s="54">
        <f>IF(OR(A2540="",F2540=""),"",A2540&amp;"#"&amp;(COUNTIFS($A$5:$A$3004,A2540,$F$5:$F$3004,"?*",$O$5:$O$3004,"&lt;"&amp;O2540)+COUNTIFS($A$5:A2540,A2540,$F$5:F2540,"?*",$O$5:O2540,O2540)))</f>
        <v/>
      </c>
      <c r="O2540" s="54">
        <f>IF(A2540="","",IF(C2540="",0,C2540))</f>
        <v/>
      </c>
    </row>
    <row r="2541">
      <c r="A2541" s="58" t="n"/>
      <c r="B2541" s="49">
        <f>IF(A2541="","",CHOOSE(WEEKDAY(A2541,2),"Пн","Вт","Ср","Чт","Пт","Сб","Вс"))</f>
        <v/>
      </c>
      <c r="C2541" s="59" t="n"/>
      <c r="D2541" s="59" t="n"/>
      <c r="E2541" s="60">
        <f>IF(OR(C2541="",D2541=""),"",MOD(D2541-C2541,1)*24)</f>
        <v/>
      </c>
      <c r="F2541" s="50" t="n"/>
      <c r="G2541" s="51" t="n"/>
      <c r="H2541" s="51" t="n"/>
      <c r="I2541" s="51" t="n"/>
      <c r="J2541" s="51" t="n"/>
      <c r="K2541" s="51" t="n"/>
      <c r="L2541" s="54">
        <f>IF(OR(A2541="",C2541="",D2541=""),"",IF(COUNTIFS($A$5:$A$3004,A2541,$C$5:$C$3004,"&lt;"&amp;D2541,$D$5:$D$3004,"&gt;"&amp;C2541)&gt;1,"⚠️ пересечение",""))</f>
        <v/>
      </c>
      <c r="M2541" s="54">
        <f>IF(F2541="","",IF(J2541="✅ Сделано","✔ ",IF(J2541="❌ Пропущено","✖ ","⏰ "))&amp;IF(C2541="","",RIGHT("0"&amp;HOUR(C2541),2)&amp;":"&amp;RIGHT("0"&amp;MINUTE(C2541),2)&amp;IF(D2541="","","–"&amp;RIGHT("0"&amp;HOUR(D2541),2)&amp;":"&amp;RIGHT("0"&amp;MINUTE(D2541),2))&amp;" ")&amp;F2541)</f>
        <v/>
      </c>
      <c r="N2541" s="54">
        <f>IF(OR(A2541="",F2541=""),"",A2541&amp;"#"&amp;(COUNTIFS($A$5:$A$3004,A2541,$F$5:$F$3004,"?*",$O$5:$O$3004,"&lt;"&amp;O2541)+COUNTIFS($A$5:A2541,A2541,$F$5:F2541,"?*",$O$5:O2541,O2541)))</f>
        <v/>
      </c>
      <c r="O2541" s="54">
        <f>IF(A2541="","",IF(C2541="",0,C2541))</f>
        <v/>
      </c>
    </row>
    <row r="2542">
      <c r="A2542" s="58" t="n"/>
      <c r="B2542" s="49">
        <f>IF(A2542="","",CHOOSE(WEEKDAY(A2542,2),"Пн","Вт","Ср","Чт","Пт","Сб","Вс"))</f>
        <v/>
      </c>
      <c r="C2542" s="59" t="n"/>
      <c r="D2542" s="59" t="n"/>
      <c r="E2542" s="60">
        <f>IF(OR(C2542="",D2542=""),"",MOD(D2542-C2542,1)*24)</f>
        <v/>
      </c>
      <c r="F2542" s="50" t="n"/>
      <c r="G2542" s="51" t="n"/>
      <c r="H2542" s="51" t="n"/>
      <c r="I2542" s="51" t="n"/>
      <c r="J2542" s="51" t="n"/>
      <c r="K2542" s="51" t="n"/>
      <c r="L2542" s="54">
        <f>IF(OR(A2542="",C2542="",D2542=""),"",IF(COUNTIFS($A$5:$A$3004,A2542,$C$5:$C$3004,"&lt;"&amp;D2542,$D$5:$D$3004,"&gt;"&amp;C2542)&gt;1,"⚠️ пересечение",""))</f>
        <v/>
      </c>
      <c r="M2542" s="54">
        <f>IF(F2542="","",IF(J2542="✅ Сделано","✔ ",IF(J2542="❌ Пропущено","✖ ","⏰ "))&amp;IF(C2542="","",RIGHT("0"&amp;HOUR(C2542),2)&amp;":"&amp;RIGHT("0"&amp;MINUTE(C2542),2)&amp;IF(D2542="","","–"&amp;RIGHT("0"&amp;HOUR(D2542),2)&amp;":"&amp;RIGHT("0"&amp;MINUTE(D2542),2))&amp;" ")&amp;F2542)</f>
        <v/>
      </c>
      <c r="N2542" s="54">
        <f>IF(OR(A2542="",F2542=""),"",A2542&amp;"#"&amp;(COUNTIFS($A$5:$A$3004,A2542,$F$5:$F$3004,"?*",$O$5:$O$3004,"&lt;"&amp;O2542)+COUNTIFS($A$5:A2542,A2542,$F$5:F2542,"?*",$O$5:O2542,O2542)))</f>
        <v/>
      </c>
      <c r="O2542" s="54">
        <f>IF(A2542="","",IF(C2542="",0,C2542))</f>
        <v/>
      </c>
    </row>
    <row r="2543">
      <c r="A2543" s="58" t="n"/>
      <c r="B2543" s="49">
        <f>IF(A2543="","",CHOOSE(WEEKDAY(A2543,2),"Пн","Вт","Ср","Чт","Пт","Сб","Вс"))</f>
        <v/>
      </c>
      <c r="C2543" s="59" t="n"/>
      <c r="D2543" s="59" t="n"/>
      <c r="E2543" s="60">
        <f>IF(OR(C2543="",D2543=""),"",MOD(D2543-C2543,1)*24)</f>
        <v/>
      </c>
      <c r="F2543" s="50" t="n"/>
      <c r="G2543" s="51" t="n"/>
      <c r="H2543" s="51" t="n"/>
      <c r="I2543" s="51" t="n"/>
      <c r="J2543" s="51" t="n"/>
      <c r="K2543" s="51" t="n"/>
      <c r="L2543" s="54">
        <f>IF(OR(A2543="",C2543="",D2543=""),"",IF(COUNTIFS($A$5:$A$3004,A2543,$C$5:$C$3004,"&lt;"&amp;D2543,$D$5:$D$3004,"&gt;"&amp;C2543)&gt;1,"⚠️ пересечение",""))</f>
        <v/>
      </c>
      <c r="M2543" s="54">
        <f>IF(F2543="","",IF(J2543="✅ Сделано","✔ ",IF(J2543="❌ Пропущено","✖ ","⏰ "))&amp;IF(C2543="","",RIGHT("0"&amp;HOUR(C2543),2)&amp;":"&amp;RIGHT("0"&amp;MINUTE(C2543),2)&amp;IF(D2543="","","–"&amp;RIGHT("0"&amp;HOUR(D2543),2)&amp;":"&amp;RIGHT("0"&amp;MINUTE(D2543),2))&amp;" ")&amp;F2543)</f>
        <v/>
      </c>
      <c r="N2543" s="54">
        <f>IF(OR(A2543="",F2543=""),"",A2543&amp;"#"&amp;(COUNTIFS($A$5:$A$3004,A2543,$F$5:$F$3004,"?*",$O$5:$O$3004,"&lt;"&amp;O2543)+COUNTIFS($A$5:A2543,A2543,$F$5:F2543,"?*",$O$5:O2543,O2543)))</f>
        <v/>
      </c>
      <c r="O2543" s="54">
        <f>IF(A2543="","",IF(C2543="",0,C2543))</f>
        <v/>
      </c>
    </row>
    <row r="2544">
      <c r="A2544" s="58" t="n"/>
      <c r="B2544" s="49">
        <f>IF(A2544="","",CHOOSE(WEEKDAY(A2544,2),"Пн","Вт","Ср","Чт","Пт","Сб","Вс"))</f>
        <v/>
      </c>
      <c r="C2544" s="59" t="n"/>
      <c r="D2544" s="59" t="n"/>
      <c r="E2544" s="60">
        <f>IF(OR(C2544="",D2544=""),"",MOD(D2544-C2544,1)*24)</f>
        <v/>
      </c>
      <c r="F2544" s="50" t="n"/>
      <c r="G2544" s="51" t="n"/>
      <c r="H2544" s="51" t="n"/>
      <c r="I2544" s="51" t="n"/>
      <c r="J2544" s="51" t="n"/>
      <c r="K2544" s="51" t="n"/>
      <c r="L2544" s="54">
        <f>IF(OR(A2544="",C2544="",D2544=""),"",IF(COUNTIFS($A$5:$A$3004,A2544,$C$5:$C$3004,"&lt;"&amp;D2544,$D$5:$D$3004,"&gt;"&amp;C2544)&gt;1,"⚠️ пересечение",""))</f>
        <v/>
      </c>
      <c r="M2544" s="54">
        <f>IF(F2544="","",IF(J2544="✅ Сделано","✔ ",IF(J2544="❌ Пропущено","✖ ","⏰ "))&amp;IF(C2544="","",RIGHT("0"&amp;HOUR(C2544),2)&amp;":"&amp;RIGHT("0"&amp;MINUTE(C2544),2)&amp;IF(D2544="","","–"&amp;RIGHT("0"&amp;HOUR(D2544),2)&amp;":"&amp;RIGHT("0"&amp;MINUTE(D2544),2))&amp;" ")&amp;F2544)</f>
        <v/>
      </c>
      <c r="N2544" s="54">
        <f>IF(OR(A2544="",F2544=""),"",A2544&amp;"#"&amp;(COUNTIFS($A$5:$A$3004,A2544,$F$5:$F$3004,"?*",$O$5:$O$3004,"&lt;"&amp;O2544)+COUNTIFS($A$5:A2544,A2544,$F$5:F2544,"?*",$O$5:O2544,O2544)))</f>
        <v/>
      </c>
      <c r="O2544" s="54">
        <f>IF(A2544="","",IF(C2544="",0,C2544))</f>
        <v/>
      </c>
    </row>
    <row r="2545">
      <c r="A2545" s="58" t="n"/>
      <c r="B2545" s="49">
        <f>IF(A2545="","",CHOOSE(WEEKDAY(A2545,2),"Пн","Вт","Ср","Чт","Пт","Сб","Вс"))</f>
        <v/>
      </c>
      <c r="C2545" s="59" t="n"/>
      <c r="D2545" s="59" t="n"/>
      <c r="E2545" s="60">
        <f>IF(OR(C2545="",D2545=""),"",MOD(D2545-C2545,1)*24)</f>
        <v/>
      </c>
      <c r="F2545" s="50" t="n"/>
      <c r="G2545" s="51" t="n"/>
      <c r="H2545" s="51" t="n"/>
      <c r="I2545" s="51" t="n"/>
      <c r="J2545" s="51" t="n"/>
      <c r="K2545" s="51" t="n"/>
      <c r="L2545" s="54">
        <f>IF(OR(A2545="",C2545="",D2545=""),"",IF(COUNTIFS($A$5:$A$3004,A2545,$C$5:$C$3004,"&lt;"&amp;D2545,$D$5:$D$3004,"&gt;"&amp;C2545)&gt;1,"⚠️ пересечение",""))</f>
        <v/>
      </c>
      <c r="M2545" s="54">
        <f>IF(F2545="","",IF(J2545="✅ Сделано","✔ ",IF(J2545="❌ Пропущено","✖ ","⏰ "))&amp;IF(C2545="","",RIGHT("0"&amp;HOUR(C2545),2)&amp;":"&amp;RIGHT("0"&amp;MINUTE(C2545),2)&amp;IF(D2545="","","–"&amp;RIGHT("0"&amp;HOUR(D2545),2)&amp;":"&amp;RIGHT("0"&amp;MINUTE(D2545),2))&amp;" ")&amp;F2545)</f>
        <v/>
      </c>
      <c r="N2545" s="54">
        <f>IF(OR(A2545="",F2545=""),"",A2545&amp;"#"&amp;(COUNTIFS($A$5:$A$3004,A2545,$F$5:$F$3004,"?*",$O$5:$O$3004,"&lt;"&amp;O2545)+COUNTIFS($A$5:A2545,A2545,$F$5:F2545,"?*",$O$5:O2545,O2545)))</f>
        <v/>
      </c>
      <c r="O2545" s="54">
        <f>IF(A2545="","",IF(C2545="",0,C2545))</f>
        <v/>
      </c>
    </row>
    <row r="2546">
      <c r="A2546" s="58" t="n"/>
      <c r="B2546" s="49">
        <f>IF(A2546="","",CHOOSE(WEEKDAY(A2546,2),"Пн","Вт","Ср","Чт","Пт","Сб","Вс"))</f>
        <v/>
      </c>
      <c r="C2546" s="59" t="n"/>
      <c r="D2546" s="59" t="n"/>
      <c r="E2546" s="60">
        <f>IF(OR(C2546="",D2546=""),"",MOD(D2546-C2546,1)*24)</f>
        <v/>
      </c>
      <c r="F2546" s="50" t="n"/>
      <c r="G2546" s="51" t="n"/>
      <c r="H2546" s="51" t="n"/>
      <c r="I2546" s="51" t="n"/>
      <c r="J2546" s="51" t="n"/>
      <c r="K2546" s="51" t="n"/>
      <c r="L2546" s="54">
        <f>IF(OR(A2546="",C2546="",D2546=""),"",IF(COUNTIFS($A$5:$A$3004,A2546,$C$5:$C$3004,"&lt;"&amp;D2546,$D$5:$D$3004,"&gt;"&amp;C2546)&gt;1,"⚠️ пересечение",""))</f>
        <v/>
      </c>
      <c r="M2546" s="54">
        <f>IF(F2546="","",IF(J2546="✅ Сделано","✔ ",IF(J2546="❌ Пропущено","✖ ","⏰ "))&amp;IF(C2546="","",RIGHT("0"&amp;HOUR(C2546),2)&amp;":"&amp;RIGHT("0"&amp;MINUTE(C2546),2)&amp;IF(D2546="","","–"&amp;RIGHT("0"&amp;HOUR(D2546),2)&amp;":"&amp;RIGHT("0"&amp;MINUTE(D2546),2))&amp;" ")&amp;F2546)</f>
        <v/>
      </c>
      <c r="N2546" s="54">
        <f>IF(OR(A2546="",F2546=""),"",A2546&amp;"#"&amp;(COUNTIFS($A$5:$A$3004,A2546,$F$5:$F$3004,"?*",$O$5:$O$3004,"&lt;"&amp;O2546)+COUNTIFS($A$5:A2546,A2546,$F$5:F2546,"?*",$O$5:O2546,O2546)))</f>
        <v/>
      </c>
      <c r="O2546" s="54">
        <f>IF(A2546="","",IF(C2546="",0,C2546))</f>
        <v/>
      </c>
    </row>
    <row r="2547">
      <c r="A2547" s="58" t="n"/>
      <c r="B2547" s="49">
        <f>IF(A2547="","",CHOOSE(WEEKDAY(A2547,2),"Пн","Вт","Ср","Чт","Пт","Сб","Вс"))</f>
        <v/>
      </c>
      <c r="C2547" s="59" t="n"/>
      <c r="D2547" s="59" t="n"/>
      <c r="E2547" s="60">
        <f>IF(OR(C2547="",D2547=""),"",MOD(D2547-C2547,1)*24)</f>
        <v/>
      </c>
      <c r="F2547" s="50" t="n"/>
      <c r="G2547" s="51" t="n"/>
      <c r="H2547" s="51" t="n"/>
      <c r="I2547" s="51" t="n"/>
      <c r="J2547" s="51" t="n"/>
      <c r="K2547" s="51" t="n"/>
      <c r="L2547" s="54">
        <f>IF(OR(A2547="",C2547="",D2547=""),"",IF(COUNTIFS($A$5:$A$3004,A2547,$C$5:$C$3004,"&lt;"&amp;D2547,$D$5:$D$3004,"&gt;"&amp;C2547)&gt;1,"⚠️ пересечение",""))</f>
        <v/>
      </c>
      <c r="M2547" s="54">
        <f>IF(F2547="","",IF(J2547="✅ Сделано","✔ ",IF(J2547="❌ Пропущено","✖ ","⏰ "))&amp;IF(C2547="","",RIGHT("0"&amp;HOUR(C2547),2)&amp;":"&amp;RIGHT("0"&amp;MINUTE(C2547),2)&amp;IF(D2547="","","–"&amp;RIGHT("0"&amp;HOUR(D2547),2)&amp;":"&amp;RIGHT("0"&amp;MINUTE(D2547),2))&amp;" ")&amp;F2547)</f>
        <v/>
      </c>
      <c r="N2547" s="54">
        <f>IF(OR(A2547="",F2547=""),"",A2547&amp;"#"&amp;(COUNTIFS($A$5:$A$3004,A2547,$F$5:$F$3004,"?*",$O$5:$O$3004,"&lt;"&amp;O2547)+COUNTIFS($A$5:A2547,A2547,$F$5:F2547,"?*",$O$5:O2547,O2547)))</f>
        <v/>
      </c>
      <c r="O2547" s="54">
        <f>IF(A2547="","",IF(C2547="",0,C2547))</f>
        <v/>
      </c>
    </row>
    <row r="2548">
      <c r="A2548" s="58" t="n"/>
      <c r="B2548" s="49">
        <f>IF(A2548="","",CHOOSE(WEEKDAY(A2548,2),"Пн","Вт","Ср","Чт","Пт","Сб","Вс"))</f>
        <v/>
      </c>
      <c r="C2548" s="59" t="n"/>
      <c r="D2548" s="59" t="n"/>
      <c r="E2548" s="60">
        <f>IF(OR(C2548="",D2548=""),"",MOD(D2548-C2548,1)*24)</f>
        <v/>
      </c>
      <c r="F2548" s="50" t="n"/>
      <c r="G2548" s="51" t="n"/>
      <c r="H2548" s="51" t="n"/>
      <c r="I2548" s="51" t="n"/>
      <c r="J2548" s="51" t="n"/>
      <c r="K2548" s="51" t="n"/>
      <c r="L2548" s="54">
        <f>IF(OR(A2548="",C2548="",D2548=""),"",IF(COUNTIFS($A$5:$A$3004,A2548,$C$5:$C$3004,"&lt;"&amp;D2548,$D$5:$D$3004,"&gt;"&amp;C2548)&gt;1,"⚠️ пересечение",""))</f>
        <v/>
      </c>
      <c r="M2548" s="54">
        <f>IF(F2548="","",IF(J2548="✅ Сделано","✔ ",IF(J2548="❌ Пропущено","✖ ","⏰ "))&amp;IF(C2548="","",RIGHT("0"&amp;HOUR(C2548),2)&amp;":"&amp;RIGHT("0"&amp;MINUTE(C2548),2)&amp;IF(D2548="","","–"&amp;RIGHT("0"&amp;HOUR(D2548),2)&amp;":"&amp;RIGHT("0"&amp;MINUTE(D2548),2))&amp;" ")&amp;F2548)</f>
        <v/>
      </c>
      <c r="N2548" s="54">
        <f>IF(OR(A2548="",F2548=""),"",A2548&amp;"#"&amp;(COUNTIFS($A$5:$A$3004,A2548,$F$5:$F$3004,"?*",$O$5:$O$3004,"&lt;"&amp;O2548)+COUNTIFS($A$5:A2548,A2548,$F$5:F2548,"?*",$O$5:O2548,O2548)))</f>
        <v/>
      </c>
      <c r="O2548" s="54">
        <f>IF(A2548="","",IF(C2548="",0,C2548))</f>
        <v/>
      </c>
    </row>
    <row r="2549">
      <c r="A2549" s="58" t="n"/>
      <c r="B2549" s="49">
        <f>IF(A2549="","",CHOOSE(WEEKDAY(A2549,2),"Пн","Вт","Ср","Чт","Пт","Сб","Вс"))</f>
        <v/>
      </c>
      <c r="C2549" s="59" t="n"/>
      <c r="D2549" s="59" t="n"/>
      <c r="E2549" s="60">
        <f>IF(OR(C2549="",D2549=""),"",MOD(D2549-C2549,1)*24)</f>
        <v/>
      </c>
      <c r="F2549" s="50" t="n"/>
      <c r="G2549" s="51" t="n"/>
      <c r="H2549" s="51" t="n"/>
      <c r="I2549" s="51" t="n"/>
      <c r="J2549" s="51" t="n"/>
      <c r="K2549" s="51" t="n"/>
      <c r="L2549" s="54">
        <f>IF(OR(A2549="",C2549="",D2549=""),"",IF(COUNTIFS($A$5:$A$3004,A2549,$C$5:$C$3004,"&lt;"&amp;D2549,$D$5:$D$3004,"&gt;"&amp;C2549)&gt;1,"⚠️ пересечение",""))</f>
        <v/>
      </c>
      <c r="M2549" s="54">
        <f>IF(F2549="","",IF(J2549="✅ Сделано","✔ ",IF(J2549="❌ Пропущено","✖ ","⏰ "))&amp;IF(C2549="","",RIGHT("0"&amp;HOUR(C2549),2)&amp;":"&amp;RIGHT("0"&amp;MINUTE(C2549),2)&amp;IF(D2549="","","–"&amp;RIGHT("0"&amp;HOUR(D2549),2)&amp;":"&amp;RIGHT("0"&amp;MINUTE(D2549),2))&amp;" ")&amp;F2549)</f>
        <v/>
      </c>
      <c r="N2549" s="54">
        <f>IF(OR(A2549="",F2549=""),"",A2549&amp;"#"&amp;(COUNTIFS($A$5:$A$3004,A2549,$F$5:$F$3004,"?*",$O$5:$O$3004,"&lt;"&amp;O2549)+COUNTIFS($A$5:A2549,A2549,$F$5:F2549,"?*",$O$5:O2549,O2549)))</f>
        <v/>
      </c>
      <c r="O2549" s="54">
        <f>IF(A2549="","",IF(C2549="",0,C2549))</f>
        <v/>
      </c>
    </row>
    <row r="2550">
      <c r="A2550" s="58" t="n"/>
      <c r="B2550" s="49">
        <f>IF(A2550="","",CHOOSE(WEEKDAY(A2550,2),"Пн","Вт","Ср","Чт","Пт","Сб","Вс"))</f>
        <v/>
      </c>
      <c r="C2550" s="59" t="n"/>
      <c r="D2550" s="59" t="n"/>
      <c r="E2550" s="60">
        <f>IF(OR(C2550="",D2550=""),"",MOD(D2550-C2550,1)*24)</f>
        <v/>
      </c>
      <c r="F2550" s="50" t="n"/>
      <c r="G2550" s="51" t="n"/>
      <c r="H2550" s="51" t="n"/>
      <c r="I2550" s="51" t="n"/>
      <c r="J2550" s="51" t="n"/>
      <c r="K2550" s="51" t="n"/>
      <c r="L2550" s="54">
        <f>IF(OR(A2550="",C2550="",D2550=""),"",IF(COUNTIFS($A$5:$A$3004,A2550,$C$5:$C$3004,"&lt;"&amp;D2550,$D$5:$D$3004,"&gt;"&amp;C2550)&gt;1,"⚠️ пересечение",""))</f>
        <v/>
      </c>
      <c r="M2550" s="54">
        <f>IF(F2550="","",IF(J2550="✅ Сделано","✔ ",IF(J2550="❌ Пропущено","✖ ","⏰ "))&amp;IF(C2550="","",RIGHT("0"&amp;HOUR(C2550),2)&amp;":"&amp;RIGHT("0"&amp;MINUTE(C2550),2)&amp;IF(D2550="","","–"&amp;RIGHT("0"&amp;HOUR(D2550),2)&amp;":"&amp;RIGHT("0"&amp;MINUTE(D2550),2))&amp;" ")&amp;F2550)</f>
        <v/>
      </c>
      <c r="N2550" s="54">
        <f>IF(OR(A2550="",F2550=""),"",A2550&amp;"#"&amp;(COUNTIFS($A$5:$A$3004,A2550,$F$5:$F$3004,"?*",$O$5:$O$3004,"&lt;"&amp;O2550)+COUNTIFS($A$5:A2550,A2550,$F$5:F2550,"?*",$O$5:O2550,O2550)))</f>
        <v/>
      </c>
      <c r="O2550" s="54">
        <f>IF(A2550="","",IF(C2550="",0,C2550))</f>
        <v/>
      </c>
    </row>
    <row r="2551">
      <c r="A2551" s="58" t="n"/>
      <c r="B2551" s="49">
        <f>IF(A2551="","",CHOOSE(WEEKDAY(A2551,2),"Пн","Вт","Ср","Чт","Пт","Сб","Вс"))</f>
        <v/>
      </c>
      <c r="C2551" s="59" t="n"/>
      <c r="D2551" s="59" t="n"/>
      <c r="E2551" s="60">
        <f>IF(OR(C2551="",D2551=""),"",MOD(D2551-C2551,1)*24)</f>
        <v/>
      </c>
      <c r="F2551" s="50" t="n"/>
      <c r="G2551" s="51" t="n"/>
      <c r="H2551" s="51" t="n"/>
      <c r="I2551" s="51" t="n"/>
      <c r="J2551" s="51" t="n"/>
      <c r="K2551" s="51" t="n"/>
      <c r="L2551" s="54">
        <f>IF(OR(A2551="",C2551="",D2551=""),"",IF(COUNTIFS($A$5:$A$3004,A2551,$C$5:$C$3004,"&lt;"&amp;D2551,$D$5:$D$3004,"&gt;"&amp;C2551)&gt;1,"⚠️ пересечение",""))</f>
        <v/>
      </c>
      <c r="M2551" s="54">
        <f>IF(F2551="","",IF(J2551="✅ Сделано","✔ ",IF(J2551="❌ Пропущено","✖ ","⏰ "))&amp;IF(C2551="","",RIGHT("0"&amp;HOUR(C2551),2)&amp;":"&amp;RIGHT("0"&amp;MINUTE(C2551),2)&amp;IF(D2551="","","–"&amp;RIGHT("0"&amp;HOUR(D2551),2)&amp;":"&amp;RIGHT("0"&amp;MINUTE(D2551),2))&amp;" ")&amp;F2551)</f>
        <v/>
      </c>
      <c r="N2551" s="54">
        <f>IF(OR(A2551="",F2551=""),"",A2551&amp;"#"&amp;(COUNTIFS($A$5:$A$3004,A2551,$F$5:$F$3004,"?*",$O$5:$O$3004,"&lt;"&amp;O2551)+COUNTIFS($A$5:A2551,A2551,$F$5:F2551,"?*",$O$5:O2551,O2551)))</f>
        <v/>
      </c>
      <c r="O2551" s="54">
        <f>IF(A2551="","",IF(C2551="",0,C2551))</f>
        <v/>
      </c>
    </row>
    <row r="2552">
      <c r="A2552" s="58" t="n"/>
      <c r="B2552" s="49">
        <f>IF(A2552="","",CHOOSE(WEEKDAY(A2552,2),"Пн","Вт","Ср","Чт","Пт","Сб","Вс"))</f>
        <v/>
      </c>
      <c r="C2552" s="59" t="n"/>
      <c r="D2552" s="59" t="n"/>
      <c r="E2552" s="60">
        <f>IF(OR(C2552="",D2552=""),"",MOD(D2552-C2552,1)*24)</f>
        <v/>
      </c>
      <c r="F2552" s="50" t="n"/>
      <c r="G2552" s="51" t="n"/>
      <c r="H2552" s="51" t="n"/>
      <c r="I2552" s="51" t="n"/>
      <c r="J2552" s="51" t="n"/>
      <c r="K2552" s="51" t="n"/>
      <c r="L2552" s="54">
        <f>IF(OR(A2552="",C2552="",D2552=""),"",IF(COUNTIFS($A$5:$A$3004,A2552,$C$5:$C$3004,"&lt;"&amp;D2552,$D$5:$D$3004,"&gt;"&amp;C2552)&gt;1,"⚠️ пересечение",""))</f>
        <v/>
      </c>
      <c r="M2552" s="54">
        <f>IF(F2552="","",IF(J2552="✅ Сделано","✔ ",IF(J2552="❌ Пропущено","✖ ","⏰ "))&amp;IF(C2552="","",RIGHT("0"&amp;HOUR(C2552),2)&amp;":"&amp;RIGHT("0"&amp;MINUTE(C2552),2)&amp;IF(D2552="","","–"&amp;RIGHT("0"&amp;HOUR(D2552),2)&amp;":"&amp;RIGHT("0"&amp;MINUTE(D2552),2))&amp;" ")&amp;F2552)</f>
        <v/>
      </c>
      <c r="N2552" s="54">
        <f>IF(OR(A2552="",F2552=""),"",A2552&amp;"#"&amp;(COUNTIFS($A$5:$A$3004,A2552,$F$5:$F$3004,"?*",$O$5:$O$3004,"&lt;"&amp;O2552)+COUNTIFS($A$5:A2552,A2552,$F$5:F2552,"?*",$O$5:O2552,O2552)))</f>
        <v/>
      </c>
      <c r="O2552" s="54">
        <f>IF(A2552="","",IF(C2552="",0,C2552))</f>
        <v/>
      </c>
    </row>
    <row r="2553">
      <c r="A2553" s="58" t="n"/>
      <c r="B2553" s="49">
        <f>IF(A2553="","",CHOOSE(WEEKDAY(A2553,2),"Пн","Вт","Ср","Чт","Пт","Сб","Вс"))</f>
        <v/>
      </c>
      <c r="C2553" s="59" t="n"/>
      <c r="D2553" s="59" t="n"/>
      <c r="E2553" s="60">
        <f>IF(OR(C2553="",D2553=""),"",MOD(D2553-C2553,1)*24)</f>
        <v/>
      </c>
      <c r="F2553" s="50" t="n"/>
      <c r="G2553" s="51" t="n"/>
      <c r="H2553" s="51" t="n"/>
      <c r="I2553" s="51" t="n"/>
      <c r="J2553" s="51" t="n"/>
      <c r="K2553" s="51" t="n"/>
      <c r="L2553" s="54">
        <f>IF(OR(A2553="",C2553="",D2553=""),"",IF(COUNTIFS($A$5:$A$3004,A2553,$C$5:$C$3004,"&lt;"&amp;D2553,$D$5:$D$3004,"&gt;"&amp;C2553)&gt;1,"⚠️ пересечение",""))</f>
        <v/>
      </c>
      <c r="M2553" s="54">
        <f>IF(F2553="","",IF(J2553="✅ Сделано","✔ ",IF(J2553="❌ Пропущено","✖ ","⏰ "))&amp;IF(C2553="","",RIGHT("0"&amp;HOUR(C2553),2)&amp;":"&amp;RIGHT("0"&amp;MINUTE(C2553),2)&amp;IF(D2553="","","–"&amp;RIGHT("0"&amp;HOUR(D2553),2)&amp;":"&amp;RIGHT("0"&amp;MINUTE(D2553),2))&amp;" ")&amp;F2553)</f>
        <v/>
      </c>
      <c r="N2553" s="54">
        <f>IF(OR(A2553="",F2553=""),"",A2553&amp;"#"&amp;(COUNTIFS($A$5:$A$3004,A2553,$F$5:$F$3004,"?*",$O$5:$O$3004,"&lt;"&amp;O2553)+COUNTIFS($A$5:A2553,A2553,$F$5:F2553,"?*",$O$5:O2553,O2553)))</f>
        <v/>
      </c>
      <c r="O2553" s="54">
        <f>IF(A2553="","",IF(C2553="",0,C2553))</f>
        <v/>
      </c>
    </row>
    <row r="2554">
      <c r="A2554" s="58" t="n"/>
      <c r="B2554" s="49">
        <f>IF(A2554="","",CHOOSE(WEEKDAY(A2554,2),"Пн","Вт","Ср","Чт","Пт","Сб","Вс"))</f>
        <v/>
      </c>
      <c r="C2554" s="59" t="n"/>
      <c r="D2554" s="59" t="n"/>
      <c r="E2554" s="60">
        <f>IF(OR(C2554="",D2554=""),"",MOD(D2554-C2554,1)*24)</f>
        <v/>
      </c>
      <c r="F2554" s="50" t="n"/>
      <c r="G2554" s="51" t="n"/>
      <c r="H2554" s="51" t="n"/>
      <c r="I2554" s="51" t="n"/>
      <c r="J2554" s="51" t="n"/>
      <c r="K2554" s="51" t="n"/>
      <c r="L2554" s="54">
        <f>IF(OR(A2554="",C2554="",D2554=""),"",IF(COUNTIFS($A$5:$A$3004,A2554,$C$5:$C$3004,"&lt;"&amp;D2554,$D$5:$D$3004,"&gt;"&amp;C2554)&gt;1,"⚠️ пересечение",""))</f>
        <v/>
      </c>
      <c r="M2554" s="54">
        <f>IF(F2554="","",IF(J2554="✅ Сделано","✔ ",IF(J2554="❌ Пропущено","✖ ","⏰ "))&amp;IF(C2554="","",RIGHT("0"&amp;HOUR(C2554),2)&amp;":"&amp;RIGHT("0"&amp;MINUTE(C2554),2)&amp;IF(D2554="","","–"&amp;RIGHT("0"&amp;HOUR(D2554),2)&amp;":"&amp;RIGHT("0"&amp;MINUTE(D2554),2))&amp;" ")&amp;F2554)</f>
        <v/>
      </c>
      <c r="N2554" s="54">
        <f>IF(OR(A2554="",F2554=""),"",A2554&amp;"#"&amp;(COUNTIFS($A$5:$A$3004,A2554,$F$5:$F$3004,"?*",$O$5:$O$3004,"&lt;"&amp;O2554)+COUNTIFS($A$5:A2554,A2554,$F$5:F2554,"?*",$O$5:O2554,O2554)))</f>
        <v/>
      </c>
      <c r="O2554" s="54">
        <f>IF(A2554="","",IF(C2554="",0,C2554))</f>
        <v/>
      </c>
    </row>
    <row r="2555">
      <c r="A2555" s="58" t="n"/>
      <c r="B2555" s="49">
        <f>IF(A2555="","",CHOOSE(WEEKDAY(A2555,2),"Пн","Вт","Ср","Чт","Пт","Сб","Вс"))</f>
        <v/>
      </c>
      <c r="C2555" s="59" t="n"/>
      <c r="D2555" s="59" t="n"/>
      <c r="E2555" s="60">
        <f>IF(OR(C2555="",D2555=""),"",MOD(D2555-C2555,1)*24)</f>
        <v/>
      </c>
      <c r="F2555" s="50" t="n"/>
      <c r="G2555" s="51" t="n"/>
      <c r="H2555" s="51" t="n"/>
      <c r="I2555" s="51" t="n"/>
      <c r="J2555" s="51" t="n"/>
      <c r="K2555" s="51" t="n"/>
      <c r="L2555" s="54">
        <f>IF(OR(A2555="",C2555="",D2555=""),"",IF(COUNTIFS($A$5:$A$3004,A2555,$C$5:$C$3004,"&lt;"&amp;D2555,$D$5:$D$3004,"&gt;"&amp;C2555)&gt;1,"⚠️ пересечение",""))</f>
        <v/>
      </c>
      <c r="M2555" s="54">
        <f>IF(F2555="","",IF(J2555="✅ Сделано","✔ ",IF(J2555="❌ Пропущено","✖ ","⏰ "))&amp;IF(C2555="","",RIGHT("0"&amp;HOUR(C2555),2)&amp;":"&amp;RIGHT("0"&amp;MINUTE(C2555),2)&amp;IF(D2555="","","–"&amp;RIGHT("0"&amp;HOUR(D2555),2)&amp;":"&amp;RIGHT("0"&amp;MINUTE(D2555),2))&amp;" ")&amp;F2555)</f>
        <v/>
      </c>
      <c r="N2555" s="54">
        <f>IF(OR(A2555="",F2555=""),"",A2555&amp;"#"&amp;(COUNTIFS($A$5:$A$3004,A2555,$F$5:$F$3004,"?*",$O$5:$O$3004,"&lt;"&amp;O2555)+COUNTIFS($A$5:A2555,A2555,$F$5:F2555,"?*",$O$5:O2555,O2555)))</f>
        <v/>
      </c>
      <c r="O2555" s="54">
        <f>IF(A2555="","",IF(C2555="",0,C2555))</f>
        <v/>
      </c>
    </row>
    <row r="2556">
      <c r="A2556" s="58" t="n"/>
      <c r="B2556" s="49">
        <f>IF(A2556="","",CHOOSE(WEEKDAY(A2556,2),"Пн","Вт","Ср","Чт","Пт","Сб","Вс"))</f>
        <v/>
      </c>
      <c r="C2556" s="59" t="n"/>
      <c r="D2556" s="59" t="n"/>
      <c r="E2556" s="60">
        <f>IF(OR(C2556="",D2556=""),"",MOD(D2556-C2556,1)*24)</f>
        <v/>
      </c>
      <c r="F2556" s="50" t="n"/>
      <c r="G2556" s="51" t="n"/>
      <c r="H2556" s="51" t="n"/>
      <c r="I2556" s="51" t="n"/>
      <c r="J2556" s="51" t="n"/>
      <c r="K2556" s="51" t="n"/>
      <c r="L2556" s="54">
        <f>IF(OR(A2556="",C2556="",D2556=""),"",IF(COUNTIFS($A$5:$A$3004,A2556,$C$5:$C$3004,"&lt;"&amp;D2556,$D$5:$D$3004,"&gt;"&amp;C2556)&gt;1,"⚠️ пересечение",""))</f>
        <v/>
      </c>
      <c r="M2556" s="54">
        <f>IF(F2556="","",IF(J2556="✅ Сделано","✔ ",IF(J2556="❌ Пропущено","✖ ","⏰ "))&amp;IF(C2556="","",RIGHT("0"&amp;HOUR(C2556),2)&amp;":"&amp;RIGHT("0"&amp;MINUTE(C2556),2)&amp;IF(D2556="","","–"&amp;RIGHT("0"&amp;HOUR(D2556),2)&amp;":"&amp;RIGHT("0"&amp;MINUTE(D2556),2))&amp;" ")&amp;F2556)</f>
        <v/>
      </c>
      <c r="N2556" s="54">
        <f>IF(OR(A2556="",F2556=""),"",A2556&amp;"#"&amp;(COUNTIFS($A$5:$A$3004,A2556,$F$5:$F$3004,"?*",$O$5:$O$3004,"&lt;"&amp;O2556)+COUNTIFS($A$5:A2556,A2556,$F$5:F2556,"?*",$O$5:O2556,O2556)))</f>
        <v/>
      </c>
      <c r="O2556" s="54">
        <f>IF(A2556="","",IF(C2556="",0,C2556))</f>
        <v/>
      </c>
    </row>
    <row r="2557">
      <c r="A2557" s="58" t="n"/>
      <c r="B2557" s="49">
        <f>IF(A2557="","",CHOOSE(WEEKDAY(A2557,2),"Пн","Вт","Ср","Чт","Пт","Сб","Вс"))</f>
        <v/>
      </c>
      <c r="C2557" s="59" t="n"/>
      <c r="D2557" s="59" t="n"/>
      <c r="E2557" s="60">
        <f>IF(OR(C2557="",D2557=""),"",MOD(D2557-C2557,1)*24)</f>
        <v/>
      </c>
      <c r="F2557" s="50" t="n"/>
      <c r="G2557" s="51" t="n"/>
      <c r="H2557" s="51" t="n"/>
      <c r="I2557" s="51" t="n"/>
      <c r="J2557" s="51" t="n"/>
      <c r="K2557" s="51" t="n"/>
      <c r="L2557" s="54">
        <f>IF(OR(A2557="",C2557="",D2557=""),"",IF(COUNTIFS($A$5:$A$3004,A2557,$C$5:$C$3004,"&lt;"&amp;D2557,$D$5:$D$3004,"&gt;"&amp;C2557)&gt;1,"⚠️ пересечение",""))</f>
        <v/>
      </c>
      <c r="M2557" s="54">
        <f>IF(F2557="","",IF(J2557="✅ Сделано","✔ ",IF(J2557="❌ Пропущено","✖ ","⏰ "))&amp;IF(C2557="","",RIGHT("0"&amp;HOUR(C2557),2)&amp;":"&amp;RIGHT("0"&amp;MINUTE(C2557),2)&amp;IF(D2557="","","–"&amp;RIGHT("0"&amp;HOUR(D2557),2)&amp;":"&amp;RIGHT("0"&amp;MINUTE(D2557),2))&amp;" ")&amp;F2557)</f>
        <v/>
      </c>
      <c r="N2557" s="54">
        <f>IF(OR(A2557="",F2557=""),"",A2557&amp;"#"&amp;(COUNTIFS($A$5:$A$3004,A2557,$F$5:$F$3004,"?*",$O$5:$O$3004,"&lt;"&amp;O2557)+COUNTIFS($A$5:A2557,A2557,$F$5:F2557,"?*",$O$5:O2557,O2557)))</f>
        <v/>
      </c>
      <c r="O2557" s="54">
        <f>IF(A2557="","",IF(C2557="",0,C2557))</f>
        <v/>
      </c>
    </row>
    <row r="2558">
      <c r="A2558" s="58" t="n"/>
      <c r="B2558" s="49">
        <f>IF(A2558="","",CHOOSE(WEEKDAY(A2558,2),"Пн","Вт","Ср","Чт","Пт","Сб","Вс"))</f>
        <v/>
      </c>
      <c r="C2558" s="59" t="n"/>
      <c r="D2558" s="59" t="n"/>
      <c r="E2558" s="60">
        <f>IF(OR(C2558="",D2558=""),"",MOD(D2558-C2558,1)*24)</f>
        <v/>
      </c>
      <c r="F2558" s="50" t="n"/>
      <c r="G2558" s="51" t="n"/>
      <c r="H2558" s="51" t="n"/>
      <c r="I2558" s="51" t="n"/>
      <c r="J2558" s="51" t="n"/>
      <c r="K2558" s="51" t="n"/>
      <c r="L2558" s="54">
        <f>IF(OR(A2558="",C2558="",D2558=""),"",IF(COUNTIFS($A$5:$A$3004,A2558,$C$5:$C$3004,"&lt;"&amp;D2558,$D$5:$D$3004,"&gt;"&amp;C2558)&gt;1,"⚠️ пересечение",""))</f>
        <v/>
      </c>
      <c r="M2558" s="54">
        <f>IF(F2558="","",IF(J2558="✅ Сделано","✔ ",IF(J2558="❌ Пропущено","✖ ","⏰ "))&amp;IF(C2558="","",RIGHT("0"&amp;HOUR(C2558),2)&amp;":"&amp;RIGHT("0"&amp;MINUTE(C2558),2)&amp;IF(D2558="","","–"&amp;RIGHT("0"&amp;HOUR(D2558),2)&amp;":"&amp;RIGHT("0"&amp;MINUTE(D2558),2))&amp;" ")&amp;F2558)</f>
        <v/>
      </c>
      <c r="N2558" s="54">
        <f>IF(OR(A2558="",F2558=""),"",A2558&amp;"#"&amp;(COUNTIFS($A$5:$A$3004,A2558,$F$5:$F$3004,"?*",$O$5:$O$3004,"&lt;"&amp;O2558)+COUNTIFS($A$5:A2558,A2558,$F$5:F2558,"?*",$O$5:O2558,O2558)))</f>
        <v/>
      </c>
      <c r="O2558" s="54">
        <f>IF(A2558="","",IF(C2558="",0,C2558))</f>
        <v/>
      </c>
    </row>
    <row r="2559">
      <c r="A2559" s="58" t="n"/>
      <c r="B2559" s="49">
        <f>IF(A2559="","",CHOOSE(WEEKDAY(A2559,2),"Пн","Вт","Ср","Чт","Пт","Сб","Вс"))</f>
        <v/>
      </c>
      <c r="C2559" s="59" t="n"/>
      <c r="D2559" s="59" t="n"/>
      <c r="E2559" s="60">
        <f>IF(OR(C2559="",D2559=""),"",MOD(D2559-C2559,1)*24)</f>
        <v/>
      </c>
      <c r="F2559" s="50" t="n"/>
      <c r="G2559" s="51" t="n"/>
      <c r="H2559" s="51" t="n"/>
      <c r="I2559" s="51" t="n"/>
      <c r="J2559" s="51" t="n"/>
      <c r="K2559" s="51" t="n"/>
      <c r="L2559" s="54">
        <f>IF(OR(A2559="",C2559="",D2559=""),"",IF(COUNTIFS($A$5:$A$3004,A2559,$C$5:$C$3004,"&lt;"&amp;D2559,$D$5:$D$3004,"&gt;"&amp;C2559)&gt;1,"⚠️ пересечение",""))</f>
        <v/>
      </c>
      <c r="M2559" s="54">
        <f>IF(F2559="","",IF(J2559="✅ Сделано","✔ ",IF(J2559="❌ Пропущено","✖ ","⏰ "))&amp;IF(C2559="","",RIGHT("0"&amp;HOUR(C2559),2)&amp;":"&amp;RIGHT("0"&amp;MINUTE(C2559),2)&amp;IF(D2559="","","–"&amp;RIGHT("0"&amp;HOUR(D2559),2)&amp;":"&amp;RIGHT("0"&amp;MINUTE(D2559),2))&amp;" ")&amp;F2559)</f>
        <v/>
      </c>
      <c r="N2559" s="54">
        <f>IF(OR(A2559="",F2559=""),"",A2559&amp;"#"&amp;(COUNTIFS($A$5:$A$3004,A2559,$F$5:$F$3004,"?*",$O$5:$O$3004,"&lt;"&amp;O2559)+COUNTIFS($A$5:A2559,A2559,$F$5:F2559,"?*",$O$5:O2559,O2559)))</f>
        <v/>
      </c>
      <c r="O2559" s="54">
        <f>IF(A2559="","",IF(C2559="",0,C2559))</f>
        <v/>
      </c>
    </row>
    <row r="2560">
      <c r="A2560" s="58" t="n"/>
      <c r="B2560" s="49">
        <f>IF(A2560="","",CHOOSE(WEEKDAY(A2560,2),"Пн","Вт","Ср","Чт","Пт","Сб","Вс"))</f>
        <v/>
      </c>
      <c r="C2560" s="59" t="n"/>
      <c r="D2560" s="59" t="n"/>
      <c r="E2560" s="60">
        <f>IF(OR(C2560="",D2560=""),"",MOD(D2560-C2560,1)*24)</f>
        <v/>
      </c>
      <c r="F2560" s="50" t="n"/>
      <c r="G2560" s="51" t="n"/>
      <c r="H2560" s="51" t="n"/>
      <c r="I2560" s="51" t="n"/>
      <c r="J2560" s="51" t="n"/>
      <c r="K2560" s="51" t="n"/>
      <c r="L2560" s="54">
        <f>IF(OR(A2560="",C2560="",D2560=""),"",IF(COUNTIFS($A$5:$A$3004,A2560,$C$5:$C$3004,"&lt;"&amp;D2560,$D$5:$D$3004,"&gt;"&amp;C2560)&gt;1,"⚠️ пересечение",""))</f>
        <v/>
      </c>
      <c r="M2560" s="54">
        <f>IF(F2560="","",IF(J2560="✅ Сделано","✔ ",IF(J2560="❌ Пропущено","✖ ","⏰ "))&amp;IF(C2560="","",RIGHT("0"&amp;HOUR(C2560),2)&amp;":"&amp;RIGHT("0"&amp;MINUTE(C2560),2)&amp;IF(D2560="","","–"&amp;RIGHT("0"&amp;HOUR(D2560),2)&amp;":"&amp;RIGHT("0"&amp;MINUTE(D2560),2))&amp;" ")&amp;F2560)</f>
        <v/>
      </c>
      <c r="N2560" s="54">
        <f>IF(OR(A2560="",F2560=""),"",A2560&amp;"#"&amp;(COUNTIFS($A$5:$A$3004,A2560,$F$5:$F$3004,"?*",$O$5:$O$3004,"&lt;"&amp;O2560)+COUNTIFS($A$5:A2560,A2560,$F$5:F2560,"?*",$O$5:O2560,O2560)))</f>
        <v/>
      </c>
      <c r="O2560" s="54">
        <f>IF(A2560="","",IF(C2560="",0,C2560))</f>
        <v/>
      </c>
    </row>
    <row r="2561">
      <c r="A2561" s="58" t="n"/>
      <c r="B2561" s="49">
        <f>IF(A2561="","",CHOOSE(WEEKDAY(A2561,2),"Пн","Вт","Ср","Чт","Пт","Сб","Вс"))</f>
        <v/>
      </c>
      <c r="C2561" s="59" t="n"/>
      <c r="D2561" s="59" t="n"/>
      <c r="E2561" s="60">
        <f>IF(OR(C2561="",D2561=""),"",MOD(D2561-C2561,1)*24)</f>
        <v/>
      </c>
      <c r="F2561" s="50" t="n"/>
      <c r="G2561" s="51" t="n"/>
      <c r="H2561" s="51" t="n"/>
      <c r="I2561" s="51" t="n"/>
      <c r="J2561" s="51" t="n"/>
      <c r="K2561" s="51" t="n"/>
      <c r="L2561" s="54">
        <f>IF(OR(A2561="",C2561="",D2561=""),"",IF(COUNTIFS($A$5:$A$3004,A2561,$C$5:$C$3004,"&lt;"&amp;D2561,$D$5:$D$3004,"&gt;"&amp;C2561)&gt;1,"⚠️ пересечение",""))</f>
        <v/>
      </c>
      <c r="M2561" s="54">
        <f>IF(F2561="","",IF(J2561="✅ Сделано","✔ ",IF(J2561="❌ Пропущено","✖ ","⏰ "))&amp;IF(C2561="","",RIGHT("0"&amp;HOUR(C2561),2)&amp;":"&amp;RIGHT("0"&amp;MINUTE(C2561),2)&amp;IF(D2561="","","–"&amp;RIGHT("0"&amp;HOUR(D2561),2)&amp;":"&amp;RIGHT("0"&amp;MINUTE(D2561),2))&amp;" ")&amp;F2561)</f>
        <v/>
      </c>
      <c r="N2561" s="54">
        <f>IF(OR(A2561="",F2561=""),"",A2561&amp;"#"&amp;(COUNTIFS($A$5:$A$3004,A2561,$F$5:$F$3004,"?*",$O$5:$O$3004,"&lt;"&amp;O2561)+COUNTIFS($A$5:A2561,A2561,$F$5:F2561,"?*",$O$5:O2561,O2561)))</f>
        <v/>
      </c>
      <c r="O2561" s="54">
        <f>IF(A2561="","",IF(C2561="",0,C2561))</f>
        <v/>
      </c>
    </row>
    <row r="2562">
      <c r="A2562" s="58" t="n"/>
      <c r="B2562" s="49">
        <f>IF(A2562="","",CHOOSE(WEEKDAY(A2562,2),"Пн","Вт","Ср","Чт","Пт","Сб","Вс"))</f>
        <v/>
      </c>
      <c r="C2562" s="59" t="n"/>
      <c r="D2562" s="59" t="n"/>
      <c r="E2562" s="60">
        <f>IF(OR(C2562="",D2562=""),"",MOD(D2562-C2562,1)*24)</f>
        <v/>
      </c>
      <c r="F2562" s="50" t="n"/>
      <c r="G2562" s="51" t="n"/>
      <c r="H2562" s="51" t="n"/>
      <c r="I2562" s="51" t="n"/>
      <c r="J2562" s="51" t="n"/>
      <c r="K2562" s="51" t="n"/>
      <c r="L2562" s="54">
        <f>IF(OR(A2562="",C2562="",D2562=""),"",IF(COUNTIFS($A$5:$A$3004,A2562,$C$5:$C$3004,"&lt;"&amp;D2562,$D$5:$D$3004,"&gt;"&amp;C2562)&gt;1,"⚠️ пересечение",""))</f>
        <v/>
      </c>
      <c r="M2562" s="54">
        <f>IF(F2562="","",IF(J2562="✅ Сделано","✔ ",IF(J2562="❌ Пропущено","✖ ","⏰ "))&amp;IF(C2562="","",RIGHT("0"&amp;HOUR(C2562),2)&amp;":"&amp;RIGHT("0"&amp;MINUTE(C2562),2)&amp;IF(D2562="","","–"&amp;RIGHT("0"&amp;HOUR(D2562),2)&amp;":"&amp;RIGHT("0"&amp;MINUTE(D2562),2))&amp;" ")&amp;F2562)</f>
        <v/>
      </c>
      <c r="N2562" s="54">
        <f>IF(OR(A2562="",F2562=""),"",A2562&amp;"#"&amp;(COUNTIFS($A$5:$A$3004,A2562,$F$5:$F$3004,"?*",$O$5:$O$3004,"&lt;"&amp;O2562)+COUNTIFS($A$5:A2562,A2562,$F$5:F2562,"?*",$O$5:O2562,O2562)))</f>
        <v/>
      </c>
      <c r="O2562" s="54">
        <f>IF(A2562="","",IF(C2562="",0,C2562))</f>
        <v/>
      </c>
    </row>
    <row r="2563">
      <c r="A2563" s="58" t="n"/>
      <c r="B2563" s="49">
        <f>IF(A2563="","",CHOOSE(WEEKDAY(A2563,2),"Пн","Вт","Ср","Чт","Пт","Сб","Вс"))</f>
        <v/>
      </c>
      <c r="C2563" s="59" t="n"/>
      <c r="D2563" s="59" t="n"/>
      <c r="E2563" s="60">
        <f>IF(OR(C2563="",D2563=""),"",MOD(D2563-C2563,1)*24)</f>
        <v/>
      </c>
      <c r="F2563" s="50" t="n"/>
      <c r="G2563" s="51" t="n"/>
      <c r="H2563" s="51" t="n"/>
      <c r="I2563" s="51" t="n"/>
      <c r="J2563" s="51" t="n"/>
      <c r="K2563" s="51" t="n"/>
      <c r="L2563" s="54">
        <f>IF(OR(A2563="",C2563="",D2563=""),"",IF(COUNTIFS($A$5:$A$3004,A2563,$C$5:$C$3004,"&lt;"&amp;D2563,$D$5:$D$3004,"&gt;"&amp;C2563)&gt;1,"⚠️ пересечение",""))</f>
        <v/>
      </c>
      <c r="M2563" s="54">
        <f>IF(F2563="","",IF(J2563="✅ Сделано","✔ ",IF(J2563="❌ Пропущено","✖ ","⏰ "))&amp;IF(C2563="","",RIGHT("0"&amp;HOUR(C2563),2)&amp;":"&amp;RIGHT("0"&amp;MINUTE(C2563),2)&amp;IF(D2563="","","–"&amp;RIGHT("0"&amp;HOUR(D2563),2)&amp;":"&amp;RIGHT("0"&amp;MINUTE(D2563),2))&amp;" ")&amp;F2563)</f>
        <v/>
      </c>
      <c r="N2563" s="54">
        <f>IF(OR(A2563="",F2563=""),"",A2563&amp;"#"&amp;(COUNTIFS($A$5:$A$3004,A2563,$F$5:$F$3004,"?*",$O$5:$O$3004,"&lt;"&amp;O2563)+COUNTIFS($A$5:A2563,A2563,$F$5:F2563,"?*",$O$5:O2563,O2563)))</f>
        <v/>
      </c>
      <c r="O2563" s="54">
        <f>IF(A2563="","",IF(C2563="",0,C2563))</f>
        <v/>
      </c>
    </row>
    <row r="2564">
      <c r="A2564" s="58" t="n"/>
      <c r="B2564" s="49">
        <f>IF(A2564="","",CHOOSE(WEEKDAY(A2564,2),"Пн","Вт","Ср","Чт","Пт","Сб","Вс"))</f>
        <v/>
      </c>
      <c r="C2564" s="59" t="n"/>
      <c r="D2564" s="59" t="n"/>
      <c r="E2564" s="60">
        <f>IF(OR(C2564="",D2564=""),"",MOD(D2564-C2564,1)*24)</f>
        <v/>
      </c>
      <c r="F2564" s="50" t="n"/>
      <c r="G2564" s="51" t="n"/>
      <c r="H2564" s="51" t="n"/>
      <c r="I2564" s="51" t="n"/>
      <c r="J2564" s="51" t="n"/>
      <c r="K2564" s="51" t="n"/>
      <c r="L2564" s="54">
        <f>IF(OR(A2564="",C2564="",D2564=""),"",IF(COUNTIFS($A$5:$A$3004,A2564,$C$5:$C$3004,"&lt;"&amp;D2564,$D$5:$D$3004,"&gt;"&amp;C2564)&gt;1,"⚠️ пересечение",""))</f>
        <v/>
      </c>
      <c r="M2564" s="54">
        <f>IF(F2564="","",IF(J2564="✅ Сделано","✔ ",IF(J2564="❌ Пропущено","✖ ","⏰ "))&amp;IF(C2564="","",RIGHT("0"&amp;HOUR(C2564),2)&amp;":"&amp;RIGHT("0"&amp;MINUTE(C2564),2)&amp;IF(D2564="","","–"&amp;RIGHT("0"&amp;HOUR(D2564),2)&amp;":"&amp;RIGHT("0"&amp;MINUTE(D2564),2))&amp;" ")&amp;F2564)</f>
        <v/>
      </c>
      <c r="N2564" s="54">
        <f>IF(OR(A2564="",F2564=""),"",A2564&amp;"#"&amp;(COUNTIFS($A$5:$A$3004,A2564,$F$5:$F$3004,"?*",$O$5:$O$3004,"&lt;"&amp;O2564)+COUNTIFS($A$5:A2564,A2564,$F$5:F2564,"?*",$O$5:O2564,O2564)))</f>
        <v/>
      </c>
      <c r="O2564" s="54">
        <f>IF(A2564="","",IF(C2564="",0,C2564))</f>
        <v/>
      </c>
    </row>
    <row r="2565">
      <c r="A2565" s="58" t="n"/>
      <c r="B2565" s="49">
        <f>IF(A2565="","",CHOOSE(WEEKDAY(A2565,2),"Пн","Вт","Ср","Чт","Пт","Сб","Вс"))</f>
        <v/>
      </c>
      <c r="C2565" s="59" t="n"/>
      <c r="D2565" s="59" t="n"/>
      <c r="E2565" s="60">
        <f>IF(OR(C2565="",D2565=""),"",MOD(D2565-C2565,1)*24)</f>
        <v/>
      </c>
      <c r="F2565" s="50" t="n"/>
      <c r="G2565" s="51" t="n"/>
      <c r="H2565" s="51" t="n"/>
      <c r="I2565" s="51" t="n"/>
      <c r="J2565" s="51" t="n"/>
      <c r="K2565" s="51" t="n"/>
      <c r="L2565" s="54">
        <f>IF(OR(A2565="",C2565="",D2565=""),"",IF(COUNTIFS($A$5:$A$3004,A2565,$C$5:$C$3004,"&lt;"&amp;D2565,$D$5:$D$3004,"&gt;"&amp;C2565)&gt;1,"⚠️ пересечение",""))</f>
        <v/>
      </c>
      <c r="M2565" s="54">
        <f>IF(F2565="","",IF(J2565="✅ Сделано","✔ ",IF(J2565="❌ Пропущено","✖ ","⏰ "))&amp;IF(C2565="","",RIGHT("0"&amp;HOUR(C2565),2)&amp;":"&amp;RIGHT("0"&amp;MINUTE(C2565),2)&amp;IF(D2565="","","–"&amp;RIGHT("0"&amp;HOUR(D2565),2)&amp;":"&amp;RIGHT("0"&amp;MINUTE(D2565),2))&amp;" ")&amp;F2565)</f>
        <v/>
      </c>
      <c r="N2565" s="54">
        <f>IF(OR(A2565="",F2565=""),"",A2565&amp;"#"&amp;(COUNTIFS($A$5:$A$3004,A2565,$F$5:$F$3004,"?*",$O$5:$O$3004,"&lt;"&amp;O2565)+COUNTIFS($A$5:A2565,A2565,$F$5:F2565,"?*",$O$5:O2565,O2565)))</f>
        <v/>
      </c>
      <c r="O2565" s="54">
        <f>IF(A2565="","",IF(C2565="",0,C2565))</f>
        <v/>
      </c>
    </row>
    <row r="2566">
      <c r="A2566" s="58" t="n"/>
      <c r="B2566" s="49">
        <f>IF(A2566="","",CHOOSE(WEEKDAY(A2566,2),"Пн","Вт","Ср","Чт","Пт","Сб","Вс"))</f>
        <v/>
      </c>
      <c r="C2566" s="59" t="n"/>
      <c r="D2566" s="59" t="n"/>
      <c r="E2566" s="60">
        <f>IF(OR(C2566="",D2566=""),"",MOD(D2566-C2566,1)*24)</f>
        <v/>
      </c>
      <c r="F2566" s="50" t="n"/>
      <c r="G2566" s="51" t="n"/>
      <c r="H2566" s="51" t="n"/>
      <c r="I2566" s="51" t="n"/>
      <c r="J2566" s="51" t="n"/>
      <c r="K2566" s="51" t="n"/>
      <c r="L2566" s="54">
        <f>IF(OR(A2566="",C2566="",D2566=""),"",IF(COUNTIFS($A$5:$A$3004,A2566,$C$5:$C$3004,"&lt;"&amp;D2566,$D$5:$D$3004,"&gt;"&amp;C2566)&gt;1,"⚠️ пересечение",""))</f>
        <v/>
      </c>
      <c r="M2566" s="54">
        <f>IF(F2566="","",IF(J2566="✅ Сделано","✔ ",IF(J2566="❌ Пропущено","✖ ","⏰ "))&amp;IF(C2566="","",RIGHT("0"&amp;HOUR(C2566),2)&amp;":"&amp;RIGHT("0"&amp;MINUTE(C2566),2)&amp;IF(D2566="","","–"&amp;RIGHT("0"&amp;HOUR(D2566),2)&amp;":"&amp;RIGHT("0"&amp;MINUTE(D2566),2))&amp;" ")&amp;F2566)</f>
        <v/>
      </c>
      <c r="N2566" s="54">
        <f>IF(OR(A2566="",F2566=""),"",A2566&amp;"#"&amp;(COUNTIFS($A$5:$A$3004,A2566,$F$5:$F$3004,"?*",$O$5:$O$3004,"&lt;"&amp;O2566)+COUNTIFS($A$5:A2566,A2566,$F$5:F2566,"?*",$O$5:O2566,O2566)))</f>
        <v/>
      </c>
      <c r="O2566" s="54">
        <f>IF(A2566="","",IF(C2566="",0,C2566))</f>
        <v/>
      </c>
    </row>
    <row r="2567">
      <c r="A2567" s="58" t="n"/>
      <c r="B2567" s="49">
        <f>IF(A2567="","",CHOOSE(WEEKDAY(A2567,2),"Пн","Вт","Ср","Чт","Пт","Сб","Вс"))</f>
        <v/>
      </c>
      <c r="C2567" s="59" t="n"/>
      <c r="D2567" s="59" t="n"/>
      <c r="E2567" s="60">
        <f>IF(OR(C2567="",D2567=""),"",MOD(D2567-C2567,1)*24)</f>
        <v/>
      </c>
      <c r="F2567" s="50" t="n"/>
      <c r="G2567" s="51" t="n"/>
      <c r="H2567" s="51" t="n"/>
      <c r="I2567" s="51" t="n"/>
      <c r="J2567" s="51" t="n"/>
      <c r="K2567" s="51" t="n"/>
      <c r="L2567" s="54">
        <f>IF(OR(A2567="",C2567="",D2567=""),"",IF(COUNTIFS($A$5:$A$3004,A2567,$C$5:$C$3004,"&lt;"&amp;D2567,$D$5:$D$3004,"&gt;"&amp;C2567)&gt;1,"⚠️ пересечение",""))</f>
        <v/>
      </c>
      <c r="M2567" s="54">
        <f>IF(F2567="","",IF(J2567="✅ Сделано","✔ ",IF(J2567="❌ Пропущено","✖ ","⏰ "))&amp;IF(C2567="","",RIGHT("0"&amp;HOUR(C2567),2)&amp;":"&amp;RIGHT("0"&amp;MINUTE(C2567),2)&amp;IF(D2567="","","–"&amp;RIGHT("0"&amp;HOUR(D2567),2)&amp;":"&amp;RIGHT("0"&amp;MINUTE(D2567),2))&amp;" ")&amp;F2567)</f>
        <v/>
      </c>
      <c r="N2567" s="54">
        <f>IF(OR(A2567="",F2567=""),"",A2567&amp;"#"&amp;(COUNTIFS($A$5:$A$3004,A2567,$F$5:$F$3004,"?*",$O$5:$O$3004,"&lt;"&amp;O2567)+COUNTIFS($A$5:A2567,A2567,$F$5:F2567,"?*",$O$5:O2567,O2567)))</f>
        <v/>
      </c>
      <c r="O2567" s="54">
        <f>IF(A2567="","",IF(C2567="",0,C2567))</f>
        <v/>
      </c>
    </row>
    <row r="2568">
      <c r="A2568" s="58" t="n"/>
      <c r="B2568" s="49">
        <f>IF(A2568="","",CHOOSE(WEEKDAY(A2568,2),"Пн","Вт","Ср","Чт","Пт","Сб","Вс"))</f>
        <v/>
      </c>
      <c r="C2568" s="59" t="n"/>
      <c r="D2568" s="59" t="n"/>
      <c r="E2568" s="60">
        <f>IF(OR(C2568="",D2568=""),"",MOD(D2568-C2568,1)*24)</f>
        <v/>
      </c>
      <c r="F2568" s="50" t="n"/>
      <c r="G2568" s="51" t="n"/>
      <c r="H2568" s="51" t="n"/>
      <c r="I2568" s="51" t="n"/>
      <c r="J2568" s="51" t="n"/>
      <c r="K2568" s="51" t="n"/>
      <c r="L2568" s="54">
        <f>IF(OR(A2568="",C2568="",D2568=""),"",IF(COUNTIFS($A$5:$A$3004,A2568,$C$5:$C$3004,"&lt;"&amp;D2568,$D$5:$D$3004,"&gt;"&amp;C2568)&gt;1,"⚠️ пересечение",""))</f>
        <v/>
      </c>
      <c r="M2568" s="54">
        <f>IF(F2568="","",IF(J2568="✅ Сделано","✔ ",IF(J2568="❌ Пропущено","✖ ","⏰ "))&amp;IF(C2568="","",RIGHT("0"&amp;HOUR(C2568),2)&amp;":"&amp;RIGHT("0"&amp;MINUTE(C2568),2)&amp;IF(D2568="","","–"&amp;RIGHT("0"&amp;HOUR(D2568),2)&amp;":"&amp;RIGHT("0"&amp;MINUTE(D2568),2))&amp;" ")&amp;F2568)</f>
        <v/>
      </c>
      <c r="N2568" s="54">
        <f>IF(OR(A2568="",F2568=""),"",A2568&amp;"#"&amp;(COUNTIFS($A$5:$A$3004,A2568,$F$5:$F$3004,"?*",$O$5:$O$3004,"&lt;"&amp;O2568)+COUNTIFS($A$5:A2568,A2568,$F$5:F2568,"?*",$O$5:O2568,O2568)))</f>
        <v/>
      </c>
      <c r="O2568" s="54">
        <f>IF(A2568="","",IF(C2568="",0,C2568))</f>
        <v/>
      </c>
    </row>
    <row r="2569">
      <c r="A2569" s="58" t="n"/>
      <c r="B2569" s="49">
        <f>IF(A2569="","",CHOOSE(WEEKDAY(A2569,2),"Пн","Вт","Ср","Чт","Пт","Сб","Вс"))</f>
        <v/>
      </c>
      <c r="C2569" s="59" t="n"/>
      <c r="D2569" s="59" t="n"/>
      <c r="E2569" s="60">
        <f>IF(OR(C2569="",D2569=""),"",MOD(D2569-C2569,1)*24)</f>
        <v/>
      </c>
      <c r="F2569" s="50" t="n"/>
      <c r="G2569" s="51" t="n"/>
      <c r="H2569" s="51" t="n"/>
      <c r="I2569" s="51" t="n"/>
      <c r="J2569" s="51" t="n"/>
      <c r="K2569" s="51" t="n"/>
      <c r="L2569" s="54">
        <f>IF(OR(A2569="",C2569="",D2569=""),"",IF(COUNTIFS($A$5:$A$3004,A2569,$C$5:$C$3004,"&lt;"&amp;D2569,$D$5:$D$3004,"&gt;"&amp;C2569)&gt;1,"⚠️ пересечение",""))</f>
        <v/>
      </c>
      <c r="M2569" s="54">
        <f>IF(F2569="","",IF(J2569="✅ Сделано","✔ ",IF(J2569="❌ Пропущено","✖ ","⏰ "))&amp;IF(C2569="","",RIGHT("0"&amp;HOUR(C2569),2)&amp;":"&amp;RIGHT("0"&amp;MINUTE(C2569),2)&amp;IF(D2569="","","–"&amp;RIGHT("0"&amp;HOUR(D2569),2)&amp;":"&amp;RIGHT("0"&amp;MINUTE(D2569),2))&amp;" ")&amp;F2569)</f>
        <v/>
      </c>
      <c r="N2569" s="54">
        <f>IF(OR(A2569="",F2569=""),"",A2569&amp;"#"&amp;(COUNTIFS($A$5:$A$3004,A2569,$F$5:$F$3004,"?*",$O$5:$O$3004,"&lt;"&amp;O2569)+COUNTIFS($A$5:A2569,A2569,$F$5:F2569,"?*",$O$5:O2569,O2569)))</f>
        <v/>
      </c>
      <c r="O2569" s="54">
        <f>IF(A2569="","",IF(C2569="",0,C2569))</f>
        <v/>
      </c>
    </row>
    <row r="2570">
      <c r="A2570" s="58" t="n"/>
      <c r="B2570" s="49">
        <f>IF(A2570="","",CHOOSE(WEEKDAY(A2570,2),"Пн","Вт","Ср","Чт","Пт","Сб","Вс"))</f>
        <v/>
      </c>
      <c r="C2570" s="59" t="n"/>
      <c r="D2570" s="59" t="n"/>
      <c r="E2570" s="60">
        <f>IF(OR(C2570="",D2570=""),"",MOD(D2570-C2570,1)*24)</f>
        <v/>
      </c>
      <c r="F2570" s="50" t="n"/>
      <c r="G2570" s="51" t="n"/>
      <c r="H2570" s="51" t="n"/>
      <c r="I2570" s="51" t="n"/>
      <c r="J2570" s="51" t="n"/>
      <c r="K2570" s="51" t="n"/>
      <c r="L2570" s="54">
        <f>IF(OR(A2570="",C2570="",D2570=""),"",IF(COUNTIFS($A$5:$A$3004,A2570,$C$5:$C$3004,"&lt;"&amp;D2570,$D$5:$D$3004,"&gt;"&amp;C2570)&gt;1,"⚠️ пересечение",""))</f>
        <v/>
      </c>
      <c r="M2570" s="54">
        <f>IF(F2570="","",IF(J2570="✅ Сделано","✔ ",IF(J2570="❌ Пропущено","✖ ","⏰ "))&amp;IF(C2570="","",RIGHT("0"&amp;HOUR(C2570),2)&amp;":"&amp;RIGHT("0"&amp;MINUTE(C2570),2)&amp;IF(D2570="","","–"&amp;RIGHT("0"&amp;HOUR(D2570),2)&amp;":"&amp;RIGHT("0"&amp;MINUTE(D2570),2))&amp;" ")&amp;F2570)</f>
        <v/>
      </c>
      <c r="N2570" s="54">
        <f>IF(OR(A2570="",F2570=""),"",A2570&amp;"#"&amp;(COUNTIFS($A$5:$A$3004,A2570,$F$5:$F$3004,"?*",$O$5:$O$3004,"&lt;"&amp;O2570)+COUNTIFS($A$5:A2570,A2570,$F$5:F2570,"?*",$O$5:O2570,O2570)))</f>
        <v/>
      </c>
      <c r="O2570" s="54">
        <f>IF(A2570="","",IF(C2570="",0,C2570))</f>
        <v/>
      </c>
    </row>
    <row r="2571">
      <c r="A2571" s="58" t="n"/>
      <c r="B2571" s="49">
        <f>IF(A2571="","",CHOOSE(WEEKDAY(A2571,2),"Пн","Вт","Ср","Чт","Пт","Сб","Вс"))</f>
        <v/>
      </c>
      <c r="C2571" s="59" t="n"/>
      <c r="D2571" s="59" t="n"/>
      <c r="E2571" s="60">
        <f>IF(OR(C2571="",D2571=""),"",MOD(D2571-C2571,1)*24)</f>
        <v/>
      </c>
      <c r="F2571" s="50" t="n"/>
      <c r="G2571" s="51" t="n"/>
      <c r="H2571" s="51" t="n"/>
      <c r="I2571" s="51" t="n"/>
      <c r="J2571" s="51" t="n"/>
      <c r="K2571" s="51" t="n"/>
      <c r="L2571" s="54">
        <f>IF(OR(A2571="",C2571="",D2571=""),"",IF(COUNTIFS($A$5:$A$3004,A2571,$C$5:$C$3004,"&lt;"&amp;D2571,$D$5:$D$3004,"&gt;"&amp;C2571)&gt;1,"⚠️ пересечение",""))</f>
        <v/>
      </c>
      <c r="M2571" s="54">
        <f>IF(F2571="","",IF(J2571="✅ Сделано","✔ ",IF(J2571="❌ Пропущено","✖ ","⏰ "))&amp;IF(C2571="","",RIGHT("0"&amp;HOUR(C2571),2)&amp;":"&amp;RIGHT("0"&amp;MINUTE(C2571),2)&amp;IF(D2571="","","–"&amp;RIGHT("0"&amp;HOUR(D2571),2)&amp;":"&amp;RIGHT("0"&amp;MINUTE(D2571),2))&amp;" ")&amp;F2571)</f>
        <v/>
      </c>
      <c r="N2571" s="54">
        <f>IF(OR(A2571="",F2571=""),"",A2571&amp;"#"&amp;(COUNTIFS($A$5:$A$3004,A2571,$F$5:$F$3004,"?*",$O$5:$O$3004,"&lt;"&amp;O2571)+COUNTIFS($A$5:A2571,A2571,$F$5:F2571,"?*",$O$5:O2571,O2571)))</f>
        <v/>
      </c>
      <c r="O2571" s="54">
        <f>IF(A2571="","",IF(C2571="",0,C2571))</f>
        <v/>
      </c>
    </row>
    <row r="2572">
      <c r="A2572" s="58" t="n"/>
      <c r="B2572" s="49">
        <f>IF(A2572="","",CHOOSE(WEEKDAY(A2572,2),"Пн","Вт","Ср","Чт","Пт","Сб","Вс"))</f>
        <v/>
      </c>
      <c r="C2572" s="59" t="n"/>
      <c r="D2572" s="59" t="n"/>
      <c r="E2572" s="60">
        <f>IF(OR(C2572="",D2572=""),"",MOD(D2572-C2572,1)*24)</f>
        <v/>
      </c>
      <c r="F2572" s="50" t="n"/>
      <c r="G2572" s="51" t="n"/>
      <c r="H2572" s="51" t="n"/>
      <c r="I2572" s="51" t="n"/>
      <c r="J2572" s="51" t="n"/>
      <c r="K2572" s="51" t="n"/>
      <c r="L2572" s="54">
        <f>IF(OR(A2572="",C2572="",D2572=""),"",IF(COUNTIFS($A$5:$A$3004,A2572,$C$5:$C$3004,"&lt;"&amp;D2572,$D$5:$D$3004,"&gt;"&amp;C2572)&gt;1,"⚠️ пересечение",""))</f>
        <v/>
      </c>
      <c r="M2572" s="54">
        <f>IF(F2572="","",IF(J2572="✅ Сделано","✔ ",IF(J2572="❌ Пропущено","✖ ","⏰ "))&amp;IF(C2572="","",RIGHT("0"&amp;HOUR(C2572),2)&amp;":"&amp;RIGHT("0"&amp;MINUTE(C2572),2)&amp;IF(D2572="","","–"&amp;RIGHT("0"&amp;HOUR(D2572),2)&amp;":"&amp;RIGHT("0"&amp;MINUTE(D2572),2))&amp;" ")&amp;F2572)</f>
        <v/>
      </c>
      <c r="N2572" s="54">
        <f>IF(OR(A2572="",F2572=""),"",A2572&amp;"#"&amp;(COUNTIFS($A$5:$A$3004,A2572,$F$5:$F$3004,"?*",$O$5:$O$3004,"&lt;"&amp;O2572)+COUNTIFS($A$5:A2572,A2572,$F$5:F2572,"?*",$O$5:O2572,O2572)))</f>
        <v/>
      </c>
      <c r="O2572" s="54">
        <f>IF(A2572="","",IF(C2572="",0,C2572))</f>
        <v/>
      </c>
    </row>
    <row r="2573">
      <c r="A2573" s="58" t="n"/>
      <c r="B2573" s="49">
        <f>IF(A2573="","",CHOOSE(WEEKDAY(A2573,2),"Пн","Вт","Ср","Чт","Пт","Сб","Вс"))</f>
        <v/>
      </c>
      <c r="C2573" s="59" t="n"/>
      <c r="D2573" s="59" t="n"/>
      <c r="E2573" s="60">
        <f>IF(OR(C2573="",D2573=""),"",MOD(D2573-C2573,1)*24)</f>
        <v/>
      </c>
      <c r="F2573" s="50" t="n"/>
      <c r="G2573" s="51" t="n"/>
      <c r="H2573" s="51" t="n"/>
      <c r="I2573" s="51" t="n"/>
      <c r="J2573" s="51" t="n"/>
      <c r="K2573" s="51" t="n"/>
      <c r="L2573" s="54">
        <f>IF(OR(A2573="",C2573="",D2573=""),"",IF(COUNTIFS($A$5:$A$3004,A2573,$C$5:$C$3004,"&lt;"&amp;D2573,$D$5:$D$3004,"&gt;"&amp;C2573)&gt;1,"⚠️ пересечение",""))</f>
        <v/>
      </c>
      <c r="M2573" s="54">
        <f>IF(F2573="","",IF(J2573="✅ Сделано","✔ ",IF(J2573="❌ Пропущено","✖ ","⏰ "))&amp;IF(C2573="","",RIGHT("0"&amp;HOUR(C2573),2)&amp;":"&amp;RIGHT("0"&amp;MINUTE(C2573),2)&amp;IF(D2573="","","–"&amp;RIGHT("0"&amp;HOUR(D2573),2)&amp;":"&amp;RIGHT("0"&amp;MINUTE(D2573),2))&amp;" ")&amp;F2573)</f>
        <v/>
      </c>
      <c r="N2573" s="54">
        <f>IF(OR(A2573="",F2573=""),"",A2573&amp;"#"&amp;(COUNTIFS($A$5:$A$3004,A2573,$F$5:$F$3004,"?*",$O$5:$O$3004,"&lt;"&amp;O2573)+COUNTIFS($A$5:A2573,A2573,$F$5:F2573,"?*",$O$5:O2573,O2573)))</f>
        <v/>
      </c>
      <c r="O2573" s="54">
        <f>IF(A2573="","",IF(C2573="",0,C2573))</f>
        <v/>
      </c>
    </row>
    <row r="2574">
      <c r="A2574" s="58" t="n"/>
      <c r="B2574" s="49">
        <f>IF(A2574="","",CHOOSE(WEEKDAY(A2574,2),"Пн","Вт","Ср","Чт","Пт","Сб","Вс"))</f>
        <v/>
      </c>
      <c r="C2574" s="59" t="n"/>
      <c r="D2574" s="59" t="n"/>
      <c r="E2574" s="60">
        <f>IF(OR(C2574="",D2574=""),"",MOD(D2574-C2574,1)*24)</f>
        <v/>
      </c>
      <c r="F2574" s="50" t="n"/>
      <c r="G2574" s="51" t="n"/>
      <c r="H2574" s="51" t="n"/>
      <c r="I2574" s="51" t="n"/>
      <c r="J2574" s="51" t="n"/>
      <c r="K2574" s="51" t="n"/>
      <c r="L2574" s="54">
        <f>IF(OR(A2574="",C2574="",D2574=""),"",IF(COUNTIFS($A$5:$A$3004,A2574,$C$5:$C$3004,"&lt;"&amp;D2574,$D$5:$D$3004,"&gt;"&amp;C2574)&gt;1,"⚠️ пересечение",""))</f>
        <v/>
      </c>
      <c r="M2574" s="54">
        <f>IF(F2574="","",IF(J2574="✅ Сделано","✔ ",IF(J2574="❌ Пропущено","✖ ","⏰ "))&amp;IF(C2574="","",RIGHT("0"&amp;HOUR(C2574),2)&amp;":"&amp;RIGHT("0"&amp;MINUTE(C2574),2)&amp;IF(D2574="","","–"&amp;RIGHT("0"&amp;HOUR(D2574),2)&amp;":"&amp;RIGHT("0"&amp;MINUTE(D2574),2))&amp;" ")&amp;F2574)</f>
        <v/>
      </c>
      <c r="N2574" s="54">
        <f>IF(OR(A2574="",F2574=""),"",A2574&amp;"#"&amp;(COUNTIFS($A$5:$A$3004,A2574,$F$5:$F$3004,"?*",$O$5:$O$3004,"&lt;"&amp;O2574)+COUNTIFS($A$5:A2574,A2574,$F$5:F2574,"?*",$O$5:O2574,O2574)))</f>
        <v/>
      </c>
      <c r="O2574" s="54">
        <f>IF(A2574="","",IF(C2574="",0,C2574))</f>
        <v/>
      </c>
    </row>
    <row r="2575">
      <c r="A2575" s="58" t="n"/>
      <c r="B2575" s="49">
        <f>IF(A2575="","",CHOOSE(WEEKDAY(A2575,2),"Пн","Вт","Ср","Чт","Пт","Сб","Вс"))</f>
        <v/>
      </c>
      <c r="C2575" s="59" t="n"/>
      <c r="D2575" s="59" t="n"/>
      <c r="E2575" s="60">
        <f>IF(OR(C2575="",D2575=""),"",MOD(D2575-C2575,1)*24)</f>
        <v/>
      </c>
      <c r="F2575" s="50" t="n"/>
      <c r="G2575" s="51" t="n"/>
      <c r="H2575" s="51" t="n"/>
      <c r="I2575" s="51" t="n"/>
      <c r="J2575" s="51" t="n"/>
      <c r="K2575" s="51" t="n"/>
      <c r="L2575" s="54">
        <f>IF(OR(A2575="",C2575="",D2575=""),"",IF(COUNTIFS($A$5:$A$3004,A2575,$C$5:$C$3004,"&lt;"&amp;D2575,$D$5:$D$3004,"&gt;"&amp;C2575)&gt;1,"⚠️ пересечение",""))</f>
        <v/>
      </c>
      <c r="M2575" s="54">
        <f>IF(F2575="","",IF(J2575="✅ Сделано","✔ ",IF(J2575="❌ Пропущено","✖ ","⏰ "))&amp;IF(C2575="","",RIGHT("0"&amp;HOUR(C2575),2)&amp;":"&amp;RIGHT("0"&amp;MINUTE(C2575),2)&amp;IF(D2575="","","–"&amp;RIGHT("0"&amp;HOUR(D2575),2)&amp;":"&amp;RIGHT("0"&amp;MINUTE(D2575),2))&amp;" ")&amp;F2575)</f>
        <v/>
      </c>
      <c r="N2575" s="54">
        <f>IF(OR(A2575="",F2575=""),"",A2575&amp;"#"&amp;(COUNTIFS($A$5:$A$3004,A2575,$F$5:$F$3004,"?*",$O$5:$O$3004,"&lt;"&amp;O2575)+COUNTIFS($A$5:A2575,A2575,$F$5:F2575,"?*",$O$5:O2575,O2575)))</f>
        <v/>
      </c>
      <c r="O2575" s="54">
        <f>IF(A2575="","",IF(C2575="",0,C2575))</f>
        <v/>
      </c>
    </row>
    <row r="2576">
      <c r="A2576" s="58" t="n"/>
      <c r="B2576" s="49">
        <f>IF(A2576="","",CHOOSE(WEEKDAY(A2576,2),"Пн","Вт","Ср","Чт","Пт","Сб","Вс"))</f>
        <v/>
      </c>
      <c r="C2576" s="59" t="n"/>
      <c r="D2576" s="59" t="n"/>
      <c r="E2576" s="60">
        <f>IF(OR(C2576="",D2576=""),"",MOD(D2576-C2576,1)*24)</f>
        <v/>
      </c>
      <c r="F2576" s="50" t="n"/>
      <c r="G2576" s="51" t="n"/>
      <c r="H2576" s="51" t="n"/>
      <c r="I2576" s="51" t="n"/>
      <c r="J2576" s="51" t="n"/>
      <c r="K2576" s="51" t="n"/>
      <c r="L2576" s="54">
        <f>IF(OR(A2576="",C2576="",D2576=""),"",IF(COUNTIFS($A$5:$A$3004,A2576,$C$5:$C$3004,"&lt;"&amp;D2576,$D$5:$D$3004,"&gt;"&amp;C2576)&gt;1,"⚠️ пересечение",""))</f>
        <v/>
      </c>
      <c r="M2576" s="54">
        <f>IF(F2576="","",IF(J2576="✅ Сделано","✔ ",IF(J2576="❌ Пропущено","✖ ","⏰ "))&amp;IF(C2576="","",RIGHT("0"&amp;HOUR(C2576),2)&amp;":"&amp;RIGHT("0"&amp;MINUTE(C2576),2)&amp;IF(D2576="","","–"&amp;RIGHT("0"&amp;HOUR(D2576),2)&amp;":"&amp;RIGHT("0"&amp;MINUTE(D2576),2))&amp;" ")&amp;F2576)</f>
        <v/>
      </c>
      <c r="N2576" s="54">
        <f>IF(OR(A2576="",F2576=""),"",A2576&amp;"#"&amp;(COUNTIFS($A$5:$A$3004,A2576,$F$5:$F$3004,"?*",$O$5:$O$3004,"&lt;"&amp;O2576)+COUNTIFS($A$5:A2576,A2576,$F$5:F2576,"?*",$O$5:O2576,O2576)))</f>
        <v/>
      </c>
      <c r="O2576" s="54">
        <f>IF(A2576="","",IF(C2576="",0,C2576))</f>
        <v/>
      </c>
    </row>
    <row r="2577">
      <c r="A2577" s="58" t="n"/>
      <c r="B2577" s="49">
        <f>IF(A2577="","",CHOOSE(WEEKDAY(A2577,2),"Пн","Вт","Ср","Чт","Пт","Сб","Вс"))</f>
        <v/>
      </c>
      <c r="C2577" s="59" t="n"/>
      <c r="D2577" s="59" t="n"/>
      <c r="E2577" s="60">
        <f>IF(OR(C2577="",D2577=""),"",MOD(D2577-C2577,1)*24)</f>
        <v/>
      </c>
      <c r="F2577" s="50" t="n"/>
      <c r="G2577" s="51" t="n"/>
      <c r="H2577" s="51" t="n"/>
      <c r="I2577" s="51" t="n"/>
      <c r="J2577" s="51" t="n"/>
      <c r="K2577" s="51" t="n"/>
      <c r="L2577" s="54">
        <f>IF(OR(A2577="",C2577="",D2577=""),"",IF(COUNTIFS($A$5:$A$3004,A2577,$C$5:$C$3004,"&lt;"&amp;D2577,$D$5:$D$3004,"&gt;"&amp;C2577)&gt;1,"⚠️ пересечение",""))</f>
        <v/>
      </c>
      <c r="M2577" s="54">
        <f>IF(F2577="","",IF(J2577="✅ Сделано","✔ ",IF(J2577="❌ Пропущено","✖ ","⏰ "))&amp;IF(C2577="","",RIGHT("0"&amp;HOUR(C2577),2)&amp;":"&amp;RIGHT("0"&amp;MINUTE(C2577),2)&amp;IF(D2577="","","–"&amp;RIGHT("0"&amp;HOUR(D2577),2)&amp;":"&amp;RIGHT("0"&amp;MINUTE(D2577),2))&amp;" ")&amp;F2577)</f>
        <v/>
      </c>
      <c r="N2577" s="54">
        <f>IF(OR(A2577="",F2577=""),"",A2577&amp;"#"&amp;(COUNTIFS($A$5:$A$3004,A2577,$F$5:$F$3004,"?*",$O$5:$O$3004,"&lt;"&amp;O2577)+COUNTIFS($A$5:A2577,A2577,$F$5:F2577,"?*",$O$5:O2577,O2577)))</f>
        <v/>
      </c>
      <c r="O2577" s="54">
        <f>IF(A2577="","",IF(C2577="",0,C2577))</f>
        <v/>
      </c>
    </row>
    <row r="2578">
      <c r="A2578" s="58" t="n"/>
      <c r="B2578" s="49">
        <f>IF(A2578="","",CHOOSE(WEEKDAY(A2578,2),"Пн","Вт","Ср","Чт","Пт","Сб","Вс"))</f>
        <v/>
      </c>
      <c r="C2578" s="59" t="n"/>
      <c r="D2578" s="59" t="n"/>
      <c r="E2578" s="60">
        <f>IF(OR(C2578="",D2578=""),"",MOD(D2578-C2578,1)*24)</f>
        <v/>
      </c>
      <c r="F2578" s="50" t="n"/>
      <c r="G2578" s="51" t="n"/>
      <c r="H2578" s="51" t="n"/>
      <c r="I2578" s="51" t="n"/>
      <c r="J2578" s="51" t="n"/>
      <c r="K2578" s="51" t="n"/>
      <c r="L2578" s="54">
        <f>IF(OR(A2578="",C2578="",D2578=""),"",IF(COUNTIFS($A$5:$A$3004,A2578,$C$5:$C$3004,"&lt;"&amp;D2578,$D$5:$D$3004,"&gt;"&amp;C2578)&gt;1,"⚠️ пересечение",""))</f>
        <v/>
      </c>
      <c r="M2578" s="54">
        <f>IF(F2578="","",IF(J2578="✅ Сделано","✔ ",IF(J2578="❌ Пропущено","✖ ","⏰ "))&amp;IF(C2578="","",RIGHT("0"&amp;HOUR(C2578),2)&amp;":"&amp;RIGHT("0"&amp;MINUTE(C2578),2)&amp;IF(D2578="","","–"&amp;RIGHT("0"&amp;HOUR(D2578),2)&amp;":"&amp;RIGHT("0"&amp;MINUTE(D2578),2))&amp;" ")&amp;F2578)</f>
        <v/>
      </c>
      <c r="N2578" s="54">
        <f>IF(OR(A2578="",F2578=""),"",A2578&amp;"#"&amp;(COUNTIFS($A$5:$A$3004,A2578,$F$5:$F$3004,"?*",$O$5:$O$3004,"&lt;"&amp;O2578)+COUNTIFS($A$5:A2578,A2578,$F$5:F2578,"?*",$O$5:O2578,O2578)))</f>
        <v/>
      </c>
      <c r="O2578" s="54">
        <f>IF(A2578="","",IF(C2578="",0,C2578))</f>
        <v/>
      </c>
    </row>
    <row r="2579">
      <c r="A2579" s="58" t="n"/>
      <c r="B2579" s="49">
        <f>IF(A2579="","",CHOOSE(WEEKDAY(A2579,2),"Пн","Вт","Ср","Чт","Пт","Сб","Вс"))</f>
        <v/>
      </c>
      <c r="C2579" s="59" t="n"/>
      <c r="D2579" s="59" t="n"/>
      <c r="E2579" s="60">
        <f>IF(OR(C2579="",D2579=""),"",MOD(D2579-C2579,1)*24)</f>
        <v/>
      </c>
      <c r="F2579" s="50" t="n"/>
      <c r="G2579" s="51" t="n"/>
      <c r="H2579" s="51" t="n"/>
      <c r="I2579" s="51" t="n"/>
      <c r="J2579" s="51" t="n"/>
      <c r="K2579" s="51" t="n"/>
      <c r="L2579" s="54">
        <f>IF(OR(A2579="",C2579="",D2579=""),"",IF(COUNTIFS($A$5:$A$3004,A2579,$C$5:$C$3004,"&lt;"&amp;D2579,$D$5:$D$3004,"&gt;"&amp;C2579)&gt;1,"⚠️ пересечение",""))</f>
        <v/>
      </c>
      <c r="M2579" s="54">
        <f>IF(F2579="","",IF(J2579="✅ Сделано","✔ ",IF(J2579="❌ Пропущено","✖ ","⏰ "))&amp;IF(C2579="","",RIGHT("0"&amp;HOUR(C2579),2)&amp;":"&amp;RIGHT("0"&amp;MINUTE(C2579),2)&amp;IF(D2579="","","–"&amp;RIGHT("0"&amp;HOUR(D2579),2)&amp;":"&amp;RIGHT("0"&amp;MINUTE(D2579),2))&amp;" ")&amp;F2579)</f>
        <v/>
      </c>
      <c r="N2579" s="54">
        <f>IF(OR(A2579="",F2579=""),"",A2579&amp;"#"&amp;(COUNTIFS($A$5:$A$3004,A2579,$F$5:$F$3004,"?*",$O$5:$O$3004,"&lt;"&amp;O2579)+COUNTIFS($A$5:A2579,A2579,$F$5:F2579,"?*",$O$5:O2579,O2579)))</f>
        <v/>
      </c>
      <c r="O2579" s="54">
        <f>IF(A2579="","",IF(C2579="",0,C2579))</f>
        <v/>
      </c>
    </row>
    <row r="2580">
      <c r="A2580" s="58" t="n"/>
      <c r="B2580" s="49">
        <f>IF(A2580="","",CHOOSE(WEEKDAY(A2580,2),"Пн","Вт","Ср","Чт","Пт","Сб","Вс"))</f>
        <v/>
      </c>
      <c r="C2580" s="59" t="n"/>
      <c r="D2580" s="59" t="n"/>
      <c r="E2580" s="60">
        <f>IF(OR(C2580="",D2580=""),"",MOD(D2580-C2580,1)*24)</f>
        <v/>
      </c>
      <c r="F2580" s="50" t="n"/>
      <c r="G2580" s="51" t="n"/>
      <c r="H2580" s="51" t="n"/>
      <c r="I2580" s="51" t="n"/>
      <c r="J2580" s="51" t="n"/>
      <c r="K2580" s="51" t="n"/>
      <c r="L2580" s="54">
        <f>IF(OR(A2580="",C2580="",D2580=""),"",IF(COUNTIFS($A$5:$A$3004,A2580,$C$5:$C$3004,"&lt;"&amp;D2580,$D$5:$D$3004,"&gt;"&amp;C2580)&gt;1,"⚠️ пересечение",""))</f>
        <v/>
      </c>
      <c r="M2580" s="54">
        <f>IF(F2580="","",IF(J2580="✅ Сделано","✔ ",IF(J2580="❌ Пропущено","✖ ","⏰ "))&amp;IF(C2580="","",RIGHT("0"&amp;HOUR(C2580),2)&amp;":"&amp;RIGHT("0"&amp;MINUTE(C2580),2)&amp;IF(D2580="","","–"&amp;RIGHT("0"&amp;HOUR(D2580),2)&amp;":"&amp;RIGHT("0"&amp;MINUTE(D2580),2))&amp;" ")&amp;F2580)</f>
        <v/>
      </c>
      <c r="N2580" s="54">
        <f>IF(OR(A2580="",F2580=""),"",A2580&amp;"#"&amp;(COUNTIFS($A$5:$A$3004,A2580,$F$5:$F$3004,"?*",$O$5:$O$3004,"&lt;"&amp;O2580)+COUNTIFS($A$5:A2580,A2580,$F$5:F2580,"?*",$O$5:O2580,O2580)))</f>
        <v/>
      </c>
      <c r="O2580" s="54">
        <f>IF(A2580="","",IF(C2580="",0,C2580))</f>
        <v/>
      </c>
    </row>
    <row r="2581">
      <c r="A2581" s="58" t="n"/>
      <c r="B2581" s="49">
        <f>IF(A2581="","",CHOOSE(WEEKDAY(A2581,2),"Пн","Вт","Ср","Чт","Пт","Сб","Вс"))</f>
        <v/>
      </c>
      <c r="C2581" s="59" t="n"/>
      <c r="D2581" s="59" t="n"/>
      <c r="E2581" s="60">
        <f>IF(OR(C2581="",D2581=""),"",MOD(D2581-C2581,1)*24)</f>
        <v/>
      </c>
      <c r="F2581" s="50" t="n"/>
      <c r="G2581" s="51" t="n"/>
      <c r="H2581" s="51" t="n"/>
      <c r="I2581" s="51" t="n"/>
      <c r="J2581" s="51" t="n"/>
      <c r="K2581" s="51" t="n"/>
      <c r="L2581" s="54">
        <f>IF(OR(A2581="",C2581="",D2581=""),"",IF(COUNTIFS($A$5:$A$3004,A2581,$C$5:$C$3004,"&lt;"&amp;D2581,$D$5:$D$3004,"&gt;"&amp;C2581)&gt;1,"⚠️ пересечение",""))</f>
        <v/>
      </c>
      <c r="M2581" s="54">
        <f>IF(F2581="","",IF(J2581="✅ Сделано","✔ ",IF(J2581="❌ Пропущено","✖ ","⏰ "))&amp;IF(C2581="","",RIGHT("0"&amp;HOUR(C2581),2)&amp;":"&amp;RIGHT("0"&amp;MINUTE(C2581),2)&amp;IF(D2581="","","–"&amp;RIGHT("0"&amp;HOUR(D2581),2)&amp;":"&amp;RIGHT("0"&amp;MINUTE(D2581),2))&amp;" ")&amp;F2581)</f>
        <v/>
      </c>
      <c r="N2581" s="54">
        <f>IF(OR(A2581="",F2581=""),"",A2581&amp;"#"&amp;(COUNTIFS($A$5:$A$3004,A2581,$F$5:$F$3004,"?*",$O$5:$O$3004,"&lt;"&amp;O2581)+COUNTIFS($A$5:A2581,A2581,$F$5:F2581,"?*",$O$5:O2581,O2581)))</f>
        <v/>
      </c>
      <c r="O2581" s="54">
        <f>IF(A2581="","",IF(C2581="",0,C2581))</f>
        <v/>
      </c>
    </row>
    <row r="2582">
      <c r="A2582" s="58" t="n"/>
      <c r="B2582" s="49">
        <f>IF(A2582="","",CHOOSE(WEEKDAY(A2582,2),"Пн","Вт","Ср","Чт","Пт","Сб","Вс"))</f>
        <v/>
      </c>
      <c r="C2582" s="59" t="n"/>
      <c r="D2582" s="59" t="n"/>
      <c r="E2582" s="60">
        <f>IF(OR(C2582="",D2582=""),"",MOD(D2582-C2582,1)*24)</f>
        <v/>
      </c>
      <c r="F2582" s="50" t="n"/>
      <c r="G2582" s="51" t="n"/>
      <c r="H2582" s="51" t="n"/>
      <c r="I2582" s="51" t="n"/>
      <c r="J2582" s="51" t="n"/>
      <c r="K2582" s="51" t="n"/>
      <c r="L2582" s="54">
        <f>IF(OR(A2582="",C2582="",D2582=""),"",IF(COUNTIFS($A$5:$A$3004,A2582,$C$5:$C$3004,"&lt;"&amp;D2582,$D$5:$D$3004,"&gt;"&amp;C2582)&gt;1,"⚠️ пересечение",""))</f>
        <v/>
      </c>
      <c r="M2582" s="54">
        <f>IF(F2582="","",IF(J2582="✅ Сделано","✔ ",IF(J2582="❌ Пропущено","✖ ","⏰ "))&amp;IF(C2582="","",RIGHT("0"&amp;HOUR(C2582),2)&amp;":"&amp;RIGHT("0"&amp;MINUTE(C2582),2)&amp;IF(D2582="","","–"&amp;RIGHT("0"&amp;HOUR(D2582),2)&amp;":"&amp;RIGHT("0"&amp;MINUTE(D2582),2))&amp;" ")&amp;F2582)</f>
        <v/>
      </c>
      <c r="N2582" s="54">
        <f>IF(OR(A2582="",F2582=""),"",A2582&amp;"#"&amp;(COUNTIFS($A$5:$A$3004,A2582,$F$5:$F$3004,"?*",$O$5:$O$3004,"&lt;"&amp;O2582)+COUNTIFS($A$5:A2582,A2582,$F$5:F2582,"?*",$O$5:O2582,O2582)))</f>
        <v/>
      </c>
      <c r="O2582" s="54">
        <f>IF(A2582="","",IF(C2582="",0,C2582))</f>
        <v/>
      </c>
    </row>
    <row r="2583">
      <c r="A2583" s="58" t="n"/>
      <c r="B2583" s="49">
        <f>IF(A2583="","",CHOOSE(WEEKDAY(A2583,2),"Пн","Вт","Ср","Чт","Пт","Сб","Вс"))</f>
        <v/>
      </c>
      <c r="C2583" s="59" t="n"/>
      <c r="D2583" s="59" t="n"/>
      <c r="E2583" s="60">
        <f>IF(OR(C2583="",D2583=""),"",MOD(D2583-C2583,1)*24)</f>
        <v/>
      </c>
      <c r="F2583" s="50" t="n"/>
      <c r="G2583" s="51" t="n"/>
      <c r="H2583" s="51" t="n"/>
      <c r="I2583" s="51" t="n"/>
      <c r="J2583" s="51" t="n"/>
      <c r="K2583" s="51" t="n"/>
      <c r="L2583" s="54">
        <f>IF(OR(A2583="",C2583="",D2583=""),"",IF(COUNTIFS($A$5:$A$3004,A2583,$C$5:$C$3004,"&lt;"&amp;D2583,$D$5:$D$3004,"&gt;"&amp;C2583)&gt;1,"⚠️ пересечение",""))</f>
        <v/>
      </c>
      <c r="M2583" s="54">
        <f>IF(F2583="","",IF(J2583="✅ Сделано","✔ ",IF(J2583="❌ Пропущено","✖ ","⏰ "))&amp;IF(C2583="","",RIGHT("0"&amp;HOUR(C2583),2)&amp;":"&amp;RIGHT("0"&amp;MINUTE(C2583),2)&amp;IF(D2583="","","–"&amp;RIGHT("0"&amp;HOUR(D2583),2)&amp;":"&amp;RIGHT("0"&amp;MINUTE(D2583),2))&amp;" ")&amp;F2583)</f>
        <v/>
      </c>
      <c r="N2583" s="54">
        <f>IF(OR(A2583="",F2583=""),"",A2583&amp;"#"&amp;(COUNTIFS($A$5:$A$3004,A2583,$F$5:$F$3004,"?*",$O$5:$O$3004,"&lt;"&amp;O2583)+COUNTIFS($A$5:A2583,A2583,$F$5:F2583,"?*",$O$5:O2583,O2583)))</f>
        <v/>
      </c>
      <c r="O2583" s="54">
        <f>IF(A2583="","",IF(C2583="",0,C2583))</f>
        <v/>
      </c>
    </row>
    <row r="2584">
      <c r="A2584" s="58" t="n"/>
      <c r="B2584" s="49">
        <f>IF(A2584="","",CHOOSE(WEEKDAY(A2584,2),"Пн","Вт","Ср","Чт","Пт","Сб","Вс"))</f>
        <v/>
      </c>
      <c r="C2584" s="59" t="n"/>
      <c r="D2584" s="59" t="n"/>
      <c r="E2584" s="60">
        <f>IF(OR(C2584="",D2584=""),"",MOD(D2584-C2584,1)*24)</f>
        <v/>
      </c>
      <c r="F2584" s="50" t="n"/>
      <c r="G2584" s="51" t="n"/>
      <c r="H2584" s="51" t="n"/>
      <c r="I2584" s="51" t="n"/>
      <c r="J2584" s="51" t="n"/>
      <c r="K2584" s="51" t="n"/>
      <c r="L2584" s="54">
        <f>IF(OR(A2584="",C2584="",D2584=""),"",IF(COUNTIFS($A$5:$A$3004,A2584,$C$5:$C$3004,"&lt;"&amp;D2584,$D$5:$D$3004,"&gt;"&amp;C2584)&gt;1,"⚠️ пересечение",""))</f>
        <v/>
      </c>
      <c r="M2584" s="54">
        <f>IF(F2584="","",IF(J2584="✅ Сделано","✔ ",IF(J2584="❌ Пропущено","✖ ","⏰ "))&amp;IF(C2584="","",RIGHT("0"&amp;HOUR(C2584),2)&amp;":"&amp;RIGHT("0"&amp;MINUTE(C2584),2)&amp;IF(D2584="","","–"&amp;RIGHT("0"&amp;HOUR(D2584),2)&amp;":"&amp;RIGHT("0"&amp;MINUTE(D2584),2))&amp;" ")&amp;F2584)</f>
        <v/>
      </c>
      <c r="N2584" s="54">
        <f>IF(OR(A2584="",F2584=""),"",A2584&amp;"#"&amp;(COUNTIFS($A$5:$A$3004,A2584,$F$5:$F$3004,"?*",$O$5:$O$3004,"&lt;"&amp;O2584)+COUNTIFS($A$5:A2584,A2584,$F$5:F2584,"?*",$O$5:O2584,O2584)))</f>
        <v/>
      </c>
      <c r="O2584" s="54">
        <f>IF(A2584="","",IF(C2584="",0,C2584))</f>
        <v/>
      </c>
    </row>
    <row r="2585">
      <c r="A2585" s="58" t="n"/>
      <c r="B2585" s="49">
        <f>IF(A2585="","",CHOOSE(WEEKDAY(A2585,2),"Пн","Вт","Ср","Чт","Пт","Сб","Вс"))</f>
        <v/>
      </c>
      <c r="C2585" s="59" t="n"/>
      <c r="D2585" s="59" t="n"/>
      <c r="E2585" s="60">
        <f>IF(OR(C2585="",D2585=""),"",MOD(D2585-C2585,1)*24)</f>
        <v/>
      </c>
      <c r="F2585" s="50" t="n"/>
      <c r="G2585" s="51" t="n"/>
      <c r="H2585" s="51" t="n"/>
      <c r="I2585" s="51" t="n"/>
      <c r="J2585" s="51" t="n"/>
      <c r="K2585" s="51" t="n"/>
      <c r="L2585" s="54">
        <f>IF(OR(A2585="",C2585="",D2585=""),"",IF(COUNTIFS($A$5:$A$3004,A2585,$C$5:$C$3004,"&lt;"&amp;D2585,$D$5:$D$3004,"&gt;"&amp;C2585)&gt;1,"⚠️ пересечение",""))</f>
        <v/>
      </c>
      <c r="M2585" s="54">
        <f>IF(F2585="","",IF(J2585="✅ Сделано","✔ ",IF(J2585="❌ Пропущено","✖ ","⏰ "))&amp;IF(C2585="","",RIGHT("0"&amp;HOUR(C2585),2)&amp;":"&amp;RIGHT("0"&amp;MINUTE(C2585),2)&amp;IF(D2585="","","–"&amp;RIGHT("0"&amp;HOUR(D2585),2)&amp;":"&amp;RIGHT("0"&amp;MINUTE(D2585),2))&amp;" ")&amp;F2585)</f>
        <v/>
      </c>
      <c r="N2585" s="54">
        <f>IF(OR(A2585="",F2585=""),"",A2585&amp;"#"&amp;(COUNTIFS($A$5:$A$3004,A2585,$F$5:$F$3004,"?*",$O$5:$O$3004,"&lt;"&amp;O2585)+COUNTIFS($A$5:A2585,A2585,$F$5:F2585,"?*",$O$5:O2585,O2585)))</f>
        <v/>
      </c>
      <c r="O2585" s="54">
        <f>IF(A2585="","",IF(C2585="",0,C2585))</f>
        <v/>
      </c>
    </row>
    <row r="2586">
      <c r="A2586" s="58" t="n"/>
      <c r="B2586" s="49">
        <f>IF(A2586="","",CHOOSE(WEEKDAY(A2586,2),"Пн","Вт","Ср","Чт","Пт","Сб","Вс"))</f>
        <v/>
      </c>
      <c r="C2586" s="59" t="n"/>
      <c r="D2586" s="59" t="n"/>
      <c r="E2586" s="60">
        <f>IF(OR(C2586="",D2586=""),"",MOD(D2586-C2586,1)*24)</f>
        <v/>
      </c>
      <c r="F2586" s="50" t="n"/>
      <c r="G2586" s="51" t="n"/>
      <c r="H2586" s="51" t="n"/>
      <c r="I2586" s="51" t="n"/>
      <c r="J2586" s="51" t="n"/>
      <c r="K2586" s="51" t="n"/>
      <c r="L2586" s="54">
        <f>IF(OR(A2586="",C2586="",D2586=""),"",IF(COUNTIFS($A$5:$A$3004,A2586,$C$5:$C$3004,"&lt;"&amp;D2586,$D$5:$D$3004,"&gt;"&amp;C2586)&gt;1,"⚠️ пересечение",""))</f>
        <v/>
      </c>
      <c r="M2586" s="54">
        <f>IF(F2586="","",IF(J2586="✅ Сделано","✔ ",IF(J2586="❌ Пропущено","✖ ","⏰ "))&amp;IF(C2586="","",RIGHT("0"&amp;HOUR(C2586),2)&amp;":"&amp;RIGHT("0"&amp;MINUTE(C2586),2)&amp;IF(D2586="","","–"&amp;RIGHT("0"&amp;HOUR(D2586),2)&amp;":"&amp;RIGHT("0"&amp;MINUTE(D2586),2))&amp;" ")&amp;F2586)</f>
        <v/>
      </c>
      <c r="N2586" s="54">
        <f>IF(OR(A2586="",F2586=""),"",A2586&amp;"#"&amp;(COUNTIFS($A$5:$A$3004,A2586,$F$5:$F$3004,"?*",$O$5:$O$3004,"&lt;"&amp;O2586)+COUNTIFS($A$5:A2586,A2586,$F$5:F2586,"?*",$O$5:O2586,O2586)))</f>
        <v/>
      </c>
      <c r="O2586" s="54">
        <f>IF(A2586="","",IF(C2586="",0,C2586))</f>
        <v/>
      </c>
    </row>
    <row r="2587">
      <c r="A2587" s="58" t="n"/>
      <c r="B2587" s="49">
        <f>IF(A2587="","",CHOOSE(WEEKDAY(A2587,2),"Пн","Вт","Ср","Чт","Пт","Сб","Вс"))</f>
        <v/>
      </c>
      <c r="C2587" s="59" t="n"/>
      <c r="D2587" s="59" t="n"/>
      <c r="E2587" s="60">
        <f>IF(OR(C2587="",D2587=""),"",MOD(D2587-C2587,1)*24)</f>
        <v/>
      </c>
      <c r="F2587" s="50" t="n"/>
      <c r="G2587" s="51" t="n"/>
      <c r="H2587" s="51" t="n"/>
      <c r="I2587" s="51" t="n"/>
      <c r="J2587" s="51" t="n"/>
      <c r="K2587" s="51" t="n"/>
      <c r="L2587" s="54">
        <f>IF(OR(A2587="",C2587="",D2587=""),"",IF(COUNTIFS($A$5:$A$3004,A2587,$C$5:$C$3004,"&lt;"&amp;D2587,$D$5:$D$3004,"&gt;"&amp;C2587)&gt;1,"⚠️ пересечение",""))</f>
        <v/>
      </c>
      <c r="M2587" s="54">
        <f>IF(F2587="","",IF(J2587="✅ Сделано","✔ ",IF(J2587="❌ Пропущено","✖ ","⏰ "))&amp;IF(C2587="","",RIGHT("0"&amp;HOUR(C2587),2)&amp;":"&amp;RIGHT("0"&amp;MINUTE(C2587),2)&amp;IF(D2587="","","–"&amp;RIGHT("0"&amp;HOUR(D2587),2)&amp;":"&amp;RIGHT("0"&amp;MINUTE(D2587),2))&amp;" ")&amp;F2587)</f>
        <v/>
      </c>
      <c r="N2587" s="54">
        <f>IF(OR(A2587="",F2587=""),"",A2587&amp;"#"&amp;(COUNTIFS($A$5:$A$3004,A2587,$F$5:$F$3004,"?*",$O$5:$O$3004,"&lt;"&amp;O2587)+COUNTIFS($A$5:A2587,A2587,$F$5:F2587,"?*",$O$5:O2587,O2587)))</f>
        <v/>
      </c>
      <c r="O2587" s="54">
        <f>IF(A2587="","",IF(C2587="",0,C2587))</f>
        <v/>
      </c>
    </row>
    <row r="2588">
      <c r="A2588" s="58" t="n"/>
      <c r="B2588" s="49">
        <f>IF(A2588="","",CHOOSE(WEEKDAY(A2588,2),"Пн","Вт","Ср","Чт","Пт","Сб","Вс"))</f>
        <v/>
      </c>
      <c r="C2588" s="59" t="n"/>
      <c r="D2588" s="59" t="n"/>
      <c r="E2588" s="60">
        <f>IF(OR(C2588="",D2588=""),"",MOD(D2588-C2588,1)*24)</f>
        <v/>
      </c>
      <c r="F2588" s="50" t="n"/>
      <c r="G2588" s="51" t="n"/>
      <c r="H2588" s="51" t="n"/>
      <c r="I2588" s="51" t="n"/>
      <c r="J2588" s="51" t="n"/>
      <c r="K2588" s="51" t="n"/>
      <c r="L2588" s="54">
        <f>IF(OR(A2588="",C2588="",D2588=""),"",IF(COUNTIFS($A$5:$A$3004,A2588,$C$5:$C$3004,"&lt;"&amp;D2588,$D$5:$D$3004,"&gt;"&amp;C2588)&gt;1,"⚠️ пересечение",""))</f>
        <v/>
      </c>
      <c r="M2588" s="54">
        <f>IF(F2588="","",IF(J2588="✅ Сделано","✔ ",IF(J2588="❌ Пропущено","✖ ","⏰ "))&amp;IF(C2588="","",RIGHT("0"&amp;HOUR(C2588),2)&amp;":"&amp;RIGHT("0"&amp;MINUTE(C2588),2)&amp;IF(D2588="","","–"&amp;RIGHT("0"&amp;HOUR(D2588),2)&amp;":"&amp;RIGHT("0"&amp;MINUTE(D2588),2))&amp;" ")&amp;F2588)</f>
        <v/>
      </c>
      <c r="N2588" s="54">
        <f>IF(OR(A2588="",F2588=""),"",A2588&amp;"#"&amp;(COUNTIFS($A$5:$A$3004,A2588,$F$5:$F$3004,"?*",$O$5:$O$3004,"&lt;"&amp;O2588)+COUNTIFS($A$5:A2588,A2588,$F$5:F2588,"?*",$O$5:O2588,O2588)))</f>
        <v/>
      </c>
      <c r="O2588" s="54">
        <f>IF(A2588="","",IF(C2588="",0,C2588))</f>
        <v/>
      </c>
    </row>
    <row r="2589">
      <c r="A2589" s="58" t="n"/>
      <c r="B2589" s="49">
        <f>IF(A2589="","",CHOOSE(WEEKDAY(A2589,2),"Пн","Вт","Ср","Чт","Пт","Сб","Вс"))</f>
        <v/>
      </c>
      <c r="C2589" s="59" t="n"/>
      <c r="D2589" s="59" t="n"/>
      <c r="E2589" s="60">
        <f>IF(OR(C2589="",D2589=""),"",MOD(D2589-C2589,1)*24)</f>
        <v/>
      </c>
      <c r="F2589" s="50" t="n"/>
      <c r="G2589" s="51" t="n"/>
      <c r="H2589" s="51" t="n"/>
      <c r="I2589" s="51" t="n"/>
      <c r="J2589" s="51" t="n"/>
      <c r="K2589" s="51" t="n"/>
      <c r="L2589" s="54">
        <f>IF(OR(A2589="",C2589="",D2589=""),"",IF(COUNTIFS($A$5:$A$3004,A2589,$C$5:$C$3004,"&lt;"&amp;D2589,$D$5:$D$3004,"&gt;"&amp;C2589)&gt;1,"⚠️ пересечение",""))</f>
        <v/>
      </c>
      <c r="M2589" s="54">
        <f>IF(F2589="","",IF(J2589="✅ Сделано","✔ ",IF(J2589="❌ Пропущено","✖ ","⏰ "))&amp;IF(C2589="","",RIGHT("0"&amp;HOUR(C2589),2)&amp;":"&amp;RIGHT("0"&amp;MINUTE(C2589),2)&amp;IF(D2589="","","–"&amp;RIGHT("0"&amp;HOUR(D2589),2)&amp;":"&amp;RIGHT("0"&amp;MINUTE(D2589),2))&amp;" ")&amp;F2589)</f>
        <v/>
      </c>
      <c r="N2589" s="54">
        <f>IF(OR(A2589="",F2589=""),"",A2589&amp;"#"&amp;(COUNTIFS($A$5:$A$3004,A2589,$F$5:$F$3004,"?*",$O$5:$O$3004,"&lt;"&amp;O2589)+COUNTIFS($A$5:A2589,A2589,$F$5:F2589,"?*",$O$5:O2589,O2589)))</f>
        <v/>
      </c>
      <c r="O2589" s="54">
        <f>IF(A2589="","",IF(C2589="",0,C2589))</f>
        <v/>
      </c>
    </row>
    <row r="2590">
      <c r="A2590" s="58" t="n"/>
      <c r="B2590" s="49">
        <f>IF(A2590="","",CHOOSE(WEEKDAY(A2590,2),"Пн","Вт","Ср","Чт","Пт","Сб","Вс"))</f>
        <v/>
      </c>
      <c r="C2590" s="59" t="n"/>
      <c r="D2590" s="59" t="n"/>
      <c r="E2590" s="60">
        <f>IF(OR(C2590="",D2590=""),"",MOD(D2590-C2590,1)*24)</f>
        <v/>
      </c>
      <c r="F2590" s="50" t="n"/>
      <c r="G2590" s="51" t="n"/>
      <c r="H2590" s="51" t="n"/>
      <c r="I2590" s="51" t="n"/>
      <c r="J2590" s="51" t="n"/>
      <c r="K2590" s="51" t="n"/>
      <c r="L2590" s="54">
        <f>IF(OR(A2590="",C2590="",D2590=""),"",IF(COUNTIFS($A$5:$A$3004,A2590,$C$5:$C$3004,"&lt;"&amp;D2590,$D$5:$D$3004,"&gt;"&amp;C2590)&gt;1,"⚠️ пересечение",""))</f>
        <v/>
      </c>
      <c r="M2590" s="54">
        <f>IF(F2590="","",IF(J2590="✅ Сделано","✔ ",IF(J2590="❌ Пропущено","✖ ","⏰ "))&amp;IF(C2590="","",RIGHT("0"&amp;HOUR(C2590),2)&amp;":"&amp;RIGHT("0"&amp;MINUTE(C2590),2)&amp;IF(D2590="","","–"&amp;RIGHT("0"&amp;HOUR(D2590),2)&amp;":"&amp;RIGHT("0"&amp;MINUTE(D2590),2))&amp;" ")&amp;F2590)</f>
        <v/>
      </c>
      <c r="N2590" s="54">
        <f>IF(OR(A2590="",F2590=""),"",A2590&amp;"#"&amp;(COUNTIFS($A$5:$A$3004,A2590,$F$5:$F$3004,"?*",$O$5:$O$3004,"&lt;"&amp;O2590)+COUNTIFS($A$5:A2590,A2590,$F$5:F2590,"?*",$O$5:O2590,O2590)))</f>
        <v/>
      </c>
      <c r="O2590" s="54">
        <f>IF(A2590="","",IF(C2590="",0,C2590))</f>
        <v/>
      </c>
    </row>
    <row r="2591">
      <c r="A2591" s="58" t="n"/>
      <c r="B2591" s="49">
        <f>IF(A2591="","",CHOOSE(WEEKDAY(A2591,2),"Пн","Вт","Ср","Чт","Пт","Сб","Вс"))</f>
        <v/>
      </c>
      <c r="C2591" s="59" t="n"/>
      <c r="D2591" s="59" t="n"/>
      <c r="E2591" s="60">
        <f>IF(OR(C2591="",D2591=""),"",MOD(D2591-C2591,1)*24)</f>
        <v/>
      </c>
      <c r="F2591" s="50" t="n"/>
      <c r="G2591" s="51" t="n"/>
      <c r="H2591" s="51" t="n"/>
      <c r="I2591" s="51" t="n"/>
      <c r="J2591" s="51" t="n"/>
      <c r="K2591" s="51" t="n"/>
      <c r="L2591" s="54">
        <f>IF(OR(A2591="",C2591="",D2591=""),"",IF(COUNTIFS($A$5:$A$3004,A2591,$C$5:$C$3004,"&lt;"&amp;D2591,$D$5:$D$3004,"&gt;"&amp;C2591)&gt;1,"⚠️ пересечение",""))</f>
        <v/>
      </c>
      <c r="M2591" s="54">
        <f>IF(F2591="","",IF(J2591="✅ Сделано","✔ ",IF(J2591="❌ Пропущено","✖ ","⏰ "))&amp;IF(C2591="","",RIGHT("0"&amp;HOUR(C2591),2)&amp;":"&amp;RIGHT("0"&amp;MINUTE(C2591),2)&amp;IF(D2591="","","–"&amp;RIGHT("0"&amp;HOUR(D2591),2)&amp;":"&amp;RIGHT("0"&amp;MINUTE(D2591),2))&amp;" ")&amp;F2591)</f>
        <v/>
      </c>
      <c r="N2591" s="54">
        <f>IF(OR(A2591="",F2591=""),"",A2591&amp;"#"&amp;(COUNTIFS($A$5:$A$3004,A2591,$F$5:$F$3004,"?*",$O$5:$O$3004,"&lt;"&amp;O2591)+COUNTIFS($A$5:A2591,A2591,$F$5:F2591,"?*",$O$5:O2591,O2591)))</f>
        <v/>
      </c>
      <c r="O2591" s="54">
        <f>IF(A2591="","",IF(C2591="",0,C2591))</f>
        <v/>
      </c>
    </row>
    <row r="2592">
      <c r="A2592" s="58" t="n"/>
      <c r="B2592" s="49">
        <f>IF(A2592="","",CHOOSE(WEEKDAY(A2592,2),"Пн","Вт","Ср","Чт","Пт","Сб","Вс"))</f>
        <v/>
      </c>
      <c r="C2592" s="59" t="n"/>
      <c r="D2592" s="59" t="n"/>
      <c r="E2592" s="60">
        <f>IF(OR(C2592="",D2592=""),"",MOD(D2592-C2592,1)*24)</f>
        <v/>
      </c>
      <c r="F2592" s="50" t="n"/>
      <c r="G2592" s="51" t="n"/>
      <c r="H2592" s="51" t="n"/>
      <c r="I2592" s="51" t="n"/>
      <c r="J2592" s="51" t="n"/>
      <c r="K2592" s="51" t="n"/>
      <c r="L2592" s="54">
        <f>IF(OR(A2592="",C2592="",D2592=""),"",IF(COUNTIFS($A$5:$A$3004,A2592,$C$5:$C$3004,"&lt;"&amp;D2592,$D$5:$D$3004,"&gt;"&amp;C2592)&gt;1,"⚠️ пересечение",""))</f>
        <v/>
      </c>
      <c r="M2592" s="54">
        <f>IF(F2592="","",IF(J2592="✅ Сделано","✔ ",IF(J2592="❌ Пропущено","✖ ","⏰ "))&amp;IF(C2592="","",RIGHT("0"&amp;HOUR(C2592),2)&amp;":"&amp;RIGHT("0"&amp;MINUTE(C2592),2)&amp;IF(D2592="","","–"&amp;RIGHT("0"&amp;HOUR(D2592),2)&amp;":"&amp;RIGHT("0"&amp;MINUTE(D2592),2))&amp;" ")&amp;F2592)</f>
        <v/>
      </c>
      <c r="N2592" s="54">
        <f>IF(OR(A2592="",F2592=""),"",A2592&amp;"#"&amp;(COUNTIFS($A$5:$A$3004,A2592,$F$5:$F$3004,"?*",$O$5:$O$3004,"&lt;"&amp;O2592)+COUNTIFS($A$5:A2592,A2592,$F$5:F2592,"?*",$O$5:O2592,O2592)))</f>
        <v/>
      </c>
      <c r="O2592" s="54">
        <f>IF(A2592="","",IF(C2592="",0,C2592))</f>
        <v/>
      </c>
    </row>
    <row r="2593">
      <c r="A2593" s="58" t="n"/>
      <c r="B2593" s="49">
        <f>IF(A2593="","",CHOOSE(WEEKDAY(A2593,2),"Пн","Вт","Ср","Чт","Пт","Сб","Вс"))</f>
        <v/>
      </c>
      <c r="C2593" s="59" t="n"/>
      <c r="D2593" s="59" t="n"/>
      <c r="E2593" s="60">
        <f>IF(OR(C2593="",D2593=""),"",MOD(D2593-C2593,1)*24)</f>
        <v/>
      </c>
      <c r="F2593" s="50" t="n"/>
      <c r="G2593" s="51" t="n"/>
      <c r="H2593" s="51" t="n"/>
      <c r="I2593" s="51" t="n"/>
      <c r="J2593" s="51" t="n"/>
      <c r="K2593" s="51" t="n"/>
      <c r="L2593" s="54">
        <f>IF(OR(A2593="",C2593="",D2593=""),"",IF(COUNTIFS($A$5:$A$3004,A2593,$C$5:$C$3004,"&lt;"&amp;D2593,$D$5:$D$3004,"&gt;"&amp;C2593)&gt;1,"⚠️ пересечение",""))</f>
        <v/>
      </c>
      <c r="M2593" s="54">
        <f>IF(F2593="","",IF(J2593="✅ Сделано","✔ ",IF(J2593="❌ Пропущено","✖ ","⏰ "))&amp;IF(C2593="","",RIGHT("0"&amp;HOUR(C2593),2)&amp;":"&amp;RIGHT("0"&amp;MINUTE(C2593),2)&amp;IF(D2593="","","–"&amp;RIGHT("0"&amp;HOUR(D2593),2)&amp;":"&amp;RIGHT("0"&amp;MINUTE(D2593),2))&amp;" ")&amp;F2593)</f>
        <v/>
      </c>
      <c r="N2593" s="54">
        <f>IF(OR(A2593="",F2593=""),"",A2593&amp;"#"&amp;(COUNTIFS($A$5:$A$3004,A2593,$F$5:$F$3004,"?*",$O$5:$O$3004,"&lt;"&amp;O2593)+COUNTIFS($A$5:A2593,A2593,$F$5:F2593,"?*",$O$5:O2593,O2593)))</f>
        <v/>
      </c>
      <c r="O2593" s="54">
        <f>IF(A2593="","",IF(C2593="",0,C2593))</f>
        <v/>
      </c>
    </row>
    <row r="2594">
      <c r="A2594" s="58" t="n"/>
      <c r="B2594" s="49">
        <f>IF(A2594="","",CHOOSE(WEEKDAY(A2594,2),"Пн","Вт","Ср","Чт","Пт","Сб","Вс"))</f>
        <v/>
      </c>
      <c r="C2594" s="59" t="n"/>
      <c r="D2594" s="59" t="n"/>
      <c r="E2594" s="60">
        <f>IF(OR(C2594="",D2594=""),"",MOD(D2594-C2594,1)*24)</f>
        <v/>
      </c>
      <c r="F2594" s="50" t="n"/>
      <c r="G2594" s="51" t="n"/>
      <c r="H2594" s="51" t="n"/>
      <c r="I2594" s="51" t="n"/>
      <c r="J2594" s="51" t="n"/>
      <c r="K2594" s="51" t="n"/>
      <c r="L2594" s="54">
        <f>IF(OR(A2594="",C2594="",D2594=""),"",IF(COUNTIFS($A$5:$A$3004,A2594,$C$5:$C$3004,"&lt;"&amp;D2594,$D$5:$D$3004,"&gt;"&amp;C2594)&gt;1,"⚠️ пересечение",""))</f>
        <v/>
      </c>
      <c r="M2594" s="54">
        <f>IF(F2594="","",IF(J2594="✅ Сделано","✔ ",IF(J2594="❌ Пропущено","✖ ","⏰ "))&amp;IF(C2594="","",RIGHT("0"&amp;HOUR(C2594),2)&amp;":"&amp;RIGHT("0"&amp;MINUTE(C2594),2)&amp;IF(D2594="","","–"&amp;RIGHT("0"&amp;HOUR(D2594),2)&amp;":"&amp;RIGHT("0"&amp;MINUTE(D2594),2))&amp;" ")&amp;F2594)</f>
        <v/>
      </c>
      <c r="N2594" s="54">
        <f>IF(OR(A2594="",F2594=""),"",A2594&amp;"#"&amp;(COUNTIFS($A$5:$A$3004,A2594,$F$5:$F$3004,"?*",$O$5:$O$3004,"&lt;"&amp;O2594)+COUNTIFS($A$5:A2594,A2594,$F$5:F2594,"?*",$O$5:O2594,O2594)))</f>
        <v/>
      </c>
      <c r="O2594" s="54">
        <f>IF(A2594="","",IF(C2594="",0,C2594))</f>
        <v/>
      </c>
    </row>
    <row r="2595">
      <c r="A2595" s="58" t="n"/>
      <c r="B2595" s="49">
        <f>IF(A2595="","",CHOOSE(WEEKDAY(A2595,2),"Пн","Вт","Ср","Чт","Пт","Сб","Вс"))</f>
        <v/>
      </c>
      <c r="C2595" s="59" t="n"/>
      <c r="D2595" s="59" t="n"/>
      <c r="E2595" s="60">
        <f>IF(OR(C2595="",D2595=""),"",MOD(D2595-C2595,1)*24)</f>
        <v/>
      </c>
      <c r="F2595" s="50" t="n"/>
      <c r="G2595" s="51" t="n"/>
      <c r="H2595" s="51" t="n"/>
      <c r="I2595" s="51" t="n"/>
      <c r="J2595" s="51" t="n"/>
      <c r="K2595" s="51" t="n"/>
      <c r="L2595" s="54">
        <f>IF(OR(A2595="",C2595="",D2595=""),"",IF(COUNTIFS($A$5:$A$3004,A2595,$C$5:$C$3004,"&lt;"&amp;D2595,$D$5:$D$3004,"&gt;"&amp;C2595)&gt;1,"⚠️ пересечение",""))</f>
        <v/>
      </c>
      <c r="M2595" s="54">
        <f>IF(F2595="","",IF(J2595="✅ Сделано","✔ ",IF(J2595="❌ Пропущено","✖ ","⏰ "))&amp;IF(C2595="","",RIGHT("0"&amp;HOUR(C2595),2)&amp;":"&amp;RIGHT("0"&amp;MINUTE(C2595),2)&amp;IF(D2595="","","–"&amp;RIGHT("0"&amp;HOUR(D2595),2)&amp;":"&amp;RIGHT("0"&amp;MINUTE(D2595),2))&amp;" ")&amp;F2595)</f>
        <v/>
      </c>
      <c r="N2595" s="54">
        <f>IF(OR(A2595="",F2595=""),"",A2595&amp;"#"&amp;(COUNTIFS($A$5:$A$3004,A2595,$F$5:$F$3004,"?*",$O$5:$O$3004,"&lt;"&amp;O2595)+COUNTIFS($A$5:A2595,A2595,$F$5:F2595,"?*",$O$5:O2595,O2595)))</f>
        <v/>
      </c>
      <c r="O2595" s="54">
        <f>IF(A2595="","",IF(C2595="",0,C2595))</f>
        <v/>
      </c>
    </row>
    <row r="2596">
      <c r="A2596" s="58" t="n"/>
      <c r="B2596" s="49">
        <f>IF(A2596="","",CHOOSE(WEEKDAY(A2596,2),"Пн","Вт","Ср","Чт","Пт","Сб","Вс"))</f>
        <v/>
      </c>
      <c r="C2596" s="59" t="n"/>
      <c r="D2596" s="59" t="n"/>
      <c r="E2596" s="60">
        <f>IF(OR(C2596="",D2596=""),"",MOD(D2596-C2596,1)*24)</f>
        <v/>
      </c>
      <c r="F2596" s="50" t="n"/>
      <c r="G2596" s="51" t="n"/>
      <c r="H2596" s="51" t="n"/>
      <c r="I2596" s="51" t="n"/>
      <c r="J2596" s="51" t="n"/>
      <c r="K2596" s="51" t="n"/>
      <c r="L2596" s="54">
        <f>IF(OR(A2596="",C2596="",D2596=""),"",IF(COUNTIFS($A$5:$A$3004,A2596,$C$5:$C$3004,"&lt;"&amp;D2596,$D$5:$D$3004,"&gt;"&amp;C2596)&gt;1,"⚠️ пересечение",""))</f>
        <v/>
      </c>
      <c r="M2596" s="54">
        <f>IF(F2596="","",IF(J2596="✅ Сделано","✔ ",IF(J2596="❌ Пропущено","✖ ","⏰ "))&amp;IF(C2596="","",RIGHT("0"&amp;HOUR(C2596),2)&amp;":"&amp;RIGHT("0"&amp;MINUTE(C2596),2)&amp;IF(D2596="","","–"&amp;RIGHT("0"&amp;HOUR(D2596),2)&amp;":"&amp;RIGHT("0"&amp;MINUTE(D2596),2))&amp;" ")&amp;F2596)</f>
        <v/>
      </c>
      <c r="N2596" s="54">
        <f>IF(OR(A2596="",F2596=""),"",A2596&amp;"#"&amp;(COUNTIFS($A$5:$A$3004,A2596,$F$5:$F$3004,"?*",$O$5:$O$3004,"&lt;"&amp;O2596)+COUNTIFS($A$5:A2596,A2596,$F$5:F2596,"?*",$O$5:O2596,O2596)))</f>
        <v/>
      </c>
      <c r="O2596" s="54">
        <f>IF(A2596="","",IF(C2596="",0,C2596))</f>
        <v/>
      </c>
    </row>
    <row r="2597">
      <c r="A2597" s="58" t="n"/>
      <c r="B2597" s="49">
        <f>IF(A2597="","",CHOOSE(WEEKDAY(A2597,2),"Пн","Вт","Ср","Чт","Пт","Сб","Вс"))</f>
        <v/>
      </c>
      <c r="C2597" s="59" t="n"/>
      <c r="D2597" s="59" t="n"/>
      <c r="E2597" s="60">
        <f>IF(OR(C2597="",D2597=""),"",MOD(D2597-C2597,1)*24)</f>
        <v/>
      </c>
      <c r="F2597" s="50" t="n"/>
      <c r="G2597" s="51" t="n"/>
      <c r="H2597" s="51" t="n"/>
      <c r="I2597" s="51" t="n"/>
      <c r="J2597" s="51" t="n"/>
      <c r="K2597" s="51" t="n"/>
      <c r="L2597" s="54">
        <f>IF(OR(A2597="",C2597="",D2597=""),"",IF(COUNTIFS($A$5:$A$3004,A2597,$C$5:$C$3004,"&lt;"&amp;D2597,$D$5:$D$3004,"&gt;"&amp;C2597)&gt;1,"⚠️ пересечение",""))</f>
        <v/>
      </c>
      <c r="M2597" s="54">
        <f>IF(F2597="","",IF(J2597="✅ Сделано","✔ ",IF(J2597="❌ Пропущено","✖ ","⏰ "))&amp;IF(C2597="","",RIGHT("0"&amp;HOUR(C2597),2)&amp;":"&amp;RIGHT("0"&amp;MINUTE(C2597),2)&amp;IF(D2597="","","–"&amp;RIGHT("0"&amp;HOUR(D2597),2)&amp;":"&amp;RIGHT("0"&amp;MINUTE(D2597),2))&amp;" ")&amp;F2597)</f>
        <v/>
      </c>
      <c r="N2597" s="54">
        <f>IF(OR(A2597="",F2597=""),"",A2597&amp;"#"&amp;(COUNTIFS($A$5:$A$3004,A2597,$F$5:$F$3004,"?*",$O$5:$O$3004,"&lt;"&amp;O2597)+COUNTIFS($A$5:A2597,A2597,$F$5:F2597,"?*",$O$5:O2597,O2597)))</f>
        <v/>
      </c>
      <c r="O2597" s="54">
        <f>IF(A2597="","",IF(C2597="",0,C2597))</f>
        <v/>
      </c>
    </row>
    <row r="2598">
      <c r="A2598" s="58" t="n"/>
      <c r="B2598" s="49">
        <f>IF(A2598="","",CHOOSE(WEEKDAY(A2598,2),"Пн","Вт","Ср","Чт","Пт","Сб","Вс"))</f>
        <v/>
      </c>
      <c r="C2598" s="59" t="n"/>
      <c r="D2598" s="59" t="n"/>
      <c r="E2598" s="60">
        <f>IF(OR(C2598="",D2598=""),"",MOD(D2598-C2598,1)*24)</f>
        <v/>
      </c>
      <c r="F2598" s="50" t="n"/>
      <c r="G2598" s="51" t="n"/>
      <c r="H2598" s="51" t="n"/>
      <c r="I2598" s="51" t="n"/>
      <c r="J2598" s="51" t="n"/>
      <c r="K2598" s="51" t="n"/>
      <c r="L2598" s="54">
        <f>IF(OR(A2598="",C2598="",D2598=""),"",IF(COUNTIFS($A$5:$A$3004,A2598,$C$5:$C$3004,"&lt;"&amp;D2598,$D$5:$D$3004,"&gt;"&amp;C2598)&gt;1,"⚠️ пересечение",""))</f>
        <v/>
      </c>
      <c r="M2598" s="54">
        <f>IF(F2598="","",IF(J2598="✅ Сделано","✔ ",IF(J2598="❌ Пропущено","✖ ","⏰ "))&amp;IF(C2598="","",RIGHT("0"&amp;HOUR(C2598),2)&amp;":"&amp;RIGHT("0"&amp;MINUTE(C2598),2)&amp;IF(D2598="","","–"&amp;RIGHT("0"&amp;HOUR(D2598),2)&amp;":"&amp;RIGHT("0"&amp;MINUTE(D2598),2))&amp;" ")&amp;F2598)</f>
        <v/>
      </c>
      <c r="N2598" s="54">
        <f>IF(OR(A2598="",F2598=""),"",A2598&amp;"#"&amp;(COUNTIFS($A$5:$A$3004,A2598,$F$5:$F$3004,"?*",$O$5:$O$3004,"&lt;"&amp;O2598)+COUNTIFS($A$5:A2598,A2598,$F$5:F2598,"?*",$O$5:O2598,O2598)))</f>
        <v/>
      </c>
      <c r="O2598" s="54">
        <f>IF(A2598="","",IF(C2598="",0,C2598))</f>
        <v/>
      </c>
    </row>
    <row r="2599">
      <c r="A2599" s="58" t="n"/>
      <c r="B2599" s="49">
        <f>IF(A2599="","",CHOOSE(WEEKDAY(A2599,2),"Пн","Вт","Ср","Чт","Пт","Сб","Вс"))</f>
        <v/>
      </c>
      <c r="C2599" s="59" t="n"/>
      <c r="D2599" s="59" t="n"/>
      <c r="E2599" s="60">
        <f>IF(OR(C2599="",D2599=""),"",MOD(D2599-C2599,1)*24)</f>
        <v/>
      </c>
      <c r="F2599" s="50" t="n"/>
      <c r="G2599" s="51" t="n"/>
      <c r="H2599" s="51" t="n"/>
      <c r="I2599" s="51" t="n"/>
      <c r="J2599" s="51" t="n"/>
      <c r="K2599" s="51" t="n"/>
      <c r="L2599" s="54">
        <f>IF(OR(A2599="",C2599="",D2599=""),"",IF(COUNTIFS($A$5:$A$3004,A2599,$C$5:$C$3004,"&lt;"&amp;D2599,$D$5:$D$3004,"&gt;"&amp;C2599)&gt;1,"⚠️ пересечение",""))</f>
        <v/>
      </c>
      <c r="M2599" s="54">
        <f>IF(F2599="","",IF(J2599="✅ Сделано","✔ ",IF(J2599="❌ Пропущено","✖ ","⏰ "))&amp;IF(C2599="","",RIGHT("0"&amp;HOUR(C2599),2)&amp;":"&amp;RIGHT("0"&amp;MINUTE(C2599),2)&amp;IF(D2599="","","–"&amp;RIGHT("0"&amp;HOUR(D2599),2)&amp;":"&amp;RIGHT("0"&amp;MINUTE(D2599),2))&amp;" ")&amp;F2599)</f>
        <v/>
      </c>
      <c r="N2599" s="54">
        <f>IF(OR(A2599="",F2599=""),"",A2599&amp;"#"&amp;(COUNTIFS($A$5:$A$3004,A2599,$F$5:$F$3004,"?*",$O$5:$O$3004,"&lt;"&amp;O2599)+COUNTIFS($A$5:A2599,A2599,$F$5:F2599,"?*",$O$5:O2599,O2599)))</f>
        <v/>
      </c>
      <c r="O2599" s="54">
        <f>IF(A2599="","",IF(C2599="",0,C2599))</f>
        <v/>
      </c>
    </row>
    <row r="2600">
      <c r="A2600" s="58" t="n"/>
      <c r="B2600" s="49">
        <f>IF(A2600="","",CHOOSE(WEEKDAY(A2600,2),"Пн","Вт","Ср","Чт","Пт","Сб","Вс"))</f>
        <v/>
      </c>
      <c r="C2600" s="59" t="n"/>
      <c r="D2600" s="59" t="n"/>
      <c r="E2600" s="60">
        <f>IF(OR(C2600="",D2600=""),"",MOD(D2600-C2600,1)*24)</f>
        <v/>
      </c>
      <c r="F2600" s="50" t="n"/>
      <c r="G2600" s="51" t="n"/>
      <c r="H2600" s="51" t="n"/>
      <c r="I2600" s="51" t="n"/>
      <c r="J2600" s="51" t="n"/>
      <c r="K2600" s="51" t="n"/>
      <c r="L2600" s="54">
        <f>IF(OR(A2600="",C2600="",D2600=""),"",IF(COUNTIFS($A$5:$A$3004,A2600,$C$5:$C$3004,"&lt;"&amp;D2600,$D$5:$D$3004,"&gt;"&amp;C2600)&gt;1,"⚠️ пересечение",""))</f>
        <v/>
      </c>
      <c r="M2600" s="54">
        <f>IF(F2600="","",IF(J2600="✅ Сделано","✔ ",IF(J2600="❌ Пропущено","✖ ","⏰ "))&amp;IF(C2600="","",RIGHT("0"&amp;HOUR(C2600),2)&amp;":"&amp;RIGHT("0"&amp;MINUTE(C2600),2)&amp;IF(D2600="","","–"&amp;RIGHT("0"&amp;HOUR(D2600),2)&amp;":"&amp;RIGHT("0"&amp;MINUTE(D2600),2))&amp;" ")&amp;F2600)</f>
        <v/>
      </c>
      <c r="N2600" s="54">
        <f>IF(OR(A2600="",F2600=""),"",A2600&amp;"#"&amp;(COUNTIFS($A$5:$A$3004,A2600,$F$5:$F$3004,"?*",$O$5:$O$3004,"&lt;"&amp;O2600)+COUNTIFS($A$5:A2600,A2600,$F$5:F2600,"?*",$O$5:O2600,O2600)))</f>
        <v/>
      </c>
      <c r="O2600" s="54">
        <f>IF(A2600="","",IF(C2600="",0,C2600))</f>
        <v/>
      </c>
    </row>
    <row r="2601">
      <c r="A2601" s="58" t="n"/>
      <c r="B2601" s="49">
        <f>IF(A2601="","",CHOOSE(WEEKDAY(A2601,2),"Пн","Вт","Ср","Чт","Пт","Сб","Вс"))</f>
        <v/>
      </c>
      <c r="C2601" s="59" t="n"/>
      <c r="D2601" s="59" t="n"/>
      <c r="E2601" s="60">
        <f>IF(OR(C2601="",D2601=""),"",MOD(D2601-C2601,1)*24)</f>
        <v/>
      </c>
      <c r="F2601" s="50" t="n"/>
      <c r="G2601" s="51" t="n"/>
      <c r="H2601" s="51" t="n"/>
      <c r="I2601" s="51" t="n"/>
      <c r="J2601" s="51" t="n"/>
      <c r="K2601" s="51" t="n"/>
      <c r="L2601" s="54">
        <f>IF(OR(A2601="",C2601="",D2601=""),"",IF(COUNTIFS($A$5:$A$3004,A2601,$C$5:$C$3004,"&lt;"&amp;D2601,$D$5:$D$3004,"&gt;"&amp;C2601)&gt;1,"⚠️ пересечение",""))</f>
        <v/>
      </c>
      <c r="M2601" s="54">
        <f>IF(F2601="","",IF(J2601="✅ Сделано","✔ ",IF(J2601="❌ Пропущено","✖ ","⏰ "))&amp;IF(C2601="","",RIGHT("0"&amp;HOUR(C2601),2)&amp;":"&amp;RIGHT("0"&amp;MINUTE(C2601),2)&amp;IF(D2601="","","–"&amp;RIGHT("0"&amp;HOUR(D2601),2)&amp;":"&amp;RIGHT("0"&amp;MINUTE(D2601),2))&amp;" ")&amp;F2601)</f>
        <v/>
      </c>
      <c r="N2601" s="54">
        <f>IF(OR(A2601="",F2601=""),"",A2601&amp;"#"&amp;(COUNTIFS($A$5:$A$3004,A2601,$F$5:$F$3004,"?*",$O$5:$O$3004,"&lt;"&amp;O2601)+COUNTIFS($A$5:A2601,A2601,$F$5:F2601,"?*",$O$5:O2601,O2601)))</f>
        <v/>
      </c>
      <c r="O2601" s="54">
        <f>IF(A2601="","",IF(C2601="",0,C2601))</f>
        <v/>
      </c>
    </row>
    <row r="2602">
      <c r="A2602" s="58" t="n"/>
      <c r="B2602" s="49">
        <f>IF(A2602="","",CHOOSE(WEEKDAY(A2602,2),"Пн","Вт","Ср","Чт","Пт","Сб","Вс"))</f>
        <v/>
      </c>
      <c r="C2602" s="59" t="n"/>
      <c r="D2602" s="59" t="n"/>
      <c r="E2602" s="60">
        <f>IF(OR(C2602="",D2602=""),"",MOD(D2602-C2602,1)*24)</f>
        <v/>
      </c>
      <c r="F2602" s="50" t="n"/>
      <c r="G2602" s="51" t="n"/>
      <c r="H2602" s="51" t="n"/>
      <c r="I2602" s="51" t="n"/>
      <c r="J2602" s="51" t="n"/>
      <c r="K2602" s="51" t="n"/>
      <c r="L2602" s="54">
        <f>IF(OR(A2602="",C2602="",D2602=""),"",IF(COUNTIFS($A$5:$A$3004,A2602,$C$5:$C$3004,"&lt;"&amp;D2602,$D$5:$D$3004,"&gt;"&amp;C2602)&gt;1,"⚠️ пересечение",""))</f>
        <v/>
      </c>
      <c r="M2602" s="54">
        <f>IF(F2602="","",IF(J2602="✅ Сделано","✔ ",IF(J2602="❌ Пропущено","✖ ","⏰ "))&amp;IF(C2602="","",RIGHT("0"&amp;HOUR(C2602),2)&amp;":"&amp;RIGHT("0"&amp;MINUTE(C2602),2)&amp;IF(D2602="","","–"&amp;RIGHT("0"&amp;HOUR(D2602),2)&amp;":"&amp;RIGHT("0"&amp;MINUTE(D2602),2))&amp;" ")&amp;F2602)</f>
        <v/>
      </c>
      <c r="N2602" s="54">
        <f>IF(OR(A2602="",F2602=""),"",A2602&amp;"#"&amp;(COUNTIFS($A$5:$A$3004,A2602,$F$5:$F$3004,"?*",$O$5:$O$3004,"&lt;"&amp;O2602)+COUNTIFS($A$5:A2602,A2602,$F$5:F2602,"?*",$O$5:O2602,O2602)))</f>
        <v/>
      </c>
      <c r="O2602" s="54">
        <f>IF(A2602="","",IF(C2602="",0,C2602))</f>
        <v/>
      </c>
    </row>
    <row r="2603">
      <c r="A2603" s="58" t="n"/>
      <c r="B2603" s="49">
        <f>IF(A2603="","",CHOOSE(WEEKDAY(A2603,2),"Пн","Вт","Ср","Чт","Пт","Сб","Вс"))</f>
        <v/>
      </c>
      <c r="C2603" s="59" t="n"/>
      <c r="D2603" s="59" t="n"/>
      <c r="E2603" s="60">
        <f>IF(OR(C2603="",D2603=""),"",MOD(D2603-C2603,1)*24)</f>
        <v/>
      </c>
      <c r="F2603" s="50" t="n"/>
      <c r="G2603" s="51" t="n"/>
      <c r="H2603" s="51" t="n"/>
      <c r="I2603" s="51" t="n"/>
      <c r="J2603" s="51" t="n"/>
      <c r="K2603" s="51" t="n"/>
      <c r="L2603" s="54">
        <f>IF(OR(A2603="",C2603="",D2603=""),"",IF(COUNTIFS($A$5:$A$3004,A2603,$C$5:$C$3004,"&lt;"&amp;D2603,$D$5:$D$3004,"&gt;"&amp;C2603)&gt;1,"⚠️ пересечение",""))</f>
        <v/>
      </c>
      <c r="M2603" s="54">
        <f>IF(F2603="","",IF(J2603="✅ Сделано","✔ ",IF(J2603="❌ Пропущено","✖ ","⏰ "))&amp;IF(C2603="","",RIGHT("0"&amp;HOUR(C2603),2)&amp;":"&amp;RIGHT("0"&amp;MINUTE(C2603),2)&amp;IF(D2603="","","–"&amp;RIGHT("0"&amp;HOUR(D2603),2)&amp;":"&amp;RIGHT("0"&amp;MINUTE(D2603),2))&amp;" ")&amp;F2603)</f>
        <v/>
      </c>
      <c r="N2603" s="54">
        <f>IF(OR(A2603="",F2603=""),"",A2603&amp;"#"&amp;(COUNTIFS($A$5:$A$3004,A2603,$F$5:$F$3004,"?*",$O$5:$O$3004,"&lt;"&amp;O2603)+COUNTIFS($A$5:A2603,A2603,$F$5:F2603,"?*",$O$5:O2603,O2603)))</f>
        <v/>
      </c>
      <c r="O2603" s="54">
        <f>IF(A2603="","",IF(C2603="",0,C2603))</f>
        <v/>
      </c>
    </row>
    <row r="2604">
      <c r="A2604" s="58" t="n"/>
      <c r="B2604" s="49">
        <f>IF(A2604="","",CHOOSE(WEEKDAY(A2604,2),"Пн","Вт","Ср","Чт","Пт","Сб","Вс"))</f>
        <v/>
      </c>
      <c r="C2604" s="59" t="n"/>
      <c r="D2604" s="59" t="n"/>
      <c r="E2604" s="60">
        <f>IF(OR(C2604="",D2604=""),"",MOD(D2604-C2604,1)*24)</f>
        <v/>
      </c>
      <c r="F2604" s="50" t="n"/>
      <c r="G2604" s="51" t="n"/>
      <c r="H2604" s="51" t="n"/>
      <c r="I2604" s="51" t="n"/>
      <c r="J2604" s="51" t="n"/>
      <c r="K2604" s="51" t="n"/>
      <c r="L2604" s="54">
        <f>IF(OR(A2604="",C2604="",D2604=""),"",IF(COUNTIFS($A$5:$A$3004,A2604,$C$5:$C$3004,"&lt;"&amp;D2604,$D$5:$D$3004,"&gt;"&amp;C2604)&gt;1,"⚠️ пересечение",""))</f>
        <v/>
      </c>
      <c r="M2604" s="54">
        <f>IF(F2604="","",IF(J2604="✅ Сделано","✔ ",IF(J2604="❌ Пропущено","✖ ","⏰ "))&amp;IF(C2604="","",RIGHT("0"&amp;HOUR(C2604),2)&amp;":"&amp;RIGHT("0"&amp;MINUTE(C2604),2)&amp;IF(D2604="","","–"&amp;RIGHT("0"&amp;HOUR(D2604),2)&amp;":"&amp;RIGHT("0"&amp;MINUTE(D2604),2))&amp;" ")&amp;F2604)</f>
        <v/>
      </c>
      <c r="N2604" s="54">
        <f>IF(OR(A2604="",F2604=""),"",A2604&amp;"#"&amp;(COUNTIFS($A$5:$A$3004,A2604,$F$5:$F$3004,"?*",$O$5:$O$3004,"&lt;"&amp;O2604)+COUNTIFS($A$5:A2604,A2604,$F$5:F2604,"?*",$O$5:O2604,O2604)))</f>
        <v/>
      </c>
      <c r="O2604" s="54">
        <f>IF(A2604="","",IF(C2604="",0,C2604))</f>
        <v/>
      </c>
    </row>
    <row r="2605">
      <c r="A2605" s="58" t="n"/>
      <c r="B2605" s="49">
        <f>IF(A2605="","",CHOOSE(WEEKDAY(A2605,2),"Пн","Вт","Ср","Чт","Пт","Сб","Вс"))</f>
        <v/>
      </c>
      <c r="C2605" s="59" t="n"/>
      <c r="D2605" s="59" t="n"/>
      <c r="E2605" s="60">
        <f>IF(OR(C2605="",D2605=""),"",MOD(D2605-C2605,1)*24)</f>
        <v/>
      </c>
      <c r="F2605" s="50" t="n"/>
      <c r="G2605" s="51" t="n"/>
      <c r="H2605" s="51" t="n"/>
      <c r="I2605" s="51" t="n"/>
      <c r="J2605" s="51" t="n"/>
      <c r="K2605" s="51" t="n"/>
      <c r="L2605" s="54">
        <f>IF(OR(A2605="",C2605="",D2605=""),"",IF(COUNTIFS($A$5:$A$3004,A2605,$C$5:$C$3004,"&lt;"&amp;D2605,$D$5:$D$3004,"&gt;"&amp;C2605)&gt;1,"⚠️ пересечение",""))</f>
        <v/>
      </c>
      <c r="M2605" s="54">
        <f>IF(F2605="","",IF(J2605="✅ Сделано","✔ ",IF(J2605="❌ Пропущено","✖ ","⏰ "))&amp;IF(C2605="","",RIGHT("0"&amp;HOUR(C2605),2)&amp;":"&amp;RIGHT("0"&amp;MINUTE(C2605),2)&amp;IF(D2605="","","–"&amp;RIGHT("0"&amp;HOUR(D2605),2)&amp;":"&amp;RIGHT("0"&amp;MINUTE(D2605),2))&amp;" ")&amp;F2605)</f>
        <v/>
      </c>
      <c r="N2605" s="54">
        <f>IF(OR(A2605="",F2605=""),"",A2605&amp;"#"&amp;(COUNTIFS($A$5:$A$3004,A2605,$F$5:$F$3004,"?*",$O$5:$O$3004,"&lt;"&amp;O2605)+COUNTIFS($A$5:A2605,A2605,$F$5:F2605,"?*",$O$5:O2605,O2605)))</f>
        <v/>
      </c>
      <c r="O2605" s="54">
        <f>IF(A2605="","",IF(C2605="",0,C2605))</f>
        <v/>
      </c>
    </row>
    <row r="2606">
      <c r="A2606" s="58" t="n"/>
      <c r="B2606" s="49">
        <f>IF(A2606="","",CHOOSE(WEEKDAY(A2606,2),"Пн","Вт","Ср","Чт","Пт","Сб","Вс"))</f>
        <v/>
      </c>
      <c r="C2606" s="59" t="n"/>
      <c r="D2606" s="59" t="n"/>
      <c r="E2606" s="60">
        <f>IF(OR(C2606="",D2606=""),"",MOD(D2606-C2606,1)*24)</f>
        <v/>
      </c>
      <c r="F2606" s="50" t="n"/>
      <c r="G2606" s="51" t="n"/>
      <c r="H2606" s="51" t="n"/>
      <c r="I2606" s="51" t="n"/>
      <c r="J2606" s="51" t="n"/>
      <c r="K2606" s="51" t="n"/>
      <c r="L2606" s="54">
        <f>IF(OR(A2606="",C2606="",D2606=""),"",IF(COUNTIFS($A$5:$A$3004,A2606,$C$5:$C$3004,"&lt;"&amp;D2606,$D$5:$D$3004,"&gt;"&amp;C2606)&gt;1,"⚠️ пересечение",""))</f>
        <v/>
      </c>
      <c r="M2606" s="54">
        <f>IF(F2606="","",IF(J2606="✅ Сделано","✔ ",IF(J2606="❌ Пропущено","✖ ","⏰ "))&amp;IF(C2606="","",RIGHT("0"&amp;HOUR(C2606),2)&amp;":"&amp;RIGHT("0"&amp;MINUTE(C2606),2)&amp;IF(D2606="","","–"&amp;RIGHT("0"&amp;HOUR(D2606),2)&amp;":"&amp;RIGHT("0"&amp;MINUTE(D2606),2))&amp;" ")&amp;F2606)</f>
        <v/>
      </c>
      <c r="N2606" s="54">
        <f>IF(OR(A2606="",F2606=""),"",A2606&amp;"#"&amp;(COUNTIFS($A$5:$A$3004,A2606,$F$5:$F$3004,"?*",$O$5:$O$3004,"&lt;"&amp;O2606)+COUNTIFS($A$5:A2606,A2606,$F$5:F2606,"?*",$O$5:O2606,O2606)))</f>
        <v/>
      </c>
      <c r="O2606" s="54">
        <f>IF(A2606="","",IF(C2606="",0,C2606))</f>
        <v/>
      </c>
    </row>
    <row r="2607">
      <c r="A2607" s="58" t="n"/>
      <c r="B2607" s="49">
        <f>IF(A2607="","",CHOOSE(WEEKDAY(A2607,2),"Пн","Вт","Ср","Чт","Пт","Сб","Вс"))</f>
        <v/>
      </c>
      <c r="C2607" s="59" t="n"/>
      <c r="D2607" s="59" t="n"/>
      <c r="E2607" s="60">
        <f>IF(OR(C2607="",D2607=""),"",MOD(D2607-C2607,1)*24)</f>
        <v/>
      </c>
      <c r="F2607" s="50" t="n"/>
      <c r="G2607" s="51" t="n"/>
      <c r="H2607" s="51" t="n"/>
      <c r="I2607" s="51" t="n"/>
      <c r="J2607" s="51" t="n"/>
      <c r="K2607" s="51" t="n"/>
      <c r="L2607" s="54">
        <f>IF(OR(A2607="",C2607="",D2607=""),"",IF(COUNTIFS($A$5:$A$3004,A2607,$C$5:$C$3004,"&lt;"&amp;D2607,$D$5:$D$3004,"&gt;"&amp;C2607)&gt;1,"⚠️ пересечение",""))</f>
        <v/>
      </c>
      <c r="M2607" s="54">
        <f>IF(F2607="","",IF(J2607="✅ Сделано","✔ ",IF(J2607="❌ Пропущено","✖ ","⏰ "))&amp;IF(C2607="","",RIGHT("0"&amp;HOUR(C2607),2)&amp;":"&amp;RIGHT("0"&amp;MINUTE(C2607),2)&amp;IF(D2607="","","–"&amp;RIGHT("0"&amp;HOUR(D2607),2)&amp;":"&amp;RIGHT("0"&amp;MINUTE(D2607),2))&amp;" ")&amp;F2607)</f>
        <v/>
      </c>
      <c r="N2607" s="54">
        <f>IF(OR(A2607="",F2607=""),"",A2607&amp;"#"&amp;(COUNTIFS($A$5:$A$3004,A2607,$F$5:$F$3004,"?*",$O$5:$O$3004,"&lt;"&amp;O2607)+COUNTIFS($A$5:A2607,A2607,$F$5:F2607,"?*",$O$5:O2607,O2607)))</f>
        <v/>
      </c>
      <c r="O2607" s="54">
        <f>IF(A2607="","",IF(C2607="",0,C2607))</f>
        <v/>
      </c>
    </row>
    <row r="2608">
      <c r="A2608" s="58" t="n"/>
      <c r="B2608" s="49">
        <f>IF(A2608="","",CHOOSE(WEEKDAY(A2608,2),"Пн","Вт","Ср","Чт","Пт","Сб","Вс"))</f>
        <v/>
      </c>
      <c r="C2608" s="59" t="n"/>
      <c r="D2608" s="59" t="n"/>
      <c r="E2608" s="60">
        <f>IF(OR(C2608="",D2608=""),"",MOD(D2608-C2608,1)*24)</f>
        <v/>
      </c>
      <c r="F2608" s="50" t="n"/>
      <c r="G2608" s="51" t="n"/>
      <c r="H2608" s="51" t="n"/>
      <c r="I2608" s="51" t="n"/>
      <c r="J2608" s="51" t="n"/>
      <c r="K2608" s="51" t="n"/>
      <c r="L2608" s="54">
        <f>IF(OR(A2608="",C2608="",D2608=""),"",IF(COUNTIFS($A$5:$A$3004,A2608,$C$5:$C$3004,"&lt;"&amp;D2608,$D$5:$D$3004,"&gt;"&amp;C2608)&gt;1,"⚠️ пересечение",""))</f>
        <v/>
      </c>
      <c r="M2608" s="54">
        <f>IF(F2608="","",IF(J2608="✅ Сделано","✔ ",IF(J2608="❌ Пропущено","✖ ","⏰ "))&amp;IF(C2608="","",RIGHT("0"&amp;HOUR(C2608),2)&amp;":"&amp;RIGHT("0"&amp;MINUTE(C2608),2)&amp;IF(D2608="","","–"&amp;RIGHT("0"&amp;HOUR(D2608),2)&amp;":"&amp;RIGHT("0"&amp;MINUTE(D2608),2))&amp;" ")&amp;F2608)</f>
        <v/>
      </c>
      <c r="N2608" s="54">
        <f>IF(OR(A2608="",F2608=""),"",A2608&amp;"#"&amp;(COUNTIFS($A$5:$A$3004,A2608,$F$5:$F$3004,"?*",$O$5:$O$3004,"&lt;"&amp;O2608)+COUNTIFS($A$5:A2608,A2608,$F$5:F2608,"?*",$O$5:O2608,O2608)))</f>
        <v/>
      </c>
      <c r="O2608" s="54">
        <f>IF(A2608="","",IF(C2608="",0,C2608))</f>
        <v/>
      </c>
    </row>
    <row r="2609">
      <c r="A2609" s="58" t="n"/>
      <c r="B2609" s="49">
        <f>IF(A2609="","",CHOOSE(WEEKDAY(A2609,2),"Пн","Вт","Ср","Чт","Пт","Сб","Вс"))</f>
        <v/>
      </c>
      <c r="C2609" s="59" t="n"/>
      <c r="D2609" s="59" t="n"/>
      <c r="E2609" s="60">
        <f>IF(OR(C2609="",D2609=""),"",MOD(D2609-C2609,1)*24)</f>
        <v/>
      </c>
      <c r="F2609" s="50" t="n"/>
      <c r="G2609" s="51" t="n"/>
      <c r="H2609" s="51" t="n"/>
      <c r="I2609" s="51" t="n"/>
      <c r="J2609" s="51" t="n"/>
      <c r="K2609" s="51" t="n"/>
      <c r="L2609" s="54">
        <f>IF(OR(A2609="",C2609="",D2609=""),"",IF(COUNTIFS($A$5:$A$3004,A2609,$C$5:$C$3004,"&lt;"&amp;D2609,$D$5:$D$3004,"&gt;"&amp;C2609)&gt;1,"⚠️ пересечение",""))</f>
        <v/>
      </c>
      <c r="M2609" s="54">
        <f>IF(F2609="","",IF(J2609="✅ Сделано","✔ ",IF(J2609="❌ Пропущено","✖ ","⏰ "))&amp;IF(C2609="","",RIGHT("0"&amp;HOUR(C2609),2)&amp;":"&amp;RIGHT("0"&amp;MINUTE(C2609),2)&amp;IF(D2609="","","–"&amp;RIGHT("0"&amp;HOUR(D2609),2)&amp;":"&amp;RIGHT("0"&amp;MINUTE(D2609),2))&amp;" ")&amp;F2609)</f>
        <v/>
      </c>
      <c r="N2609" s="54">
        <f>IF(OR(A2609="",F2609=""),"",A2609&amp;"#"&amp;(COUNTIFS($A$5:$A$3004,A2609,$F$5:$F$3004,"?*",$O$5:$O$3004,"&lt;"&amp;O2609)+COUNTIFS($A$5:A2609,A2609,$F$5:F2609,"?*",$O$5:O2609,O2609)))</f>
        <v/>
      </c>
      <c r="O2609" s="54">
        <f>IF(A2609="","",IF(C2609="",0,C2609))</f>
        <v/>
      </c>
    </row>
    <row r="2610">
      <c r="A2610" s="58" t="n"/>
      <c r="B2610" s="49">
        <f>IF(A2610="","",CHOOSE(WEEKDAY(A2610,2),"Пн","Вт","Ср","Чт","Пт","Сб","Вс"))</f>
        <v/>
      </c>
      <c r="C2610" s="59" t="n"/>
      <c r="D2610" s="59" t="n"/>
      <c r="E2610" s="60">
        <f>IF(OR(C2610="",D2610=""),"",MOD(D2610-C2610,1)*24)</f>
        <v/>
      </c>
      <c r="F2610" s="50" t="n"/>
      <c r="G2610" s="51" t="n"/>
      <c r="H2610" s="51" t="n"/>
      <c r="I2610" s="51" t="n"/>
      <c r="J2610" s="51" t="n"/>
      <c r="K2610" s="51" t="n"/>
      <c r="L2610" s="54">
        <f>IF(OR(A2610="",C2610="",D2610=""),"",IF(COUNTIFS($A$5:$A$3004,A2610,$C$5:$C$3004,"&lt;"&amp;D2610,$D$5:$D$3004,"&gt;"&amp;C2610)&gt;1,"⚠️ пересечение",""))</f>
        <v/>
      </c>
      <c r="M2610" s="54">
        <f>IF(F2610="","",IF(J2610="✅ Сделано","✔ ",IF(J2610="❌ Пропущено","✖ ","⏰ "))&amp;IF(C2610="","",RIGHT("0"&amp;HOUR(C2610),2)&amp;":"&amp;RIGHT("0"&amp;MINUTE(C2610),2)&amp;IF(D2610="","","–"&amp;RIGHT("0"&amp;HOUR(D2610),2)&amp;":"&amp;RIGHT("0"&amp;MINUTE(D2610),2))&amp;" ")&amp;F2610)</f>
        <v/>
      </c>
      <c r="N2610" s="54">
        <f>IF(OR(A2610="",F2610=""),"",A2610&amp;"#"&amp;(COUNTIFS($A$5:$A$3004,A2610,$F$5:$F$3004,"?*",$O$5:$O$3004,"&lt;"&amp;O2610)+COUNTIFS($A$5:A2610,A2610,$F$5:F2610,"?*",$O$5:O2610,O2610)))</f>
        <v/>
      </c>
      <c r="O2610" s="54">
        <f>IF(A2610="","",IF(C2610="",0,C2610))</f>
        <v/>
      </c>
    </row>
    <row r="2611">
      <c r="A2611" s="58" t="n"/>
      <c r="B2611" s="49">
        <f>IF(A2611="","",CHOOSE(WEEKDAY(A2611,2),"Пн","Вт","Ср","Чт","Пт","Сб","Вс"))</f>
        <v/>
      </c>
      <c r="C2611" s="59" t="n"/>
      <c r="D2611" s="59" t="n"/>
      <c r="E2611" s="60">
        <f>IF(OR(C2611="",D2611=""),"",MOD(D2611-C2611,1)*24)</f>
        <v/>
      </c>
      <c r="F2611" s="50" t="n"/>
      <c r="G2611" s="51" t="n"/>
      <c r="H2611" s="51" t="n"/>
      <c r="I2611" s="51" t="n"/>
      <c r="J2611" s="51" t="n"/>
      <c r="K2611" s="51" t="n"/>
      <c r="L2611" s="54">
        <f>IF(OR(A2611="",C2611="",D2611=""),"",IF(COUNTIFS($A$5:$A$3004,A2611,$C$5:$C$3004,"&lt;"&amp;D2611,$D$5:$D$3004,"&gt;"&amp;C2611)&gt;1,"⚠️ пересечение",""))</f>
        <v/>
      </c>
      <c r="M2611" s="54">
        <f>IF(F2611="","",IF(J2611="✅ Сделано","✔ ",IF(J2611="❌ Пропущено","✖ ","⏰ "))&amp;IF(C2611="","",RIGHT("0"&amp;HOUR(C2611),2)&amp;":"&amp;RIGHT("0"&amp;MINUTE(C2611),2)&amp;IF(D2611="","","–"&amp;RIGHT("0"&amp;HOUR(D2611),2)&amp;":"&amp;RIGHT("0"&amp;MINUTE(D2611),2))&amp;" ")&amp;F2611)</f>
        <v/>
      </c>
      <c r="N2611" s="54">
        <f>IF(OR(A2611="",F2611=""),"",A2611&amp;"#"&amp;(COUNTIFS($A$5:$A$3004,A2611,$F$5:$F$3004,"?*",$O$5:$O$3004,"&lt;"&amp;O2611)+COUNTIFS($A$5:A2611,A2611,$F$5:F2611,"?*",$O$5:O2611,O2611)))</f>
        <v/>
      </c>
      <c r="O2611" s="54">
        <f>IF(A2611="","",IF(C2611="",0,C2611))</f>
        <v/>
      </c>
    </row>
    <row r="2612">
      <c r="A2612" s="58" t="n"/>
      <c r="B2612" s="49">
        <f>IF(A2612="","",CHOOSE(WEEKDAY(A2612,2),"Пн","Вт","Ср","Чт","Пт","Сб","Вс"))</f>
        <v/>
      </c>
      <c r="C2612" s="59" t="n"/>
      <c r="D2612" s="59" t="n"/>
      <c r="E2612" s="60">
        <f>IF(OR(C2612="",D2612=""),"",MOD(D2612-C2612,1)*24)</f>
        <v/>
      </c>
      <c r="F2612" s="50" t="n"/>
      <c r="G2612" s="51" t="n"/>
      <c r="H2612" s="51" t="n"/>
      <c r="I2612" s="51" t="n"/>
      <c r="J2612" s="51" t="n"/>
      <c r="K2612" s="51" t="n"/>
      <c r="L2612" s="54">
        <f>IF(OR(A2612="",C2612="",D2612=""),"",IF(COUNTIFS($A$5:$A$3004,A2612,$C$5:$C$3004,"&lt;"&amp;D2612,$D$5:$D$3004,"&gt;"&amp;C2612)&gt;1,"⚠️ пересечение",""))</f>
        <v/>
      </c>
      <c r="M2612" s="54">
        <f>IF(F2612="","",IF(J2612="✅ Сделано","✔ ",IF(J2612="❌ Пропущено","✖ ","⏰ "))&amp;IF(C2612="","",RIGHT("0"&amp;HOUR(C2612),2)&amp;":"&amp;RIGHT("0"&amp;MINUTE(C2612),2)&amp;IF(D2612="","","–"&amp;RIGHT("0"&amp;HOUR(D2612),2)&amp;":"&amp;RIGHT("0"&amp;MINUTE(D2612),2))&amp;" ")&amp;F2612)</f>
        <v/>
      </c>
      <c r="N2612" s="54">
        <f>IF(OR(A2612="",F2612=""),"",A2612&amp;"#"&amp;(COUNTIFS($A$5:$A$3004,A2612,$F$5:$F$3004,"?*",$O$5:$O$3004,"&lt;"&amp;O2612)+COUNTIFS($A$5:A2612,A2612,$F$5:F2612,"?*",$O$5:O2612,O2612)))</f>
        <v/>
      </c>
      <c r="O2612" s="54">
        <f>IF(A2612="","",IF(C2612="",0,C2612))</f>
        <v/>
      </c>
    </row>
    <row r="2613">
      <c r="A2613" s="58" t="n"/>
      <c r="B2613" s="49">
        <f>IF(A2613="","",CHOOSE(WEEKDAY(A2613,2),"Пн","Вт","Ср","Чт","Пт","Сб","Вс"))</f>
        <v/>
      </c>
      <c r="C2613" s="59" t="n"/>
      <c r="D2613" s="59" t="n"/>
      <c r="E2613" s="60">
        <f>IF(OR(C2613="",D2613=""),"",MOD(D2613-C2613,1)*24)</f>
        <v/>
      </c>
      <c r="F2613" s="50" t="n"/>
      <c r="G2613" s="51" t="n"/>
      <c r="H2613" s="51" t="n"/>
      <c r="I2613" s="51" t="n"/>
      <c r="J2613" s="51" t="n"/>
      <c r="K2613" s="51" t="n"/>
      <c r="L2613" s="54">
        <f>IF(OR(A2613="",C2613="",D2613=""),"",IF(COUNTIFS($A$5:$A$3004,A2613,$C$5:$C$3004,"&lt;"&amp;D2613,$D$5:$D$3004,"&gt;"&amp;C2613)&gt;1,"⚠️ пересечение",""))</f>
        <v/>
      </c>
      <c r="M2613" s="54">
        <f>IF(F2613="","",IF(J2613="✅ Сделано","✔ ",IF(J2613="❌ Пропущено","✖ ","⏰ "))&amp;IF(C2613="","",RIGHT("0"&amp;HOUR(C2613),2)&amp;":"&amp;RIGHT("0"&amp;MINUTE(C2613),2)&amp;IF(D2613="","","–"&amp;RIGHT("0"&amp;HOUR(D2613),2)&amp;":"&amp;RIGHT("0"&amp;MINUTE(D2613),2))&amp;" ")&amp;F2613)</f>
        <v/>
      </c>
      <c r="N2613" s="54">
        <f>IF(OR(A2613="",F2613=""),"",A2613&amp;"#"&amp;(COUNTIFS($A$5:$A$3004,A2613,$F$5:$F$3004,"?*",$O$5:$O$3004,"&lt;"&amp;O2613)+COUNTIFS($A$5:A2613,A2613,$F$5:F2613,"?*",$O$5:O2613,O2613)))</f>
        <v/>
      </c>
      <c r="O2613" s="54">
        <f>IF(A2613="","",IF(C2613="",0,C2613))</f>
        <v/>
      </c>
    </row>
    <row r="2614">
      <c r="A2614" s="58" t="n"/>
      <c r="B2614" s="49">
        <f>IF(A2614="","",CHOOSE(WEEKDAY(A2614,2),"Пн","Вт","Ср","Чт","Пт","Сб","Вс"))</f>
        <v/>
      </c>
      <c r="C2614" s="59" t="n"/>
      <c r="D2614" s="59" t="n"/>
      <c r="E2614" s="60">
        <f>IF(OR(C2614="",D2614=""),"",MOD(D2614-C2614,1)*24)</f>
        <v/>
      </c>
      <c r="F2614" s="50" t="n"/>
      <c r="G2614" s="51" t="n"/>
      <c r="H2614" s="51" t="n"/>
      <c r="I2614" s="51" t="n"/>
      <c r="J2614" s="51" t="n"/>
      <c r="K2614" s="51" t="n"/>
      <c r="L2614" s="54">
        <f>IF(OR(A2614="",C2614="",D2614=""),"",IF(COUNTIFS($A$5:$A$3004,A2614,$C$5:$C$3004,"&lt;"&amp;D2614,$D$5:$D$3004,"&gt;"&amp;C2614)&gt;1,"⚠️ пересечение",""))</f>
        <v/>
      </c>
      <c r="M2614" s="54">
        <f>IF(F2614="","",IF(J2614="✅ Сделано","✔ ",IF(J2614="❌ Пропущено","✖ ","⏰ "))&amp;IF(C2614="","",RIGHT("0"&amp;HOUR(C2614),2)&amp;":"&amp;RIGHT("0"&amp;MINUTE(C2614),2)&amp;IF(D2614="","","–"&amp;RIGHT("0"&amp;HOUR(D2614),2)&amp;":"&amp;RIGHT("0"&amp;MINUTE(D2614),2))&amp;" ")&amp;F2614)</f>
        <v/>
      </c>
      <c r="N2614" s="54">
        <f>IF(OR(A2614="",F2614=""),"",A2614&amp;"#"&amp;(COUNTIFS($A$5:$A$3004,A2614,$F$5:$F$3004,"?*",$O$5:$O$3004,"&lt;"&amp;O2614)+COUNTIFS($A$5:A2614,A2614,$F$5:F2614,"?*",$O$5:O2614,O2614)))</f>
        <v/>
      </c>
      <c r="O2614" s="54">
        <f>IF(A2614="","",IF(C2614="",0,C2614))</f>
        <v/>
      </c>
    </row>
    <row r="2615">
      <c r="A2615" s="58" t="n"/>
      <c r="B2615" s="49">
        <f>IF(A2615="","",CHOOSE(WEEKDAY(A2615,2),"Пн","Вт","Ср","Чт","Пт","Сб","Вс"))</f>
        <v/>
      </c>
      <c r="C2615" s="59" t="n"/>
      <c r="D2615" s="59" t="n"/>
      <c r="E2615" s="60">
        <f>IF(OR(C2615="",D2615=""),"",MOD(D2615-C2615,1)*24)</f>
        <v/>
      </c>
      <c r="F2615" s="50" t="n"/>
      <c r="G2615" s="51" t="n"/>
      <c r="H2615" s="51" t="n"/>
      <c r="I2615" s="51" t="n"/>
      <c r="J2615" s="51" t="n"/>
      <c r="K2615" s="51" t="n"/>
      <c r="L2615" s="54">
        <f>IF(OR(A2615="",C2615="",D2615=""),"",IF(COUNTIFS($A$5:$A$3004,A2615,$C$5:$C$3004,"&lt;"&amp;D2615,$D$5:$D$3004,"&gt;"&amp;C2615)&gt;1,"⚠️ пересечение",""))</f>
        <v/>
      </c>
      <c r="M2615" s="54">
        <f>IF(F2615="","",IF(J2615="✅ Сделано","✔ ",IF(J2615="❌ Пропущено","✖ ","⏰ "))&amp;IF(C2615="","",RIGHT("0"&amp;HOUR(C2615),2)&amp;":"&amp;RIGHT("0"&amp;MINUTE(C2615),2)&amp;IF(D2615="","","–"&amp;RIGHT("0"&amp;HOUR(D2615),2)&amp;":"&amp;RIGHT("0"&amp;MINUTE(D2615),2))&amp;" ")&amp;F2615)</f>
        <v/>
      </c>
      <c r="N2615" s="54">
        <f>IF(OR(A2615="",F2615=""),"",A2615&amp;"#"&amp;(COUNTIFS($A$5:$A$3004,A2615,$F$5:$F$3004,"?*",$O$5:$O$3004,"&lt;"&amp;O2615)+COUNTIFS($A$5:A2615,A2615,$F$5:F2615,"?*",$O$5:O2615,O2615)))</f>
        <v/>
      </c>
      <c r="O2615" s="54">
        <f>IF(A2615="","",IF(C2615="",0,C2615))</f>
        <v/>
      </c>
    </row>
    <row r="2616">
      <c r="A2616" s="58" t="n"/>
      <c r="B2616" s="49">
        <f>IF(A2616="","",CHOOSE(WEEKDAY(A2616,2),"Пн","Вт","Ср","Чт","Пт","Сб","Вс"))</f>
        <v/>
      </c>
      <c r="C2616" s="59" t="n"/>
      <c r="D2616" s="59" t="n"/>
      <c r="E2616" s="60">
        <f>IF(OR(C2616="",D2616=""),"",MOD(D2616-C2616,1)*24)</f>
        <v/>
      </c>
      <c r="F2616" s="50" t="n"/>
      <c r="G2616" s="51" t="n"/>
      <c r="H2616" s="51" t="n"/>
      <c r="I2616" s="51" t="n"/>
      <c r="J2616" s="51" t="n"/>
      <c r="K2616" s="51" t="n"/>
      <c r="L2616" s="54">
        <f>IF(OR(A2616="",C2616="",D2616=""),"",IF(COUNTIFS($A$5:$A$3004,A2616,$C$5:$C$3004,"&lt;"&amp;D2616,$D$5:$D$3004,"&gt;"&amp;C2616)&gt;1,"⚠️ пересечение",""))</f>
        <v/>
      </c>
      <c r="M2616" s="54">
        <f>IF(F2616="","",IF(J2616="✅ Сделано","✔ ",IF(J2616="❌ Пропущено","✖ ","⏰ "))&amp;IF(C2616="","",RIGHT("0"&amp;HOUR(C2616),2)&amp;":"&amp;RIGHT("0"&amp;MINUTE(C2616),2)&amp;IF(D2616="","","–"&amp;RIGHT("0"&amp;HOUR(D2616),2)&amp;":"&amp;RIGHT("0"&amp;MINUTE(D2616),2))&amp;" ")&amp;F2616)</f>
        <v/>
      </c>
      <c r="N2616" s="54">
        <f>IF(OR(A2616="",F2616=""),"",A2616&amp;"#"&amp;(COUNTIFS($A$5:$A$3004,A2616,$F$5:$F$3004,"?*",$O$5:$O$3004,"&lt;"&amp;O2616)+COUNTIFS($A$5:A2616,A2616,$F$5:F2616,"?*",$O$5:O2616,O2616)))</f>
        <v/>
      </c>
      <c r="O2616" s="54">
        <f>IF(A2616="","",IF(C2616="",0,C2616))</f>
        <v/>
      </c>
    </row>
    <row r="2617">
      <c r="A2617" s="58" t="n"/>
      <c r="B2617" s="49">
        <f>IF(A2617="","",CHOOSE(WEEKDAY(A2617,2),"Пн","Вт","Ср","Чт","Пт","Сб","Вс"))</f>
        <v/>
      </c>
      <c r="C2617" s="59" t="n"/>
      <c r="D2617" s="59" t="n"/>
      <c r="E2617" s="60">
        <f>IF(OR(C2617="",D2617=""),"",MOD(D2617-C2617,1)*24)</f>
        <v/>
      </c>
      <c r="F2617" s="50" t="n"/>
      <c r="G2617" s="51" t="n"/>
      <c r="H2617" s="51" t="n"/>
      <c r="I2617" s="51" t="n"/>
      <c r="J2617" s="51" t="n"/>
      <c r="K2617" s="51" t="n"/>
      <c r="L2617" s="54">
        <f>IF(OR(A2617="",C2617="",D2617=""),"",IF(COUNTIFS($A$5:$A$3004,A2617,$C$5:$C$3004,"&lt;"&amp;D2617,$D$5:$D$3004,"&gt;"&amp;C2617)&gt;1,"⚠️ пересечение",""))</f>
        <v/>
      </c>
      <c r="M2617" s="54">
        <f>IF(F2617="","",IF(J2617="✅ Сделано","✔ ",IF(J2617="❌ Пропущено","✖ ","⏰ "))&amp;IF(C2617="","",RIGHT("0"&amp;HOUR(C2617),2)&amp;":"&amp;RIGHT("0"&amp;MINUTE(C2617),2)&amp;IF(D2617="","","–"&amp;RIGHT("0"&amp;HOUR(D2617),2)&amp;":"&amp;RIGHT("0"&amp;MINUTE(D2617),2))&amp;" ")&amp;F2617)</f>
        <v/>
      </c>
      <c r="N2617" s="54">
        <f>IF(OR(A2617="",F2617=""),"",A2617&amp;"#"&amp;(COUNTIFS($A$5:$A$3004,A2617,$F$5:$F$3004,"?*",$O$5:$O$3004,"&lt;"&amp;O2617)+COUNTIFS($A$5:A2617,A2617,$F$5:F2617,"?*",$O$5:O2617,O2617)))</f>
        <v/>
      </c>
      <c r="O2617" s="54">
        <f>IF(A2617="","",IF(C2617="",0,C2617))</f>
        <v/>
      </c>
    </row>
    <row r="2618">
      <c r="A2618" s="58" t="n"/>
      <c r="B2618" s="49">
        <f>IF(A2618="","",CHOOSE(WEEKDAY(A2618,2),"Пн","Вт","Ср","Чт","Пт","Сб","Вс"))</f>
        <v/>
      </c>
      <c r="C2618" s="59" t="n"/>
      <c r="D2618" s="59" t="n"/>
      <c r="E2618" s="60">
        <f>IF(OR(C2618="",D2618=""),"",MOD(D2618-C2618,1)*24)</f>
        <v/>
      </c>
      <c r="F2618" s="50" t="n"/>
      <c r="G2618" s="51" t="n"/>
      <c r="H2618" s="51" t="n"/>
      <c r="I2618" s="51" t="n"/>
      <c r="J2618" s="51" t="n"/>
      <c r="K2618" s="51" t="n"/>
      <c r="L2618" s="54">
        <f>IF(OR(A2618="",C2618="",D2618=""),"",IF(COUNTIFS($A$5:$A$3004,A2618,$C$5:$C$3004,"&lt;"&amp;D2618,$D$5:$D$3004,"&gt;"&amp;C2618)&gt;1,"⚠️ пересечение",""))</f>
        <v/>
      </c>
      <c r="M2618" s="54">
        <f>IF(F2618="","",IF(J2618="✅ Сделано","✔ ",IF(J2618="❌ Пропущено","✖ ","⏰ "))&amp;IF(C2618="","",RIGHT("0"&amp;HOUR(C2618),2)&amp;":"&amp;RIGHT("0"&amp;MINUTE(C2618),2)&amp;IF(D2618="","","–"&amp;RIGHT("0"&amp;HOUR(D2618),2)&amp;":"&amp;RIGHT("0"&amp;MINUTE(D2618),2))&amp;" ")&amp;F2618)</f>
        <v/>
      </c>
      <c r="N2618" s="54">
        <f>IF(OR(A2618="",F2618=""),"",A2618&amp;"#"&amp;(COUNTIFS($A$5:$A$3004,A2618,$F$5:$F$3004,"?*",$O$5:$O$3004,"&lt;"&amp;O2618)+COUNTIFS($A$5:A2618,A2618,$F$5:F2618,"?*",$O$5:O2618,O2618)))</f>
        <v/>
      </c>
      <c r="O2618" s="54">
        <f>IF(A2618="","",IF(C2618="",0,C2618))</f>
        <v/>
      </c>
    </row>
    <row r="2619">
      <c r="A2619" s="58" t="n"/>
      <c r="B2619" s="49">
        <f>IF(A2619="","",CHOOSE(WEEKDAY(A2619,2),"Пн","Вт","Ср","Чт","Пт","Сб","Вс"))</f>
        <v/>
      </c>
      <c r="C2619" s="59" t="n"/>
      <c r="D2619" s="59" t="n"/>
      <c r="E2619" s="60">
        <f>IF(OR(C2619="",D2619=""),"",MOD(D2619-C2619,1)*24)</f>
        <v/>
      </c>
      <c r="F2619" s="50" t="n"/>
      <c r="G2619" s="51" t="n"/>
      <c r="H2619" s="51" t="n"/>
      <c r="I2619" s="51" t="n"/>
      <c r="J2619" s="51" t="n"/>
      <c r="K2619" s="51" t="n"/>
      <c r="L2619" s="54">
        <f>IF(OR(A2619="",C2619="",D2619=""),"",IF(COUNTIFS($A$5:$A$3004,A2619,$C$5:$C$3004,"&lt;"&amp;D2619,$D$5:$D$3004,"&gt;"&amp;C2619)&gt;1,"⚠️ пересечение",""))</f>
        <v/>
      </c>
      <c r="M2619" s="54">
        <f>IF(F2619="","",IF(J2619="✅ Сделано","✔ ",IF(J2619="❌ Пропущено","✖ ","⏰ "))&amp;IF(C2619="","",RIGHT("0"&amp;HOUR(C2619),2)&amp;":"&amp;RIGHT("0"&amp;MINUTE(C2619),2)&amp;IF(D2619="","","–"&amp;RIGHT("0"&amp;HOUR(D2619),2)&amp;":"&amp;RIGHT("0"&amp;MINUTE(D2619),2))&amp;" ")&amp;F2619)</f>
        <v/>
      </c>
      <c r="N2619" s="54">
        <f>IF(OR(A2619="",F2619=""),"",A2619&amp;"#"&amp;(COUNTIFS($A$5:$A$3004,A2619,$F$5:$F$3004,"?*",$O$5:$O$3004,"&lt;"&amp;O2619)+COUNTIFS($A$5:A2619,A2619,$F$5:F2619,"?*",$O$5:O2619,O2619)))</f>
        <v/>
      </c>
      <c r="O2619" s="54">
        <f>IF(A2619="","",IF(C2619="",0,C2619))</f>
        <v/>
      </c>
    </row>
    <row r="2620">
      <c r="A2620" s="58" t="n"/>
      <c r="B2620" s="49">
        <f>IF(A2620="","",CHOOSE(WEEKDAY(A2620,2),"Пн","Вт","Ср","Чт","Пт","Сб","Вс"))</f>
        <v/>
      </c>
      <c r="C2620" s="59" t="n"/>
      <c r="D2620" s="59" t="n"/>
      <c r="E2620" s="60">
        <f>IF(OR(C2620="",D2620=""),"",MOD(D2620-C2620,1)*24)</f>
        <v/>
      </c>
      <c r="F2620" s="50" t="n"/>
      <c r="G2620" s="51" t="n"/>
      <c r="H2620" s="51" t="n"/>
      <c r="I2620" s="51" t="n"/>
      <c r="J2620" s="51" t="n"/>
      <c r="K2620" s="51" t="n"/>
      <c r="L2620" s="54">
        <f>IF(OR(A2620="",C2620="",D2620=""),"",IF(COUNTIFS($A$5:$A$3004,A2620,$C$5:$C$3004,"&lt;"&amp;D2620,$D$5:$D$3004,"&gt;"&amp;C2620)&gt;1,"⚠️ пересечение",""))</f>
        <v/>
      </c>
      <c r="M2620" s="54">
        <f>IF(F2620="","",IF(J2620="✅ Сделано","✔ ",IF(J2620="❌ Пропущено","✖ ","⏰ "))&amp;IF(C2620="","",RIGHT("0"&amp;HOUR(C2620),2)&amp;":"&amp;RIGHT("0"&amp;MINUTE(C2620),2)&amp;IF(D2620="","","–"&amp;RIGHT("0"&amp;HOUR(D2620),2)&amp;":"&amp;RIGHT("0"&amp;MINUTE(D2620),2))&amp;" ")&amp;F2620)</f>
        <v/>
      </c>
      <c r="N2620" s="54">
        <f>IF(OR(A2620="",F2620=""),"",A2620&amp;"#"&amp;(COUNTIFS($A$5:$A$3004,A2620,$F$5:$F$3004,"?*",$O$5:$O$3004,"&lt;"&amp;O2620)+COUNTIFS($A$5:A2620,A2620,$F$5:F2620,"?*",$O$5:O2620,O2620)))</f>
        <v/>
      </c>
      <c r="O2620" s="54">
        <f>IF(A2620="","",IF(C2620="",0,C2620))</f>
        <v/>
      </c>
    </row>
    <row r="2621">
      <c r="A2621" s="58" t="n"/>
      <c r="B2621" s="49">
        <f>IF(A2621="","",CHOOSE(WEEKDAY(A2621,2),"Пн","Вт","Ср","Чт","Пт","Сб","Вс"))</f>
        <v/>
      </c>
      <c r="C2621" s="59" t="n"/>
      <c r="D2621" s="59" t="n"/>
      <c r="E2621" s="60">
        <f>IF(OR(C2621="",D2621=""),"",MOD(D2621-C2621,1)*24)</f>
        <v/>
      </c>
      <c r="F2621" s="50" t="n"/>
      <c r="G2621" s="51" t="n"/>
      <c r="H2621" s="51" t="n"/>
      <c r="I2621" s="51" t="n"/>
      <c r="J2621" s="51" t="n"/>
      <c r="K2621" s="51" t="n"/>
      <c r="L2621" s="54">
        <f>IF(OR(A2621="",C2621="",D2621=""),"",IF(COUNTIFS($A$5:$A$3004,A2621,$C$5:$C$3004,"&lt;"&amp;D2621,$D$5:$D$3004,"&gt;"&amp;C2621)&gt;1,"⚠️ пересечение",""))</f>
        <v/>
      </c>
      <c r="M2621" s="54">
        <f>IF(F2621="","",IF(J2621="✅ Сделано","✔ ",IF(J2621="❌ Пропущено","✖ ","⏰ "))&amp;IF(C2621="","",RIGHT("0"&amp;HOUR(C2621),2)&amp;":"&amp;RIGHT("0"&amp;MINUTE(C2621),2)&amp;IF(D2621="","","–"&amp;RIGHT("0"&amp;HOUR(D2621),2)&amp;":"&amp;RIGHT("0"&amp;MINUTE(D2621),2))&amp;" ")&amp;F2621)</f>
        <v/>
      </c>
      <c r="N2621" s="54">
        <f>IF(OR(A2621="",F2621=""),"",A2621&amp;"#"&amp;(COUNTIFS($A$5:$A$3004,A2621,$F$5:$F$3004,"?*",$O$5:$O$3004,"&lt;"&amp;O2621)+COUNTIFS($A$5:A2621,A2621,$F$5:F2621,"?*",$O$5:O2621,O2621)))</f>
        <v/>
      </c>
      <c r="O2621" s="54">
        <f>IF(A2621="","",IF(C2621="",0,C2621))</f>
        <v/>
      </c>
    </row>
    <row r="2622">
      <c r="A2622" s="58" t="n"/>
      <c r="B2622" s="49">
        <f>IF(A2622="","",CHOOSE(WEEKDAY(A2622,2),"Пн","Вт","Ср","Чт","Пт","Сб","Вс"))</f>
        <v/>
      </c>
      <c r="C2622" s="59" t="n"/>
      <c r="D2622" s="59" t="n"/>
      <c r="E2622" s="60">
        <f>IF(OR(C2622="",D2622=""),"",MOD(D2622-C2622,1)*24)</f>
        <v/>
      </c>
      <c r="F2622" s="50" t="n"/>
      <c r="G2622" s="51" t="n"/>
      <c r="H2622" s="51" t="n"/>
      <c r="I2622" s="51" t="n"/>
      <c r="J2622" s="51" t="n"/>
      <c r="K2622" s="51" t="n"/>
      <c r="L2622" s="54">
        <f>IF(OR(A2622="",C2622="",D2622=""),"",IF(COUNTIFS($A$5:$A$3004,A2622,$C$5:$C$3004,"&lt;"&amp;D2622,$D$5:$D$3004,"&gt;"&amp;C2622)&gt;1,"⚠️ пересечение",""))</f>
        <v/>
      </c>
      <c r="M2622" s="54">
        <f>IF(F2622="","",IF(J2622="✅ Сделано","✔ ",IF(J2622="❌ Пропущено","✖ ","⏰ "))&amp;IF(C2622="","",RIGHT("0"&amp;HOUR(C2622),2)&amp;":"&amp;RIGHT("0"&amp;MINUTE(C2622),2)&amp;IF(D2622="","","–"&amp;RIGHT("0"&amp;HOUR(D2622),2)&amp;":"&amp;RIGHT("0"&amp;MINUTE(D2622),2))&amp;" ")&amp;F2622)</f>
        <v/>
      </c>
      <c r="N2622" s="54">
        <f>IF(OR(A2622="",F2622=""),"",A2622&amp;"#"&amp;(COUNTIFS($A$5:$A$3004,A2622,$F$5:$F$3004,"?*",$O$5:$O$3004,"&lt;"&amp;O2622)+COUNTIFS($A$5:A2622,A2622,$F$5:F2622,"?*",$O$5:O2622,O2622)))</f>
        <v/>
      </c>
      <c r="O2622" s="54">
        <f>IF(A2622="","",IF(C2622="",0,C2622))</f>
        <v/>
      </c>
    </row>
    <row r="2623">
      <c r="A2623" s="58" t="n"/>
      <c r="B2623" s="49">
        <f>IF(A2623="","",CHOOSE(WEEKDAY(A2623,2),"Пн","Вт","Ср","Чт","Пт","Сб","Вс"))</f>
        <v/>
      </c>
      <c r="C2623" s="59" t="n"/>
      <c r="D2623" s="59" t="n"/>
      <c r="E2623" s="60">
        <f>IF(OR(C2623="",D2623=""),"",MOD(D2623-C2623,1)*24)</f>
        <v/>
      </c>
      <c r="F2623" s="50" t="n"/>
      <c r="G2623" s="51" t="n"/>
      <c r="H2623" s="51" t="n"/>
      <c r="I2623" s="51" t="n"/>
      <c r="J2623" s="51" t="n"/>
      <c r="K2623" s="51" t="n"/>
      <c r="L2623" s="54">
        <f>IF(OR(A2623="",C2623="",D2623=""),"",IF(COUNTIFS($A$5:$A$3004,A2623,$C$5:$C$3004,"&lt;"&amp;D2623,$D$5:$D$3004,"&gt;"&amp;C2623)&gt;1,"⚠️ пересечение",""))</f>
        <v/>
      </c>
      <c r="M2623" s="54">
        <f>IF(F2623="","",IF(J2623="✅ Сделано","✔ ",IF(J2623="❌ Пропущено","✖ ","⏰ "))&amp;IF(C2623="","",RIGHT("0"&amp;HOUR(C2623),2)&amp;":"&amp;RIGHT("0"&amp;MINUTE(C2623),2)&amp;IF(D2623="","","–"&amp;RIGHT("0"&amp;HOUR(D2623),2)&amp;":"&amp;RIGHT("0"&amp;MINUTE(D2623),2))&amp;" ")&amp;F2623)</f>
        <v/>
      </c>
      <c r="N2623" s="54">
        <f>IF(OR(A2623="",F2623=""),"",A2623&amp;"#"&amp;(COUNTIFS($A$5:$A$3004,A2623,$F$5:$F$3004,"?*",$O$5:$O$3004,"&lt;"&amp;O2623)+COUNTIFS($A$5:A2623,A2623,$F$5:F2623,"?*",$O$5:O2623,O2623)))</f>
        <v/>
      </c>
      <c r="O2623" s="54">
        <f>IF(A2623="","",IF(C2623="",0,C2623))</f>
        <v/>
      </c>
    </row>
    <row r="2624">
      <c r="A2624" s="58" t="n"/>
      <c r="B2624" s="49">
        <f>IF(A2624="","",CHOOSE(WEEKDAY(A2624,2),"Пн","Вт","Ср","Чт","Пт","Сб","Вс"))</f>
        <v/>
      </c>
      <c r="C2624" s="59" t="n"/>
      <c r="D2624" s="59" t="n"/>
      <c r="E2624" s="60">
        <f>IF(OR(C2624="",D2624=""),"",MOD(D2624-C2624,1)*24)</f>
        <v/>
      </c>
      <c r="F2624" s="50" t="n"/>
      <c r="G2624" s="51" t="n"/>
      <c r="H2624" s="51" t="n"/>
      <c r="I2624" s="51" t="n"/>
      <c r="J2624" s="51" t="n"/>
      <c r="K2624" s="51" t="n"/>
      <c r="L2624" s="54">
        <f>IF(OR(A2624="",C2624="",D2624=""),"",IF(COUNTIFS($A$5:$A$3004,A2624,$C$5:$C$3004,"&lt;"&amp;D2624,$D$5:$D$3004,"&gt;"&amp;C2624)&gt;1,"⚠️ пересечение",""))</f>
        <v/>
      </c>
      <c r="M2624" s="54">
        <f>IF(F2624="","",IF(J2624="✅ Сделано","✔ ",IF(J2624="❌ Пропущено","✖ ","⏰ "))&amp;IF(C2624="","",RIGHT("0"&amp;HOUR(C2624),2)&amp;":"&amp;RIGHT("0"&amp;MINUTE(C2624),2)&amp;IF(D2624="","","–"&amp;RIGHT("0"&amp;HOUR(D2624),2)&amp;":"&amp;RIGHT("0"&amp;MINUTE(D2624),2))&amp;" ")&amp;F2624)</f>
        <v/>
      </c>
      <c r="N2624" s="54">
        <f>IF(OR(A2624="",F2624=""),"",A2624&amp;"#"&amp;(COUNTIFS($A$5:$A$3004,A2624,$F$5:$F$3004,"?*",$O$5:$O$3004,"&lt;"&amp;O2624)+COUNTIFS($A$5:A2624,A2624,$F$5:F2624,"?*",$O$5:O2624,O2624)))</f>
        <v/>
      </c>
      <c r="O2624" s="54">
        <f>IF(A2624="","",IF(C2624="",0,C2624))</f>
        <v/>
      </c>
    </row>
    <row r="2625">
      <c r="A2625" s="58" t="n"/>
      <c r="B2625" s="49">
        <f>IF(A2625="","",CHOOSE(WEEKDAY(A2625,2),"Пн","Вт","Ср","Чт","Пт","Сб","Вс"))</f>
        <v/>
      </c>
      <c r="C2625" s="59" t="n"/>
      <c r="D2625" s="59" t="n"/>
      <c r="E2625" s="60">
        <f>IF(OR(C2625="",D2625=""),"",MOD(D2625-C2625,1)*24)</f>
        <v/>
      </c>
      <c r="F2625" s="50" t="n"/>
      <c r="G2625" s="51" t="n"/>
      <c r="H2625" s="51" t="n"/>
      <c r="I2625" s="51" t="n"/>
      <c r="J2625" s="51" t="n"/>
      <c r="K2625" s="51" t="n"/>
      <c r="L2625" s="54">
        <f>IF(OR(A2625="",C2625="",D2625=""),"",IF(COUNTIFS($A$5:$A$3004,A2625,$C$5:$C$3004,"&lt;"&amp;D2625,$D$5:$D$3004,"&gt;"&amp;C2625)&gt;1,"⚠️ пересечение",""))</f>
        <v/>
      </c>
      <c r="M2625" s="54">
        <f>IF(F2625="","",IF(J2625="✅ Сделано","✔ ",IF(J2625="❌ Пропущено","✖ ","⏰ "))&amp;IF(C2625="","",RIGHT("0"&amp;HOUR(C2625),2)&amp;":"&amp;RIGHT("0"&amp;MINUTE(C2625),2)&amp;IF(D2625="","","–"&amp;RIGHT("0"&amp;HOUR(D2625),2)&amp;":"&amp;RIGHT("0"&amp;MINUTE(D2625),2))&amp;" ")&amp;F2625)</f>
        <v/>
      </c>
      <c r="N2625" s="54">
        <f>IF(OR(A2625="",F2625=""),"",A2625&amp;"#"&amp;(COUNTIFS($A$5:$A$3004,A2625,$F$5:$F$3004,"?*",$O$5:$O$3004,"&lt;"&amp;O2625)+COUNTIFS($A$5:A2625,A2625,$F$5:F2625,"?*",$O$5:O2625,O2625)))</f>
        <v/>
      </c>
      <c r="O2625" s="54">
        <f>IF(A2625="","",IF(C2625="",0,C2625))</f>
        <v/>
      </c>
    </row>
    <row r="2626">
      <c r="A2626" s="58" t="n"/>
      <c r="B2626" s="49">
        <f>IF(A2626="","",CHOOSE(WEEKDAY(A2626,2),"Пн","Вт","Ср","Чт","Пт","Сб","Вс"))</f>
        <v/>
      </c>
      <c r="C2626" s="59" t="n"/>
      <c r="D2626" s="59" t="n"/>
      <c r="E2626" s="60">
        <f>IF(OR(C2626="",D2626=""),"",MOD(D2626-C2626,1)*24)</f>
        <v/>
      </c>
      <c r="F2626" s="50" t="n"/>
      <c r="G2626" s="51" t="n"/>
      <c r="H2626" s="51" t="n"/>
      <c r="I2626" s="51" t="n"/>
      <c r="J2626" s="51" t="n"/>
      <c r="K2626" s="51" t="n"/>
      <c r="L2626" s="54">
        <f>IF(OR(A2626="",C2626="",D2626=""),"",IF(COUNTIFS($A$5:$A$3004,A2626,$C$5:$C$3004,"&lt;"&amp;D2626,$D$5:$D$3004,"&gt;"&amp;C2626)&gt;1,"⚠️ пересечение",""))</f>
        <v/>
      </c>
      <c r="M2626" s="54">
        <f>IF(F2626="","",IF(J2626="✅ Сделано","✔ ",IF(J2626="❌ Пропущено","✖ ","⏰ "))&amp;IF(C2626="","",RIGHT("0"&amp;HOUR(C2626),2)&amp;":"&amp;RIGHT("0"&amp;MINUTE(C2626),2)&amp;IF(D2626="","","–"&amp;RIGHT("0"&amp;HOUR(D2626),2)&amp;":"&amp;RIGHT("0"&amp;MINUTE(D2626),2))&amp;" ")&amp;F2626)</f>
        <v/>
      </c>
      <c r="N2626" s="54">
        <f>IF(OR(A2626="",F2626=""),"",A2626&amp;"#"&amp;(COUNTIFS($A$5:$A$3004,A2626,$F$5:$F$3004,"?*",$O$5:$O$3004,"&lt;"&amp;O2626)+COUNTIFS($A$5:A2626,A2626,$F$5:F2626,"?*",$O$5:O2626,O2626)))</f>
        <v/>
      </c>
      <c r="O2626" s="54">
        <f>IF(A2626="","",IF(C2626="",0,C2626))</f>
        <v/>
      </c>
    </row>
    <row r="2627">
      <c r="A2627" s="58" t="n"/>
      <c r="B2627" s="49">
        <f>IF(A2627="","",CHOOSE(WEEKDAY(A2627,2),"Пн","Вт","Ср","Чт","Пт","Сб","Вс"))</f>
        <v/>
      </c>
      <c r="C2627" s="59" t="n"/>
      <c r="D2627" s="59" t="n"/>
      <c r="E2627" s="60">
        <f>IF(OR(C2627="",D2627=""),"",MOD(D2627-C2627,1)*24)</f>
        <v/>
      </c>
      <c r="F2627" s="50" t="n"/>
      <c r="G2627" s="51" t="n"/>
      <c r="H2627" s="51" t="n"/>
      <c r="I2627" s="51" t="n"/>
      <c r="J2627" s="51" t="n"/>
      <c r="K2627" s="51" t="n"/>
      <c r="L2627" s="54">
        <f>IF(OR(A2627="",C2627="",D2627=""),"",IF(COUNTIFS($A$5:$A$3004,A2627,$C$5:$C$3004,"&lt;"&amp;D2627,$D$5:$D$3004,"&gt;"&amp;C2627)&gt;1,"⚠️ пересечение",""))</f>
        <v/>
      </c>
      <c r="M2627" s="54">
        <f>IF(F2627="","",IF(J2627="✅ Сделано","✔ ",IF(J2627="❌ Пропущено","✖ ","⏰ "))&amp;IF(C2627="","",RIGHT("0"&amp;HOUR(C2627),2)&amp;":"&amp;RIGHT("0"&amp;MINUTE(C2627),2)&amp;IF(D2627="","","–"&amp;RIGHT("0"&amp;HOUR(D2627),2)&amp;":"&amp;RIGHT("0"&amp;MINUTE(D2627),2))&amp;" ")&amp;F2627)</f>
        <v/>
      </c>
      <c r="N2627" s="54">
        <f>IF(OR(A2627="",F2627=""),"",A2627&amp;"#"&amp;(COUNTIFS($A$5:$A$3004,A2627,$F$5:$F$3004,"?*",$O$5:$O$3004,"&lt;"&amp;O2627)+COUNTIFS($A$5:A2627,A2627,$F$5:F2627,"?*",$O$5:O2627,O2627)))</f>
        <v/>
      </c>
      <c r="O2627" s="54">
        <f>IF(A2627="","",IF(C2627="",0,C2627))</f>
        <v/>
      </c>
    </row>
    <row r="2628">
      <c r="A2628" s="58" t="n"/>
      <c r="B2628" s="49">
        <f>IF(A2628="","",CHOOSE(WEEKDAY(A2628,2),"Пн","Вт","Ср","Чт","Пт","Сб","Вс"))</f>
        <v/>
      </c>
      <c r="C2628" s="59" t="n"/>
      <c r="D2628" s="59" t="n"/>
      <c r="E2628" s="60">
        <f>IF(OR(C2628="",D2628=""),"",MOD(D2628-C2628,1)*24)</f>
        <v/>
      </c>
      <c r="F2628" s="50" t="n"/>
      <c r="G2628" s="51" t="n"/>
      <c r="H2628" s="51" t="n"/>
      <c r="I2628" s="51" t="n"/>
      <c r="J2628" s="51" t="n"/>
      <c r="K2628" s="51" t="n"/>
      <c r="L2628" s="54">
        <f>IF(OR(A2628="",C2628="",D2628=""),"",IF(COUNTIFS($A$5:$A$3004,A2628,$C$5:$C$3004,"&lt;"&amp;D2628,$D$5:$D$3004,"&gt;"&amp;C2628)&gt;1,"⚠️ пересечение",""))</f>
        <v/>
      </c>
      <c r="M2628" s="54">
        <f>IF(F2628="","",IF(J2628="✅ Сделано","✔ ",IF(J2628="❌ Пропущено","✖ ","⏰ "))&amp;IF(C2628="","",RIGHT("0"&amp;HOUR(C2628),2)&amp;":"&amp;RIGHT("0"&amp;MINUTE(C2628),2)&amp;IF(D2628="","","–"&amp;RIGHT("0"&amp;HOUR(D2628),2)&amp;":"&amp;RIGHT("0"&amp;MINUTE(D2628),2))&amp;" ")&amp;F2628)</f>
        <v/>
      </c>
      <c r="N2628" s="54">
        <f>IF(OR(A2628="",F2628=""),"",A2628&amp;"#"&amp;(COUNTIFS($A$5:$A$3004,A2628,$F$5:$F$3004,"?*",$O$5:$O$3004,"&lt;"&amp;O2628)+COUNTIFS($A$5:A2628,A2628,$F$5:F2628,"?*",$O$5:O2628,O2628)))</f>
        <v/>
      </c>
      <c r="O2628" s="54">
        <f>IF(A2628="","",IF(C2628="",0,C2628))</f>
        <v/>
      </c>
    </row>
    <row r="2629">
      <c r="A2629" s="58" t="n"/>
      <c r="B2629" s="49">
        <f>IF(A2629="","",CHOOSE(WEEKDAY(A2629,2),"Пн","Вт","Ср","Чт","Пт","Сб","Вс"))</f>
        <v/>
      </c>
      <c r="C2629" s="59" t="n"/>
      <c r="D2629" s="59" t="n"/>
      <c r="E2629" s="60">
        <f>IF(OR(C2629="",D2629=""),"",MOD(D2629-C2629,1)*24)</f>
        <v/>
      </c>
      <c r="F2629" s="50" t="n"/>
      <c r="G2629" s="51" t="n"/>
      <c r="H2629" s="51" t="n"/>
      <c r="I2629" s="51" t="n"/>
      <c r="J2629" s="51" t="n"/>
      <c r="K2629" s="51" t="n"/>
      <c r="L2629" s="54">
        <f>IF(OR(A2629="",C2629="",D2629=""),"",IF(COUNTIFS($A$5:$A$3004,A2629,$C$5:$C$3004,"&lt;"&amp;D2629,$D$5:$D$3004,"&gt;"&amp;C2629)&gt;1,"⚠️ пересечение",""))</f>
        <v/>
      </c>
      <c r="M2629" s="54">
        <f>IF(F2629="","",IF(J2629="✅ Сделано","✔ ",IF(J2629="❌ Пропущено","✖ ","⏰ "))&amp;IF(C2629="","",RIGHT("0"&amp;HOUR(C2629),2)&amp;":"&amp;RIGHT("0"&amp;MINUTE(C2629),2)&amp;IF(D2629="","","–"&amp;RIGHT("0"&amp;HOUR(D2629),2)&amp;":"&amp;RIGHT("0"&amp;MINUTE(D2629),2))&amp;" ")&amp;F2629)</f>
        <v/>
      </c>
      <c r="N2629" s="54">
        <f>IF(OR(A2629="",F2629=""),"",A2629&amp;"#"&amp;(COUNTIFS($A$5:$A$3004,A2629,$F$5:$F$3004,"?*",$O$5:$O$3004,"&lt;"&amp;O2629)+COUNTIFS($A$5:A2629,A2629,$F$5:F2629,"?*",$O$5:O2629,O2629)))</f>
        <v/>
      </c>
      <c r="O2629" s="54">
        <f>IF(A2629="","",IF(C2629="",0,C2629))</f>
        <v/>
      </c>
    </row>
    <row r="2630">
      <c r="A2630" s="58" t="n"/>
      <c r="B2630" s="49">
        <f>IF(A2630="","",CHOOSE(WEEKDAY(A2630,2),"Пн","Вт","Ср","Чт","Пт","Сб","Вс"))</f>
        <v/>
      </c>
      <c r="C2630" s="59" t="n"/>
      <c r="D2630" s="59" t="n"/>
      <c r="E2630" s="60">
        <f>IF(OR(C2630="",D2630=""),"",MOD(D2630-C2630,1)*24)</f>
        <v/>
      </c>
      <c r="F2630" s="50" t="n"/>
      <c r="G2630" s="51" t="n"/>
      <c r="H2630" s="51" t="n"/>
      <c r="I2630" s="51" t="n"/>
      <c r="J2630" s="51" t="n"/>
      <c r="K2630" s="51" t="n"/>
      <c r="L2630" s="54">
        <f>IF(OR(A2630="",C2630="",D2630=""),"",IF(COUNTIFS($A$5:$A$3004,A2630,$C$5:$C$3004,"&lt;"&amp;D2630,$D$5:$D$3004,"&gt;"&amp;C2630)&gt;1,"⚠️ пересечение",""))</f>
        <v/>
      </c>
      <c r="M2630" s="54">
        <f>IF(F2630="","",IF(J2630="✅ Сделано","✔ ",IF(J2630="❌ Пропущено","✖ ","⏰ "))&amp;IF(C2630="","",RIGHT("0"&amp;HOUR(C2630),2)&amp;":"&amp;RIGHT("0"&amp;MINUTE(C2630),2)&amp;IF(D2630="","","–"&amp;RIGHT("0"&amp;HOUR(D2630),2)&amp;":"&amp;RIGHT("0"&amp;MINUTE(D2630),2))&amp;" ")&amp;F2630)</f>
        <v/>
      </c>
      <c r="N2630" s="54">
        <f>IF(OR(A2630="",F2630=""),"",A2630&amp;"#"&amp;(COUNTIFS($A$5:$A$3004,A2630,$F$5:$F$3004,"?*",$O$5:$O$3004,"&lt;"&amp;O2630)+COUNTIFS($A$5:A2630,A2630,$F$5:F2630,"?*",$O$5:O2630,O2630)))</f>
        <v/>
      </c>
      <c r="O2630" s="54">
        <f>IF(A2630="","",IF(C2630="",0,C2630))</f>
        <v/>
      </c>
    </row>
    <row r="2631">
      <c r="A2631" s="58" t="n"/>
      <c r="B2631" s="49">
        <f>IF(A2631="","",CHOOSE(WEEKDAY(A2631,2),"Пн","Вт","Ср","Чт","Пт","Сб","Вс"))</f>
        <v/>
      </c>
      <c r="C2631" s="59" t="n"/>
      <c r="D2631" s="59" t="n"/>
      <c r="E2631" s="60">
        <f>IF(OR(C2631="",D2631=""),"",MOD(D2631-C2631,1)*24)</f>
        <v/>
      </c>
      <c r="F2631" s="50" t="n"/>
      <c r="G2631" s="51" t="n"/>
      <c r="H2631" s="51" t="n"/>
      <c r="I2631" s="51" t="n"/>
      <c r="J2631" s="51" t="n"/>
      <c r="K2631" s="51" t="n"/>
      <c r="L2631" s="54">
        <f>IF(OR(A2631="",C2631="",D2631=""),"",IF(COUNTIFS($A$5:$A$3004,A2631,$C$5:$C$3004,"&lt;"&amp;D2631,$D$5:$D$3004,"&gt;"&amp;C2631)&gt;1,"⚠️ пересечение",""))</f>
        <v/>
      </c>
      <c r="M2631" s="54">
        <f>IF(F2631="","",IF(J2631="✅ Сделано","✔ ",IF(J2631="❌ Пропущено","✖ ","⏰ "))&amp;IF(C2631="","",RIGHT("0"&amp;HOUR(C2631),2)&amp;":"&amp;RIGHT("0"&amp;MINUTE(C2631),2)&amp;IF(D2631="","","–"&amp;RIGHT("0"&amp;HOUR(D2631),2)&amp;":"&amp;RIGHT("0"&amp;MINUTE(D2631),2))&amp;" ")&amp;F2631)</f>
        <v/>
      </c>
      <c r="N2631" s="54">
        <f>IF(OR(A2631="",F2631=""),"",A2631&amp;"#"&amp;(COUNTIFS($A$5:$A$3004,A2631,$F$5:$F$3004,"?*",$O$5:$O$3004,"&lt;"&amp;O2631)+COUNTIFS($A$5:A2631,A2631,$F$5:F2631,"?*",$O$5:O2631,O2631)))</f>
        <v/>
      </c>
      <c r="O2631" s="54">
        <f>IF(A2631="","",IF(C2631="",0,C2631))</f>
        <v/>
      </c>
    </row>
    <row r="2632">
      <c r="A2632" s="58" t="n"/>
      <c r="B2632" s="49">
        <f>IF(A2632="","",CHOOSE(WEEKDAY(A2632,2),"Пн","Вт","Ср","Чт","Пт","Сб","Вс"))</f>
        <v/>
      </c>
      <c r="C2632" s="59" t="n"/>
      <c r="D2632" s="59" t="n"/>
      <c r="E2632" s="60">
        <f>IF(OR(C2632="",D2632=""),"",MOD(D2632-C2632,1)*24)</f>
        <v/>
      </c>
      <c r="F2632" s="50" t="n"/>
      <c r="G2632" s="51" t="n"/>
      <c r="H2632" s="51" t="n"/>
      <c r="I2632" s="51" t="n"/>
      <c r="J2632" s="51" t="n"/>
      <c r="K2632" s="51" t="n"/>
      <c r="L2632" s="54">
        <f>IF(OR(A2632="",C2632="",D2632=""),"",IF(COUNTIFS($A$5:$A$3004,A2632,$C$5:$C$3004,"&lt;"&amp;D2632,$D$5:$D$3004,"&gt;"&amp;C2632)&gt;1,"⚠️ пересечение",""))</f>
        <v/>
      </c>
      <c r="M2632" s="54">
        <f>IF(F2632="","",IF(J2632="✅ Сделано","✔ ",IF(J2632="❌ Пропущено","✖ ","⏰ "))&amp;IF(C2632="","",RIGHT("0"&amp;HOUR(C2632),2)&amp;":"&amp;RIGHT("0"&amp;MINUTE(C2632),2)&amp;IF(D2632="","","–"&amp;RIGHT("0"&amp;HOUR(D2632),2)&amp;":"&amp;RIGHT("0"&amp;MINUTE(D2632),2))&amp;" ")&amp;F2632)</f>
        <v/>
      </c>
      <c r="N2632" s="54">
        <f>IF(OR(A2632="",F2632=""),"",A2632&amp;"#"&amp;(COUNTIFS($A$5:$A$3004,A2632,$F$5:$F$3004,"?*",$O$5:$O$3004,"&lt;"&amp;O2632)+COUNTIFS($A$5:A2632,A2632,$F$5:F2632,"?*",$O$5:O2632,O2632)))</f>
        <v/>
      </c>
      <c r="O2632" s="54">
        <f>IF(A2632="","",IF(C2632="",0,C2632))</f>
        <v/>
      </c>
    </row>
    <row r="2633">
      <c r="A2633" s="58" t="n"/>
      <c r="B2633" s="49">
        <f>IF(A2633="","",CHOOSE(WEEKDAY(A2633,2),"Пн","Вт","Ср","Чт","Пт","Сб","Вс"))</f>
        <v/>
      </c>
      <c r="C2633" s="59" t="n"/>
      <c r="D2633" s="59" t="n"/>
      <c r="E2633" s="60">
        <f>IF(OR(C2633="",D2633=""),"",MOD(D2633-C2633,1)*24)</f>
        <v/>
      </c>
      <c r="F2633" s="50" t="n"/>
      <c r="G2633" s="51" t="n"/>
      <c r="H2633" s="51" t="n"/>
      <c r="I2633" s="51" t="n"/>
      <c r="J2633" s="51" t="n"/>
      <c r="K2633" s="51" t="n"/>
      <c r="L2633" s="54">
        <f>IF(OR(A2633="",C2633="",D2633=""),"",IF(COUNTIFS($A$5:$A$3004,A2633,$C$5:$C$3004,"&lt;"&amp;D2633,$D$5:$D$3004,"&gt;"&amp;C2633)&gt;1,"⚠️ пересечение",""))</f>
        <v/>
      </c>
      <c r="M2633" s="54">
        <f>IF(F2633="","",IF(J2633="✅ Сделано","✔ ",IF(J2633="❌ Пропущено","✖ ","⏰ "))&amp;IF(C2633="","",RIGHT("0"&amp;HOUR(C2633),2)&amp;":"&amp;RIGHT("0"&amp;MINUTE(C2633),2)&amp;IF(D2633="","","–"&amp;RIGHT("0"&amp;HOUR(D2633),2)&amp;":"&amp;RIGHT("0"&amp;MINUTE(D2633),2))&amp;" ")&amp;F2633)</f>
        <v/>
      </c>
      <c r="N2633" s="54">
        <f>IF(OR(A2633="",F2633=""),"",A2633&amp;"#"&amp;(COUNTIFS($A$5:$A$3004,A2633,$F$5:$F$3004,"?*",$O$5:$O$3004,"&lt;"&amp;O2633)+COUNTIFS($A$5:A2633,A2633,$F$5:F2633,"?*",$O$5:O2633,O2633)))</f>
        <v/>
      </c>
      <c r="O2633" s="54">
        <f>IF(A2633="","",IF(C2633="",0,C2633))</f>
        <v/>
      </c>
    </row>
    <row r="2634">
      <c r="A2634" s="58" t="n"/>
      <c r="B2634" s="49">
        <f>IF(A2634="","",CHOOSE(WEEKDAY(A2634,2),"Пн","Вт","Ср","Чт","Пт","Сб","Вс"))</f>
        <v/>
      </c>
      <c r="C2634" s="59" t="n"/>
      <c r="D2634" s="59" t="n"/>
      <c r="E2634" s="60">
        <f>IF(OR(C2634="",D2634=""),"",MOD(D2634-C2634,1)*24)</f>
        <v/>
      </c>
      <c r="F2634" s="50" t="n"/>
      <c r="G2634" s="51" t="n"/>
      <c r="H2634" s="51" t="n"/>
      <c r="I2634" s="51" t="n"/>
      <c r="J2634" s="51" t="n"/>
      <c r="K2634" s="51" t="n"/>
      <c r="L2634" s="54">
        <f>IF(OR(A2634="",C2634="",D2634=""),"",IF(COUNTIFS($A$5:$A$3004,A2634,$C$5:$C$3004,"&lt;"&amp;D2634,$D$5:$D$3004,"&gt;"&amp;C2634)&gt;1,"⚠️ пересечение",""))</f>
        <v/>
      </c>
      <c r="M2634" s="54">
        <f>IF(F2634="","",IF(J2634="✅ Сделано","✔ ",IF(J2634="❌ Пропущено","✖ ","⏰ "))&amp;IF(C2634="","",RIGHT("0"&amp;HOUR(C2634),2)&amp;":"&amp;RIGHT("0"&amp;MINUTE(C2634),2)&amp;IF(D2634="","","–"&amp;RIGHT("0"&amp;HOUR(D2634),2)&amp;":"&amp;RIGHT("0"&amp;MINUTE(D2634),2))&amp;" ")&amp;F2634)</f>
        <v/>
      </c>
      <c r="N2634" s="54">
        <f>IF(OR(A2634="",F2634=""),"",A2634&amp;"#"&amp;(COUNTIFS($A$5:$A$3004,A2634,$F$5:$F$3004,"?*",$O$5:$O$3004,"&lt;"&amp;O2634)+COUNTIFS($A$5:A2634,A2634,$F$5:F2634,"?*",$O$5:O2634,O2634)))</f>
        <v/>
      </c>
      <c r="O2634" s="54">
        <f>IF(A2634="","",IF(C2634="",0,C2634))</f>
        <v/>
      </c>
    </row>
    <row r="2635">
      <c r="A2635" s="58" t="n"/>
      <c r="B2635" s="49">
        <f>IF(A2635="","",CHOOSE(WEEKDAY(A2635,2),"Пн","Вт","Ср","Чт","Пт","Сб","Вс"))</f>
        <v/>
      </c>
      <c r="C2635" s="59" t="n"/>
      <c r="D2635" s="59" t="n"/>
      <c r="E2635" s="60">
        <f>IF(OR(C2635="",D2635=""),"",MOD(D2635-C2635,1)*24)</f>
        <v/>
      </c>
      <c r="F2635" s="50" t="n"/>
      <c r="G2635" s="51" t="n"/>
      <c r="H2635" s="51" t="n"/>
      <c r="I2635" s="51" t="n"/>
      <c r="J2635" s="51" t="n"/>
      <c r="K2635" s="51" t="n"/>
      <c r="L2635" s="54">
        <f>IF(OR(A2635="",C2635="",D2635=""),"",IF(COUNTIFS($A$5:$A$3004,A2635,$C$5:$C$3004,"&lt;"&amp;D2635,$D$5:$D$3004,"&gt;"&amp;C2635)&gt;1,"⚠️ пересечение",""))</f>
        <v/>
      </c>
      <c r="M2635" s="54">
        <f>IF(F2635="","",IF(J2635="✅ Сделано","✔ ",IF(J2635="❌ Пропущено","✖ ","⏰ "))&amp;IF(C2635="","",RIGHT("0"&amp;HOUR(C2635),2)&amp;":"&amp;RIGHT("0"&amp;MINUTE(C2635),2)&amp;IF(D2635="","","–"&amp;RIGHT("0"&amp;HOUR(D2635),2)&amp;":"&amp;RIGHT("0"&amp;MINUTE(D2635),2))&amp;" ")&amp;F2635)</f>
        <v/>
      </c>
      <c r="N2635" s="54">
        <f>IF(OR(A2635="",F2635=""),"",A2635&amp;"#"&amp;(COUNTIFS($A$5:$A$3004,A2635,$F$5:$F$3004,"?*",$O$5:$O$3004,"&lt;"&amp;O2635)+COUNTIFS($A$5:A2635,A2635,$F$5:F2635,"?*",$O$5:O2635,O2635)))</f>
        <v/>
      </c>
      <c r="O2635" s="54">
        <f>IF(A2635="","",IF(C2635="",0,C2635))</f>
        <v/>
      </c>
    </row>
    <row r="2636">
      <c r="A2636" s="58" t="n"/>
      <c r="B2636" s="49">
        <f>IF(A2636="","",CHOOSE(WEEKDAY(A2636,2),"Пн","Вт","Ср","Чт","Пт","Сб","Вс"))</f>
        <v/>
      </c>
      <c r="C2636" s="59" t="n"/>
      <c r="D2636" s="59" t="n"/>
      <c r="E2636" s="60">
        <f>IF(OR(C2636="",D2636=""),"",MOD(D2636-C2636,1)*24)</f>
        <v/>
      </c>
      <c r="F2636" s="50" t="n"/>
      <c r="G2636" s="51" t="n"/>
      <c r="H2636" s="51" t="n"/>
      <c r="I2636" s="51" t="n"/>
      <c r="J2636" s="51" t="n"/>
      <c r="K2636" s="51" t="n"/>
      <c r="L2636" s="54">
        <f>IF(OR(A2636="",C2636="",D2636=""),"",IF(COUNTIFS($A$5:$A$3004,A2636,$C$5:$C$3004,"&lt;"&amp;D2636,$D$5:$D$3004,"&gt;"&amp;C2636)&gt;1,"⚠️ пересечение",""))</f>
        <v/>
      </c>
      <c r="M2636" s="54">
        <f>IF(F2636="","",IF(J2636="✅ Сделано","✔ ",IF(J2636="❌ Пропущено","✖ ","⏰ "))&amp;IF(C2636="","",RIGHT("0"&amp;HOUR(C2636),2)&amp;":"&amp;RIGHT("0"&amp;MINUTE(C2636),2)&amp;IF(D2636="","","–"&amp;RIGHT("0"&amp;HOUR(D2636),2)&amp;":"&amp;RIGHT("0"&amp;MINUTE(D2636),2))&amp;" ")&amp;F2636)</f>
        <v/>
      </c>
      <c r="N2636" s="54">
        <f>IF(OR(A2636="",F2636=""),"",A2636&amp;"#"&amp;(COUNTIFS($A$5:$A$3004,A2636,$F$5:$F$3004,"?*",$O$5:$O$3004,"&lt;"&amp;O2636)+COUNTIFS($A$5:A2636,A2636,$F$5:F2636,"?*",$O$5:O2636,O2636)))</f>
        <v/>
      </c>
      <c r="O2636" s="54">
        <f>IF(A2636="","",IF(C2636="",0,C2636))</f>
        <v/>
      </c>
    </row>
    <row r="2637">
      <c r="A2637" s="58" t="n"/>
      <c r="B2637" s="49">
        <f>IF(A2637="","",CHOOSE(WEEKDAY(A2637,2),"Пн","Вт","Ср","Чт","Пт","Сб","Вс"))</f>
        <v/>
      </c>
      <c r="C2637" s="59" t="n"/>
      <c r="D2637" s="59" t="n"/>
      <c r="E2637" s="60">
        <f>IF(OR(C2637="",D2637=""),"",MOD(D2637-C2637,1)*24)</f>
        <v/>
      </c>
      <c r="F2637" s="50" t="n"/>
      <c r="G2637" s="51" t="n"/>
      <c r="H2637" s="51" t="n"/>
      <c r="I2637" s="51" t="n"/>
      <c r="J2637" s="51" t="n"/>
      <c r="K2637" s="51" t="n"/>
      <c r="L2637" s="54">
        <f>IF(OR(A2637="",C2637="",D2637=""),"",IF(COUNTIFS($A$5:$A$3004,A2637,$C$5:$C$3004,"&lt;"&amp;D2637,$D$5:$D$3004,"&gt;"&amp;C2637)&gt;1,"⚠️ пересечение",""))</f>
        <v/>
      </c>
      <c r="M2637" s="54">
        <f>IF(F2637="","",IF(J2637="✅ Сделано","✔ ",IF(J2637="❌ Пропущено","✖ ","⏰ "))&amp;IF(C2637="","",RIGHT("0"&amp;HOUR(C2637),2)&amp;":"&amp;RIGHT("0"&amp;MINUTE(C2637),2)&amp;IF(D2637="","","–"&amp;RIGHT("0"&amp;HOUR(D2637),2)&amp;":"&amp;RIGHT("0"&amp;MINUTE(D2637),2))&amp;" ")&amp;F2637)</f>
        <v/>
      </c>
      <c r="N2637" s="54">
        <f>IF(OR(A2637="",F2637=""),"",A2637&amp;"#"&amp;(COUNTIFS($A$5:$A$3004,A2637,$F$5:$F$3004,"?*",$O$5:$O$3004,"&lt;"&amp;O2637)+COUNTIFS($A$5:A2637,A2637,$F$5:F2637,"?*",$O$5:O2637,O2637)))</f>
        <v/>
      </c>
      <c r="O2637" s="54">
        <f>IF(A2637="","",IF(C2637="",0,C2637))</f>
        <v/>
      </c>
    </row>
    <row r="2638">
      <c r="A2638" s="58" t="n"/>
      <c r="B2638" s="49">
        <f>IF(A2638="","",CHOOSE(WEEKDAY(A2638,2),"Пн","Вт","Ср","Чт","Пт","Сб","Вс"))</f>
        <v/>
      </c>
      <c r="C2638" s="59" t="n"/>
      <c r="D2638" s="59" t="n"/>
      <c r="E2638" s="60">
        <f>IF(OR(C2638="",D2638=""),"",MOD(D2638-C2638,1)*24)</f>
        <v/>
      </c>
      <c r="F2638" s="50" t="n"/>
      <c r="G2638" s="51" t="n"/>
      <c r="H2638" s="51" t="n"/>
      <c r="I2638" s="51" t="n"/>
      <c r="J2638" s="51" t="n"/>
      <c r="K2638" s="51" t="n"/>
      <c r="L2638" s="54">
        <f>IF(OR(A2638="",C2638="",D2638=""),"",IF(COUNTIFS($A$5:$A$3004,A2638,$C$5:$C$3004,"&lt;"&amp;D2638,$D$5:$D$3004,"&gt;"&amp;C2638)&gt;1,"⚠️ пересечение",""))</f>
        <v/>
      </c>
      <c r="M2638" s="54">
        <f>IF(F2638="","",IF(J2638="✅ Сделано","✔ ",IF(J2638="❌ Пропущено","✖ ","⏰ "))&amp;IF(C2638="","",RIGHT("0"&amp;HOUR(C2638),2)&amp;":"&amp;RIGHT("0"&amp;MINUTE(C2638),2)&amp;IF(D2638="","","–"&amp;RIGHT("0"&amp;HOUR(D2638),2)&amp;":"&amp;RIGHT("0"&amp;MINUTE(D2638),2))&amp;" ")&amp;F2638)</f>
        <v/>
      </c>
      <c r="N2638" s="54">
        <f>IF(OR(A2638="",F2638=""),"",A2638&amp;"#"&amp;(COUNTIFS($A$5:$A$3004,A2638,$F$5:$F$3004,"?*",$O$5:$O$3004,"&lt;"&amp;O2638)+COUNTIFS($A$5:A2638,A2638,$F$5:F2638,"?*",$O$5:O2638,O2638)))</f>
        <v/>
      </c>
      <c r="O2638" s="54">
        <f>IF(A2638="","",IF(C2638="",0,C2638))</f>
        <v/>
      </c>
    </row>
    <row r="2639">
      <c r="A2639" s="58" t="n"/>
      <c r="B2639" s="49">
        <f>IF(A2639="","",CHOOSE(WEEKDAY(A2639,2),"Пн","Вт","Ср","Чт","Пт","Сб","Вс"))</f>
        <v/>
      </c>
      <c r="C2639" s="59" t="n"/>
      <c r="D2639" s="59" t="n"/>
      <c r="E2639" s="60">
        <f>IF(OR(C2639="",D2639=""),"",MOD(D2639-C2639,1)*24)</f>
        <v/>
      </c>
      <c r="F2639" s="50" t="n"/>
      <c r="G2639" s="51" t="n"/>
      <c r="H2639" s="51" t="n"/>
      <c r="I2639" s="51" t="n"/>
      <c r="J2639" s="51" t="n"/>
      <c r="K2639" s="51" t="n"/>
      <c r="L2639" s="54">
        <f>IF(OR(A2639="",C2639="",D2639=""),"",IF(COUNTIFS($A$5:$A$3004,A2639,$C$5:$C$3004,"&lt;"&amp;D2639,$D$5:$D$3004,"&gt;"&amp;C2639)&gt;1,"⚠️ пересечение",""))</f>
        <v/>
      </c>
      <c r="M2639" s="54">
        <f>IF(F2639="","",IF(J2639="✅ Сделано","✔ ",IF(J2639="❌ Пропущено","✖ ","⏰ "))&amp;IF(C2639="","",RIGHT("0"&amp;HOUR(C2639),2)&amp;":"&amp;RIGHT("0"&amp;MINUTE(C2639),2)&amp;IF(D2639="","","–"&amp;RIGHT("0"&amp;HOUR(D2639),2)&amp;":"&amp;RIGHT("0"&amp;MINUTE(D2639),2))&amp;" ")&amp;F2639)</f>
        <v/>
      </c>
      <c r="N2639" s="54">
        <f>IF(OR(A2639="",F2639=""),"",A2639&amp;"#"&amp;(COUNTIFS($A$5:$A$3004,A2639,$F$5:$F$3004,"?*",$O$5:$O$3004,"&lt;"&amp;O2639)+COUNTIFS($A$5:A2639,A2639,$F$5:F2639,"?*",$O$5:O2639,O2639)))</f>
        <v/>
      </c>
      <c r="O2639" s="54">
        <f>IF(A2639="","",IF(C2639="",0,C2639))</f>
        <v/>
      </c>
    </row>
    <row r="2640">
      <c r="A2640" s="58" t="n"/>
      <c r="B2640" s="49">
        <f>IF(A2640="","",CHOOSE(WEEKDAY(A2640,2),"Пн","Вт","Ср","Чт","Пт","Сб","Вс"))</f>
        <v/>
      </c>
      <c r="C2640" s="59" t="n"/>
      <c r="D2640" s="59" t="n"/>
      <c r="E2640" s="60">
        <f>IF(OR(C2640="",D2640=""),"",MOD(D2640-C2640,1)*24)</f>
        <v/>
      </c>
      <c r="F2640" s="50" t="n"/>
      <c r="G2640" s="51" t="n"/>
      <c r="H2640" s="51" t="n"/>
      <c r="I2640" s="51" t="n"/>
      <c r="J2640" s="51" t="n"/>
      <c r="K2640" s="51" t="n"/>
      <c r="L2640" s="54">
        <f>IF(OR(A2640="",C2640="",D2640=""),"",IF(COUNTIFS($A$5:$A$3004,A2640,$C$5:$C$3004,"&lt;"&amp;D2640,$D$5:$D$3004,"&gt;"&amp;C2640)&gt;1,"⚠️ пересечение",""))</f>
        <v/>
      </c>
      <c r="M2640" s="54">
        <f>IF(F2640="","",IF(J2640="✅ Сделано","✔ ",IF(J2640="❌ Пропущено","✖ ","⏰ "))&amp;IF(C2640="","",RIGHT("0"&amp;HOUR(C2640),2)&amp;":"&amp;RIGHT("0"&amp;MINUTE(C2640),2)&amp;IF(D2640="","","–"&amp;RIGHT("0"&amp;HOUR(D2640),2)&amp;":"&amp;RIGHT("0"&amp;MINUTE(D2640),2))&amp;" ")&amp;F2640)</f>
        <v/>
      </c>
      <c r="N2640" s="54">
        <f>IF(OR(A2640="",F2640=""),"",A2640&amp;"#"&amp;(COUNTIFS($A$5:$A$3004,A2640,$F$5:$F$3004,"?*",$O$5:$O$3004,"&lt;"&amp;O2640)+COUNTIFS($A$5:A2640,A2640,$F$5:F2640,"?*",$O$5:O2640,O2640)))</f>
        <v/>
      </c>
      <c r="O2640" s="54">
        <f>IF(A2640="","",IF(C2640="",0,C2640))</f>
        <v/>
      </c>
    </row>
    <row r="2641">
      <c r="A2641" s="58" t="n"/>
      <c r="B2641" s="49">
        <f>IF(A2641="","",CHOOSE(WEEKDAY(A2641,2),"Пн","Вт","Ср","Чт","Пт","Сб","Вс"))</f>
        <v/>
      </c>
      <c r="C2641" s="59" t="n"/>
      <c r="D2641" s="59" t="n"/>
      <c r="E2641" s="60">
        <f>IF(OR(C2641="",D2641=""),"",MOD(D2641-C2641,1)*24)</f>
        <v/>
      </c>
      <c r="F2641" s="50" t="n"/>
      <c r="G2641" s="51" t="n"/>
      <c r="H2641" s="51" t="n"/>
      <c r="I2641" s="51" t="n"/>
      <c r="J2641" s="51" t="n"/>
      <c r="K2641" s="51" t="n"/>
      <c r="L2641" s="54">
        <f>IF(OR(A2641="",C2641="",D2641=""),"",IF(COUNTIFS($A$5:$A$3004,A2641,$C$5:$C$3004,"&lt;"&amp;D2641,$D$5:$D$3004,"&gt;"&amp;C2641)&gt;1,"⚠️ пересечение",""))</f>
        <v/>
      </c>
      <c r="M2641" s="54">
        <f>IF(F2641="","",IF(J2641="✅ Сделано","✔ ",IF(J2641="❌ Пропущено","✖ ","⏰ "))&amp;IF(C2641="","",RIGHT("0"&amp;HOUR(C2641),2)&amp;":"&amp;RIGHT("0"&amp;MINUTE(C2641),2)&amp;IF(D2641="","","–"&amp;RIGHT("0"&amp;HOUR(D2641),2)&amp;":"&amp;RIGHT("0"&amp;MINUTE(D2641),2))&amp;" ")&amp;F2641)</f>
        <v/>
      </c>
      <c r="N2641" s="54">
        <f>IF(OR(A2641="",F2641=""),"",A2641&amp;"#"&amp;(COUNTIFS($A$5:$A$3004,A2641,$F$5:$F$3004,"?*",$O$5:$O$3004,"&lt;"&amp;O2641)+COUNTIFS($A$5:A2641,A2641,$F$5:F2641,"?*",$O$5:O2641,O2641)))</f>
        <v/>
      </c>
      <c r="O2641" s="54">
        <f>IF(A2641="","",IF(C2641="",0,C2641))</f>
        <v/>
      </c>
    </row>
    <row r="2642">
      <c r="A2642" s="58" t="n"/>
      <c r="B2642" s="49">
        <f>IF(A2642="","",CHOOSE(WEEKDAY(A2642,2),"Пн","Вт","Ср","Чт","Пт","Сб","Вс"))</f>
        <v/>
      </c>
      <c r="C2642" s="59" t="n"/>
      <c r="D2642" s="59" t="n"/>
      <c r="E2642" s="60">
        <f>IF(OR(C2642="",D2642=""),"",MOD(D2642-C2642,1)*24)</f>
        <v/>
      </c>
      <c r="F2642" s="50" t="n"/>
      <c r="G2642" s="51" t="n"/>
      <c r="H2642" s="51" t="n"/>
      <c r="I2642" s="51" t="n"/>
      <c r="J2642" s="51" t="n"/>
      <c r="K2642" s="51" t="n"/>
      <c r="L2642" s="54">
        <f>IF(OR(A2642="",C2642="",D2642=""),"",IF(COUNTIFS($A$5:$A$3004,A2642,$C$5:$C$3004,"&lt;"&amp;D2642,$D$5:$D$3004,"&gt;"&amp;C2642)&gt;1,"⚠️ пересечение",""))</f>
        <v/>
      </c>
      <c r="M2642" s="54">
        <f>IF(F2642="","",IF(J2642="✅ Сделано","✔ ",IF(J2642="❌ Пропущено","✖ ","⏰ "))&amp;IF(C2642="","",RIGHT("0"&amp;HOUR(C2642),2)&amp;":"&amp;RIGHT("0"&amp;MINUTE(C2642),2)&amp;IF(D2642="","","–"&amp;RIGHT("0"&amp;HOUR(D2642),2)&amp;":"&amp;RIGHT("0"&amp;MINUTE(D2642),2))&amp;" ")&amp;F2642)</f>
        <v/>
      </c>
      <c r="N2642" s="54">
        <f>IF(OR(A2642="",F2642=""),"",A2642&amp;"#"&amp;(COUNTIFS($A$5:$A$3004,A2642,$F$5:$F$3004,"?*",$O$5:$O$3004,"&lt;"&amp;O2642)+COUNTIFS($A$5:A2642,A2642,$F$5:F2642,"?*",$O$5:O2642,O2642)))</f>
        <v/>
      </c>
      <c r="O2642" s="54">
        <f>IF(A2642="","",IF(C2642="",0,C2642))</f>
        <v/>
      </c>
    </row>
    <row r="2643">
      <c r="A2643" s="58" t="n"/>
      <c r="B2643" s="49">
        <f>IF(A2643="","",CHOOSE(WEEKDAY(A2643,2),"Пн","Вт","Ср","Чт","Пт","Сб","Вс"))</f>
        <v/>
      </c>
      <c r="C2643" s="59" t="n"/>
      <c r="D2643" s="59" t="n"/>
      <c r="E2643" s="60">
        <f>IF(OR(C2643="",D2643=""),"",MOD(D2643-C2643,1)*24)</f>
        <v/>
      </c>
      <c r="F2643" s="50" t="n"/>
      <c r="G2643" s="51" t="n"/>
      <c r="H2643" s="51" t="n"/>
      <c r="I2643" s="51" t="n"/>
      <c r="J2643" s="51" t="n"/>
      <c r="K2643" s="51" t="n"/>
      <c r="L2643" s="54">
        <f>IF(OR(A2643="",C2643="",D2643=""),"",IF(COUNTIFS($A$5:$A$3004,A2643,$C$5:$C$3004,"&lt;"&amp;D2643,$D$5:$D$3004,"&gt;"&amp;C2643)&gt;1,"⚠️ пересечение",""))</f>
        <v/>
      </c>
      <c r="M2643" s="54">
        <f>IF(F2643="","",IF(J2643="✅ Сделано","✔ ",IF(J2643="❌ Пропущено","✖ ","⏰ "))&amp;IF(C2643="","",RIGHT("0"&amp;HOUR(C2643),2)&amp;":"&amp;RIGHT("0"&amp;MINUTE(C2643),2)&amp;IF(D2643="","","–"&amp;RIGHT("0"&amp;HOUR(D2643),2)&amp;":"&amp;RIGHT("0"&amp;MINUTE(D2643),2))&amp;" ")&amp;F2643)</f>
        <v/>
      </c>
      <c r="N2643" s="54">
        <f>IF(OR(A2643="",F2643=""),"",A2643&amp;"#"&amp;(COUNTIFS($A$5:$A$3004,A2643,$F$5:$F$3004,"?*",$O$5:$O$3004,"&lt;"&amp;O2643)+COUNTIFS($A$5:A2643,A2643,$F$5:F2643,"?*",$O$5:O2643,O2643)))</f>
        <v/>
      </c>
      <c r="O2643" s="54">
        <f>IF(A2643="","",IF(C2643="",0,C2643))</f>
        <v/>
      </c>
    </row>
    <row r="2644">
      <c r="A2644" s="58" t="n"/>
      <c r="B2644" s="49">
        <f>IF(A2644="","",CHOOSE(WEEKDAY(A2644,2),"Пн","Вт","Ср","Чт","Пт","Сб","Вс"))</f>
        <v/>
      </c>
      <c r="C2644" s="59" t="n"/>
      <c r="D2644" s="59" t="n"/>
      <c r="E2644" s="60">
        <f>IF(OR(C2644="",D2644=""),"",MOD(D2644-C2644,1)*24)</f>
        <v/>
      </c>
      <c r="F2644" s="50" t="n"/>
      <c r="G2644" s="51" t="n"/>
      <c r="H2644" s="51" t="n"/>
      <c r="I2644" s="51" t="n"/>
      <c r="J2644" s="51" t="n"/>
      <c r="K2644" s="51" t="n"/>
      <c r="L2644" s="54">
        <f>IF(OR(A2644="",C2644="",D2644=""),"",IF(COUNTIFS($A$5:$A$3004,A2644,$C$5:$C$3004,"&lt;"&amp;D2644,$D$5:$D$3004,"&gt;"&amp;C2644)&gt;1,"⚠️ пересечение",""))</f>
        <v/>
      </c>
      <c r="M2644" s="54">
        <f>IF(F2644="","",IF(J2644="✅ Сделано","✔ ",IF(J2644="❌ Пропущено","✖ ","⏰ "))&amp;IF(C2644="","",RIGHT("0"&amp;HOUR(C2644),2)&amp;":"&amp;RIGHT("0"&amp;MINUTE(C2644),2)&amp;IF(D2644="","","–"&amp;RIGHT("0"&amp;HOUR(D2644),2)&amp;":"&amp;RIGHT("0"&amp;MINUTE(D2644),2))&amp;" ")&amp;F2644)</f>
        <v/>
      </c>
      <c r="N2644" s="54">
        <f>IF(OR(A2644="",F2644=""),"",A2644&amp;"#"&amp;(COUNTIFS($A$5:$A$3004,A2644,$F$5:$F$3004,"?*",$O$5:$O$3004,"&lt;"&amp;O2644)+COUNTIFS($A$5:A2644,A2644,$F$5:F2644,"?*",$O$5:O2644,O2644)))</f>
        <v/>
      </c>
      <c r="O2644" s="54">
        <f>IF(A2644="","",IF(C2644="",0,C2644))</f>
        <v/>
      </c>
    </row>
    <row r="2645">
      <c r="A2645" s="58" t="n"/>
      <c r="B2645" s="49">
        <f>IF(A2645="","",CHOOSE(WEEKDAY(A2645,2),"Пн","Вт","Ср","Чт","Пт","Сб","Вс"))</f>
        <v/>
      </c>
      <c r="C2645" s="59" t="n"/>
      <c r="D2645" s="59" t="n"/>
      <c r="E2645" s="60">
        <f>IF(OR(C2645="",D2645=""),"",MOD(D2645-C2645,1)*24)</f>
        <v/>
      </c>
      <c r="F2645" s="50" t="n"/>
      <c r="G2645" s="51" t="n"/>
      <c r="H2645" s="51" t="n"/>
      <c r="I2645" s="51" t="n"/>
      <c r="J2645" s="51" t="n"/>
      <c r="K2645" s="51" t="n"/>
      <c r="L2645" s="54">
        <f>IF(OR(A2645="",C2645="",D2645=""),"",IF(COUNTIFS($A$5:$A$3004,A2645,$C$5:$C$3004,"&lt;"&amp;D2645,$D$5:$D$3004,"&gt;"&amp;C2645)&gt;1,"⚠️ пересечение",""))</f>
        <v/>
      </c>
      <c r="M2645" s="54">
        <f>IF(F2645="","",IF(J2645="✅ Сделано","✔ ",IF(J2645="❌ Пропущено","✖ ","⏰ "))&amp;IF(C2645="","",RIGHT("0"&amp;HOUR(C2645),2)&amp;":"&amp;RIGHT("0"&amp;MINUTE(C2645),2)&amp;IF(D2645="","","–"&amp;RIGHT("0"&amp;HOUR(D2645),2)&amp;":"&amp;RIGHT("0"&amp;MINUTE(D2645),2))&amp;" ")&amp;F2645)</f>
        <v/>
      </c>
      <c r="N2645" s="54">
        <f>IF(OR(A2645="",F2645=""),"",A2645&amp;"#"&amp;(COUNTIFS($A$5:$A$3004,A2645,$F$5:$F$3004,"?*",$O$5:$O$3004,"&lt;"&amp;O2645)+COUNTIFS($A$5:A2645,A2645,$F$5:F2645,"?*",$O$5:O2645,O2645)))</f>
        <v/>
      </c>
      <c r="O2645" s="54">
        <f>IF(A2645="","",IF(C2645="",0,C2645))</f>
        <v/>
      </c>
    </row>
    <row r="2646">
      <c r="A2646" s="58" t="n"/>
      <c r="B2646" s="49">
        <f>IF(A2646="","",CHOOSE(WEEKDAY(A2646,2),"Пн","Вт","Ср","Чт","Пт","Сб","Вс"))</f>
        <v/>
      </c>
      <c r="C2646" s="59" t="n"/>
      <c r="D2646" s="59" t="n"/>
      <c r="E2646" s="60">
        <f>IF(OR(C2646="",D2646=""),"",MOD(D2646-C2646,1)*24)</f>
        <v/>
      </c>
      <c r="F2646" s="50" t="n"/>
      <c r="G2646" s="51" t="n"/>
      <c r="H2646" s="51" t="n"/>
      <c r="I2646" s="51" t="n"/>
      <c r="J2646" s="51" t="n"/>
      <c r="K2646" s="51" t="n"/>
      <c r="L2646" s="54">
        <f>IF(OR(A2646="",C2646="",D2646=""),"",IF(COUNTIFS($A$5:$A$3004,A2646,$C$5:$C$3004,"&lt;"&amp;D2646,$D$5:$D$3004,"&gt;"&amp;C2646)&gt;1,"⚠️ пересечение",""))</f>
        <v/>
      </c>
      <c r="M2646" s="54">
        <f>IF(F2646="","",IF(J2646="✅ Сделано","✔ ",IF(J2646="❌ Пропущено","✖ ","⏰ "))&amp;IF(C2646="","",RIGHT("0"&amp;HOUR(C2646),2)&amp;":"&amp;RIGHT("0"&amp;MINUTE(C2646),2)&amp;IF(D2646="","","–"&amp;RIGHT("0"&amp;HOUR(D2646),2)&amp;":"&amp;RIGHT("0"&amp;MINUTE(D2646),2))&amp;" ")&amp;F2646)</f>
        <v/>
      </c>
      <c r="N2646" s="54">
        <f>IF(OR(A2646="",F2646=""),"",A2646&amp;"#"&amp;(COUNTIFS($A$5:$A$3004,A2646,$F$5:$F$3004,"?*",$O$5:$O$3004,"&lt;"&amp;O2646)+COUNTIFS($A$5:A2646,A2646,$F$5:F2646,"?*",$O$5:O2646,O2646)))</f>
        <v/>
      </c>
      <c r="O2646" s="54">
        <f>IF(A2646="","",IF(C2646="",0,C2646))</f>
        <v/>
      </c>
    </row>
    <row r="2647">
      <c r="A2647" s="58" t="n"/>
      <c r="B2647" s="49">
        <f>IF(A2647="","",CHOOSE(WEEKDAY(A2647,2),"Пн","Вт","Ср","Чт","Пт","Сб","Вс"))</f>
        <v/>
      </c>
      <c r="C2647" s="59" t="n"/>
      <c r="D2647" s="59" t="n"/>
      <c r="E2647" s="60">
        <f>IF(OR(C2647="",D2647=""),"",MOD(D2647-C2647,1)*24)</f>
        <v/>
      </c>
      <c r="F2647" s="50" t="n"/>
      <c r="G2647" s="51" t="n"/>
      <c r="H2647" s="51" t="n"/>
      <c r="I2647" s="51" t="n"/>
      <c r="J2647" s="51" t="n"/>
      <c r="K2647" s="51" t="n"/>
      <c r="L2647" s="54">
        <f>IF(OR(A2647="",C2647="",D2647=""),"",IF(COUNTIFS($A$5:$A$3004,A2647,$C$5:$C$3004,"&lt;"&amp;D2647,$D$5:$D$3004,"&gt;"&amp;C2647)&gt;1,"⚠️ пересечение",""))</f>
        <v/>
      </c>
      <c r="M2647" s="54">
        <f>IF(F2647="","",IF(J2647="✅ Сделано","✔ ",IF(J2647="❌ Пропущено","✖ ","⏰ "))&amp;IF(C2647="","",RIGHT("0"&amp;HOUR(C2647),2)&amp;":"&amp;RIGHT("0"&amp;MINUTE(C2647),2)&amp;IF(D2647="","","–"&amp;RIGHT("0"&amp;HOUR(D2647),2)&amp;":"&amp;RIGHT("0"&amp;MINUTE(D2647),2))&amp;" ")&amp;F2647)</f>
        <v/>
      </c>
      <c r="N2647" s="54">
        <f>IF(OR(A2647="",F2647=""),"",A2647&amp;"#"&amp;(COUNTIFS($A$5:$A$3004,A2647,$F$5:$F$3004,"?*",$O$5:$O$3004,"&lt;"&amp;O2647)+COUNTIFS($A$5:A2647,A2647,$F$5:F2647,"?*",$O$5:O2647,O2647)))</f>
        <v/>
      </c>
      <c r="O2647" s="54">
        <f>IF(A2647="","",IF(C2647="",0,C2647))</f>
        <v/>
      </c>
    </row>
    <row r="2648">
      <c r="A2648" s="58" t="n"/>
      <c r="B2648" s="49">
        <f>IF(A2648="","",CHOOSE(WEEKDAY(A2648,2),"Пн","Вт","Ср","Чт","Пт","Сб","Вс"))</f>
        <v/>
      </c>
      <c r="C2648" s="59" t="n"/>
      <c r="D2648" s="59" t="n"/>
      <c r="E2648" s="60">
        <f>IF(OR(C2648="",D2648=""),"",MOD(D2648-C2648,1)*24)</f>
        <v/>
      </c>
      <c r="F2648" s="50" t="n"/>
      <c r="G2648" s="51" t="n"/>
      <c r="H2648" s="51" t="n"/>
      <c r="I2648" s="51" t="n"/>
      <c r="J2648" s="51" t="n"/>
      <c r="K2648" s="51" t="n"/>
      <c r="L2648" s="54">
        <f>IF(OR(A2648="",C2648="",D2648=""),"",IF(COUNTIFS($A$5:$A$3004,A2648,$C$5:$C$3004,"&lt;"&amp;D2648,$D$5:$D$3004,"&gt;"&amp;C2648)&gt;1,"⚠️ пересечение",""))</f>
        <v/>
      </c>
      <c r="M2648" s="54">
        <f>IF(F2648="","",IF(J2648="✅ Сделано","✔ ",IF(J2648="❌ Пропущено","✖ ","⏰ "))&amp;IF(C2648="","",RIGHT("0"&amp;HOUR(C2648),2)&amp;":"&amp;RIGHT("0"&amp;MINUTE(C2648),2)&amp;IF(D2648="","","–"&amp;RIGHT("0"&amp;HOUR(D2648),2)&amp;":"&amp;RIGHT("0"&amp;MINUTE(D2648),2))&amp;" ")&amp;F2648)</f>
        <v/>
      </c>
      <c r="N2648" s="54">
        <f>IF(OR(A2648="",F2648=""),"",A2648&amp;"#"&amp;(COUNTIFS($A$5:$A$3004,A2648,$F$5:$F$3004,"?*",$O$5:$O$3004,"&lt;"&amp;O2648)+COUNTIFS($A$5:A2648,A2648,$F$5:F2648,"?*",$O$5:O2648,O2648)))</f>
        <v/>
      </c>
      <c r="O2648" s="54">
        <f>IF(A2648="","",IF(C2648="",0,C2648))</f>
        <v/>
      </c>
    </row>
    <row r="2649">
      <c r="A2649" s="58" t="n"/>
      <c r="B2649" s="49">
        <f>IF(A2649="","",CHOOSE(WEEKDAY(A2649,2),"Пн","Вт","Ср","Чт","Пт","Сб","Вс"))</f>
        <v/>
      </c>
      <c r="C2649" s="59" t="n"/>
      <c r="D2649" s="59" t="n"/>
      <c r="E2649" s="60">
        <f>IF(OR(C2649="",D2649=""),"",MOD(D2649-C2649,1)*24)</f>
        <v/>
      </c>
      <c r="F2649" s="50" t="n"/>
      <c r="G2649" s="51" t="n"/>
      <c r="H2649" s="51" t="n"/>
      <c r="I2649" s="51" t="n"/>
      <c r="J2649" s="51" t="n"/>
      <c r="K2649" s="51" t="n"/>
      <c r="L2649" s="54">
        <f>IF(OR(A2649="",C2649="",D2649=""),"",IF(COUNTIFS($A$5:$A$3004,A2649,$C$5:$C$3004,"&lt;"&amp;D2649,$D$5:$D$3004,"&gt;"&amp;C2649)&gt;1,"⚠️ пересечение",""))</f>
        <v/>
      </c>
      <c r="M2649" s="54">
        <f>IF(F2649="","",IF(J2649="✅ Сделано","✔ ",IF(J2649="❌ Пропущено","✖ ","⏰ "))&amp;IF(C2649="","",RIGHT("0"&amp;HOUR(C2649),2)&amp;":"&amp;RIGHT("0"&amp;MINUTE(C2649),2)&amp;IF(D2649="","","–"&amp;RIGHT("0"&amp;HOUR(D2649),2)&amp;":"&amp;RIGHT("0"&amp;MINUTE(D2649),2))&amp;" ")&amp;F2649)</f>
        <v/>
      </c>
      <c r="N2649" s="54">
        <f>IF(OR(A2649="",F2649=""),"",A2649&amp;"#"&amp;(COUNTIFS($A$5:$A$3004,A2649,$F$5:$F$3004,"?*",$O$5:$O$3004,"&lt;"&amp;O2649)+COUNTIFS($A$5:A2649,A2649,$F$5:F2649,"?*",$O$5:O2649,O2649)))</f>
        <v/>
      </c>
      <c r="O2649" s="54">
        <f>IF(A2649="","",IF(C2649="",0,C2649))</f>
        <v/>
      </c>
    </row>
    <row r="2650">
      <c r="A2650" s="58" t="n"/>
      <c r="B2650" s="49">
        <f>IF(A2650="","",CHOOSE(WEEKDAY(A2650,2),"Пн","Вт","Ср","Чт","Пт","Сб","Вс"))</f>
        <v/>
      </c>
      <c r="C2650" s="59" t="n"/>
      <c r="D2650" s="59" t="n"/>
      <c r="E2650" s="60">
        <f>IF(OR(C2650="",D2650=""),"",MOD(D2650-C2650,1)*24)</f>
        <v/>
      </c>
      <c r="F2650" s="50" t="n"/>
      <c r="G2650" s="51" t="n"/>
      <c r="H2650" s="51" t="n"/>
      <c r="I2650" s="51" t="n"/>
      <c r="J2650" s="51" t="n"/>
      <c r="K2650" s="51" t="n"/>
      <c r="L2650" s="54">
        <f>IF(OR(A2650="",C2650="",D2650=""),"",IF(COUNTIFS($A$5:$A$3004,A2650,$C$5:$C$3004,"&lt;"&amp;D2650,$D$5:$D$3004,"&gt;"&amp;C2650)&gt;1,"⚠️ пересечение",""))</f>
        <v/>
      </c>
      <c r="M2650" s="54">
        <f>IF(F2650="","",IF(J2650="✅ Сделано","✔ ",IF(J2650="❌ Пропущено","✖ ","⏰ "))&amp;IF(C2650="","",RIGHT("0"&amp;HOUR(C2650),2)&amp;":"&amp;RIGHT("0"&amp;MINUTE(C2650),2)&amp;IF(D2650="","","–"&amp;RIGHT("0"&amp;HOUR(D2650),2)&amp;":"&amp;RIGHT("0"&amp;MINUTE(D2650),2))&amp;" ")&amp;F2650)</f>
        <v/>
      </c>
      <c r="N2650" s="54">
        <f>IF(OR(A2650="",F2650=""),"",A2650&amp;"#"&amp;(COUNTIFS($A$5:$A$3004,A2650,$F$5:$F$3004,"?*",$O$5:$O$3004,"&lt;"&amp;O2650)+COUNTIFS($A$5:A2650,A2650,$F$5:F2650,"?*",$O$5:O2650,O2650)))</f>
        <v/>
      </c>
      <c r="O2650" s="54">
        <f>IF(A2650="","",IF(C2650="",0,C2650))</f>
        <v/>
      </c>
    </row>
    <row r="2651">
      <c r="A2651" s="58" t="n"/>
      <c r="B2651" s="49">
        <f>IF(A2651="","",CHOOSE(WEEKDAY(A2651,2),"Пн","Вт","Ср","Чт","Пт","Сб","Вс"))</f>
        <v/>
      </c>
      <c r="C2651" s="59" t="n"/>
      <c r="D2651" s="59" t="n"/>
      <c r="E2651" s="60">
        <f>IF(OR(C2651="",D2651=""),"",MOD(D2651-C2651,1)*24)</f>
        <v/>
      </c>
      <c r="F2651" s="50" t="n"/>
      <c r="G2651" s="51" t="n"/>
      <c r="H2651" s="51" t="n"/>
      <c r="I2651" s="51" t="n"/>
      <c r="J2651" s="51" t="n"/>
      <c r="K2651" s="51" t="n"/>
      <c r="L2651" s="54">
        <f>IF(OR(A2651="",C2651="",D2651=""),"",IF(COUNTIFS($A$5:$A$3004,A2651,$C$5:$C$3004,"&lt;"&amp;D2651,$D$5:$D$3004,"&gt;"&amp;C2651)&gt;1,"⚠️ пересечение",""))</f>
        <v/>
      </c>
      <c r="M2651" s="54">
        <f>IF(F2651="","",IF(J2651="✅ Сделано","✔ ",IF(J2651="❌ Пропущено","✖ ","⏰ "))&amp;IF(C2651="","",RIGHT("0"&amp;HOUR(C2651),2)&amp;":"&amp;RIGHT("0"&amp;MINUTE(C2651),2)&amp;IF(D2651="","","–"&amp;RIGHT("0"&amp;HOUR(D2651),2)&amp;":"&amp;RIGHT("0"&amp;MINUTE(D2651),2))&amp;" ")&amp;F2651)</f>
        <v/>
      </c>
      <c r="N2651" s="54">
        <f>IF(OR(A2651="",F2651=""),"",A2651&amp;"#"&amp;(COUNTIFS($A$5:$A$3004,A2651,$F$5:$F$3004,"?*",$O$5:$O$3004,"&lt;"&amp;O2651)+COUNTIFS($A$5:A2651,A2651,$F$5:F2651,"?*",$O$5:O2651,O2651)))</f>
        <v/>
      </c>
      <c r="O2651" s="54">
        <f>IF(A2651="","",IF(C2651="",0,C2651))</f>
        <v/>
      </c>
    </row>
    <row r="2652">
      <c r="A2652" s="58" t="n"/>
      <c r="B2652" s="49">
        <f>IF(A2652="","",CHOOSE(WEEKDAY(A2652,2),"Пн","Вт","Ср","Чт","Пт","Сб","Вс"))</f>
        <v/>
      </c>
      <c r="C2652" s="59" t="n"/>
      <c r="D2652" s="59" t="n"/>
      <c r="E2652" s="60">
        <f>IF(OR(C2652="",D2652=""),"",MOD(D2652-C2652,1)*24)</f>
        <v/>
      </c>
      <c r="F2652" s="50" t="n"/>
      <c r="G2652" s="51" t="n"/>
      <c r="H2652" s="51" t="n"/>
      <c r="I2652" s="51" t="n"/>
      <c r="J2652" s="51" t="n"/>
      <c r="K2652" s="51" t="n"/>
      <c r="L2652" s="54">
        <f>IF(OR(A2652="",C2652="",D2652=""),"",IF(COUNTIFS($A$5:$A$3004,A2652,$C$5:$C$3004,"&lt;"&amp;D2652,$D$5:$D$3004,"&gt;"&amp;C2652)&gt;1,"⚠️ пересечение",""))</f>
        <v/>
      </c>
      <c r="M2652" s="54">
        <f>IF(F2652="","",IF(J2652="✅ Сделано","✔ ",IF(J2652="❌ Пропущено","✖ ","⏰ "))&amp;IF(C2652="","",RIGHT("0"&amp;HOUR(C2652),2)&amp;":"&amp;RIGHT("0"&amp;MINUTE(C2652),2)&amp;IF(D2652="","","–"&amp;RIGHT("0"&amp;HOUR(D2652),2)&amp;":"&amp;RIGHT("0"&amp;MINUTE(D2652),2))&amp;" ")&amp;F2652)</f>
        <v/>
      </c>
      <c r="N2652" s="54">
        <f>IF(OR(A2652="",F2652=""),"",A2652&amp;"#"&amp;(COUNTIFS($A$5:$A$3004,A2652,$F$5:$F$3004,"?*",$O$5:$O$3004,"&lt;"&amp;O2652)+COUNTIFS($A$5:A2652,A2652,$F$5:F2652,"?*",$O$5:O2652,O2652)))</f>
        <v/>
      </c>
      <c r="O2652" s="54">
        <f>IF(A2652="","",IF(C2652="",0,C2652))</f>
        <v/>
      </c>
    </row>
    <row r="2653">
      <c r="A2653" s="58" t="n"/>
      <c r="B2653" s="49">
        <f>IF(A2653="","",CHOOSE(WEEKDAY(A2653,2),"Пн","Вт","Ср","Чт","Пт","Сб","Вс"))</f>
        <v/>
      </c>
      <c r="C2653" s="59" t="n"/>
      <c r="D2653" s="59" t="n"/>
      <c r="E2653" s="60">
        <f>IF(OR(C2653="",D2653=""),"",MOD(D2653-C2653,1)*24)</f>
        <v/>
      </c>
      <c r="F2653" s="50" t="n"/>
      <c r="G2653" s="51" t="n"/>
      <c r="H2653" s="51" t="n"/>
      <c r="I2653" s="51" t="n"/>
      <c r="J2653" s="51" t="n"/>
      <c r="K2653" s="51" t="n"/>
      <c r="L2653" s="54">
        <f>IF(OR(A2653="",C2653="",D2653=""),"",IF(COUNTIFS($A$5:$A$3004,A2653,$C$5:$C$3004,"&lt;"&amp;D2653,$D$5:$D$3004,"&gt;"&amp;C2653)&gt;1,"⚠️ пересечение",""))</f>
        <v/>
      </c>
      <c r="M2653" s="54">
        <f>IF(F2653="","",IF(J2653="✅ Сделано","✔ ",IF(J2653="❌ Пропущено","✖ ","⏰ "))&amp;IF(C2653="","",RIGHT("0"&amp;HOUR(C2653),2)&amp;":"&amp;RIGHT("0"&amp;MINUTE(C2653),2)&amp;IF(D2653="","","–"&amp;RIGHT("0"&amp;HOUR(D2653),2)&amp;":"&amp;RIGHT("0"&amp;MINUTE(D2653),2))&amp;" ")&amp;F2653)</f>
        <v/>
      </c>
      <c r="N2653" s="54">
        <f>IF(OR(A2653="",F2653=""),"",A2653&amp;"#"&amp;(COUNTIFS($A$5:$A$3004,A2653,$F$5:$F$3004,"?*",$O$5:$O$3004,"&lt;"&amp;O2653)+COUNTIFS($A$5:A2653,A2653,$F$5:F2653,"?*",$O$5:O2653,O2653)))</f>
        <v/>
      </c>
      <c r="O2653" s="54">
        <f>IF(A2653="","",IF(C2653="",0,C2653))</f>
        <v/>
      </c>
    </row>
    <row r="2654">
      <c r="A2654" s="58" t="n"/>
      <c r="B2654" s="49">
        <f>IF(A2654="","",CHOOSE(WEEKDAY(A2654,2),"Пн","Вт","Ср","Чт","Пт","Сб","Вс"))</f>
        <v/>
      </c>
      <c r="C2654" s="59" t="n"/>
      <c r="D2654" s="59" t="n"/>
      <c r="E2654" s="60">
        <f>IF(OR(C2654="",D2654=""),"",MOD(D2654-C2654,1)*24)</f>
        <v/>
      </c>
      <c r="F2654" s="50" t="n"/>
      <c r="G2654" s="51" t="n"/>
      <c r="H2654" s="51" t="n"/>
      <c r="I2654" s="51" t="n"/>
      <c r="J2654" s="51" t="n"/>
      <c r="K2654" s="51" t="n"/>
      <c r="L2654" s="54">
        <f>IF(OR(A2654="",C2654="",D2654=""),"",IF(COUNTIFS($A$5:$A$3004,A2654,$C$5:$C$3004,"&lt;"&amp;D2654,$D$5:$D$3004,"&gt;"&amp;C2654)&gt;1,"⚠️ пересечение",""))</f>
        <v/>
      </c>
      <c r="M2654" s="54">
        <f>IF(F2654="","",IF(J2654="✅ Сделано","✔ ",IF(J2654="❌ Пропущено","✖ ","⏰ "))&amp;IF(C2654="","",RIGHT("0"&amp;HOUR(C2654),2)&amp;":"&amp;RIGHT("0"&amp;MINUTE(C2654),2)&amp;IF(D2654="","","–"&amp;RIGHT("0"&amp;HOUR(D2654),2)&amp;":"&amp;RIGHT("0"&amp;MINUTE(D2654),2))&amp;" ")&amp;F2654)</f>
        <v/>
      </c>
      <c r="N2654" s="54">
        <f>IF(OR(A2654="",F2654=""),"",A2654&amp;"#"&amp;(COUNTIFS($A$5:$A$3004,A2654,$F$5:$F$3004,"?*",$O$5:$O$3004,"&lt;"&amp;O2654)+COUNTIFS($A$5:A2654,A2654,$F$5:F2654,"?*",$O$5:O2654,O2654)))</f>
        <v/>
      </c>
      <c r="O2654" s="54">
        <f>IF(A2654="","",IF(C2654="",0,C2654))</f>
        <v/>
      </c>
    </row>
    <row r="2655">
      <c r="A2655" s="58" t="n"/>
      <c r="B2655" s="49">
        <f>IF(A2655="","",CHOOSE(WEEKDAY(A2655,2),"Пн","Вт","Ср","Чт","Пт","Сб","Вс"))</f>
        <v/>
      </c>
      <c r="C2655" s="59" t="n"/>
      <c r="D2655" s="59" t="n"/>
      <c r="E2655" s="60">
        <f>IF(OR(C2655="",D2655=""),"",MOD(D2655-C2655,1)*24)</f>
        <v/>
      </c>
      <c r="F2655" s="50" t="n"/>
      <c r="G2655" s="51" t="n"/>
      <c r="H2655" s="51" t="n"/>
      <c r="I2655" s="51" t="n"/>
      <c r="J2655" s="51" t="n"/>
      <c r="K2655" s="51" t="n"/>
      <c r="L2655" s="54">
        <f>IF(OR(A2655="",C2655="",D2655=""),"",IF(COUNTIFS($A$5:$A$3004,A2655,$C$5:$C$3004,"&lt;"&amp;D2655,$D$5:$D$3004,"&gt;"&amp;C2655)&gt;1,"⚠️ пересечение",""))</f>
        <v/>
      </c>
      <c r="M2655" s="54">
        <f>IF(F2655="","",IF(J2655="✅ Сделано","✔ ",IF(J2655="❌ Пропущено","✖ ","⏰ "))&amp;IF(C2655="","",RIGHT("0"&amp;HOUR(C2655),2)&amp;":"&amp;RIGHT("0"&amp;MINUTE(C2655),2)&amp;IF(D2655="","","–"&amp;RIGHT("0"&amp;HOUR(D2655),2)&amp;":"&amp;RIGHT("0"&amp;MINUTE(D2655),2))&amp;" ")&amp;F2655)</f>
        <v/>
      </c>
      <c r="N2655" s="54">
        <f>IF(OR(A2655="",F2655=""),"",A2655&amp;"#"&amp;(COUNTIFS($A$5:$A$3004,A2655,$F$5:$F$3004,"?*",$O$5:$O$3004,"&lt;"&amp;O2655)+COUNTIFS($A$5:A2655,A2655,$F$5:F2655,"?*",$O$5:O2655,O2655)))</f>
        <v/>
      </c>
      <c r="O2655" s="54">
        <f>IF(A2655="","",IF(C2655="",0,C2655))</f>
        <v/>
      </c>
    </row>
    <row r="2656">
      <c r="A2656" s="58" t="n"/>
      <c r="B2656" s="49">
        <f>IF(A2656="","",CHOOSE(WEEKDAY(A2656,2),"Пн","Вт","Ср","Чт","Пт","Сб","Вс"))</f>
        <v/>
      </c>
      <c r="C2656" s="59" t="n"/>
      <c r="D2656" s="59" t="n"/>
      <c r="E2656" s="60">
        <f>IF(OR(C2656="",D2656=""),"",MOD(D2656-C2656,1)*24)</f>
        <v/>
      </c>
      <c r="F2656" s="50" t="n"/>
      <c r="G2656" s="51" t="n"/>
      <c r="H2656" s="51" t="n"/>
      <c r="I2656" s="51" t="n"/>
      <c r="J2656" s="51" t="n"/>
      <c r="K2656" s="51" t="n"/>
      <c r="L2656" s="54">
        <f>IF(OR(A2656="",C2656="",D2656=""),"",IF(COUNTIFS($A$5:$A$3004,A2656,$C$5:$C$3004,"&lt;"&amp;D2656,$D$5:$D$3004,"&gt;"&amp;C2656)&gt;1,"⚠️ пересечение",""))</f>
        <v/>
      </c>
      <c r="M2656" s="54">
        <f>IF(F2656="","",IF(J2656="✅ Сделано","✔ ",IF(J2656="❌ Пропущено","✖ ","⏰ "))&amp;IF(C2656="","",RIGHT("0"&amp;HOUR(C2656),2)&amp;":"&amp;RIGHT("0"&amp;MINUTE(C2656),2)&amp;IF(D2656="","","–"&amp;RIGHT("0"&amp;HOUR(D2656),2)&amp;":"&amp;RIGHT("0"&amp;MINUTE(D2656),2))&amp;" ")&amp;F2656)</f>
        <v/>
      </c>
      <c r="N2656" s="54">
        <f>IF(OR(A2656="",F2656=""),"",A2656&amp;"#"&amp;(COUNTIFS($A$5:$A$3004,A2656,$F$5:$F$3004,"?*",$O$5:$O$3004,"&lt;"&amp;O2656)+COUNTIFS($A$5:A2656,A2656,$F$5:F2656,"?*",$O$5:O2656,O2656)))</f>
        <v/>
      </c>
      <c r="O2656" s="54">
        <f>IF(A2656="","",IF(C2656="",0,C2656))</f>
        <v/>
      </c>
    </row>
    <row r="2657">
      <c r="A2657" s="58" t="n"/>
      <c r="B2657" s="49">
        <f>IF(A2657="","",CHOOSE(WEEKDAY(A2657,2),"Пн","Вт","Ср","Чт","Пт","Сб","Вс"))</f>
        <v/>
      </c>
      <c r="C2657" s="59" t="n"/>
      <c r="D2657" s="59" t="n"/>
      <c r="E2657" s="60">
        <f>IF(OR(C2657="",D2657=""),"",MOD(D2657-C2657,1)*24)</f>
        <v/>
      </c>
      <c r="F2657" s="50" t="n"/>
      <c r="G2657" s="51" t="n"/>
      <c r="H2657" s="51" t="n"/>
      <c r="I2657" s="51" t="n"/>
      <c r="J2657" s="51" t="n"/>
      <c r="K2657" s="51" t="n"/>
      <c r="L2657" s="54">
        <f>IF(OR(A2657="",C2657="",D2657=""),"",IF(COUNTIFS($A$5:$A$3004,A2657,$C$5:$C$3004,"&lt;"&amp;D2657,$D$5:$D$3004,"&gt;"&amp;C2657)&gt;1,"⚠️ пересечение",""))</f>
        <v/>
      </c>
      <c r="M2657" s="54">
        <f>IF(F2657="","",IF(J2657="✅ Сделано","✔ ",IF(J2657="❌ Пропущено","✖ ","⏰ "))&amp;IF(C2657="","",RIGHT("0"&amp;HOUR(C2657),2)&amp;":"&amp;RIGHT("0"&amp;MINUTE(C2657),2)&amp;IF(D2657="","","–"&amp;RIGHT("0"&amp;HOUR(D2657),2)&amp;":"&amp;RIGHT("0"&amp;MINUTE(D2657),2))&amp;" ")&amp;F2657)</f>
        <v/>
      </c>
      <c r="N2657" s="54">
        <f>IF(OR(A2657="",F2657=""),"",A2657&amp;"#"&amp;(COUNTIFS($A$5:$A$3004,A2657,$F$5:$F$3004,"?*",$O$5:$O$3004,"&lt;"&amp;O2657)+COUNTIFS($A$5:A2657,A2657,$F$5:F2657,"?*",$O$5:O2657,O2657)))</f>
        <v/>
      </c>
      <c r="O2657" s="54">
        <f>IF(A2657="","",IF(C2657="",0,C2657))</f>
        <v/>
      </c>
    </row>
    <row r="2658">
      <c r="A2658" s="58" t="n"/>
      <c r="B2658" s="49">
        <f>IF(A2658="","",CHOOSE(WEEKDAY(A2658,2),"Пн","Вт","Ср","Чт","Пт","Сб","Вс"))</f>
        <v/>
      </c>
      <c r="C2658" s="59" t="n"/>
      <c r="D2658" s="59" t="n"/>
      <c r="E2658" s="60">
        <f>IF(OR(C2658="",D2658=""),"",MOD(D2658-C2658,1)*24)</f>
        <v/>
      </c>
      <c r="F2658" s="50" t="n"/>
      <c r="G2658" s="51" t="n"/>
      <c r="H2658" s="51" t="n"/>
      <c r="I2658" s="51" t="n"/>
      <c r="J2658" s="51" t="n"/>
      <c r="K2658" s="51" t="n"/>
      <c r="L2658" s="54">
        <f>IF(OR(A2658="",C2658="",D2658=""),"",IF(COUNTIFS($A$5:$A$3004,A2658,$C$5:$C$3004,"&lt;"&amp;D2658,$D$5:$D$3004,"&gt;"&amp;C2658)&gt;1,"⚠️ пересечение",""))</f>
        <v/>
      </c>
      <c r="M2658" s="54">
        <f>IF(F2658="","",IF(J2658="✅ Сделано","✔ ",IF(J2658="❌ Пропущено","✖ ","⏰ "))&amp;IF(C2658="","",RIGHT("0"&amp;HOUR(C2658),2)&amp;":"&amp;RIGHT("0"&amp;MINUTE(C2658),2)&amp;IF(D2658="","","–"&amp;RIGHT("0"&amp;HOUR(D2658),2)&amp;":"&amp;RIGHT("0"&amp;MINUTE(D2658),2))&amp;" ")&amp;F2658)</f>
        <v/>
      </c>
      <c r="N2658" s="54">
        <f>IF(OR(A2658="",F2658=""),"",A2658&amp;"#"&amp;(COUNTIFS($A$5:$A$3004,A2658,$F$5:$F$3004,"?*",$O$5:$O$3004,"&lt;"&amp;O2658)+COUNTIFS($A$5:A2658,A2658,$F$5:F2658,"?*",$O$5:O2658,O2658)))</f>
        <v/>
      </c>
      <c r="O2658" s="54">
        <f>IF(A2658="","",IF(C2658="",0,C2658))</f>
        <v/>
      </c>
    </row>
    <row r="2659">
      <c r="A2659" s="58" t="n"/>
      <c r="B2659" s="49">
        <f>IF(A2659="","",CHOOSE(WEEKDAY(A2659,2),"Пн","Вт","Ср","Чт","Пт","Сб","Вс"))</f>
        <v/>
      </c>
      <c r="C2659" s="59" t="n"/>
      <c r="D2659" s="59" t="n"/>
      <c r="E2659" s="60">
        <f>IF(OR(C2659="",D2659=""),"",MOD(D2659-C2659,1)*24)</f>
        <v/>
      </c>
      <c r="F2659" s="50" t="n"/>
      <c r="G2659" s="51" t="n"/>
      <c r="H2659" s="51" t="n"/>
      <c r="I2659" s="51" t="n"/>
      <c r="J2659" s="51" t="n"/>
      <c r="K2659" s="51" t="n"/>
      <c r="L2659" s="54">
        <f>IF(OR(A2659="",C2659="",D2659=""),"",IF(COUNTIFS($A$5:$A$3004,A2659,$C$5:$C$3004,"&lt;"&amp;D2659,$D$5:$D$3004,"&gt;"&amp;C2659)&gt;1,"⚠️ пересечение",""))</f>
        <v/>
      </c>
      <c r="M2659" s="54">
        <f>IF(F2659="","",IF(J2659="✅ Сделано","✔ ",IF(J2659="❌ Пропущено","✖ ","⏰ "))&amp;IF(C2659="","",RIGHT("0"&amp;HOUR(C2659),2)&amp;":"&amp;RIGHT("0"&amp;MINUTE(C2659),2)&amp;IF(D2659="","","–"&amp;RIGHT("0"&amp;HOUR(D2659),2)&amp;":"&amp;RIGHT("0"&amp;MINUTE(D2659),2))&amp;" ")&amp;F2659)</f>
        <v/>
      </c>
      <c r="N2659" s="54">
        <f>IF(OR(A2659="",F2659=""),"",A2659&amp;"#"&amp;(COUNTIFS($A$5:$A$3004,A2659,$F$5:$F$3004,"?*",$O$5:$O$3004,"&lt;"&amp;O2659)+COUNTIFS($A$5:A2659,A2659,$F$5:F2659,"?*",$O$5:O2659,O2659)))</f>
        <v/>
      </c>
      <c r="O2659" s="54">
        <f>IF(A2659="","",IF(C2659="",0,C2659))</f>
        <v/>
      </c>
    </row>
    <row r="2660">
      <c r="A2660" s="58" t="n"/>
      <c r="B2660" s="49">
        <f>IF(A2660="","",CHOOSE(WEEKDAY(A2660,2),"Пн","Вт","Ср","Чт","Пт","Сб","Вс"))</f>
        <v/>
      </c>
      <c r="C2660" s="59" t="n"/>
      <c r="D2660" s="59" t="n"/>
      <c r="E2660" s="60">
        <f>IF(OR(C2660="",D2660=""),"",MOD(D2660-C2660,1)*24)</f>
        <v/>
      </c>
      <c r="F2660" s="50" t="n"/>
      <c r="G2660" s="51" t="n"/>
      <c r="H2660" s="51" t="n"/>
      <c r="I2660" s="51" t="n"/>
      <c r="J2660" s="51" t="n"/>
      <c r="K2660" s="51" t="n"/>
      <c r="L2660" s="54">
        <f>IF(OR(A2660="",C2660="",D2660=""),"",IF(COUNTIFS($A$5:$A$3004,A2660,$C$5:$C$3004,"&lt;"&amp;D2660,$D$5:$D$3004,"&gt;"&amp;C2660)&gt;1,"⚠️ пересечение",""))</f>
        <v/>
      </c>
      <c r="M2660" s="54">
        <f>IF(F2660="","",IF(J2660="✅ Сделано","✔ ",IF(J2660="❌ Пропущено","✖ ","⏰ "))&amp;IF(C2660="","",RIGHT("0"&amp;HOUR(C2660),2)&amp;":"&amp;RIGHT("0"&amp;MINUTE(C2660),2)&amp;IF(D2660="","","–"&amp;RIGHT("0"&amp;HOUR(D2660),2)&amp;":"&amp;RIGHT("0"&amp;MINUTE(D2660),2))&amp;" ")&amp;F2660)</f>
        <v/>
      </c>
      <c r="N2660" s="54">
        <f>IF(OR(A2660="",F2660=""),"",A2660&amp;"#"&amp;(COUNTIFS($A$5:$A$3004,A2660,$F$5:$F$3004,"?*",$O$5:$O$3004,"&lt;"&amp;O2660)+COUNTIFS($A$5:A2660,A2660,$F$5:F2660,"?*",$O$5:O2660,O2660)))</f>
        <v/>
      </c>
      <c r="O2660" s="54">
        <f>IF(A2660="","",IF(C2660="",0,C2660))</f>
        <v/>
      </c>
    </row>
    <row r="2661">
      <c r="A2661" s="58" t="n"/>
      <c r="B2661" s="49">
        <f>IF(A2661="","",CHOOSE(WEEKDAY(A2661,2),"Пн","Вт","Ср","Чт","Пт","Сб","Вс"))</f>
        <v/>
      </c>
      <c r="C2661" s="59" t="n"/>
      <c r="D2661" s="59" t="n"/>
      <c r="E2661" s="60">
        <f>IF(OR(C2661="",D2661=""),"",MOD(D2661-C2661,1)*24)</f>
        <v/>
      </c>
      <c r="F2661" s="50" t="n"/>
      <c r="G2661" s="51" t="n"/>
      <c r="H2661" s="51" t="n"/>
      <c r="I2661" s="51" t="n"/>
      <c r="J2661" s="51" t="n"/>
      <c r="K2661" s="51" t="n"/>
      <c r="L2661" s="54">
        <f>IF(OR(A2661="",C2661="",D2661=""),"",IF(COUNTIFS($A$5:$A$3004,A2661,$C$5:$C$3004,"&lt;"&amp;D2661,$D$5:$D$3004,"&gt;"&amp;C2661)&gt;1,"⚠️ пересечение",""))</f>
        <v/>
      </c>
      <c r="M2661" s="54">
        <f>IF(F2661="","",IF(J2661="✅ Сделано","✔ ",IF(J2661="❌ Пропущено","✖ ","⏰ "))&amp;IF(C2661="","",RIGHT("0"&amp;HOUR(C2661),2)&amp;":"&amp;RIGHT("0"&amp;MINUTE(C2661),2)&amp;IF(D2661="","","–"&amp;RIGHT("0"&amp;HOUR(D2661),2)&amp;":"&amp;RIGHT("0"&amp;MINUTE(D2661),2))&amp;" ")&amp;F2661)</f>
        <v/>
      </c>
      <c r="N2661" s="54">
        <f>IF(OR(A2661="",F2661=""),"",A2661&amp;"#"&amp;(COUNTIFS($A$5:$A$3004,A2661,$F$5:$F$3004,"?*",$O$5:$O$3004,"&lt;"&amp;O2661)+COUNTIFS($A$5:A2661,A2661,$F$5:F2661,"?*",$O$5:O2661,O2661)))</f>
        <v/>
      </c>
      <c r="O2661" s="54">
        <f>IF(A2661="","",IF(C2661="",0,C2661))</f>
        <v/>
      </c>
    </row>
    <row r="2662">
      <c r="A2662" s="58" t="n"/>
      <c r="B2662" s="49">
        <f>IF(A2662="","",CHOOSE(WEEKDAY(A2662,2),"Пн","Вт","Ср","Чт","Пт","Сб","Вс"))</f>
        <v/>
      </c>
      <c r="C2662" s="59" t="n"/>
      <c r="D2662" s="59" t="n"/>
      <c r="E2662" s="60">
        <f>IF(OR(C2662="",D2662=""),"",MOD(D2662-C2662,1)*24)</f>
        <v/>
      </c>
      <c r="F2662" s="50" t="n"/>
      <c r="G2662" s="51" t="n"/>
      <c r="H2662" s="51" t="n"/>
      <c r="I2662" s="51" t="n"/>
      <c r="J2662" s="51" t="n"/>
      <c r="K2662" s="51" t="n"/>
      <c r="L2662" s="54">
        <f>IF(OR(A2662="",C2662="",D2662=""),"",IF(COUNTIFS($A$5:$A$3004,A2662,$C$5:$C$3004,"&lt;"&amp;D2662,$D$5:$D$3004,"&gt;"&amp;C2662)&gt;1,"⚠️ пересечение",""))</f>
        <v/>
      </c>
      <c r="M2662" s="54">
        <f>IF(F2662="","",IF(J2662="✅ Сделано","✔ ",IF(J2662="❌ Пропущено","✖ ","⏰ "))&amp;IF(C2662="","",RIGHT("0"&amp;HOUR(C2662),2)&amp;":"&amp;RIGHT("0"&amp;MINUTE(C2662),2)&amp;IF(D2662="","","–"&amp;RIGHT("0"&amp;HOUR(D2662),2)&amp;":"&amp;RIGHT("0"&amp;MINUTE(D2662),2))&amp;" ")&amp;F2662)</f>
        <v/>
      </c>
      <c r="N2662" s="54">
        <f>IF(OR(A2662="",F2662=""),"",A2662&amp;"#"&amp;(COUNTIFS($A$5:$A$3004,A2662,$F$5:$F$3004,"?*",$O$5:$O$3004,"&lt;"&amp;O2662)+COUNTIFS($A$5:A2662,A2662,$F$5:F2662,"?*",$O$5:O2662,O2662)))</f>
        <v/>
      </c>
      <c r="O2662" s="54">
        <f>IF(A2662="","",IF(C2662="",0,C2662))</f>
        <v/>
      </c>
    </row>
    <row r="2663">
      <c r="A2663" s="58" t="n"/>
      <c r="B2663" s="49">
        <f>IF(A2663="","",CHOOSE(WEEKDAY(A2663,2),"Пн","Вт","Ср","Чт","Пт","Сб","Вс"))</f>
        <v/>
      </c>
      <c r="C2663" s="59" t="n"/>
      <c r="D2663" s="59" t="n"/>
      <c r="E2663" s="60">
        <f>IF(OR(C2663="",D2663=""),"",MOD(D2663-C2663,1)*24)</f>
        <v/>
      </c>
      <c r="F2663" s="50" t="n"/>
      <c r="G2663" s="51" t="n"/>
      <c r="H2663" s="51" t="n"/>
      <c r="I2663" s="51" t="n"/>
      <c r="J2663" s="51" t="n"/>
      <c r="K2663" s="51" t="n"/>
      <c r="L2663" s="54">
        <f>IF(OR(A2663="",C2663="",D2663=""),"",IF(COUNTIFS($A$5:$A$3004,A2663,$C$5:$C$3004,"&lt;"&amp;D2663,$D$5:$D$3004,"&gt;"&amp;C2663)&gt;1,"⚠️ пересечение",""))</f>
        <v/>
      </c>
      <c r="M2663" s="54">
        <f>IF(F2663="","",IF(J2663="✅ Сделано","✔ ",IF(J2663="❌ Пропущено","✖ ","⏰ "))&amp;IF(C2663="","",RIGHT("0"&amp;HOUR(C2663),2)&amp;":"&amp;RIGHT("0"&amp;MINUTE(C2663),2)&amp;IF(D2663="","","–"&amp;RIGHT("0"&amp;HOUR(D2663),2)&amp;":"&amp;RIGHT("0"&amp;MINUTE(D2663),2))&amp;" ")&amp;F2663)</f>
        <v/>
      </c>
      <c r="N2663" s="54">
        <f>IF(OR(A2663="",F2663=""),"",A2663&amp;"#"&amp;(COUNTIFS($A$5:$A$3004,A2663,$F$5:$F$3004,"?*",$O$5:$O$3004,"&lt;"&amp;O2663)+COUNTIFS($A$5:A2663,A2663,$F$5:F2663,"?*",$O$5:O2663,O2663)))</f>
        <v/>
      </c>
      <c r="O2663" s="54">
        <f>IF(A2663="","",IF(C2663="",0,C2663))</f>
        <v/>
      </c>
    </row>
    <row r="2664">
      <c r="A2664" s="58" t="n"/>
      <c r="B2664" s="49">
        <f>IF(A2664="","",CHOOSE(WEEKDAY(A2664,2),"Пн","Вт","Ср","Чт","Пт","Сб","Вс"))</f>
        <v/>
      </c>
      <c r="C2664" s="59" t="n"/>
      <c r="D2664" s="59" t="n"/>
      <c r="E2664" s="60">
        <f>IF(OR(C2664="",D2664=""),"",MOD(D2664-C2664,1)*24)</f>
        <v/>
      </c>
      <c r="F2664" s="50" t="n"/>
      <c r="G2664" s="51" t="n"/>
      <c r="H2664" s="51" t="n"/>
      <c r="I2664" s="51" t="n"/>
      <c r="J2664" s="51" t="n"/>
      <c r="K2664" s="51" t="n"/>
      <c r="L2664" s="54">
        <f>IF(OR(A2664="",C2664="",D2664=""),"",IF(COUNTIFS($A$5:$A$3004,A2664,$C$5:$C$3004,"&lt;"&amp;D2664,$D$5:$D$3004,"&gt;"&amp;C2664)&gt;1,"⚠️ пересечение",""))</f>
        <v/>
      </c>
      <c r="M2664" s="54">
        <f>IF(F2664="","",IF(J2664="✅ Сделано","✔ ",IF(J2664="❌ Пропущено","✖ ","⏰ "))&amp;IF(C2664="","",RIGHT("0"&amp;HOUR(C2664),2)&amp;":"&amp;RIGHT("0"&amp;MINUTE(C2664),2)&amp;IF(D2664="","","–"&amp;RIGHT("0"&amp;HOUR(D2664),2)&amp;":"&amp;RIGHT("0"&amp;MINUTE(D2664),2))&amp;" ")&amp;F2664)</f>
        <v/>
      </c>
      <c r="N2664" s="54">
        <f>IF(OR(A2664="",F2664=""),"",A2664&amp;"#"&amp;(COUNTIFS($A$5:$A$3004,A2664,$F$5:$F$3004,"?*",$O$5:$O$3004,"&lt;"&amp;O2664)+COUNTIFS($A$5:A2664,A2664,$F$5:F2664,"?*",$O$5:O2664,O2664)))</f>
        <v/>
      </c>
      <c r="O2664" s="54">
        <f>IF(A2664="","",IF(C2664="",0,C2664))</f>
        <v/>
      </c>
    </row>
    <row r="2665">
      <c r="A2665" s="58" t="n"/>
      <c r="B2665" s="49">
        <f>IF(A2665="","",CHOOSE(WEEKDAY(A2665,2),"Пн","Вт","Ср","Чт","Пт","Сб","Вс"))</f>
        <v/>
      </c>
      <c r="C2665" s="59" t="n"/>
      <c r="D2665" s="59" t="n"/>
      <c r="E2665" s="60">
        <f>IF(OR(C2665="",D2665=""),"",MOD(D2665-C2665,1)*24)</f>
        <v/>
      </c>
      <c r="F2665" s="50" t="n"/>
      <c r="G2665" s="51" t="n"/>
      <c r="H2665" s="51" t="n"/>
      <c r="I2665" s="51" t="n"/>
      <c r="J2665" s="51" t="n"/>
      <c r="K2665" s="51" t="n"/>
      <c r="L2665" s="54">
        <f>IF(OR(A2665="",C2665="",D2665=""),"",IF(COUNTIFS($A$5:$A$3004,A2665,$C$5:$C$3004,"&lt;"&amp;D2665,$D$5:$D$3004,"&gt;"&amp;C2665)&gt;1,"⚠️ пересечение",""))</f>
        <v/>
      </c>
      <c r="M2665" s="54">
        <f>IF(F2665="","",IF(J2665="✅ Сделано","✔ ",IF(J2665="❌ Пропущено","✖ ","⏰ "))&amp;IF(C2665="","",RIGHT("0"&amp;HOUR(C2665),2)&amp;":"&amp;RIGHT("0"&amp;MINUTE(C2665),2)&amp;IF(D2665="","","–"&amp;RIGHT("0"&amp;HOUR(D2665),2)&amp;":"&amp;RIGHT("0"&amp;MINUTE(D2665),2))&amp;" ")&amp;F2665)</f>
        <v/>
      </c>
      <c r="N2665" s="54">
        <f>IF(OR(A2665="",F2665=""),"",A2665&amp;"#"&amp;(COUNTIFS($A$5:$A$3004,A2665,$F$5:$F$3004,"?*",$O$5:$O$3004,"&lt;"&amp;O2665)+COUNTIFS($A$5:A2665,A2665,$F$5:F2665,"?*",$O$5:O2665,O2665)))</f>
        <v/>
      </c>
      <c r="O2665" s="54">
        <f>IF(A2665="","",IF(C2665="",0,C2665))</f>
        <v/>
      </c>
    </row>
    <row r="2666">
      <c r="A2666" s="58" t="n"/>
      <c r="B2666" s="49">
        <f>IF(A2666="","",CHOOSE(WEEKDAY(A2666,2),"Пн","Вт","Ср","Чт","Пт","Сб","Вс"))</f>
        <v/>
      </c>
      <c r="C2666" s="59" t="n"/>
      <c r="D2666" s="59" t="n"/>
      <c r="E2666" s="60">
        <f>IF(OR(C2666="",D2666=""),"",MOD(D2666-C2666,1)*24)</f>
        <v/>
      </c>
      <c r="F2666" s="50" t="n"/>
      <c r="G2666" s="51" t="n"/>
      <c r="H2666" s="51" t="n"/>
      <c r="I2666" s="51" t="n"/>
      <c r="J2666" s="51" t="n"/>
      <c r="K2666" s="51" t="n"/>
      <c r="L2666" s="54">
        <f>IF(OR(A2666="",C2666="",D2666=""),"",IF(COUNTIFS($A$5:$A$3004,A2666,$C$5:$C$3004,"&lt;"&amp;D2666,$D$5:$D$3004,"&gt;"&amp;C2666)&gt;1,"⚠️ пересечение",""))</f>
        <v/>
      </c>
      <c r="M2666" s="54">
        <f>IF(F2666="","",IF(J2666="✅ Сделано","✔ ",IF(J2666="❌ Пропущено","✖ ","⏰ "))&amp;IF(C2666="","",RIGHT("0"&amp;HOUR(C2666),2)&amp;":"&amp;RIGHT("0"&amp;MINUTE(C2666),2)&amp;IF(D2666="","","–"&amp;RIGHT("0"&amp;HOUR(D2666),2)&amp;":"&amp;RIGHT("0"&amp;MINUTE(D2666),2))&amp;" ")&amp;F2666)</f>
        <v/>
      </c>
      <c r="N2666" s="54">
        <f>IF(OR(A2666="",F2666=""),"",A2666&amp;"#"&amp;(COUNTIFS($A$5:$A$3004,A2666,$F$5:$F$3004,"?*",$O$5:$O$3004,"&lt;"&amp;O2666)+COUNTIFS($A$5:A2666,A2666,$F$5:F2666,"?*",$O$5:O2666,O2666)))</f>
        <v/>
      </c>
      <c r="O2666" s="54">
        <f>IF(A2666="","",IF(C2666="",0,C2666))</f>
        <v/>
      </c>
    </row>
    <row r="2667">
      <c r="A2667" s="58" t="n"/>
      <c r="B2667" s="49">
        <f>IF(A2667="","",CHOOSE(WEEKDAY(A2667,2),"Пн","Вт","Ср","Чт","Пт","Сб","Вс"))</f>
        <v/>
      </c>
      <c r="C2667" s="59" t="n"/>
      <c r="D2667" s="59" t="n"/>
      <c r="E2667" s="60">
        <f>IF(OR(C2667="",D2667=""),"",MOD(D2667-C2667,1)*24)</f>
        <v/>
      </c>
      <c r="F2667" s="50" t="n"/>
      <c r="G2667" s="51" t="n"/>
      <c r="H2667" s="51" t="n"/>
      <c r="I2667" s="51" t="n"/>
      <c r="J2667" s="51" t="n"/>
      <c r="K2667" s="51" t="n"/>
      <c r="L2667" s="54">
        <f>IF(OR(A2667="",C2667="",D2667=""),"",IF(COUNTIFS($A$5:$A$3004,A2667,$C$5:$C$3004,"&lt;"&amp;D2667,$D$5:$D$3004,"&gt;"&amp;C2667)&gt;1,"⚠️ пересечение",""))</f>
        <v/>
      </c>
      <c r="M2667" s="54">
        <f>IF(F2667="","",IF(J2667="✅ Сделано","✔ ",IF(J2667="❌ Пропущено","✖ ","⏰ "))&amp;IF(C2667="","",RIGHT("0"&amp;HOUR(C2667),2)&amp;":"&amp;RIGHT("0"&amp;MINUTE(C2667),2)&amp;IF(D2667="","","–"&amp;RIGHT("0"&amp;HOUR(D2667),2)&amp;":"&amp;RIGHT("0"&amp;MINUTE(D2667),2))&amp;" ")&amp;F2667)</f>
        <v/>
      </c>
      <c r="N2667" s="54">
        <f>IF(OR(A2667="",F2667=""),"",A2667&amp;"#"&amp;(COUNTIFS($A$5:$A$3004,A2667,$F$5:$F$3004,"?*",$O$5:$O$3004,"&lt;"&amp;O2667)+COUNTIFS($A$5:A2667,A2667,$F$5:F2667,"?*",$O$5:O2667,O2667)))</f>
        <v/>
      </c>
      <c r="O2667" s="54">
        <f>IF(A2667="","",IF(C2667="",0,C2667))</f>
        <v/>
      </c>
    </row>
    <row r="2668">
      <c r="A2668" s="58" t="n"/>
      <c r="B2668" s="49">
        <f>IF(A2668="","",CHOOSE(WEEKDAY(A2668,2),"Пн","Вт","Ср","Чт","Пт","Сб","Вс"))</f>
        <v/>
      </c>
      <c r="C2668" s="59" t="n"/>
      <c r="D2668" s="59" t="n"/>
      <c r="E2668" s="60">
        <f>IF(OR(C2668="",D2668=""),"",MOD(D2668-C2668,1)*24)</f>
        <v/>
      </c>
      <c r="F2668" s="50" t="n"/>
      <c r="G2668" s="51" t="n"/>
      <c r="H2668" s="51" t="n"/>
      <c r="I2668" s="51" t="n"/>
      <c r="J2668" s="51" t="n"/>
      <c r="K2668" s="51" t="n"/>
      <c r="L2668" s="54">
        <f>IF(OR(A2668="",C2668="",D2668=""),"",IF(COUNTIFS($A$5:$A$3004,A2668,$C$5:$C$3004,"&lt;"&amp;D2668,$D$5:$D$3004,"&gt;"&amp;C2668)&gt;1,"⚠️ пересечение",""))</f>
        <v/>
      </c>
      <c r="M2668" s="54">
        <f>IF(F2668="","",IF(J2668="✅ Сделано","✔ ",IF(J2668="❌ Пропущено","✖ ","⏰ "))&amp;IF(C2668="","",RIGHT("0"&amp;HOUR(C2668),2)&amp;":"&amp;RIGHT("0"&amp;MINUTE(C2668),2)&amp;IF(D2668="","","–"&amp;RIGHT("0"&amp;HOUR(D2668),2)&amp;":"&amp;RIGHT("0"&amp;MINUTE(D2668),2))&amp;" ")&amp;F2668)</f>
        <v/>
      </c>
      <c r="N2668" s="54">
        <f>IF(OR(A2668="",F2668=""),"",A2668&amp;"#"&amp;(COUNTIFS($A$5:$A$3004,A2668,$F$5:$F$3004,"?*",$O$5:$O$3004,"&lt;"&amp;O2668)+COUNTIFS($A$5:A2668,A2668,$F$5:F2668,"?*",$O$5:O2668,O2668)))</f>
        <v/>
      </c>
      <c r="O2668" s="54">
        <f>IF(A2668="","",IF(C2668="",0,C2668))</f>
        <v/>
      </c>
    </row>
    <row r="2669">
      <c r="A2669" s="58" t="n"/>
      <c r="B2669" s="49">
        <f>IF(A2669="","",CHOOSE(WEEKDAY(A2669,2),"Пн","Вт","Ср","Чт","Пт","Сб","Вс"))</f>
        <v/>
      </c>
      <c r="C2669" s="59" t="n"/>
      <c r="D2669" s="59" t="n"/>
      <c r="E2669" s="60">
        <f>IF(OR(C2669="",D2669=""),"",MOD(D2669-C2669,1)*24)</f>
        <v/>
      </c>
      <c r="F2669" s="50" t="n"/>
      <c r="G2669" s="51" t="n"/>
      <c r="H2669" s="51" t="n"/>
      <c r="I2669" s="51" t="n"/>
      <c r="J2669" s="51" t="n"/>
      <c r="K2669" s="51" t="n"/>
      <c r="L2669" s="54">
        <f>IF(OR(A2669="",C2669="",D2669=""),"",IF(COUNTIFS($A$5:$A$3004,A2669,$C$5:$C$3004,"&lt;"&amp;D2669,$D$5:$D$3004,"&gt;"&amp;C2669)&gt;1,"⚠️ пересечение",""))</f>
        <v/>
      </c>
      <c r="M2669" s="54">
        <f>IF(F2669="","",IF(J2669="✅ Сделано","✔ ",IF(J2669="❌ Пропущено","✖ ","⏰ "))&amp;IF(C2669="","",RIGHT("0"&amp;HOUR(C2669),2)&amp;":"&amp;RIGHT("0"&amp;MINUTE(C2669),2)&amp;IF(D2669="","","–"&amp;RIGHT("0"&amp;HOUR(D2669),2)&amp;":"&amp;RIGHT("0"&amp;MINUTE(D2669),2))&amp;" ")&amp;F2669)</f>
        <v/>
      </c>
      <c r="N2669" s="54">
        <f>IF(OR(A2669="",F2669=""),"",A2669&amp;"#"&amp;(COUNTIFS($A$5:$A$3004,A2669,$F$5:$F$3004,"?*",$O$5:$O$3004,"&lt;"&amp;O2669)+COUNTIFS($A$5:A2669,A2669,$F$5:F2669,"?*",$O$5:O2669,O2669)))</f>
        <v/>
      </c>
      <c r="O2669" s="54">
        <f>IF(A2669="","",IF(C2669="",0,C2669))</f>
        <v/>
      </c>
    </row>
    <row r="2670">
      <c r="A2670" s="58" t="n"/>
      <c r="B2670" s="49">
        <f>IF(A2670="","",CHOOSE(WEEKDAY(A2670,2),"Пн","Вт","Ср","Чт","Пт","Сб","Вс"))</f>
        <v/>
      </c>
      <c r="C2670" s="59" t="n"/>
      <c r="D2670" s="59" t="n"/>
      <c r="E2670" s="60">
        <f>IF(OR(C2670="",D2670=""),"",MOD(D2670-C2670,1)*24)</f>
        <v/>
      </c>
      <c r="F2670" s="50" t="n"/>
      <c r="G2670" s="51" t="n"/>
      <c r="H2670" s="51" t="n"/>
      <c r="I2670" s="51" t="n"/>
      <c r="J2670" s="51" t="n"/>
      <c r="K2670" s="51" t="n"/>
      <c r="L2670" s="54">
        <f>IF(OR(A2670="",C2670="",D2670=""),"",IF(COUNTIFS($A$5:$A$3004,A2670,$C$5:$C$3004,"&lt;"&amp;D2670,$D$5:$D$3004,"&gt;"&amp;C2670)&gt;1,"⚠️ пересечение",""))</f>
        <v/>
      </c>
      <c r="M2670" s="54">
        <f>IF(F2670="","",IF(J2670="✅ Сделано","✔ ",IF(J2670="❌ Пропущено","✖ ","⏰ "))&amp;IF(C2670="","",RIGHT("0"&amp;HOUR(C2670),2)&amp;":"&amp;RIGHT("0"&amp;MINUTE(C2670),2)&amp;IF(D2670="","","–"&amp;RIGHT("0"&amp;HOUR(D2670),2)&amp;":"&amp;RIGHT("0"&amp;MINUTE(D2670),2))&amp;" ")&amp;F2670)</f>
        <v/>
      </c>
      <c r="N2670" s="54">
        <f>IF(OR(A2670="",F2670=""),"",A2670&amp;"#"&amp;(COUNTIFS($A$5:$A$3004,A2670,$F$5:$F$3004,"?*",$O$5:$O$3004,"&lt;"&amp;O2670)+COUNTIFS($A$5:A2670,A2670,$F$5:F2670,"?*",$O$5:O2670,O2670)))</f>
        <v/>
      </c>
      <c r="O2670" s="54">
        <f>IF(A2670="","",IF(C2670="",0,C2670))</f>
        <v/>
      </c>
    </row>
    <row r="2671">
      <c r="A2671" s="58" t="n"/>
      <c r="B2671" s="49">
        <f>IF(A2671="","",CHOOSE(WEEKDAY(A2671,2),"Пн","Вт","Ср","Чт","Пт","Сб","Вс"))</f>
        <v/>
      </c>
      <c r="C2671" s="59" t="n"/>
      <c r="D2671" s="59" t="n"/>
      <c r="E2671" s="60">
        <f>IF(OR(C2671="",D2671=""),"",MOD(D2671-C2671,1)*24)</f>
        <v/>
      </c>
      <c r="F2671" s="50" t="n"/>
      <c r="G2671" s="51" t="n"/>
      <c r="H2671" s="51" t="n"/>
      <c r="I2671" s="51" t="n"/>
      <c r="J2671" s="51" t="n"/>
      <c r="K2671" s="51" t="n"/>
      <c r="L2671" s="54">
        <f>IF(OR(A2671="",C2671="",D2671=""),"",IF(COUNTIFS($A$5:$A$3004,A2671,$C$5:$C$3004,"&lt;"&amp;D2671,$D$5:$D$3004,"&gt;"&amp;C2671)&gt;1,"⚠️ пересечение",""))</f>
        <v/>
      </c>
      <c r="M2671" s="54">
        <f>IF(F2671="","",IF(J2671="✅ Сделано","✔ ",IF(J2671="❌ Пропущено","✖ ","⏰ "))&amp;IF(C2671="","",RIGHT("0"&amp;HOUR(C2671),2)&amp;":"&amp;RIGHT("0"&amp;MINUTE(C2671),2)&amp;IF(D2671="","","–"&amp;RIGHT("0"&amp;HOUR(D2671),2)&amp;":"&amp;RIGHT("0"&amp;MINUTE(D2671),2))&amp;" ")&amp;F2671)</f>
        <v/>
      </c>
      <c r="N2671" s="54">
        <f>IF(OR(A2671="",F2671=""),"",A2671&amp;"#"&amp;(COUNTIFS($A$5:$A$3004,A2671,$F$5:$F$3004,"?*",$O$5:$O$3004,"&lt;"&amp;O2671)+COUNTIFS($A$5:A2671,A2671,$F$5:F2671,"?*",$O$5:O2671,O2671)))</f>
        <v/>
      </c>
      <c r="O2671" s="54">
        <f>IF(A2671="","",IF(C2671="",0,C2671))</f>
        <v/>
      </c>
    </row>
    <row r="2672">
      <c r="A2672" s="58" t="n"/>
      <c r="B2672" s="49">
        <f>IF(A2672="","",CHOOSE(WEEKDAY(A2672,2),"Пн","Вт","Ср","Чт","Пт","Сб","Вс"))</f>
        <v/>
      </c>
      <c r="C2672" s="59" t="n"/>
      <c r="D2672" s="59" t="n"/>
      <c r="E2672" s="60">
        <f>IF(OR(C2672="",D2672=""),"",MOD(D2672-C2672,1)*24)</f>
        <v/>
      </c>
      <c r="F2672" s="50" t="n"/>
      <c r="G2672" s="51" t="n"/>
      <c r="H2672" s="51" t="n"/>
      <c r="I2672" s="51" t="n"/>
      <c r="J2672" s="51" t="n"/>
      <c r="K2672" s="51" t="n"/>
      <c r="L2672" s="54">
        <f>IF(OR(A2672="",C2672="",D2672=""),"",IF(COUNTIFS($A$5:$A$3004,A2672,$C$5:$C$3004,"&lt;"&amp;D2672,$D$5:$D$3004,"&gt;"&amp;C2672)&gt;1,"⚠️ пересечение",""))</f>
        <v/>
      </c>
      <c r="M2672" s="54">
        <f>IF(F2672="","",IF(J2672="✅ Сделано","✔ ",IF(J2672="❌ Пропущено","✖ ","⏰ "))&amp;IF(C2672="","",RIGHT("0"&amp;HOUR(C2672),2)&amp;":"&amp;RIGHT("0"&amp;MINUTE(C2672),2)&amp;IF(D2672="","","–"&amp;RIGHT("0"&amp;HOUR(D2672),2)&amp;":"&amp;RIGHT("0"&amp;MINUTE(D2672),2))&amp;" ")&amp;F2672)</f>
        <v/>
      </c>
      <c r="N2672" s="54">
        <f>IF(OR(A2672="",F2672=""),"",A2672&amp;"#"&amp;(COUNTIFS($A$5:$A$3004,A2672,$F$5:$F$3004,"?*",$O$5:$O$3004,"&lt;"&amp;O2672)+COUNTIFS($A$5:A2672,A2672,$F$5:F2672,"?*",$O$5:O2672,O2672)))</f>
        <v/>
      </c>
      <c r="O2672" s="54">
        <f>IF(A2672="","",IF(C2672="",0,C2672))</f>
        <v/>
      </c>
    </row>
    <row r="2673">
      <c r="A2673" s="58" t="n"/>
      <c r="B2673" s="49">
        <f>IF(A2673="","",CHOOSE(WEEKDAY(A2673,2),"Пн","Вт","Ср","Чт","Пт","Сб","Вс"))</f>
        <v/>
      </c>
      <c r="C2673" s="59" t="n"/>
      <c r="D2673" s="59" t="n"/>
      <c r="E2673" s="60">
        <f>IF(OR(C2673="",D2673=""),"",MOD(D2673-C2673,1)*24)</f>
        <v/>
      </c>
      <c r="F2673" s="50" t="n"/>
      <c r="G2673" s="51" t="n"/>
      <c r="H2673" s="51" t="n"/>
      <c r="I2673" s="51" t="n"/>
      <c r="J2673" s="51" t="n"/>
      <c r="K2673" s="51" t="n"/>
      <c r="L2673" s="54">
        <f>IF(OR(A2673="",C2673="",D2673=""),"",IF(COUNTIFS($A$5:$A$3004,A2673,$C$5:$C$3004,"&lt;"&amp;D2673,$D$5:$D$3004,"&gt;"&amp;C2673)&gt;1,"⚠️ пересечение",""))</f>
        <v/>
      </c>
      <c r="M2673" s="54">
        <f>IF(F2673="","",IF(J2673="✅ Сделано","✔ ",IF(J2673="❌ Пропущено","✖ ","⏰ "))&amp;IF(C2673="","",RIGHT("0"&amp;HOUR(C2673),2)&amp;":"&amp;RIGHT("0"&amp;MINUTE(C2673),2)&amp;IF(D2673="","","–"&amp;RIGHT("0"&amp;HOUR(D2673),2)&amp;":"&amp;RIGHT("0"&amp;MINUTE(D2673),2))&amp;" ")&amp;F2673)</f>
        <v/>
      </c>
      <c r="N2673" s="54">
        <f>IF(OR(A2673="",F2673=""),"",A2673&amp;"#"&amp;(COUNTIFS($A$5:$A$3004,A2673,$F$5:$F$3004,"?*",$O$5:$O$3004,"&lt;"&amp;O2673)+COUNTIFS($A$5:A2673,A2673,$F$5:F2673,"?*",$O$5:O2673,O2673)))</f>
        <v/>
      </c>
      <c r="O2673" s="54">
        <f>IF(A2673="","",IF(C2673="",0,C2673))</f>
        <v/>
      </c>
    </row>
    <row r="2674">
      <c r="A2674" s="58" t="n"/>
      <c r="B2674" s="49">
        <f>IF(A2674="","",CHOOSE(WEEKDAY(A2674,2),"Пн","Вт","Ср","Чт","Пт","Сб","Вс"))</f>
        <v/>
      </c>
      <c r="C2674" s="59" t="n"/>
      <c r="D2674" s="59" t="n"/>
      <c r="E2674" s="60">
        <f>IF(OR(C2674="",D2674=""),"",MOD(D2674-C2674,1)*24)</f>
        <v/>
      </c>
      <c r="F2674" s="50" t="n"/>
      <c r="G2674" s="51" t="n"/>
      <c r="H2674" s="51" t="n"/>
      <c r="I2674" s="51" t="n"/>
      <c r="J2674" s="51" t="n"/>
      <c r="K2674" s="51" t="n"/>
      <c r="L2674" s="54">
        <f>IF(OR(A2674="",C2674="",D2674=""),"",IF(COUNTIFS($A$5:$A$3004,A2674,$C$5:$C$3004,"&lt;"&amp;D2674,$D$5:$D$3004,"&gt;"&amp;C2674)&gt;1,"⚠️ пересечение",""))</f>
        <v/>
      </c>
      <c r="M2674" s="54">
        <f>IF(F2674="","",IF(J2674="✅ Сделано","✔ ",IF(J2674="❌ Пропущено","✖ ","⏰ "))&amp;IF(C2674="","",RIGHT("0"&amp;HOUR(C2674),2)&amp;":"&amp;RIGHT("0"&amp;MINUTE(C2674),2)&amp;IF(D2674="","","–"&amp;RIGHT("0"&amp;HOUR(D2674),2)&amp;":"&amp;RIGHT("0"&amp;MINUTE(D2674),2))&amp;" ")&amp;F2674)</f>
        <v/>
      </c>
      <c r="N2674" s="54">
        <f>IF(OR(A2674="",F2674=""),"",A2674&amp;"#"&amp;(COUNTIFS($A$5:$A$3004,A2674,$F$5:$F$3004,"?*",$O$5:$O$3004,"&lt;"&amp;O2674)+COUNTIFS($A$5:A2674,A2674,$F$5:F2674,"?*",$O$5:O2674,O2674)))</f>
        <v/>
      </c>
      <c r="O2674" s="54">
        <f>IF(A2674="","",IF(C2674="",0,C2674))</f>
        <v/>
      </c>
    </row>
    <row r="2675">
      <c r="A2675" s="58" t="n"/>
      <c r="B2675" s="49">
        <f>IF(A2675="","",CHOOSE(WEEKDAY(A2675,2),"Пн","Вт","Ср","Чт","Пт","Сб","Вс"))</f>
        <v/>
      </c>
      <c r="C2675" s="59" t="n"/>
      <c r="D2675" s="59" t="n"/>
      <c r="E2675" s="60">
        <f>IF(OR(C2675="",D2675=""),"",MOD(D2675-C2675,1)*24)</f>
        <v/>
      </c>
      <c r="F2675" s="50" t="n"/>
      <c r="G2675" s="51" t="n"/>
      <c r="H2675" s="51" t="n"/>
      <c r="I2675" s="51" t="n"/>
      <c r="J2675" s="51" t="n"/>
      <c r="K2675" s="51" t="n"/>
      <c r="L2675" s="54">
        <f>IF(OR(A2675="",C2675="",D2675=""),"",IF(COUNTIFS($A$5:$A$3004,A2675,$C$5:$C$3004,"&lt;"&amp;D2675,$D$5:$D$3004,"&gt;"&amp;C2675)&gt;1,"⚠️ пересечение",""))</f>
        <v/>
      </c>
      <c r="M2675" s="54">
        <f>IF(F2675="","",IF(J2675="✅ Сделано","✔ ",IF(J2675="❌ Пропущено","✖ ","⏰ "))&amp;IF(C2675="","",RIGHT("0"&amp;HOUR(C2675),2)&amp;":"&amp;RIGHT("0"&amp;MINUTE(C2675),2)&amp;IF(D2675="","","–"&amp;RIGHT("0"&amp;HOUR(D2675),2)&amp;":"&amp;RIGHT("0"&amp;MINUTE(D2675),2))&amp;" ")&amp;F2675)</f>
        <v/>
      </c>
      <c r="N2675" s="54">
        <f>IF(OR(A2675="",F2675=""),"",A2675&amp;"#"&amp;(COUNTIFS($A$5:$A$3004,A2675,$F$5:$F$3004,"?*",$O$5:$O$3004,"&lt;"&amp;O2675)+COUNTIFS($A$5:A2675,A2675,$F$5:F2675,"?*",$O$5:O2675,O2675)))</f>
        <v/>
      </c>
      <c r="O2675" s="54">
        <f>IF(A2675="","",IF(C2675="",0,C2675))</f>
        <v/>
      </c>
    </row>
    <row r="2676">
      <c r="A2676" s="58" t="n"/>
      <c r="B2676" s="49">
        <f>IF(A2676="","",CHOOSE(WEEKDAY(A2676,2),"Пн","Вт","Ср","Чт","Пт","Сб","Вс"))</f>
        <v/>
      </c>
      <c r="C2676" s="59" t="n"/>
      <c r="D2676" s="59" t="n"/>
      <c r="E2676" s="60">
        <f>IF(OR(C2676="",D2676=""),"",MOD(D2676-C2676,1)*24)</f>
        <v/>
      </c>
      <c r="F2676" s="50" t="n"/>
      <c r="G2676" s="51" t="n"/>
      <c r="H2676" s="51" t="n"/>
      <c r="I2676" s="51" t="n"/>
      <c r="J2676" s="51" t="n"/>
      <c r="K2676" s="51" t="n"/>
      <c r="L2676" s="54">
        <f>IF(OR(A2676="",C2676="",D2676=""),"",IF(COUNTIFS($A$5:$A$3004,A2676,$C$5:$C$3004,"&lt;"&amp;D2676,$D$5:$D$3004,"&gt;"&amp;C2676)&gt;1,"⚠️ пересечение",""))</f>
        <v/>
      </c>
      <c r="M2676" s="54">
        <f>IF(F2676="","",IF(J2676="✅ Сделано","✔ ",IF(J2676="❌ Пропущено","✖ ","⏰ "))&amp;IF(C2676="","",RIGHT("0"&amp;HOUR(C2676),2)&amp;":"&amp;RIGHT("0"&amp;MINUTE(C2676),2)&amp;IF(D2676="","","–"&amp;RIGHT("0"&amp;HOUR(D2676),2)&amp;":"&amp;RIGHT("0"&amp;MINUTE(D2676),2))&amp;" ")&amp;F2676)</f>
        <v/>
      </c>
      <c r="N2676" s="54">
        <f>IF(OR(A2676="",F2676=""),"",A2676&amp;"#"&amp;(COUNTIFS($A$5:$A$3004,A2676,$F$5:$F$3004,"?*",$O$5:$O$3004,"&lt;"&amp;O2676)+COUNTIFS($A$5:A2676,A2676,$F$5:F2676,"?*",$O$5:O2676,O2676)))</f>
        <v/>
      </c>
      <c r="O2676" s="54">
        <f>IF(A2676="","",IF(C2676="",0,C2676))</f>
        <v/>
      </c>
    </row>
    <row r="2677">
      <c r="A2677" s="58" t="n"/>
      <c r="B2677" s="49">
        <f>IF(A2677="","",CHOOSE(WEEKDAY(A2677,2),"Пн","Вт","Ср","Чт","Пт","Сб","Вс"))</f>
        <v/>
      </c>
      <c r="C2677" s="59" t="n"/>
      <c r="D2677" s="59" t="n"/>
      <c r="E2677" s="60">
        <f>IF(OR(C2677="",D2677=""),"",MOD(D2677-C2677,1)*24)</f>
        <v/>
      </c>
      <c r="F2677" s="50" t="n"/>
      <c r="G2677" s="51" t="n"/>
      <c r="H2677" s="51" t="n"/>
      <c r="I2677" s="51" t="n"/>
      <c r="J2677" s="51" t="n"/>
      <c r="K2677" s="51" t="n"/>
      <c r="L2677" s="54">
        <f>IF(OR(A2677="",C2677="",D2677=""),"",IF(COUNTIFS($A$5:$A$3004,A2677,$C$5:$C$3004,"&lt;"&amp;D2677,$D$5:$D$3004,"&gt;"&amp;C2677)&gt;1,"⚠️ пересечение",""))</f>
        <v/>
      </c>
      <c r="M2677" s="54">
        <f>IF(F2677="","",IF(J2677="✅ Сделано","✔ ",IF(J2677="❌ Пропущено","✖ ","⏰ "))&amp;IF(C2677="","",RIGHT("0"&amp;HOUR(C2677),2)&amp;":"&amp;RIGHT("0"&amp;MINUTE(C2677),2)&amp;IF(D2677="","","–"&amp;RIGHT("0"&amp;HOUR(D2677),2)&amp;":"&amp;RIGHT("0"&amp;MINUTE(D2677),2))&amp;" ")&amp;F2677)</f>
        <v/>
      </c>
      <c r="N2677" s="54">
        <f>IF(OR(A2677="",F2677=""),"",A2677&amp;"#"&amp;(COUNTIFS($A$5:$A$3004,A2677,$F$5:$F$3004,"?*",$O$5:$O$3004,"&lt;"&amp;O2677)+COUNTIFS($A$5:A2677,A2677,$F$5:F2677,"?*",$O$5:O2677,O2677)))</f>
        <v/>
      </c>
      <c r="O2677" s="54">
        <f>IF(A2677="","",IF(C2677="",0,C2677))</f>
        <v/>
      </c>
    </row>
    <row r="2678">
      <c r="A2678" s="58" t="n"/>
      <c r="B2678" s="49">
        <f>IF(A2678="","",CHOOSE(WEEKDAY(A2678,2),"Пн","Вт","Ср","Чт","Пт","Сб","Вс"))</f>
        <v/>
      </c>
      <c r="C2678" s="59" t="n"/>
      <c r="D2678" s="59" t="n"/>
      <c r="E2678" s="60">
        <f>IF(OR(C2678="",D2678=""),"",MOD(D2678-C2678,1)*24)</f>
        <v/>
      </c>
      <c r="F2678" s="50" t="n"/>
      <c r="G2678" s="51" t="n"/>
      <c r="H2678" s="51" t="n"/>
      <c r="I2678" s="51" t="n"/>
      <c r="J2678" s="51" t="n"/>
      <c r="K2678" s="51" t="n"/>
      <c r="L2678" s="54">
        <f>IF(OR(A2678="",C2678="",D2678=""),"",IF(COUNTIFS($A$5:$A$3004,A2678,$C$5:$C$3004,"&lt;"&amp;D2678,$D$5:$D$3004,"&gt;"&amp;C2678)&gt;1,"⚠️ пересечение",""))</f>
        <v/>
      </c>
      <c r="M2678" s="54">
        <f>IF(F2678="","",IF(J2678="✅ Сделано","✔ ",IF(J2678="❌ Пропущено","✖ ","⏰ "))&amp;IF(C2678="","",RIGHT("0"&amp;HOUR(C2678),2)&amp;":"&amp;RIGHT("0"&amp;MINUTE(C2678),2)&amp;IF(D2678="","","–"&amp;RIGHT("0"&amp;HOUR(D2678),2)&amp;":"&amp;RIGHT("0"&amp;MINUTE(D2678),2))&amp;" ")&amp;F2678)</f>
        <v/>
      </c>
      <c r="N2678" s="54">
        <f>IF(OR(A2678="",F2678=""),"",A2678&amp;"#"&amp;(COUNTIFS($A$5:$A$3004,A2678,$F$5:$F$3004,"?*",$O$5:$O$3004,"&lt;"&amp;O2678)+COUNTIFS($A$5:A2678,A2678,$F$5:F2678,"?*",$O$5:O2678,O2678)))</f>
        <v/>
      </c>
      <c r="O2678" s="54">
        <f>IF(A2678="","",IF(C2678="",0,C2678))</f>
        <v/>
      </c>
    </row>
    <row r="2679">
      <c r="A2679" s="58" t="n"/>
      <c r="B2679" s="49">
        <f>IF(A2679="","",CHOOSE(WEEKDAY(A2679,2),"Пн","Вт","Ср","Чт","Пт","Сб","Вс"))</f>
        <v/>
      </c>
      <c r="C2679" s="59" t="n"/>
      <c r="D2679" s="59" t="n"/>
      <c r="E2679" s="60">
        <f>IF(OR(C2679="",D2679=""),"",MOD(D2679-C2679,1)*24)</f>
        <v/>
      </c>
      <c r="F2679" s="50" t="n"/>
      <c r="G2679" s="51" t="n"/>
      <c r="H2679" s="51" t="n"/>
      <c r="I2679" s="51" t="n"/>
      <c r="J2679" s="51" t="n"/>
      <c r="K2679" s="51" t="n"/>
      <c r="L2679" s="54">
        <f>IF(OR(A2679="",C2679="",D2679=""),"",IF(COUNTIFS($A$5:$A$3004,A2679,$C$5:$C$3004,"&lt;"&amp;D2679,$D$5:$D$3004,"&gt;"&amp;C2679)&gt;1,"⚠️ пересечение",""))</f>
        <v/>
      </c>
      <c r="M2679" s="54">
        <f>IF(F2679="","",IF(J2679="✅ Сделано","✔ ",IF(J2679="❌ Пропущено","✖ ","⏰ "))&amp;IF(C2679="","",RIGHT("0"&amp;HOUR(C2679),2)&amp;":"&amp;RIGHT("0"&amp;MINUTE(C2679),2)&amp;IF(D2679="","","–"&amp;RIGHT("0"&amp;HOUR(D2679),2)&amp;":"&amp;RIGHT("0"&amp;MINUTE(D2679),2))&amp;" ")&amp;F2679)</f>
        <v/>
      </c>
      <c r="N2679" s="54">
        <f>IF(OR(A2679="",F2679=""),"",A2679&amp;"#"&amp;(COUNTIFS($A$5:$A$3004,A2679,$F$5:$F$3004,"?*",$O$5:$O$3004,"&lt;"&amp;O2679)+COUNTIFS($A$5:A2679,A2679,$F$5:F2679,"?*",$O$5:O2679,O2679)))</f>
        <v/>
      </c>
      <c r="O2679" s="54">
        <f>IF(A2679="","",IF(C2679="",0,C2679))</f>
        <v/>
      </c>
    </row>
    <row r="2680">
      <c r="A2680" s="58" t="n"/>
      <c r="B2680" s="49">
        <f>IF(A2680="","",CHOOSE(WEEKDAY(A2680,2),"Пн","Вт","Ср","Чт","Пт","Сб","Вс"))</f>
        <v/>
      </c>
      <c r="C2680" s="59" t="n"/>
      <c r="D2680" s="59" t="n"/>
      <c r="E2680" s="60">
        <f>IF(OR(C2680="",D2680=""),"",MOD(D2680-C2680,1)*24)</f>
        <v/>
      </c>
      <c r="F2680" s="50" t="n"/>
      <c r="G2680" s="51" t="n"/>
      <c r="H2680" s="51" t="n"/>
      <c r="I2680" s="51" t="n"/>
      <c r="J2680" s="51" t="n"/>
      <c r="K2680" s="51" t="n"/>
      <c r="L2680" s="54">
        <f>IF(OR(A2680="",C2680="",D2680=""),"",IF(COUNTIFS($A$5:$A$3004,A2680,$C$5:$C$3004,"&lt;"&amp;D2680,$D$5:$D$3004,"&gt;"&amp;C2680)&gt;1,"⚠️ пересечение",""))</f>
        <v/>
      </c>
      <c r="M2680" s="54">
        <f>IF(F2680="","",IF(J2680="✅ Сделано","✔ ",IF(J2680="❌ Пропущено","✖ ","⏰ "))&amp;IF(C2680="","",RIGHT("0"&amp;HOUR(C2680),2)&amp;":"&amp;RIGHT("0"&amp;MINUTE(C2680),2)&amp;IF(D2680="","","–"&amp;RIGHT("0"&amp;HOUR(D2680),2)&amp;":"&amp;RIGHT("0"&amp;MINUTE(D2680),2))&amp;" ")&amp;F2680)</f>
        <v/>
      </c>
      <c r="N2680" s="54">
        <f>IF(OR(A2680="",F2680=""),"",A2680&amp;"#"&amp;(COUNTIFS($A$5:$A$3004,A2680,$F$5:$F$3004,"?*",$O$5:$O$3004,"&lt;"&amp;O2680)+COUNTIFS($A$5:A2680,A2680,$F$5:F2680,"?*",$O$5:O2680,O2680)))</f>
        <v/>
      </c>
      <c r="O2680" s="54">
        <f>IF(A2680="","",IF(C2680="",0,C2680))</f>
        <v/>
      </c>
    </row>
    <row r="2681">
      <c r="A2681" s="58" t="n"/>
      <c r="B2681" s="49">
        <f>IF(A2681="","",CHOOSE(WEEKDAY(A2681,2),"Пн","Вт","Ср","Чт","Пт","Сб","Вс"))</f>
        <v/>
      </c>
      <c r="C2681" s="59" t="n"/>
      <c r="D2681" s="59" t="n"/>
      <c r="E2681" s="60">
        <f>IF(OR(C2681="",D2681=""),"",MOD(D2681-C2681,1)*24)</f>
        <v/>
      </c>
      <c r="F2681" s="50" t="n"/>
      <c r="G2681" s="51" t="n"/>
      <c r="H2681" s="51" t="n"/>
      <c r="I2681" s="51" t="n"/>
      <c r="J2681" s="51" t="n"/>
      <c r="K2681" s="51" t="n"/>
      <c r="L2681" s="54">
        <f>IF(OR(A2681="",C2681="",D2681=""),"",IF(COUNTIFS($A$5:$A$3004,A2681,$C$5:$C$3004,"&lt;"&amp;D2681,$D$5:$D$3004,"&gt;"&amp;C2681)&gt;1,"⚠️ пересечение",""))</f>
        <v/>
      </c>
      <c r="M2681" s="54">
        <f>IF(F2681="","",IF(J2681="✅ Сделано","✔ ",IF(J2681="❌ Пропущено","✖ ","⏰ "))&amp;IF(C2681="","",RIGHT("0"&amp;HOUR(C2681),2)&amp;":"&amp;RIGHT("0"&amp;MINUTE(C2681),2)&amp;IF(D2681="","","–"&amp;RIGHT("0"&amp;HOUR(D2681),2)&amp;":"&amp;RIGHT("0"&amp;MINUTE(D2681),2))&amp;" ")&amp;F2681)</f>
        <v/>
      </c>
      <c r="N2681" s="54">
        <f>IF(OR(A2681="",F2681=""),"",A2681&amp;"#"&amp;(COUNTIFS($A$5:$A$3004,A2681,$F$5:$F$3004,"?*",$O$5:$O$3004,"&lt;"&amp;O2681)+COUNTIFS($A$5:A2681,A2681,$F$5:F2681,"?*",$O$5:O2681,O2681)))</f>
        <v/>
      </c>
      <c r="O2681" s="54">
        <f>IF(A2681="","",IF(C2681="",0,C2681))</f>
        <v/>
      </c>
    </row>
    <row r="2682">
      <c r="A2682" s="58" t="n"/>
      <c r="B2682" s="49">
        <f>IF(A2682="","",CHOOSE(WEEKDAY(A2682,2),"Пн","Вт","Ср","Чт","Пт","Сб","Вс"))</f>
        <v/>
      </c>
      <c r="C2682" s="59" t="n"/>
      <c r="D2682" s="59" t="n"/>
      <c r="E2682" s="60">
        <f>IF(OR(C2682="",D2682=""),"",MOD(D2682-C2682,1)*24)</f>
        <v/>
      </c>
      <c r="F2682" s="50" t="n"/>
      <c r="G2682" s="51" t="n"/>
      <c r="H2682" s="51" t="n"/>
      <c r="I2682" s="51" t="n"/>
      <c r="J2682" s="51" t="n"/>
      <c r="K2682" s="51" t="n"/>
      <c r="L2682" s="54">
        <f>IF(OR(A2682="",C2682="",D2682=""),"",IF(COUNTIFS($A$5:$A$3004,A2682,$C$5:$C$3004,"&lt;"&amp;D2682,$D$5:$D$3004,"&gt;"&amp;C2682)&gt;1,"⚠️ пересечение",""))</f>
        <v/>
      </c>
      <c r="M2682" s="54">
        <f>IF(F2682="","",IF(J2682="✅ Сделано","✔ ",IF(J2682="❌ Пропущено","✖ ","⏰ "))&amp;IF(C2682="","",RIGHT("0"&amp;HOUR(C2682),2)&amp;":"&amp;RIGHT("0"&amp;MINUTE(C2682),2)&amp;IF(D2682="","","–"&amp;RIGHT("0"&amp;HOUR(D2682),2)&amp;":"&amp;RIGHT("0"&amp;MINUTE(D2682),2))&amp;" ")&amp;F2682)</f>
        <v/>
      </c>
      <c r="N2682" s="54">
        <f>IF(OR(A2682="",F2682=""),"",A2682&amp;"#"&amp;(COUNTIFS($A$5:$A$3004,A2682,$F$5:$F$3004,"?*",$O$5:$O$3004,"&lt;"&amp;O2682)+COUNTIFS($A$5:A2682,A2682,$F$5:F2682,"?*",$O$5:O2682,O2682)))</f>
        <v/>
      </c>
      <c r="O2682" s="54">
        <f>IF(A2682="","",IF(C2682="",0,C2682))</f>
        <v/>
      </c>
    </row>
    <row r="2683">
      <c r="A2683" s="58" t="n"/>
      <c r="B2683" s="49">
        <f>IF(A2683="","",CHOOSE(WEEKDAY(A2683,2),"Пн","Вт","Ср","Чт","Пт","Сб","Вс"))</f>
        <v/>
      </c>
      <c r="C2683" s="59" t="n"/>
      <c r="D2683" s="59" t="n"/>
      <c r="E2683" s="60">
        <f>IF(OR(C2683="",D2683=""),"",MOD(D2683-C2683,1)*24)</f>
        <v/>
      </c>
      <c r="F2683" s="50" t="n"/>
      <c r="G2683" s="51" t="n"/>
      <c r="H2683" s="51" t="n"/>
      <c r="I2683" s="51" t="n"/>
      <c r="J2683" s="51" t="n"/>
      <c r="K2683" s="51" t="n"/>
      <c r="L2683" s="54">
        <f>IF(OR(A2683="",C2683="",D2683=""),"",IF(COUNTIFS($A$5:$A$3004,A2683,$C$5:$C$3004,"&lt;"&amp;D2683,$D$5:$D$3004,"&gt;"&amp;C2683)&gt;1,"⚠️ пересечение",""))</f>
        <v/>
      </c>
      <c r="M2683" s="54">
        <f>IF(F2683="","",IF(J2683="✅ Сделано","✔ ",IF(J2683="❌ Пропущено","✖ ","⏰ "))&amp;IF(C2683="","",RIGHT("0"&amp;HOUR(C2683),2)&amp;":"&amp;RIGHT("0"&amp;MINUTE(C2683),2)&amp;IF(D2683="","","–"&amp;RIGHT("0"&amp;HOUR(D2683),2)&amp;":"&amp;RIGHT("0"&amp;MINUTE(D2683),2))&amp;" ")&amp;F2683)</f>
        <v/>
      </c>
      <c r="N2683" s="54">
        <f>IF(OR(A2683="",F2683=""),"",A2683&amp;"#"&amp;(COUNTIFS($A$5:$A$3004,A2683,$F$5:$F$3004,"?*",$O$5:$O$3004,"&lt;"&amp;O2683)+COUNTIFS($A$5:A2683,A2683,$F$5:F2683,"?*",$O$5:O2683,O2683)))</f>
        <v/>
      </c>
      <c r="O2683" s="54">
        <f>IF(A2683="","",IF(C2683="",0,C2683))</f>
        <v/>
      </c>
    </row>
    <row r="2684">
      <c r="A2684" s="58" t="n"/>
      <c r="B2684" s="49">
        <f>IF(A2684="","",CHOOSE(WEEKDAY(A2684,2),"Пн","Вт","Ср","Чт","Пт","Сб","Вс"))</f>
        <v/>
      </c>
      <c r="C2684" s="59" t="n"/>
      <c r="D2684" s="59" t="n"/>
      <c r="E2684" s="60">
        <f>IF(OR(C2684="",D2684=""),"",MOD(D2684-C2684,1)*24)</f>
        <v/>
      </c>
      <c r="F2684" s="50" t="n"/>
      <c r="G2684" s="51" t="n"/>
      <c r="H2684" s="51" t="n"/>
      <c r="I2684" s="51" t="n"/>
      <c r="J2684" s="51" t="n"/>
      <c r="K2684" s="51" t="n"/>
      <c r="L2684" s="54">
        <f>IF(OR(A2684="",C2684="",D2684=""),"",IF(COUNTIFS($A$5:$A$3004,A2684,$C$5:$C$3004,"&lt;"&amp;D2684,$D$5:$D$3004,"&gt;"&amp;C2684)&gt;1,"⚠️ пересечение",""))</f>
        <v/>
      </c>
      <c r="M2684" s="54">
        <f>IF(F2684="","",IF(J2684="✅ Сделано","✔ ",IF(J2684="❌ Пропущено","✖ ","⏰ "))&amp;IF(C2684="","",RIGHT("0"&amp;HOUR(C2684),2)&amp;":"&amp;RIGHT("0"&amp;MINUTE(C2684),2)&amp;IF(D2684="","","–"&amp;RIGHT("0"&amp;HOUR(D2684),2)&amp;":"&amp;RIGHT("0"&amp;MINUTE(D2684),2))&amp;" ")&amp;F2684)</f>
        <v/>
      </c>
      <c r="N2684" s="54">
        <f>IF(OR(A2684="",F2684=""),"",A2684&amp;"#"&amp;(COUNTIFS($A$5:$A$3004,A2684,$F$5:$F$3004,"?*",$O$5:$O$3004,"&lt;"&amp;O2684)+COUNTIFS($A$5:A2684,A2684,$F$5:F2684,"?*",$O$5:O2684,O2684)))</f>
        <v/>
      </c>
      <c r="O2684" s="54">
        <f>IF(A2684="","",IF(C2684="",0,C2684))</f>
        <v/>
      </c>
    </row>
    <row r="2685">
      <c r="A2685" s="58" t="n"/>
      <c r="B2685" s="49">
        <f>IF(A2685="","",CHOOSE(WEEKDAY(A2685,2),"Пн","Вт","Ср","Чт","Пт","Сб","Вс"))</f>
        <v/>
      </c>
      <c r="C2685" s="59" t="n"/>
      <c r="D2685" s="59" t="n"/>
      <c r="E2685" s="60">
        <f>IF(OR(C2685="",D2685=""),"",MOD(D2685-C2685,1)*24)</f>
        <v/>
      </c>
      <c r="F2685" s="50" t="n"/>
      <c r="G2685" s="51" t="n"/>
      <c r="H2685" s="51" t="n"/>
      <c r="I2685" s="51" t="n"/>
      <c r="J2685" s="51" t="n"/>
      <c r="K2685" s="51" t="n"/>
      <c r="L2685" s="54">
        <f>IF(OR(A2685="",C2685="",D2685=""),"",IF(COUNTIFS($A$5:$A$3004,A2685,$C$5:$C$3004,"&lt;"&amp;D2685,$D$5:$D$3004,"&gt;"&amp;C2685)&gt;1,"⚠️ пересечение",""))</f>
        <v/>
      </c>
      <c r="M2685" s="54">
        <f>IF(F2685="","",IF(J2685="✅ Сделано","✔ ",IF(J2685="❌ Пропущено","✖ ","⏰ "))&amp;IF(C2685="","",RIGHT("0"&amp;HOUR(C2685),2)&amp;":"&amp;RIGHT("0"&amp;MINUTE(C2685),2)&amp;IF(D2685="","","–"&amp;RIGHT("0"&amp;HOUR(D2685),2)&amp;":"&amp;RIGHT("0"&amp;MINUTE(D2685),2))&amp;" ")&amp;F2685)</f>
        <v/>
      </c>
      <c r="N2685" s="54">
        <f>IF(OR(A2685="",F2685=""),"",A2685&amp;"#"&amp;(COUNTIFS($A$5:$A$3004,A2685,$F$5:$F$3004,"?*",$O$5:$O$3004,"&lt;"&amp;O2685)+COUNTIFS($A$5:A2685,A2685,$F$5:F2685,"?*",$O$5:O2685,O2685)))</f>
        <v/>
      </c>
      <c r="O2685" s="54">
        <f>IF(A2685="","",IF(C2685="",0,C2685))</f>
        <v/>
      </c>
    </row>
    <row r="2686">
      <c r="A2686" s="58" t="n"/>
      <c r="B2686" s="49">
        <f>IF(A2686="","",CHOOSE(WEEKDAY(A2686,2),"Пн","Вт","Ср","Чт","Пт","Сб","Вс"))</f>
        <v/>
      </c>
      <c r="C2686" s="59" t="n"/>
      <c r="D2686" s="59" t="n"/>
      <c r="E2686" s="60">
        <f>IF(OR(C2686="",D2686=""),"",MOD(D2686-C2686,1)*24)</f>
        <v/>
      </c>
      <c r="F2686" s="50" t="n"/>
      <c r="G2686" s="51" t="n"/>
      <c r="H2686" s="51" t="n"/>
      <c r="I2686" s="51" t="n"/>
      <c r="J2686" s="51" t="n"/>
      <c r="K2686" s="51" t="n"/>
      <c r="L2686" s="54">
        <f>IF(OR(A2686="",C2686="",D2686=""),"",IF(COUNTIFS($A$5:$A$3004,A2686,$C$5:$C$3004,"&lt;"&amp;D2686,$D$5:$D$3004,"&gt;"&amp;C2686)&gt;1,"⚠️ пересечение",""))</f>
        <v/>
      </c>
      <c r="M2686" s="54">
        <f>IF(F2686="","",IF(J2686="✅ Сделано","✔ ",IF(J2686="❌ Пропущено","✖ ","⏰ "))&amp;IF(C2686="","",RIGHT("0"&amp;HOUR(C2686),2)&amp;":"&amp;RIGHT("0"&amp;MINUTE(C2686),2)&amp;IF(D2686="","","–"&amp;RIGHT("0"&amp;HOUR(D2686),2)&amp;":"&amp;RIGHT("0"&amp;MINUTE(D2686),2))&amp;" ")&amp;F2686)</f>
        <v/>
      </c>
      <c r="N2686" s="54">
        <f>IF(OR(A2686="",F2686=""),"",A2686&amp;"#"&amp;(COUNTIFS($A$5:$A$3004,A2686,$F$5:$F$3004,"?*",$O$5:$O$3004,"&lt;"&amp;O2686)+COUNTIFS($A$5:A2686,A2686,$F$5:F2686,"?*",$O$5:O2686,O2686)))</f>
        <v/>
      </c>
      <c r="O2686" s="54">
        <f>IF(A2686="","",IF(C2686="",0,C2686))</f>
        <v/>
      </c>
    </row>
    <row r="2687">
      <c r="A2687" s="58" t="n"/>
      <c r="B2687" s="49">
        <f>IF(A2687="","",CHOOSE(WEEKDAY(A2687,2),"Пн","Вт","Ср","Чт","Пт","Сб","Вс"))</f>
        <v/>
      </c>
      <c r="C2687" s="59" t="n"/>
      <c r="D2687" s="59" t="n"/>
      <c r="E2687" s="60">
        <f>IF(OR(C2687="",D2687=""),"",MOD(D2687-C2687,1)*24)</f>
        <v/>
      </c>
      <c r="F2687" s="50" t="n"/>
      <c r="G2687" s="51" t="n"/>
      <c r="H2687" s="51" t="n"/>
      <c r="I2687" s="51" t="n"/>
      <c r="J2687" s="51" t="n"/>
      <c r="K2687" s="51" t="n"/>
      <c r="L2687" s="54">
        <f>IF(OR(A2687="",C2687="",D2687=""),"",IF(COUNTIFS($A$5:$A$3004,A2687,$C$5:$C$3004,"&lt;"&amp;D2687,$D$5:$D$3004,"&gt;"&amp;C2687)&gt;1,"⚠️ пересечение",""))</f>
        <v/>
      </c>
      <c r="M2687" s="54">
        <f>IF(F2687="","",IF(J2687="✅ Сделано","✔ ",IF(J2687="❌ Пропущено","✖ ","⏰ "))&amp;IF(C2687="","",RIGHT("0"&amp;HOUR(C2687),2)&amp;":"&amp;RIGHT("0"&amp;MINUTE(C2687),2)&amp;IF(D2687="","","–"&amp;RIGHT("0"&amp;HOUR(D2687),2)&amp;":"&amp;RIGHT("0"&amp;MINUTE(D2687),2))&amp;" ")&amp;F2687)</f>
        <v/>
      </c>
      <c r="N2687" s="54">
        <f>IF(OR(A2687="",F2687=""),"",A2687&amp;"#"&amp;(COUNTIFS($A$5:$A$3004,A2687,$F$5:$F$3004,"?*",$O$5:$O$3004,"&lt;"&amp;O2687)+COUNTIFS($A$5:A2687,A2687,$F$5:F2687,"?*",$O$5:O2687,O2687)))</f>
        <v/>
      </c>
      <c r="O2687" s="54">
        <f>IF(A2687="","",IF(C2687="",0,C2687))</f>
        <v/>
      </c>
    </row>
    <row r="2688">
      <c r="A2688" s="58" t="n"/>
      <c r="B2688" s="49">
        <f>IF(A2688="","",CHOOSE(WEEKDAY(A2688,2),"Пн","Вт","Ср","Чт","Пт","Сб","Вс"))</f>
        <v/>
      </c>
      <c r="C2688" s="59" t="n"/>
      <c r="D2688" s="59" t="n"/>
      <c r="E2688" s="60">
        <f>IF(OR(C2688="",D2688=""),"",MOD(D2688-C2688,1)*24)</f>
        <v/>
      </c>
      <c r="F2688" s="50" t="n"/>
      <c r="G2688" s="51" t="n"/>
      <c r="H2688" s="51" t="n"/>
      <c r="I2688" s="51" t="n"/>
      <c r="J2688" s="51" t="n"/>
      <c r="K2688" s="51" t="n"/>
      <c r="L2688" s="54">
        <f>IF(OR(A2688="",C2688="",D2688=""),"",IF(COUNTIFS($A$5:$A$3004,A2688,$C$5:$C$3004,"&lt;"&amp;D2688,$D$5:$D$3004,"&gt;"&amp;C2688)&gt;1,"⚠️ пересечение",""))</f>
        <v/>
      </c>
      <c r="M2688" s="54">
        <f>IF(F2688="","",IF(J2688="✅ Сделано","✔ ",IF(J2688="❌ Пропущено","✖ ","⏰ "))&amp;IF(C2688="","",RIGHT("0"&amp;HOUR(C2688),2)&amp;":"&amp;RIGHT("0"&amp;MINUTE(C2688),2)&amp;IF(D2688="","","–"&amp;RIGHT("0"&amp;HOUR(D2688),2)&amp;":"&amp;RIGHT("0"&amp;MINUTE(D2688),2))&amp;" ")&amp;F2688)</f>
        <v/>
      </c>
      <c r="N2688" s="54">
        <f>IF(OR(A2688="",F2688=""),"",A2688&amp;"#"&amp;(COUNTIFS($A$5:$A$3004,A2688,$F$5:$F$3004,"?*",$O$5:$O$3004,"&lt;"&amp;O2688)+COUNTIFS($A$5:A2688,A2688,$F$5:F2688,"?*",$O$5:O2688,O2688)))</f>
        <v/>
      </c>
      <c r="O2688" s="54">
        <f>IF(A2688="","",IF(C2688="",0,C2688))</f>
        <v/>
      </c>
    </row>
    <row r="2689">
      <c r="A2689" s="58" t="n"/>
      <c r="B2689" s="49">
        <f>IF(A2689="","",CHOOSE(WEEKDAY(A2689,2),"Пн","Вт","Ср","Чт","Пт","Сб","Вс"))</f>
        <v/>
      </c>
      <c r="C2689" s="59" t="n"/>
      <c r="D2689" s="59" t="n"/>
      <c r="E2689" s="60">
        <f>IF(OR(C2689="",D2689=""),"",MOD(D2689-C2689,1)*24)</f>
        <v/>
      </c>
      <c r="F2689" s="50" t="n"/>
      <c r="G2689" s="51" t="n"/>
      <c r="H2689" s="51" t="n"/>
      <c r="I2689" s="51" t="n"/>
      <c r="J2689" s="51" t="n"/>
      <c r="K2689" s="51" t="n"/>
      <c r="L2689" s="54">
        <f>IF(OR(A2689="",C2689="",D2689=""),"",IF(COUNTIFS($A$5:$A$3004,A2689,$C$5:$C$3004,"&lt;"&amp;D2689,$D$5:$D$3004,"&gt;"&amp;C2689)&gt;1,"⚠️ пересечение",""))</f>
        <v/>
      </c>
      <c r="M2689" s="54">
        <f>IF(F2689="","",IF(J2689="✅ Сделано","✔ ",IF(J2689="❌ Пропущено","✖ ","⏰ "))&amp;IF(C2689="","",RIGHT("0"&amp;HOUR(C2689),2)&amp;":"&amp;RIGHT("0"&amp;MINUTE(C2689),2)&amp;IF(D2689="","","–"&amp;RIGHT("0"&amp;HOUR(D2689),2)&amp;":"&amp;RIGHT("0"&amp;MINUTE(D2689),2))&amp;" ")&amp;F2689)</f>
        <v/>
      </c>
      <c r="N2689" s="54">
        <f>IF(OR(A2689="",F2689=""),"",A2689&amp;"#"&amp;(COUNTIFS($A$5:$A$3004,A2689,$F$5:$F$3004,"?*",$O$5:$O$3004,"&lt;"&amp;O2689)+COUNTIFS($A$5:A2689,A2689,$F$5:F2689,"?*",$O$5:O2689,O2689)))</f>
        <v/>
      </c>
      <c r="O2689" s="54">
        <f>IF(A2689="","",IF(C2689="",0,C2689))</f>
        <v/>
      </c>
    </row>
    <row r="2690">
      <c r="A2690" s="58" t="n"/>
      <c r="B2690" s="49">
        <f>IF(A2690="","",CHOOSE(WEEKDAY(A2690,2),"Пн","Вт","Ср","Чт","Пт","Сб","Вс"))</f>
        <v/>
      </c>
      <c r="C2690" s="59" t="n"/>
      <c r="D2690" s="59" t="n"/>
      <c r="E2690" s="60">
        <f>IF(OR(C2690="",D2690=""),"",MOD(D2690-C2690,1)*24)</f>
        <v/>
      </c>
      <c r="F2690" s="50" t="n"/>
      <c r="G2690" s="51" t="n"/>
      <c r="H2690" s="51" t="n"/>
      <c r="I2690" s="51" t="n"/>
      <c r="J2690" s="51" t="n"/>
      <c r="K2690" s="51" t="n"/>
      <c r="L2690" s="54">
        <f>IF(OR(A2690="",C2690="",D2690=""),"",IF(COUNTIFS($A$5:$A$3004,A2690,$C$5:$C$3004,"&lt;"&amp;D2690,$D$5:$D$3004,"&gt;"&amp;C2690)&gt;1,"⚠️ пересечение",""))</f>
        <v/>
      </c>
      <c r="M2690" s="54">
        <f>IF(F2690="","",IF(J2690="✅ Сделано","✔ ",IF(J2690="❌ Пропущено","✖ ","⏰ "))&amp;IF(C2690="","",RIGHT("0"&amp;HOUR(C2690),2)&amp;":"&amp;RIGHT("0"&amp;MINUTE(C2690),2)&amp;IF(D2690="","","–"&amp;RIGHT("0"&amp;HOUR(D2690),2)&amp;":"&amp;RIGHT("0"&amp;MINUTE(D2690),2))&amp;" ")&amp;F2690)</f>
        <v/>
      </c>
      <c r="N2690" s="54">
        <f>IF(OR(A2690="",F2690=""),"",A2690&amp;"#"&amp;(COUNTIFS($A$5:$A$3004,A2690,$F$5:$F$3004,"?*",$O$5:$O$3004,"&lt;"&amp;O2690)+COUNTIFS($A$5:A2690,A2690,$F$5:F2690,"?*",$O$5:O2690,O2690)))</f>
        <v/>
      </c>
      <c r="O2690" s="54">
        <f>IF(A2690="","",IF(C2690="",0,C2690))</f>
        <v/>
      </c>
    </row>
    <row r="2691">
      <c r="A2691" s="58" t="n"/>
      <c r="B2691" s="49">
        <f>IF(A2691="","",CHOOSE(WEEKDAY(A2691,2),"Пн","Вт","Ср","Чт","Пт","Сб","Вс"))</f>
        <v/>
      </c>
      <c r="C2691" s="59" t="n"/>
      <c r="D2691" s="59" t="n"/>
      <c r="E2691" s="60">
        <f>IF(OR(C2691="",D2691=""),"",MOD(D2691-C2691,1)*24)</f>
        <v/>
      </c>
      <c r="F2691" s="50" t="n"/>
      <c r="G2691" s="51" t="n"/>
      <c r="H2691" s="51" t="n"/>
      <c r="I2691" s="51" t="n"/>
      <c r="J2691" s="51" t="n"/>
      <c r="K2691" s="51" t="n"/>
      <c r="L2691" s="54">
        <f>IF(OR(A2691="",C2691="",D2691=""),"",IF(COUNTIFS($A$5:$A$3004,A2691,$C$5:$C$3004,"&lt;"&amp;D2691,$D$5:$D$3004,"&gt;"&amp;C2691)&gt;1,"⚠️ пересечение",""))</f>
        <v/>
      </c>
      <c r="M2691" s="54">
        <f>IF(F2691="","",IF(J2691="✅ Сделано","✔ ",IF(J2691="❌ Пропущено","✖ ","⏰ "))&amp;IF(C2691="","",RIGHT("0"&amp;HOUR(C2691),2)&amp;":"&amp;RIGHT("0"&amp;MINUTE(C2691),2)&amp;IF(D2691="","","–"&amp;RIGHT("0"&amp;HOUR(D2691),2)&amp;":"&amp;RIGHT("0"&amp;MINUTE(D2691),2))&amp;" ")&amp;F2691)</f>
        <v/>
      </c>
      <c r="N2691" s="54">
        <f>IF(OR(A2691="",F2691=""),"",A2691&amp;"#"&amp;(COUNTIFS($A$5:$A$3004,A2691,$F$5:$F$3004,"?*",$O$5:$O$3004,"&lt;"&amp;O2691)+COUNTIFS($A$5:A2691,A2691,$F$5:F2691,"?*",$O$5:O2691,O2691)))</f>
        <v/>
      </c>
      <c r="O2691" s="54">
        <f>IF(A2691="","",IF(C2691="",0,C2691))</f>
        <v/>
      </c>
    </row>
    <row r="2692">
      <c r="A2692" s="58" t="n"/>
      <c r="B2692" s="49">
        <f>IF(A2692="","",CHOOSE(WEEKDAY(A2692,2),"Пн","Вт","Ср","Чт","Пт","Сб","Вс"))</f>
        <v/>
      </c>
      <c r="C2692" s="59" t="n"/>
      <c r="D2692" s="59" t="n"/>
      <c r="E2692" s="60">
        <f>IF(OR(C2692="",D2692=""),"",MOD(D2692-C2692,1)*24)</f>
        <v/>
      </c>
      <c r="F2692" s="50" t="n"/>
      <c r="G2692" s="51" t="n"/>
      <c r="H2692" s="51" t="n"/>
      <c r="I2692" s="51" t="n"/>
      <c r="J2692" s="51" t="n"/>
      <c r="K2692" s="51" t="n"/>
      <c r="L2692" s="54">
        <f>IF(OR(A2692="",C2692="",D2692=""),"",IF(COUNTIFS($A$5:$A$3004,A2692,$C$5:$C$3004,"&lt;"&amp;D2692,$D$5:$D$3004,"&gt;"&amp;C2692)&gt;1,"⚠️ пересечение",""))</f>
        <v/>
      </c>
      <c r="M2692" s="54">
        <f>IF(F2692="","",IF(J2692="✅ Сделано","✔ ",IF(J2692="❌ Пропущено","✖ ","⏰ "))&amp;IF(C2692="","",RIGHT("0"&amp;HOUR(C2692),2)&amp;":"&amp;RIGHT("0"&amp;MINUTE(C2692),2)&amp;IF(D2692="","","–"&amp;RIGHT("0"&amp;HOUR(D2692),2)&amp;":"&amp;RIGHT("0"&amp;MINUTE(D2692),2))&amp;" ")&amp;F2692)</f>
        <v/>
      </c>
      <c r="N2692" s="54">
        <f>IF(OR(A2692="",F2692=""),"",A2692&amp;"#"&amp;(COUNTIFS($A$5:$A$3004,A2692,$F$5:$F$3004,"?*",$O$5:$O$3004,"&lt;"&amp;O2692)+COUNTIFS($A$5:A2692,A2692,$F$5:F2692,"?*",$O$5:O2692,O2692)))</f>
        <v/>
      </c>
      <c r="O2692" s="54">
        <f>IF(A2692="","",IF(C2692="",0,C2692))</f>
        <v/>
      </c>
    </row>
    <row r="2693">
      <c r="A2693" s="58" t="n"/>
      <c r="B2693" s="49">
        <f>IF(A2693="","",CHOOSE(WEEKDAY(A2693,2),"Пн","Вт","Ср","Чт","Пт","Сб","Вс"))</f>
        <v/>
      </c>
      <c r="C2693" s="59" t="n"/>
      <c r="D2693" s="59" t="n"/>
      <c r="E2693" s="60">
        <f>IF(OR(C2693="",D2693=""),"",MOD(D2693-C2693,1)*24)</f>
        <v/>
      </c>
      <c r="F2693" s="50" t="n"/>
      <c r="G2693" s="51" t="n"/>
      <c r="H2693" s="51" t="n"/>
      <c r="I2693" s="51" t="n"/>
      <c r="J2693" s="51" t="n"/>
      <c r="K2693" s="51" t="n"/>
      <c r="L2693" s="54">
        <f>IF(OR(A2693="",C2693="",D2693=""),"",IF(COUNTIFS($A$5:$A$3004,A2693,$C$5:$C$3004,"&lt;"&amp;D2693,$D$5:$D$3004,"&gt;"&amp;C2693)&gt;1,"⚠️ пересечение",""))</f>
        <v/>
      </c>
      <c r="M2693" s="54">
        <f>IF(F2693="","",IF(J2693="✅ Сделано","✔ ",IF(J2693="❌ Пропущено","✖ ","⏰ "))&amp;IF(C2693="","",RIGHT("0"&amp;HOUR(C2693),2)&amp;":"&amp;RIGHT("0"&amp;MINUTE(C2693),2)&amp;IF(D2693="","","–"&amp;RIGHT("0"&amp;HOUR(D2693),2)&amp;":"&amp;RIGHT("0"&amp;MINUTE(D2693),2))&amp;" ")&amp;F2693)</f>
        <v/>
      </c>
      <c r="N2693" s="54">
        <f>IF(OR(A2693="",F2693=""),"",A2693&amp;"#"&amp;(COUNTIFS($A$5:$A$3004,A2693,$F$5:$F$3004,"?*",$O$5:$O$3004,"&lt;"&amp;O2693)+COUNTIFS($A$5:A2693,A2693,$F$5:F2693,"?*",$O$5:O2693,O2693)))</f>
        <v/>
      </c>
      <c r="O2693" s="54">
        <f>IF(A2693="","",IF(C2693="",0,C2693))</f>
        <v/>
      </c>
    </row>
    <row r="2694">
      <c r="A2694" s="58" t="n"/>
      <c r="B2694" s="49">
        <f>IF(A2694="","",CHOOSE(WEEKDAY(A2694,2),"Пн","Вт","Ср","Чт","Пт","Сб","Вс"))</f>
        <v/>
      </c>
      <c r="C2694" s="59" t="n"/>
      <c r="D2694" s="59" t="n"/>
      <c r="E2694" s="60">
        <f>IF(OR(C2694="",D2694=""),"",MOD(D2694-C2694,1)*24)</f>
        <v/>
      </c>
      <c r="F2694" s="50" t="n"/>
      <c r="G2694" s="51" t="n"/>
      <c r="H2694" s="51" t="n"/>
      <c r="I2694" s="51" t="n"/>
      <c r="J2694" s="51" t="n"/>
      <c r="K2694" s="51" t="n"/>
      <c r="L2694" s="54">
        <f>IF(OR(A2694="",C2694="",D2694=""),"",IF(COUNTIFS($A$5:$A$3004,A2694,$C$5:$C$3004,"&lt;"&amp;D2694,$D$5:$D$3004,"&gt;"&amp;C2694)&gt;1,"⚠️ пересечение",""))</f>
        <v/>
      </c>
      <c r="M2694" s="54">
        <f>IF(F2694="","",IF(J2694="✅ Сделано","✔ ",IF(J2694="❌ Пропущено","✖ ","⏰ "))&amp;IF(C2694="","",RIGHT("0"&amp;HOUR(C2694),2)&amp;":"&amp;RIGHT("0"&amp;MINUTE(C2694),2)&amp;IF(D2694="","","–"&amp;RIGHT("0"&amp;HOUR(D2694),2)&amp;":"&amp;RIGHT("0"&amp;MINUTE(D2694),2))&amp;" ")&amp;F2694)</f>
        <v/>
      </c>
      <c r="N2694" s="54">
        <f>IF(OR(A2694="",F2694=""),"",A2694&amp;"#"&amp;(COUNTIFS($A$5:$A$3004,A2694,$F$5:$F$3004,"?*",$O$5:$O$3004,"&lt;"&amp;O2694)+COUNTIFS($A$5:A2694,A2694,$F$5:F2694,"?*",$O$5:O2694,O2694)))</f>
        <v/>
      </c>
      <c r="O2694" s="54">
        <f>IF(A2694="","",IF(C2694="",0,C2694))</f>
        <v/>
      </c>
    </row>
    <row r="2695">
      <c r="A2695" s="58" t="n"/>
      <c r="B2695" s="49">
        <f>IF(A2695="","",CHOOSE(WEEKDAY(A2695,2),"Пн","Вт","Ср","Чт","Пт","Сб","Вс"))</f>
        <v/>
      </c>
      <c r="C2695" s="59" t="n"/>
      <c r="D2695" s="59" t="n"/>
      <c r="E2695" s="60">
        <f>IF(OR(C2695="",D2695=""),"",MOD(D2695-C2695,1)*24)</f>
        <v/>
      </c>
      <c r="F2695" s="50" t="n"/>
      <c r="G2695" s="51" t="n"/>
      <c r="H2695" s="51" t="n"/>
      <c r="I2695" s="51" t="n"/>
      <c r="J2695" s="51" t="n"/>
      <c r="K2695" s="51" t="n"/>
      <c r="L2695" s="54">
        <f>IF(OR(A2695="",C2695="",D2695=""),"",IF(COUNTIFS($A$5:$A$3004,A2695,$C$5:$C$3004,"&lt;"&amp;D2695,$D$5:$D$3004,"&gt;"&amp;C2695)&gt;1,"⚠️ пересечение",""))</f>
        <v/>
      </c>
      <c r="M2695" s="54">
        <f>IF(F2695="","",IF(J2695="✅ Сделано","✔ ",IF(J2695="❌ Пропущено","✖ ","⏰ "))&amp;IF(C2695="","",RIGHT("0"&amp;HOUR(C2695),2)&amp;":"&amp;RIGHT("0"&amp;MINUTE(C2695),2)&amp;IF(D2695="","","–"&amp;RIGHT("0"&amp;HOUR(D2695),2)&amp;":"&amp;RIGHT("0"&amp;MINUTE(D2695),2))&amp;" ")&amp;F2695)</f>
        <v/>
      </c>
      <c r="N2695" s="54">
        <f>IF(OR(A2695="",F2695=""),"",A2695&amp;"#"&amp;(COUNTIFS($A$5:$A$3004,A2695,$F$5:$F$3004,"?*",$O$5:$O$3004,"&lt;"&amp;O2695)+COUNTIFS($A$5:A2695,A2695,$F$5:F2695,"?*",$O$5:O2695,O2695)))</f>
        <v/>
      </c>
      <c r="O2695" s="54">
        <f>IF(A2695="","",IF(C2695="",0,C2695))</f>
        <v/>
      </c>
    </row>
    <row r="2696">
      <c r="A2696" s="58" t="n"/>
      <c r="B2696" s="49">
        <f>IF(A2696="","",CHOOSE(WEEKDAY(A2696,2),"Пн","Вт","Ср","Чт","Пт","Сб","Вс"))</f>
        <v/>
      </c>
      <c r="C2696" s="59" t="n"/>
      <c r="D2696" s="59" t="n"/>
      <c r="E2696" s="60">
        <f>IF(OR(C2696="",D2696=""),"",MOD(D2696-C2696,1)*24)</f>
        <v/>
      </c>
      <c r="F2696" s="50" t="n"/>
      <c r="G2696" s="51" t="n"/>
      <c r="H2696" s="51" t="n"/>
      <c r="I2696" s="51" t="n"/>
      <c r="J2696" s="51" t="n"/>
      <c r="K2696" s="51" t="n"/>
      <c r="L2696" s="54">
        <f>IF(OR(A2696="",C2696="",D2696=""),"",IF(COUNTIFS($A$5:$A$3004,A2696,$C$5:$C$3004,"&lt;"&amp;D2696,$D$5:$D$3004,"&gt;"&amp;C2696)&gt;1,"⚠️ пересечение",""))</f>
        <v/>
      </c>
      <c r="M2696" s="54">
        <f>IF(F2696="","",IF(J2696="✅ Сделано","✔ ",IF(J2696="❌ Пропущено","✖ ","⏰ "))&amp;IF(C2696="","",RIGHT("0"&amp;HOUR(C2696),2)&amp;":"&amp;RIGHT("0"&amp;MINUTE(C2696),2)&amp;IF(D2696="","","–"&amp;RIGHT("0"&amp;HOUR(D2696),2)&amp;":"&amp;RIGHT("0"&amp;MINUTE(D2696),2))&amp;" ")&amp;F2696)</f>
        <v/>
      </c>
      <c r="N2696" s="54">
        <f>IF(OR(A2696="",F2696=""),"",A2696&amp;"#"&amp;(COUNTIFS($A$5:$A$3004,A2696,$F$5:$F$3004,"?*",$O$5:$O$3004,"&lt;"&amp;O2696)+COUNTIFS($A$5:A2696,A2696,$F$5:F2696,"?*",$O$5:O2696,O2696)))</f>
        <v/>
      </c>
      <c r="O2696" s="54">
        <f>IF(A2696="","",IF(C2696="",0,C2696))</f>
        <v/>
      </c>
    </row>
    <row r="2697">
      <c r="A2697" s="58" t="n"/>
      <c r="B2697" s="49">
        <f>IF(A2697="","",CHOOSE(WEEKDAY(A2697,2),"Пн","Вт","Ср","Чт","Пт","Сб","Вс"))</f>
        <v/>
      </c>
      <c r="C2697" s="59" t="n"/>
      <c r="D2697" s="59" t="n"/>
      <c r="E2697" s="60">
        <f>IF(OR(C2697="",D2697=""),"",MOD(D2697-C2697,1)*24)</f>
        <v/>
      </c>
      <c r="F2697" s="50" t="n"/>
      <c r="G2697" s="51" t="n"/>
      <c r="H2697" s="51" t="n"/>
      <c r="I2697" s="51" t="n"/>
      <c r="J2697" s="51" t="n"/>
      <c r="K2697" s="51" t="n"/>
      <c r="L2697" s="54">
        <f>IF(OR(A2697="",C2697="",D2697=""),"",IF(COUNTIFS($A$5:$A$3004,A2697,$C$5:$C$3004,"&lt;"&amp;D2697,$D$5:$D$3004,"&gt;"&amp;C2697)&gt;1,"⚠️ пересечение",""))</f>
        <v/>
      </c>
      <c r="M2697" s="54">
        <f>IF(F2697="","",IF(J2697="✅ Сделано","✔ ",IF(J2697="❌ Пропущено","✖ ","⏰ "))&amp;IF(C2697="","",RIGHT("0"&amp;HOUR(C2697),2)&amp;":"&amp;RIGHT("0"&amp;MINUTE(C2697),2)&amp;IF(D2697="","","–"&amp;RIGHT("0"&amp;HOUR(D2697),2)&amp;":"&amp;RIGHT("0"&amp;MINUTE(D2697),2))&amp;" ")&amp;F2697)</f>
        <v/>
      </c>
      <c r="N2697" s="54">
        <f>IF(OR(A2697="",F2697=""),"",A2697&amp;"#"&amp;(COUNTIFS($A$5:$A$3004,A2697,$F$5:$F$3004,"?*",$O$5:$O$3004,"&lt;"&amp;O2697)+COUNTIFS($A$5:A2697,A2697,$F$5:F2697,"?*",$O$5:O2697,O2697)))</f>
        <v/>
      </c>
      <c r="O2697" s="54">
        <f>IF(A2697="","",IF(C2697="",0,C2697))</f>
        <v/>
      </c>
    </row>
    <row r="2698">
      <c r="A2698" s="58" t="n"/>
      <c r="B2698" s="49">
        <f>IF(A2698="","",CHOOSE(WEEKDAY(A2698,2),"Пн","Вт","Ср","Чт","Пт","Сб","Вс"))</f>
        <v/>
      </c>
      <c r="C2698" s="59" t="n"/>
      <c r="D2698" s="59" t="n"/>
      <c r="E2698" s="60">
        <f>IF(OR(C2698="",D2698=""),"",MOD(D2698-C2698,1)*24)</f>
        <v/>
      </c>
      <c r="F2698" s="50" t="n"/>
      <c r="G2698" s="51" t="n"/>
      <c r="H2698" s="51" t="n"/>
      <c r="I2698" s="51" t="n"/>
      <c r="J2698" s="51" t="n"/>
      <c r="K2698" s="51" t="n"/>
      <c r="L2698" s="54">
        <f>IF(OR(A2698="",C2698="",D2698=""),"",IF(COUNTIFS($A$5:$A$3004,A2698,$C$5:$C$3004,"&lt;"&amp;D2698,$D$5:$D$3004,"&gt;"&amp;C2698)&gt;1,"⚠️ пересечение",""))</f>
        <v/>
      </c>
      <c r="M2698" s="54">
        <f>IF(F2698="","",IF(J2698="✅ Сделано","✔ ",IF(J2698="❌ Пропущено","✖ ","⏰ "))&amp;IF(C2698="","",RIGHT("0"&amp;HOUR(C2698),2)&amp;":"&amp;RIGHT("0"&amp;MINUTE(C2698),2)&amp;IF(D2698="","","–"&amp;RIGHT("0"&amp;HOUR(D2698),2)&amp;":"&amp;RIGHT("0"&amp;MINUTE(D2698),2))&amp;" ")&amp;F2698)</f>
        <v/>
      </c>
      <c r="N2698" s="54">
        <f>IF(OR(A2698="",F2698=""),"",A2698&amp;"#"&amp;(COUNTIFS($A$5:$A$3004,A2698,$F$5:$F$3004,"?*",$O$5:$O$3004,"&lt;"&amp;O2698)+COUNTIFS($A$5:A2698,A2698,$F$5:F2698,"?*",$O$5:O2698,O2698)))</f>
        <v/>
      </c>
      <c r="O2698" s="54">
        <f>IF(A2698="","",IF(C2698="",0,C2698))</f>
        <v/>
      </c>
    </row>
    <row r="2699">
      <c r="A2699" s="58" t="n"/>
      <c r="B2699" s="49">
        <f>IF(A2699="","",CHOOSE(WEEKDAY(A2699,2),"Пн","Вт","Ср","Чт","Пт","Сб","Вс"))</f>
        <v/>
      </c>
      <c r="C2699" s="59" t="n"/>
      <c r="D2699" s="59" t="n"/>
      <c r="E2699" s="60">
        <f>IF(OR(C2699="",D2699=""),"",MOD(D2699-C2699,1)*24)</f>
        <v/>
      </c>
      <c r="F2699" s="50" t="n"/>
      <c r="G2699" s="51" t="n"/>
      <c r="H2699" s="51" t="n"/>
      <c r="I2699" s="51" t="n"/>
      <c r="J2699" s="51" t="n"/>
      <c r="K2699" s="51" t="n"/>
      <c r="L2699" s="54">
        <f>IF(OR(A2699="",C2699="",D2699=""),"",IF(COUNTIFS($A$5:$A$3004,A2699,$C$5:$C$3004,"&lt;"&amp;D2699,$D$5:$D$3004,"&gt;"&amp;C2699)&gt;1,"⚠️ пересечение",""))</f>
        <v/>
      </c>
      <c r="M2699" s="54">
        <f>IF(F2699="","",IF(J2699="✅ Сделано","✔ ",IF(J2699="❌ Пропущено","✖ ","⏰ "))&amp;IF(C2699="","",RIGHT("0"&amp;HOUR(C2699),2)&amp;":"&amp;RIGHT("0"&amp;MINUTE(C2699),2)&amp;IF(D2699="","","–"&amp;RIGHT("0"&amp;HOUR(D2699),2)&amp;":"&amp;RIGHT("0"&amp;MINUTE(D2699),2))&amp;" ")&amp;F2699)</f>
        <v/>
      </c>
      <c r="N2699" s="54">
        <f>IF(OR(A2699="",F2699=""),"",A2699&amp;"#"&amp;(COUNTIFS($A$5:$A$3004,A2699,$F$5:$F$3004,"?*",$O$5:$O$3004,"&lt;"&amp;O2699)+COUNTIFS($A$5:A2699,A2699,$F$5:F2699,"?*",$O$5:O2699,O2699)))</f>
        <v/>
      </c>
      <c r="O2699" s="54">
        <f>IF(A2699="","",IF(C2699="",0,C2699))</f>
        <v/>
      </c>
    </row>
    <row r="2700">
      <c r="A2700" s="58" t="n"/>
      <c r="B2700" s="49">
        <f>IF(A2700="","",CHOOSE(WEEKDAY(A2700,2),"Пн","Вт","Ср","Чт","Пт","Сб","Вс"))</f>
        <v/>
      </c>
      <c r="C2700" s="59" t="n"/>
      <c r="D2700" s="59" t="n"/>
      <c r="E2700" s="60">
        <f>IF(OR(C2700="",D2700=""),"",MOD(D2700-C2700,1)*24)</f>
        <v/>
      </c>
      <c r="F2700" s="50" t="n"/>
      <c r="G2700" s="51" t="n"/>
      <c r="H2700" s="51" t="n"/>
      <c r="I2700" s="51" t="n"/>
      <c r="J2700" s="51" t="n"/>
      <c r="K2700" s="51" t="n"/>
      <c r="L2700" s="54">
        <f>IF(OR(A2700="",C2700="",D2700=""),"",IF(COUNTIFS($A$5:$A$3004,A2700,$C$5:$C$3004,"&lt;"&amp;D2700,$D$5:$D$3004,"&gt;"&amp;C2700)&gt;1,"⚠️ пересечение",""))</f>
        <v/>
      </c>
      <c r="M2700" s="54">
        <f>IF(F2700="","",IF(J2700="✅ Сделано","✔ ",IF(J2700="❌ Пропущено","✖ ","⏰ "))&amp;IF(C2700="","",RIGHT("0"&amp;HOUR(C2700),2)&amp;":"&amp;RIGHT("0"&amp;MINUTE(C2700),2)&amp;IF(D2700="","","–"&amp;RIGHT("0"&amp;HOUR(D2700),2)&amp;":"&amp;RIGHT("0"&amp;MINUTE(D2700),2))&amp;" ")&amp;F2700)</f>
        <v/>
      </c>
      <c r="N2700" s="54">
        <f>IF(OR(A2700="",F2700=""),"",A2700&amp;"#"&amp;(COUNTIFS($A$5:$A$3004,A2700,$F$5:$F$3004,"?*",$O$5:$O$3004,"&lt;"&amp;O2700)+COUNTIFS($A$5:A2700,A2700,$F$5:F2700,"?*",$O$5:O2700,O2700)))</f>
        <v/>
      </c>
      <c r="O2700" s="54">
        <f>IF(A2700="","",IF(C2700="",0,C2700))</f>
        <v/>
      </c>
    </row>
    <row r="2701">
      <c r="A2701" s="58" t="n"/>
      <c r="B2701" s="49">
        <f>IF(A2701="","",CHOOSE(WEEKDAY(A2701,2),"Пн","Вт","Ср","Чт","Пт","Сб","Вс"))</f>
        <v/>
      </c>
      <c r="C2701" s="59" t="n"/>
      <c r="D2701" s="59" t="n"/>
      <c r="E2701" s="60">
        <f>IF(OR(C2701="",D2701=""),"",MOD(D2701-C2701,1)*24)</f>
        <v/>
      </c>
      <c r="F2701" s="50" t="n"/>
      <c r="G2701" s="51" t="n"/>
      <c r="H2701" s="51" t="n"/>
      <c r="I2701" s="51" t="n"/>
      <c r="J2701" s="51" t="n"/>
      <c r="K2701" s="51" t="n"/>
      <c r="L2701" s="54">
        <f>IF(OR(A2701="",C2701="",D2701=""),"",IF(COUNTIFS($A$5:$A$3004,A2701,$C$5:$C$3004,"&lt;"&amp;D2701,$D$5:$D$3004,"&gt;"&amp;C2701)&gt;1,"⚠️ пересечение",""))</f>
        <v/>
      </c>
      <c r="M2701" s="54">
        <f>IF(F2701="","",IF(J2701="✅ Сделано","✔ ",IF(J2701="❌ Пропущено","✖ ","⏰ "))&amp;IF(C2701="","",RIGHT("0"&amp;HOUR(C2701),2)&amp;":"&amp;RIGHT("0"&amp;MINUTE(C2701),2)&amp;IF(D2701="","","–"&amp;RIGHT("0"&amp;HOUR(D2701),2)&amp;":"&amp;RIGHT("0"&amp;MINUTE(D2701),2))&amp;" ")&amp;F2701)</f>
        <v/>
      </c>
      <c r="N2701" s="54">
        <f>IF(OR(A2701="",F2701=""),"",A2701&amp;"#"&amp;(COUNTIFS($A$5:$A$3004,A2701,$F$5:$F$3004,"?*",$O$5:$O$3004,"&lt;"&amp;O2701)+COUNTIFS($A$5:A2701,A2701,$F$5:F2701,"?*",$O$5:O2701,O2701)))</f>
        <v/>
      </c>
      <c r="O2701" s="54">
        <f>IF(A2701="","",IF(C2701="",0,C2701))</f>
        <v/>
      </c>
    </row>
    <row r="2702">
      <c r="A2702" s="58" t="n"/>
      <c r="B2702" s="49">
        <f>IF(A2702="","",CHOOSE(WEEKDAY(A2702,2),"Пн","Вт","Ср","Чт","Пт","Сб","Вс"))</f>
        <v/>
      </c>
      <c r="C2702" s="59" t="n"/>
      <c r="D2702" s="59" t="n"/>
      <c r="E2702" s="60">
        <f>IF(OR(C2702="",D2702=""),"",MOD(D2702-C2702,1)*24)</f>
        <v/>
      </c>
      <c r="F2702" s="50" t="n"/>
      <c r="G2702" s="51" t="n"/>
      <c r="H2702" s="51" t="n"/>
      <c r="I2702" s="51" t="n"/>
      <c r="J2702" s="51" t="n"/>
      <c r="K2702" s="51" t="n"/>
      <c r="L2702" s="54">
        <f>IF(OR(A2702="",C2702="",D2702=""),"",IF(COUNTIFS($A$5:$A$3004,A2702,$C$5:$C$3004,"&lt;"&amp;D2702,$D$5:$D$3004,"&gt;"&amp;C2702)&gt;1,"⚠️ пересечение",""))</f>
        <v/>
      </c>
      <c r="M2702" s="54">
        <f>IF(F2702="","",IF(J2702="✅ Сделано","✔ ",IF(J2702="❌ Пропущено","✖ ","⏰ "))&amp;IF(C2702="","",RIGHT("0"&amp;HOUR(C2702),2)&amp;":"&amp;RIGHT("0"&amp;MINUTE(C2702),2)&amp;IF(D2702="","","–"&amp;RIGHT("0"&amp;HOUR(D2702),2)&amp;":"&amp;RIGHT("0"&amp;MINUTE(D2702),2))&amp;" ")&amp;F2702)</f>
        <v/>
      </c>
      <c r="N2702" s="54">
        <f>IF(OR(A2702="",F2702=""),"",A2702&amp;"#"&amp;(COUNTIFS($A$5:$A$3004,A2702,$F$5:$F$3004,"?*",$O$5:$O$3004,"&lt;"&amp;O2702)+COUNTIFS($A$5:A2702,A2702,$F$5:F2702,"?*",$O$5:O2702,O2702)))</f>
        <v/>
      </c>
      <c r="O2702" s="54">
        <f>IF(A2702="","",IF(C2702="",0,C2702))</f>
        <v/>
      </c>
    </row>
    <row r="2703">
      <c r="A2703" s="58" t="n"/>
      <c r="B2703" s="49">
        <f>IF(A2703="","",CHOOSE(WEEKDAY(A2703,2),"Пн","Вт","Ср","Чт","Пт","Сб","Вс"))</f>
        <v/>
      </c>
      <c r="C2703" s="59" t="n"/>
      <c r="D2703" s="59" t="n"/>
      <c r="E2703" s="60">
        <f>IF(OR(C2703="",D2703=""),"",MOD(D2703-C2703,1)*24)</f>
        <v/>
      </c>
      <c r="F2703" s="50" t="n"/>
      <c r="G2703" s="51" t="n"/>
      <c r="H2703" s="51" t="n"/>
      <c r="I2703" s="51" t="n"/>
      <c r="J2703" s="51" t="n"/>
      <c r="K2703" s="51" t="n"/>
      <c r="L2703" s="54">
        <f>IF(OR(A2703="",C2703="",D2703=""),"",IF(COUNTIFS($A$5:$A$3004,A2703,$C$5:$C$3004,"&lt;"&amp;D2703,$D$5:$D$3004,"&gt;"&amp;C2703)&gt;1,"⚠️ пересечение",""))</f>
        <v/>
      </c>
      <c r="M2703" s="54">
        <f>IF(F2703="","",IF(J2703="✅ Сделано","✔ ",IF(J2703="❌ Пропущено","✖ ","⏰ "))&amp;IF(C2703="","",RIGHT("0"&amp;HOUR(C2703),2)&amp;":"&amp;RIGHT("0"&amp;MINUTE(C2703),2)&amp;IF(D2703="","","–"&amp;RIGHT("0"&amp;HOUR(D2703),2)&amp;":"&amp;RIGHT("0"&amp;MINUTE(D2703),2))&amp;" ")&amp;F2703)</f>
        <v/>
      </c>
      <c r="N2703" s="54">
        <f>IF(OR(A2703="",F2703=""),"",A2703&amp;"#"&amp;(COUNTIFS($A$5:$A$3004,A2703,$F$5:$F$3004,"?*",$O$5:$O$3004,"&lt;"&amp;O2703)+COUNTIFS($A$5:A2703,A2703,$F$5:F2703,"?*",$O$5:O2703,O2703)))</f>
        <v/>
      </c>
      <c r="O2703" s="54">
        <f>IF(A2703="","",IF(C2703="",0,C2703))</f>
        <v/>
      </c>
    </row>
    <row r="2704">
      <c r="A2704" s="58" t="n"/>
      <c r="B2704" s="49">
        <f>IF(A2704="","",CHOOSE(WEEKDAY(A2704,2),"Пн","Вт","Ср","Чт","Пт","Сб","Вс"))</f>
        <v/>
      </c>
      <c r="C2704" s="59" t="n"/>
      <c r="D2704" s="59" t="n"/>
      <c r="E2704" s="60">
        <f>IF(OR(C2704="",D2704=""),"",MOD(D2704-C2704,1)*24)</f>
        <v/>
      </c>
      <c r="F2704" s="50" t="n"/>
      <c r="G2704" s="51" t="n"/>
      <c r="H2704" s="51" t="n"/>
      <c r="I2704" s="51" t="n"/>
      <c r="J2704" s="51" t="n"/>
      <c r="K2704" s="51" t="n"/>
      <c r="L2704" s="54">
        <f>IF(OR(A2704="",C2704="",D2704=""),"",IF(COUNTIFS($A$5:$A$3004,A2704,$C$5:$C$3004,"&lt;"&amp;D2704,$D$5:$D$3004,"&gt;"&amp;C2704)&gt;1,"⚠️ пересечение",""))</f>
        <v/>
      </c>
      <c r="M2704" s="54">
        <f>IF(F2704="","",IF(J2704="✅ Сделано","✔ ",IF(J2704="❌ Пропущено","✖ ","⏰ "))&amp;IF(C2704="","",RIGHT("0"&amp;HOUR(C2704),2)&amp;":"&amp;RIGHT("0"&amp;MINUTE(C2704),2)&amp;IF(D2704="","","–"&amp;RIGHT("0"&amp;HOUR(D2704),2)&amp;":"&amp;RIGHT("0"&amp;MINUTE(D2704),2))&amp;" ")&amp;F2704)</f>
        <v/>
      </c>
      <c r="N2704" s="54">
        <f>IF(OR(A2704="",F2704=""),"",A2704&amp;"#"&amp;(COUNTIFS($A$5:$A$3004,A2704,$F$5:$F$3004,"?*",$O$5:$O$3004,"&lt;"&amp;O2704)+COUNTIFS($A$5:A2704,A2704,$F$5:F2704,"?*",$O$5:O2704,O2704)))</f>
        <v/>
      </c>
      <c r="O2704" s="54">
        <f>IF(A2704="","",IF(C2704="",0,C2704))</f>
        <v/>
      </c>
    </row>
    <row r="2705">
      <c r="A2705" s="58" t="n"/>
      <c r="B2705" s="49">
        <f>IF(A2705="","",CHOOSE(WEEKDAY(A2705,2),"Пн","Вт","Ср","Чт","Пт","Сб","Вс"))</f>
        <v/>
      </c>
      <c r="C2705" s="59" t="n"/>
      <c r="D2705" s="59" t="n"/>
      <c r="E2705" s="60">
        <f>IF(OR(C2705="",D2705=""),"",MOD(D2705-C2705,1)*24)</f>
        <v/>
      </c>
      <c r="F2705" s="50" t="n"/>
      <c r="G2705" s="51" t="n"/>
      <c r="H2705" s="51" t="n"/>
      <c r="I2705" s="51" t="n"/>
      <c r="J2705" s="51" t="n"/>
      <c r="K2705" s="51" t="n"/>
      <c r="L2705" s="54">
        <f>IF(OR(A2705="",C2705="",D2705=""),"",IF(COUNTIFS($A$5:$A$3004,A2705,$C$5:$C$3004,"&lt;"&amp;D2705,$D$5:$D$3004,"&gt;"&amp;C2705)&gt;1,"⚠️ пересечение",""))</f>
        <v/>
      </c>
      <c r="M2705" s="54">
        <f>IF(F2705="","",IF(J2705="✅ Сделано","✔ ",IF(J2705="❌ Пропущено","✖ ","⏰ "))&amp;IF(C2705="","",RIGHT("0"&amp;HOUR(C2705),2)&amp;":"&amp;RIGHT("0"&amp;MINUTE(C2705),2)&amp;IF(D2705="","","–"&amp;RIGHT("0"&amp;HOUR(D2705),2)&amp;":"&amp;RIGHT("0"&amp;MINUTE(D2705),2))&amp;" ")&amp;F2705)</f>
        <v/>
      </c>
      <c r="N2705" s="54">
        <f>IF(OR(A2705="",F2705=""),"",A2705&amp;"#"&amp;(COUNTIFS($A$5:$A$3004,A2705,$F$5:$F$3004,"?*",$O$5:$O$3004,"&lt;"&amp;O2705)+COUNTIFS($A$5:A2705,A2705,$F$5:F2705,"?*",$O$5:O2705,O2705)))</f>
        <v/>
      </c>
      <c r="O2705" s="54">
        <f>IF(A2705="","",IF(C2705="",0,C2705))</f>
        <v/>
      </c>
    </row>
    <row r="2706">
      <c r="A2706" s="58" t="n"/>
      <c r="B2706" s="49">
        <f>IF(A2706="","",CHOOSE(WEEKDAY(A2706,2),"Пн","Вт","Ср","Чт","Пт","Сб","Вс"))</f>
        <v/>
      </c>
      <c r="C2706" s="59" t="n"/>
      <c r="D2706" s="59" t="n"/>
      <c r="E2706" s="60">
        <f>IF(OR(C2706="",D2706=""),"",MOD(D2706-C2706,1)*24)</f>
        <v/>
      </c>
      <c r="F2706" s="50" t="n"/>
      <c r="G2706" s="51" t="n"/>
      <c r="H2706" s="51" t="n"/>
      <c r="I2706" s="51" t="n"/>
      <c r="J2706" s="51" t="n"/>
      <c r="K2706" s="51" t="n"/>
      <c r="L2706" s="54">
        <f>IF(OR(A2706="",C2706="",D2706=""),"",IF(COUNTIFS($A$5:$A$3004,A2706,$C$5:$C$3004,"&lt;"&amp;D2706,$D$5:$D$3004,"&gt;"&amp;C2706)&gt;1,"⚠️ пересечение",""))</f>
        <v/>
      </c>
      <c r="M2706" s="54">
        <f>IF(F2706="","",IF(J2706="✅ Сделано","✔ ",IF(J2706="❌ Пропущено","✖ ","⏰ "))&amp;IF(C2706="","",RIGHT("0"&amp;HOUR(C2706),2)&amp;":"&amp;RIGHT("0"&amp;MINUTE(C2706),2)&amp;IF(D2706="","","–"&amp;RIGHT("0"&amp;HOUR(D2706),2)&amp;":"&amp;RIGHT("0"&amp;MINUTE(D2706),2))&amp;" ")&amp;F2706)</f>
        <v/>
      </c>
      <c r="N2706" s="54">
        <f>IF(OR(A2706="",F2706=""),"",A2706&amp;"#"&amp;(COUNTIFS($A$5:$A$3004,A2706,$F$5:$F$3004,"?*",$O$5:$O$3004,"&lt;"&amp;O2706)+COUNTIFS($A$5:A2706,A2706,$F$5:F2706,"?*",$O$5:O2706,O2706)))</f>
        <v/>
      </c>
      <c r="O2706" s="54">
        <f>IF(A2706="","",IF(C2706="",0,C2706))</f>
        <v/>
      </c>
    </row>
    <row r="2707">
      <c r="A2707" s="58" t="n"/>
      <c r="B2707" s="49">
        <f>IF(A2707="","",CHOOSE(WEEKDAY(A2707,2),"Пн","Вт","Ср","Чт","Пт","Сб","Вс"))</f>
        <v/>
      </c>
      <c r="C2707" s="59" t="n"/>
      <c r="D2707" s="59" t="n"/>
      <c r="E2707" s="60">
        <f>IF(OR(C2707="",D2707=""),"",MOD(D2707-C2707,1)*24)</f>
        <v/>
      </c>
      <c r="F2707" s="50" t="n"/>
      <c r="G2707" s="51" t="n"/>
      <c r="H2707" s="51" t="n"/>
      <c r="I2707" s="51" t="n"/>
      <c r="J2707" s="51" t="n"/>
      <c r="K2707" s="51" t="n"/>
      <c r="L2707" s="54">
        <f>IF(OR(A2707="",C2707="",D2707=""),"",IF(COUNTIFS($A$5:$A$3004,A2707,$C$5:$C$3004,"&lt;"&amp;D2707,$D$5:$D$3004,"&gt;"&amp;C2707)&gt;1,"⚠️ пересечение",""))</f>
        <v/>
      </c>
      <c r="M2707" s="54">
        <f>IF(F2707="","",IF(J2707="✅ Сделано","✔ ",IF(J2707="❌ Пропущено","✖ ","⏰ "))&amp;IF(C2707="","",RIGHT("0"&amp;HOUR(C2707),2)&amp;":"&amp;RIGHT("0"&amp;MINUTE(C2707),2)&amp;IF(D2707="","","–"&amp;RIGHT("0"&amp;HOUR(D2707),2)&amp;":"&amp;RIGHT("0"&amp;MINUTE(D2707),2))&amp;" ")&amp;F2707)</f>
        <v/>
      </c>
      <c r="N2707" s="54">
        <f>IF(OR(A2707="",F2707=""),"",A2707&amp;"#"&amp;(COUNTIFS($A$5:$A$3004,A2707,$F$5:$F$3004,"?*",$O$5:$O$3004,"&lt;"&amp;O2707)+COUNTIFS($A$5:A2707,A2707,$F$5:F2707,"?*",$O$5:O2707,O2707)))</f>
        <v/>
      </c>
      <c r="O2707" s="54">
        <f>IF(A2707="","",IF(C2707="",0,C2707))</f>
        <v/>
      </c>
    </row>
    <row r="2708">
      <c r="A2708" s="58" t="n"/>
      <c r="B2708" s="49">
        <f>IF(A2708="","",CHOOSE(WEEKDAY(A2708,2),"Пн","Вт","Ср","Чт","Пт","Сб","Вс"))</f>
        <v/>
      </c>
      <c r="C2708" s="59" t="n"/>
      <c r="D2708" s="59" t="n"/>
      <c r="E2708" s="60">
        <f>IF(OR(C2708="",D2708=""),"",MOD(D2708-C2708,1)*24)</f>
        <v/>
      </c>
      <c r="F2708" s="50" t="n"/>
      <c r="G2708" s="51" t="n"/>
      <c r="H2708" s="51" t="n"/>
      <c r="I2708" s="51" t="n"/>
      <c r="J2708" s="51" t="n"/>
      <c r="K2708" s="51" t="n"/>
      <c r="L2708" s="54">
        <f>IF(OR(A2708="",C2708="",D2708=""),"",IF(COUNTIFS($A$5:$A$3004,A2708,$C$5:$C$3004,"&lt;"&amp;D2708,$D$5:$D$3004,"&gt;"&amp;C2708)&gt;1,"⚠️ пересечение",""))</f>
        <v/>
      </c>
      <c r="M2708" s="54">
        <f>IF(F2708="","",IF(J2708="✅ Сделано","✔ ",IF(J2708="❌ Пропущено","✖ ","⏰ "))&amp;IF(C2708="","",RIGHT("0"&amp;HOUR(C2708),2)&amp;":"&amp;RIGHT("0"&amp;MINUTE(C2708),2)&amp;IF(D2708="","","–"&amp;RIGHT("0"&amp;HOUR(D2708),2)&amp;":"&amp;RIGHT("0"&amp;MINUTE(D2708),2))&amp;" ")&amp;F2708)</f>
        <v/>
      </c>
      <c r="N2708" s="54">
        <f>IF(OR(A2708="",F2708=""),"",A2708&amp;"#"&amp;(COUNTIFS($A$5:$A$3004,A2708,$F$5:$F$3004,"?*",$O$5:$O$3004,"&lt;"&amp;O2708)+COUNTIFS($A$5:A2708,A2708,$F$5:F2708,"?*",$O$5:O2708,O2708)))</f>
        <v/>
      </c>
      <c r="O2708" s="54">
        <f>IF(A2708="","",IF(C2708="",0,C2708))</f>
        <v/>
      </c>
    </row>
    <row r="2709">
      <c r="A2709" s="58" t="n"/>
      <c r="B2709" s="49">
        <f>IF(A2709="","",CHOOSE(WEEKDAY(A2709,2),"Пн","Вт","Ср","Чт","Пт","Сб","Вс"))</f>
        <v/>
      </c>
      <c r="C2709" s="59" t="n"/>
      <c r="D2709" s="59" t="n"/>
      <c r="E2709" s="60">
        <f>IF(OR(C2709="",D2709=""),"",MOD(D2709-C2709,1)*24)</f>
        <v/>
      </c>
      <c r="F2709" s="50" t="n"/>
      <c r="G2709" s="51" t="n"/>
      <c r="H2709" s="51" t="n"/>
      <c r="I2709" s="51" t="n"/>
      <c r="J2709" s="51" t="n"/>
      <c r="K2709" s="51" t="n"/>
      <c r="L2709" s="54">
        <f>IF(OR(A2709="",C2709="",D2709=""),"",IF(COUNTIFS($A$5:$A$3004,A2709,$C$5:$C$3004,"&lt;"&amp;D2709,$D$5:$D$3004,"&gt;"&amp;C2709)&gt;1,"⚠️ пересечение",""))</f>
        <v/>
      </c>
      <c r="M2709" s="54">
        <f>IF(F2709="","",IF(J2709="✅ Сделано","✔ ",IF(J2709="❌ Пропущено","✖ ","⏰ "))&amp;IF(C2709="","",RIGHT("0"&amp;HOUR(C2709),2)&amp;":"&amp;RIGHT("0"&amp;MINUTE(C2709),2)&amp;IF(D2709="","","–"&amp;RIGHT("0"&amp;HOUR(D2709),2)&amp;":"&amp;RIGHT("0"&amp;MINUTE(D2709),2))&amp;" ")&amp;F2709)</f>
        <v/>
      </c>
      <c r="N2709" s="54">
        <f>IF(OR(A2709="",F2709=""),"",A2709&amp;"#"&amp;(COUNTIFS($A$5:$A$3004,A2709,$F$5:$F$3004,"?*",$O$5:$O$3004,"&lt;"&amp;O2709)+COUNTIFS($A$5:A2709,A2709,$F$5:F2709,"?*",$O$5:O2709,O2709)))</f>
        <v/>
      </c>
      <c r="O2709" s="54">
        <f>IF(A2709="","",IF(C2709="",0,C2709))</f>
        <v/>
      </c>
    </row>
    <row r="2710">
      <c r="A2710" s="58" t="n"/>
      <c r="B2710" s="49">
        <f>IF(A2710="","",CHOOSE(WEEKDAY(A2710,2),"Пн","Вт","Ср","Чт","Пт","Сб","Вс"))</f>
        <v/>
      </c>
      <c r="C2710" s="59" t="n"/>
      <c r="D2710" s="59" t="n"/>
      <c r="E2710" s="60">
        <f>IF(OR(C2710="",D2710=""),"",MOD(D2710-C2710,1)*24)</f>
        <v/>
      </c>
      <c r="F2710" s="50" t="n"/>
      <c r="G2710" s="51" t="n"/>
      <c r="H2710" s="51" t="n"/>
      <c r="I2710" s="51" t="n"/>
      <c r="J2710" s="51" t="n"/>
      <c r="K2710" s="51" t="n"/>
      <c r="L2710" s="54">
        <f>IF(OR(A2710="",C2710="",D2710=""),"",IF(COUNTIFS($A$5:$A$3004,A2710,$C$5:$C$3004,"&lt;"&amp;D2710,$D$5:$D$3004,"&gt;"&amp;C2710)&gt;1,"⚠️ пересечение",""))</f>
        <v/>
      </c>
      <c r="M2710" s="54">
        <f>IF(F2710="","",IF(J2710="✅ Сделано","✔ ",IF(J2710="❌ Пропущено","✖ ","⏰ "))&amp;IF(C2710="","",RIGHT("0"&amp;HOUR(C2710),2)&amp;":"&amp;RIGHT("0"&amp;MINUTE(C2710),2)&amp;IF(D2710="","","–"&amp;RIGHT("0"&amp;HOUR(D2710),2)&amp;":"&amp;RIGHT("0"&amp;MINUTE(D2710),2))&amp;" ")&amp;F2710)</f>
        <v/>
      </c>
      <c r="N2710" s="54">
        <f>IF(OR(A2710="",F2710=""),"",A2710&amp;"#"&amp;(COUNTIFS($A$5:$A$3004,A2710,$F$5:$F$3004,"?*",$O$5:$O$3004,"&lt;"&amp;O2710)+COUNTIFS($A$5:A2710,A2710,$F$5:F2710,"?*",$O$5:O2710,O2710)))</f>
        <v/>
      </c>
      <c r="O2710" s="54">
        <f>IF(A2710="","",IF(C2710="",0,C2710))</f>
        <v/>
      </c>
    </row>
    <row r="2711">
      <c r="A2711" s="58" t="n"/>
      <c r="B2711" s="49">
        <f>IF(A2711="","",CHOOSE(WEEKDAY(A2711,2),"Пн","Вт","Ср","Чт","Пт","Сб","Вс"))</f>
        <v/>
      </c>
      <c r="C2711" s="59" t="n"/>
      <c r="D2711" s="59" t="n"/>
      <c r="E2711" s="60">
        <f>IF(OR(C2711="",D2711=""),"",MOD(D2711-C2711,1)*24)</f>
        <v/>
      </c>
      <c r="F2711" s="50" t="n"/>
      <c r="G2711" s="51" t="n"/>
      <c r="H2711" s="51" t="n"/>
      <c r="I2711" s="51" t="n"/>
      <c r="J2711" s="51" t="n"/>
      <c r="K2711" s="51" t="n"/>
      <c r="L2711" s="54">
        <f>IF(OR(A2711="",C2711="",D2711=""),"",IF(COUNTIFS($A$5:$A$3004,A2711,$C$5:$C$3004,"&lt;"&amp;D2711,$D$5:$D$3004,"&gt;"&amp;C2711)&gt;1,"⚠️ пересечение",""))</f>
        <v/>
      </c>
      <c r="M2711" s="54">
        <f>IF(F2711="","",IF(J2711="✅ Сделано","✔ ",IF(J2711="❌ Пропущено","✖ ","⏰ "))&amp;IF(C2711="","",RIGHT("0"&amp;HOUR(C2711),2)&amp;":"&amp;RIGHT("0"&amp;MINUTE(C2711),2)&amp;IF(D2711="","","–"&amp;RIGHT("0"&amp;HOUR(D2711),2)&amp;":"&amp;RIGHT("0"&amp;MINUTE(D2711),2))&amp;" ")&amp;F2711)</f>
        <v/>
      </c>
      <c r="N2711" s="54">
        <f>IF(OR(A2711="",F2711=""),"",A2711&amp;"#"&amp;(COUNTIFS($A$5:$A$3004,A2711,$F$5:$F$3004,"?*",$O$5:$O$3004,"&lt;"&amp;O2711)+COUNTIFS($A$5:A2711,A2711,$F$5:F2711,"?*",$O$5:O2711,O2711)))</f>
        <v/>
      </c>
      <c r="O2711" s="54">
        <f>IF(A2711="","",IF(C2711="",0,C2711))</f>
        <v/>
      </c>
    </row>
    <row r="2712">
      <c r="A2712" s="58" t="n"/>
      <c r="B2712" s="49">
        <f>IF(A2712="","",CHOOSE(WEEKDAY(A2712,2),"Пн","Вт","Ср","Чт","Пт","Сб","Вс"))</f>
        <v/>
      </c>
      <c r="C2712" s="59" t="n"/>
      <c r="D2712" s="59" t="n"/>
      <c r="E2712" s="60">
        <f>IF(OR(C2712="",D2712=""),"",MOD(D2712-C2712,1)*24)</f>
        <v/>
      </c>
      <c r="F2712" s="50" t="n"/>
      <c r="G2712" s="51" t="n"/>
      <c r="H2712" s="51" t="n"/>
      <c r="I2712" s="51" t="n"/>
      <c r="J2712" s="51" t="n"/>
      <c r="K2712" s="51" t="n"/>
      <c r="L2712" s="54">
        <f>IF(OR(A2712="",C2712="",D2712=""),"",IF(COUNTIFS($A$5:$A$3004,A2712,$C$5:$C$3004,"&lt;"&amp;D2712,$D$5:$D$3004,"&gt;"&amp;C2712)&gt;1,"⚠️ пересечение",""))</f>
        <v/>
      </c>
      <c r="M2712" s="54">
        <f>IF(F2712="","",IF(J2712="✅ Сделано","✔ ",IF(J2712="❌ Пропущено","✖ ","⏰ "))&amp;IF(C2712="","",RIGHT("0"&amp;HOUR(C2712),2)&amp;":"&amp;RIGHT("0"&amp;MINUTE(C2712),2)&amp;IF(D2712="","","–"&amp;RIGHT("0"&amp;HOUR(D2712),2)&amp;":"&amp;RIGHT("0"&amp;MINUTE(D2712),2))&amp;" ")&amp;F2712)</f>
        <v/>
      </c>
      <c r="N2712" s="54">
        <f>IF(OR(A2712="",F2712=""),"",A2712&amp;"#"&amp;(COUNTIFS($A$5:$A$3004,A2712,$F$5:$F$3004,"?*",$O$5:$O$3004,"&lt;"&amp;O2712)+COUNTIFS($A$5:A2712,A2712,$F$5:F2712,"?*",$O$5:O2712,O2712)))</f>
        <v/>
      </c>
      <c r="O2712" s="54">
        <f>IF(A2712="","",IF(C2712="",0,C2712))</f>
        <v/>
      </c>
    </row>
    <row r="2713">
      <c r="A2713" s="58" t="n"/>
      <c r="B2713" s="49">
        <f>IF(A2713="","",CHOOSE(WEEKDAY(A2713,2),"Пн","Вт","Ср","Чт","Пт","Сб","Вс"))</f>
        <v/>
      </c>
      <c r="C2713" s="59" t="n"/>
      <c r="D2713" s="59" t="n"/>
      <c r="E2713" s="60">
        <f>IF(OR(C2713="",D2713=""),"",MOD(D2713-C2713,1)*24)</f>
        <v/>
      </c>
      <c r="F2713" s="50" t="n"/>
      <c r="G2713" s="51" t="n"/>
      <c r="H2713" s="51" t="n"/>
      <c r="I2713" s="51" t="n"/>
      <c r="J2713" s="51" t="n"/>
      <c r="K2713" s="51" t="n"/>
      <c r="L2713" s="54">
        <f>IF(OR(A2713="",C2713="",D2713=""),"",IF(COUNTIFS($A$5:$A$3004,A2713,$C$5:$C$3004,"&lt;"&amp;D2713,$D$5:$D$3004,"&gt;"&amp;C2713)&gt;1,"⚠️ пересечение",""))</f>
        <v/>
      </c>
      <c r="M2713" s="54">
        <f>IF(F2713="","",IF(J2713="✅ Сделано","✔ ",IF(J2713="❌ Пропущено","✖ ","⏰ "))&amp;IF(C2713="","",RIGHT("0"&amp;HOUR(C2713),2)&amp;":"&amp;RIGHT("0"&amp;MINUTE(C2713),2)&amp;IF(D2713="","","–"&amp;RIGHT("0"&amp;HOUR(D2713),2)&amp;":"&amp;RIGHT("0"&amp;MINUTE(D2713),2))&amp;" ")&amp;F2713)</f>
        <v/>
      </c>
      <c r="N2713" s="54">
        <f>IF(OR(A2713="",F2713=""),"",A2713&amp;"#"&amp;(COUNTIFS($A$5:$A$3004,A2713,$F$5:$F$3004,"?*",$O$5:$O$3004,"&lt;"&amp;O2713)+COUNTIFS($A$5:A2713,A2713,$F$5:F2713,"?*",$O$5:O2713,O2713)))</f>
        <v/>
      </c>
      <c r="O2713" s="54">
        <f>IF(A2713="","",IF(C2713="",0,C2713))</f>
        <v/>
      </c>
    </row>
    <row r="2714">
      <c r="A2714" s="58" t="n"/>
      <c r="B2714" s="49">
        <f>IF(A2714="","",CHOOSE(WEEKDAY(A2714,2),"Пн","Вт","Ср","Чт","Пт","Сб","Вс"))</f>
        <v/>
      </c>
      <c r="C2714" s="59" t="n"/>
      <c r="D2714" s="59" t="n"/>
      <c r="E2714" s="60">
        <f>IF(OR(C2714="",D2714=""),"",MOD(D2714-C2714,1)*24)</f>
        <v/>
      </c>
      <c r="F2714" s="50" t="n"/>
      <c r="G2714" s="51" t="n"/>
      <c r="H2714" s="51" t="n"/>
      <c r="I2714" s="51" t="n"/>
      <c r="J2714" s="51" t="n"/>
      <c r="K2714" s="51" t="n"/>
      <c r="L2714" s="54">
        <f>IF(OR(A2714="",C2714="",D2714=""),"",IF(COUNTIFS($A$5:$A$3004,A2714,$C$5:$C$3004,"&lt;"&amp;D2714,$D$5:$D$3004,"&gt;"&amp;C2714)&gt;1,"⚠️ пересечение",""))</f>
        <v/>
      </c>
      <c r="M2714" s="54">
        <f>IF(F2714="","",IF(J2714="✅ Сделано","✔ ",IF(J2714="❌ Пропущено","✖ ","⏰ "))&amp;IF(C2714="","",RIGHT("0"&amp;HOUR(C2714),2)&amp;":"&amp;RIGHT("0"&amp;MINUTE(C2714),2)&amp;IF(D2714="","","–"&amp;RIGHT("0"&amp;HOUR(D2714),2)&amp;":"&amp;RIGHT("0"&amp;MINUTE(D2714),2))&amp;" ")&amp;F2714)</f>
        <v/>
      </c>
      <c r="N2714" s="54">
        <f>IF(OR(A2714="",F2714=""),"",A2714&amp;"#"&amp;(COUNTIFS($A$5:$A$3004,A2714,$F$5:$F$3004,"?*",$O$5:$O$3004,"&lt;"&amp;O2714)+COUNTIFS($A$5:A2714,A2714,$F$5:F2714,"?*",$O$5:O2714,O2714)))</f>
        <v/>
      </c>
      <c r="O2714" s="54">
        <f>IF(A2714="","",IF(C2714="",0,C2714))</f>
        <v/>
      </c>
    </row>
    <row r="2715">
      <c r="A2715" s="58" t="n"/>
      <c r="B2715" s="49">
        <f>IF(A2715="","",CHOOSE(WEEKDAY(A2715,2),"Пн","Вт","Ср","Чт","Пт","Сб","Вс"))</f>
        <v/>
      </c>
      <c r="C2715" s="59" t="n"/>
      <c r="D2715" s="59" t="n"/>
      <c r="E2715" s="60">
        <f>IF(OR(C2715="",D2715=""),"",MOD(D2715-C2715,1)*24)</f>
        <v/>
      </c>
      <c r="F2715" s="50" t="n"/>
      <c r="G2715" s="51" t="n"/>
      <c r="H2715" s="51" t="n"/>
      <c r="I2715" s="51" t="n"/>
      <c r="J2715" s="51" t="n"/>
      <c r="K2715" s="51" t="n"/>
      <c r="L2715" s="54">
        <f>IF(OR(A2715="",C2715="",D2715=""),"",IF(COUNTIFS($A$5:$A$3004,A2715,$C$5:$C$3004,"&lt;"&amp;D2715,$D$5:$D$3004,"&gt;"&amp;C2715)&gt;1,"⚠️ пересечение",""))</f>
        <v/>
      </c>
      <c r="M2715" s="54">
        <f>IF(F2715="","",IF(J2715="✅ Сделано","✔ ",IF(J2715="❌ Пропущено","✖ ","⏰ "))&amp;IF(C2715="","",RIGHT("0"&amp;HOUR(C2715),2)&amp;":"&amp;RIGHT("0"&amp;MINUTE(C2715),2)&amp;IF(D2715="","","–"&amp;RIGHT("0"&amp;HOUR(D2715),2)&amp;":"&amp;RIGHT("0"&amp;MINUTE(D2715),2))&amp;" ")&amp;F2715)</f>
        <v/>
      </c>
      <c r="N2715" s="54">
        <f>IF(OR(A2715="",F2715=""),"",A2715&amp;"#"&amp;(COUNTIFS($A$5:$A$3004,A2715,$F$5:$F$3004,"?*",$O$5:$O$3004,"&lt;"&amp;O2715)+COUNTIFS($A$5:A2715,A2715,$F$5:F2715,"?*",$O$5:O2715,O2715)))</f>
        <v/>
      </c>
      <c r="O2715" s="54">
        <f>IF(A2715="","",IF(C2715="",0,C2715))</f>
        <v/>
      </c>
    </row>
    <row r="2716">
      <c r="A2716" s="58" t="n"/>
      <c r="B2716" s="49">
        <f>IF(A2716="","",CHOOSE(WEEKDAY(A2716,2),"Пн","Вт","Ср","Чт","Пт","Сб","Вс"))</f>
        <v/>
      </c>
      <c r="C2716" s="59" t="n"/>
      <c r="D2716" s="59" t="n"/>
      <c r="E2716" s="60">
        <f>IF(OR(C2716="",D2716=""),"",MOD(D2716-C2716,1)*24)</f>
        <v/>
      </c>
      <c r="F2716" s="50" t="n"/>
      <c r="G2716" s="51" t="n"/>
      <c r="H2716" s="51" t="n"/>
      <c r="I2716" s="51" t="n"/>
      <c r="J2716" s="51" t="n"/>
      <c r="K2716" s="51" t="n"/>
      <c r="L2716" s="54">
        <f>IF(OR(A2716="",C2716="",D2716=""),"",IF(COUNTIFS($A$5:$A$3004,A2716,$C$5:$C$3004,"&lt;"&amp;D2716,$D$5:$D$3004,"&gt;"&amp;C2716)&gt;1,"⚠️ пересечение",""))</f>
        <v/>
      </c>
      <c r="M2716" s="54">
        <f>IF(F2716="","",IF(J2716="✅ Сделано","✔ ",IF(J2716="❌ Пропущено","✖ ","⏰ "))&amp;IF(C2716="","",RIGHT("0"&amp;HOUR(C2716),2)&amp;":"&amp;RIGHT("0"&amp;MINUTE(C2716),2)&amp;IF(D2716="","","–"&amp;RIGHT("0"&amp;HOUR(D2716),2)&amp;":"&amp;RIGHT("0"&amp;MINUTE(D2716),2))&amp;" ")&amp;F2716)</f>
        <v/>
      </c>
      <c r="N2716" s="54">
        <f>IF(OR(A2716="",F2716=""),"",A2716&amp;"#"&amp;(COUNTIFS($A$5:$A$3004,A2716,$F$5:$F$3004,"?*",$O$5:$O$3004,"&lt;"&amp;O2716)+COUNTIFS($A$5:A2716,A2716,$F$5:F2716,"?*",$O$5:O2716,O2716)))</f>
        <v/>
      </c>
      <c r="O2716" s="54">
        <f>IF(A2716="","",IF(C2716="",0,C2716))</f>
        <v/>
      </c>
    </row>
    <row r="2717">
      <c r="A2717" s="58" t="n"/>
      <c r="B2717" s="49">
        <f>IF(A2717="","",CHOOSE(WEEKDAY(A2717,2),"Пн","Вт","Ср","Чт","Пт","Сб","Вс"))</f>
        <v/>
      </c>
      <c r="C2717" s="59" t="n"/>
      <c r="D2717" s="59" t="n"/>
      <c r="E2717" s="60">
        <f>IF(OR(C2717="",D2717=""),"",MOD(D2717-C2717,1)*24)</f>
        <v/>
      </c>
      <c r="F2717" s="50" t="n"/>
      <c r="G2717" s="51" t="n"/>
      <c r="H2717" s="51" t="n"/>
      <c r="I2717" s="51" t="n"/>
      <c r="J2717" s="51" t="n"/>
      <c r="K2717" s="51" t="n"/>
      <c r="L2717" s="54">
        <f>IF(OR(A2717="",C2717="",D2717=""),"",IF(COUNTIFS($A$5:$A$3004,A2717,$C$5:$C$3004,"&lt;"&amp;D2717,$D$5:$D$3004,"&gt;"&amp;C2717)&gt;1,"⚠️ пересечение",""))</f>
        <v/>
      </c>
      <c r="M2717" s="54">
        <f>IF(F2717="","",IF(J2717="✅ Сделано","✔ ",IF(J2717="❌ Пропущено","✖ ","⏰ "))&amp;IF(C2717="","",RIGHT("0"&amp;HOUR(C2717),2)&amp;":"&amp;RIGHT("0"&amp;MINUTE(C2717),2)&amp;IF(D2717="","","–"&amp;RIGHT("0"&amp;HOUR(D2717),2)&amp;":"&amp;RIGHT("0"&amp;MINUTE(D2717),2))&amp;" ")&amp;F2717)</f>
        <v/>
      </c>
      <c r="N2717" s="54">
        <f>IF(OR(A2717="",F2717=""),"",A2717&amp;"#"&amp;(COUNTIFS($A$5:$A$3004,A2717,$F$5:$F$3004,"?*",$O$5:$O$3004,"&lt;"&amp;O2717)+COUNTIFS($A$5:A2717,A2717,$F$5:F2717,"?*",$O$5:O2717,O2717)))</f>
        <v/>
      </c>
      <c r="O2717" s="54">
        <f>IF(A2717="","",IF(C2717="",0,C2717))</f>
        <v/>
      </c>
    </row>
    <row r="2718">
      <c r="A2718" s="58" t="n"/>
      <c r="B2718" s="49">
        <f>IF(A2718="","",CHOOSE(WEEKDAY(A2718,2),"Пн","Вт","Ср","Чт","Пт","Сб","Вс"))</f>
        <v/>
      </c>
      <c r="C2718" s="59" t="n"/>
      <c r="D2718" s="59" t="n"/>
      <c r="E2718" s="60">
        <f>IF(OR(C2718="",D2718=""),"",MOD(D2718-C2718,1)*24)</f>
        <v/>
      </c>
      <c r="F2718" s="50" t="n"/>
      <c r="G2718" s="51" t="n"/>
      <c r="H2718" s="51" t="n"/>
      <c r="I2718" s="51" t="n"/>
      <c r="J2718" s="51" t="n"/>
      <c r="K2718" s="51" t="n"/>
      <c r="L2718" s="54">
        <f>IF(OR(A2718="",C2718="",D2718=""),"",IF(COUNTIFS($A$5:$A$3004,A2718,$C$5:$C$3004,"&lt;"&amp;D2718,$D$5:$D$3004,"&gt;"&amp;C2718)&gt;1,"⚠️ пересечение",""))</f>
        <v/>
      </c>
      <c r="M2718" s="54">
        <f>IF(F2718="","",IF(J2718="✅ Сделано","✔ ",IF(J2718="❌ Пропущено","✖ ","⏰ "))&amp;IF(C2718="","",RIGHT("0"&amp;HOUR(C2718),2)&amp;":"&amp;RIGHT("0"&amp;MINUTE(C2718),2)&amp;IF(D2718="","","–"&amp;RIGHT("0"&amp;HOUR(D2718),2)&amp;":"&amp;RIGHT("0"&amp;MINUTE(D2718),2))&amp;" ")&amp;F2718)</f>
        <v/>
      </c>
      <c r="N2718" s="54">
        <f>IF(OR(A2718="",F2718=""),"",A2718&amp;"#"&amp;(COUNTIFS($A$5:$A$3004,A2718,$F$5:$F$3004,"?*",$O$5:$O$3004,"&lt;"&amp;O2718)+COUNTIFS($A$5:A2718,A2718,$F$5:F2718,"?*",$O$5:O2718,O2718)))</f>
        <v/>
      </c>
      <c r="O2718" s="54">
        <f>IF(A2718="","",IF(C2718="",0,C2718))</f>
        <v/>
      </c>
    </row>
    <row r="2719">
      <c r="A2719" s="58" t="n"/>
      <c r="B2719" s="49">
        <f>IF(A2719="","",CHOOSE(WEEKDAY(A2719,2),"Пн","Вт","Ср","Чт","Пт","Сб","Вс"))</f>
        <v/>
      </c>
      <c r="C2719" s="59" t="n"/>
      <c r="D2719" s="59" t="n"/>
      <c r="E2719" s="60">
        <f>IF(OR(C2719="",D2719=""),"",MOD(D2719-C2719,1)*24)</f>
        <v/>
      </c>
      <c r="F2719" s="50" t="n"/>
      <c r="G2719" s="51" t="n"/>
      <c r="H2719" s="51" t="n"/>
      <c r="I2719" s="51" t="n"/>
      <c r="J2719" s="51" t="n"/>
      <c r="K2719" s="51" t="n"/>
      <c r="L2719" s="54">
        <f>IF(OR(A2719="",C2719="",D2719=""),"",IF(COUNTIFS($A$5:$A$3004,A2719,$C$5:$C$3004,"&lt;"&amp;D2719,$D$5:$D$3004,"&gt;"&amp;C2719)&gt;1,"⚠️ пересечение",""))</f>
        <v/>
      </c>
      <c r="M2719" s="54">
        <f>IF(F2719="","",IF(J2719="✅ Сделано","✔ ",IF(J2719="❌ Пропущено","✖ ","⏰ "))&amp;IF(C2719="","",RIGHT("0"&amp;HOUR(C2719),2)&amp;":"&amp;RIGHT("0"&amp;MINUTE(C2719),2)&amp;IF(D2719="","","–"&amp;RIGHT("0"&amp;HOUR(D2719),2)&amp;":"&amp;RIGHT("0"&amp;MINUTE(D2719),2))&amp;" ")&amp;F2719)</f>
        <v/>
      </c>
      <c r="N2719" s="54">
        <f>IF(OR(A2719="",F2719=""),"",A2719&amp;"#"&amp;(COUNTIFS($A$5:$A$3004,A2719,$F$5:$F$3004,"?*",$O$5:$O$3004,"&lt;"&amp;O2719)+COUNTIFS($A$5:A2719,A2719,$F$5:F2719,"?*",$O$5:O2719,O2719)))</f>
        <v/>
      </c>
      <c r="O2719" s="54">
        <f>IF(A2719="","",IF(C2719="",0,C2719))</f>
        <v/>
      </c>
    </row>
    <row r="2720">
      <c r="A2720" s="58" t="n"/>
      <c r="B2720" s="49">
        <f>IF(A2720="","",CHOOSE(WEEKDAY(A2720,2),"Пн","Вт","Ср","Чт","Пт","Сб","Вс"))</f>
        <v/>
      </c>
      <c r="C2720" s="59" t="n"/>
      <c r="D2720" s="59" t="n"/>
      <c r="E2720" s="60">
        <f>IF(OR(C2720="",D2720=""),"",MOD(D2720-C2720,1)*24)</f>
        <v/>
      </c>
      <c r="F2720" s="50" t="n"/>
      <c r="G2720" s="51" t="n"/>
      <c r="H2720" s="51" t="n"/>
      <c r="I2720" s="51" t="n"/>
      <c r="J2720" s="51" t="n"/>
      <c r="K2720" s="51" t="n"/>
      <c r="L2720" s="54">
        <f>IF(OR(A2720="",C2720="",D2720=""),"",IF(COUNTIFS($A$5:$A$3004,A2720,$C$5:$C$3004,"&lt;"&amp;D2720,$D$5:$D$3004,"&gt;"&amp;C2720)&gt;1,"⚠️ пересечение",""))</f>
        <v/>
      </c>
      <c r="M2720" s="54">
        <f>IF(F2720="","",IF(J2720="✅ Сделано","✔ ",IF(J2720="❌ Пропущено","✖ ","⏰ "))&amp;IF(C2720="","",RIGHT("0"&amp;HOUR(C2720),2)&amp;":"&amp;RIGHT("0"&amp;MINUTE(C2720),2)&amp;IF(D2720="","","–"&amp;RIGHT("0"&amp;HOUR(D2720),2)&amp;":"&amp;RIGHT("0"&amp;MINUTE(D2720),2))&amp;" ")&amp;F2720)</f>
        <v/>
      </c>
      <c r="N2720" s="54">
        <f>IF(OR(A2720="",F2720=""),"",A2720&amp;"#"&amp;(COUNTIFS($A$5:$A$3004,A2720,$F$5:$F$3004,"?*",$O$5:$O$3004,"&lt;"&amp;O2720)+COUNTIFS($A$5:A2720,A2720,$F$5:F2720,"?*",$O$5:O2720,O2720)))</f>
        <v/>
      </c>
      <c r="O2720" s="54">
        <f>IF(A2720="","",IF(C2720="",0,C2720))</f>
        <v/>
      </c>
    </row>
    <row r="2721">
      <c r="A2721" s="58" t="n"/>
      <c r="B2721" s="49">
        <f>IF(A2721="","",CHOOSE(WEEKDAY(A2721,2),"Пн","Вт","Ср","Чт","Пт","Сб","Вс"))</f>
        <v/>
      </c>
      <c r="C2721" s="59" t="n"/>
      <c r="D2721" s="59" t="n"/>
      <c r="E2721" s="60">
        <f>IF(OR(C2721="",D2721=""),"",MOD(D2721-C2721,1)*24)</f>
        <v/>
      </c>
      <c r="F2721" s="50" t="n"/>
      <c r="G2721" s="51" t="n"/>
      <c r="H2721" s="51" t="n"/>
      <c r="I2721" s="51" t="n"/>
      <c r="J2721" s="51" t="n"/>
      <c r="K2721" s="51" t="n"/>
      <c r="L2721" s="54">
        <f>IF(OR(A2721="",C2721="",D2721=""),"",IF(COUNTIFS($A$5:$A$3004,A2721,$C$5:$C$3004,"&lt;"&amp;D2721,$D$5:$D$3004,"&gt;"&amp;C2721)&gt;1,"⚠️ пересечение",""))</f>
        <v/>
      </c>
      <c r="M2721" s="54">
        <f>IF(F2721="","",IF(J2721="✅ Сделано","✔ ",IF(J2721="❌ Пропущено","✖ ","⏰ "))&amp;IF(C2721="","",RIGHT("0"&amp;HOUR(C2721),2)&amp;":"&amp;RIGHT("0"&amp;MINUTE(C2721),2)&amp;IF(D2721="","","–"&amp;RIGHT("0"&amp;HOUR(D2721),2)&amp;":"&amp;RIGHT("0"&amp;MINUTE(D2721),2))&amp;" ")&amp;F2721)</f>
        <v/>
      </c>
      <c r="N2721" s="54">
        <f>IF(OR(A2721="",F2721=""),"",A2721&amp;"#"&amp;(COUNTIFS($A$5:$A$3004,A2721,$F$5:$F$3004,"?*",$O$5:$O$3004,"&lt;"&amp;O2721)+COUNTIFS($A$5:A2721,A2721,$F$5:F2721,"?*",$O$5:O2721,O2721)))</f>
        <v/>
      </c>
      <c r="O2721" s="54">
        <f>IF(A2721="","",IF(C2721="",0,C2721))</f>
        <v/>
      </c>
    </row>
    <row r="2722">
      <c r="A2722" s="58" t="n"/>
      <c r="B2722" s="49">
        <f>IF(A2722="","",CHOOSE(WEEKDAY(A2722,2),"Пн","Вт","Ср","Чт","Пт","Сб","Вс"))</f>
        <v/>
      </c>
      <c r="C2722" s="59" t="n"/>
      <c r="D2722" s="59" t="n"/>
      <c r="E2722" s="60">
        <f>IF(OR(C2722="",D2722=""),"",MOD(D2722-C2722,1)*24)</f>
        <v/>
      </c>
      <c r="F2722" s="50" t="n"/>
      <c r="G2722" s="51" t="n"/>
      <c r="H2722" s="51" t="n"/>
      <c r="I2722" s="51" t="n"/>
      <c r="J2722" s="51" t="n"/>
      <c r="K2722" s="51" t="n"/>
      <c r="L2722" s="54">
        <f>IF(OR(A2722="",C2722="",D2722=""),"",IF(COUNTIFS($A$5:$A$3004,A2722,$C$5:$C$3004,"&lt;"&amp;D2722,$D$5:$D$3004,"&gt;"&amp;C2722)&gt;1,"⚠️ пересечение",""))</f>
        <v/>
      </c>
      <c r="M2722" s="54">
        <f>IF(F2722="","",IF(J2722="✅ Сделано","✔ ",IF(J2722="❌ Пропущено","✖ ","⏰ "))&amp;IF(C2722="","",RIGHT("0"&amp;HOUR(C2722),2)&amp;":"&amp;RIGHT("0"&amp;MINUTE(C2722),2)&amp;IF(D2722="","","–"&amp;RIGHT("0"&amp;HOUR(D2722),2)&amp;":"&amp;RIGHT("0"&amp;MINUTE(D2722),2))&amp;" ")&amp;F2722)</f>
        <v/>
      </c>
      <c r="N2722" s="54">
        <f>IF(OR(A2722="",F2722=""),"",A2722&amp;"#"&amp;(COUNTIFS($A$5:$A$3004,A2722,$F$5:$F$3004,"?*",$O$5:$O$3004,"&lt;"&amp;O2722)+COUNTIFS($A$5:A2722,A2722,$F$5:F2722,"?*",$O$5:O2722,O2722)))</f>
        <v/>
      </c>
      <c r="O2722" s="54">
        <f>IF(A2722="","",IF(C2722="",0,C2722))</f>
        <v/>
      </c>
    </row>
    <row r="2723">
      <c r="A2723" s="58" t="n"/>
      <c r="B2723" s="49">
        <f>IF(A2723="","",CHOOSE(WEEKDAY(A2723,2),"Пн","Вт","Ср","Чт","Пт","Сб","Вс"))</f>
        <v/>
      </c>
      <c r="C2723" s="59" t="n"/>
      <c r="D2723" s="59" t="n"/>
      <c r="E2723" s="60">
        <f>IF(OR(C2723="",D2723=""),"",MOD(D2723-C2723,1)*24)</f>
        <v/>
      </c>
      <c r="F2723" s="50" t="n"/>
      <c r="G2723" s="51" t="n"/>
      <c r="H2723" s="51" t="n"/>
      <c r="I2723" s="51" t="n"/>
      <c r="J2723" s="51" t="n"/>
      <c r="K2723" s="51" t="n"/>
      <c r="L2723" s="54">
        <f>IF(OR(A2723="",C2723="",D2723=""),"",IF(COUNTIFS($A$5:$A$3004,A2723,$C$5:$C$3004,"&lt;"&amp;D2723,$D$5:$D$3004,"&gt;"&amp;C2723)&gt;1,"⚠️ пересечение",""))</f>
        <v/>
      </c>
      <c r="M2723" s="54">
        <f>IF(F2723="","",IF(J2723="✅ Сделано","✔ ",IF(J2723="❌ Пропущено","✖ ","⏰ "))&amp;IF(C2723="","",RIGHT("0"&amp;HOUR(C2723),2)&amp;":"&amp;RIGHT("0"&amp;MINUTE(C2723),2)&amp;IF(D2723="","","–"&amp;RIGHT("0"&amp;HOUR(D2723),2)&amp;":"&amp;RIGHT("0"&amp;MINUTE(D2723),2))&amp;" ")&amp;F2723)</f>
        <v/>
      </c>
      <c r="N2723" s="54">
        <f>IF(OR(A2723="",F2723=""),"",A2723&amp;"#"&amp;(COUNTIFS($A$5:$A$3004,A2723,$F$5:$F$3004,"?*",$O$5:$O$3004,"&lt;"&amp;O2723)+COUNTIFS($A$5:A2723,A2723,$F$5:F2723,"?*",$O$5:O2723,O2723)))</f>
        <v/>
      </c>
      <c r="O2723" s="54">
        <f>IF(A2723="","",IF(C2723="",0,C2723))</f>
        <v/>
      </c>
    </row>
    <row r="2724">
      <c r="A2724" s="58" t="n"/>
      <c r="B2724" s="49">
        <f>IF(A2724="","",CHOOSE(WEEKDAY(A2724,2),"Пн","Вт","Ср","Чт","Пт","Сб","Вс"))</f>
        <v/>
      </c>
      <c r="C2724" s="59" t="n"/>
      <c r="D2724" s="59" t="n"/>
      <c r="E2724" s="60">
        <f>IF(OR(C2724="",D2724=""),"",MOD(D2724-C2724,1)*24)</f>
        <v/>
      </c>
      <c r="F2724" s="50" t="n"/>
      <c r="G2724" s="51" t="n"/>
      <c r="H2724" s="51" t="n"/>
      <c r="I2724" s="51" t="n"/>
      <c r="J2724" s="51" t="n"/>
      <c r="K2724" s="51" t="n"/>
      <c r="L2724" s="54">
        <f>IF(OR(A2724="",C2724="",D2724=""),"",IF(COUNTIFS($A$5:$A$3004,A2724,$C$5:$C$3004,"&lt;"&amp;D2724,$D$5:$D$3004,"&gt;"&amp;C2724)&gt;1,"⚠️ пересечение",""))</f>
        <v/>
      </c>
      <c r="M2724" s="54">
        <f>IF(F2724="","",IF(J2724="✅ Сделано","✔ ",IF(J2724="❌ Пропущено","✖ ","⏰ "))&amp;IF(C2724="","",RIGHT("0"&amp;HOUR(C2724),2)&amp;":"&amp;RIGHT("0"&amp;MINUTE(C2724),2)&amp;IF(D2724="","","–"&amp;RIGHT("0"&amp;HOUR(D2724),2)&amp;":"&amp;RIGHT("0"&amp;MINUTE(D2724),2))&amp;" ")&amp;F2724)</f>
        <v/>
      </c>
      <c r="N2724" s="54">
        <f>IF(OR(A2724="",F2724=""),"",A2724&amp;"#"&amp;(COUNTIFS($A$5:$A$3004,A2724,$F$5:$F$3004,"?*",$O$5:$O$3004,"&lt;"&amp;O2724)+COUNTIFS($A$5:A2724,A2724,$F$5:F2724,"?*",$O$5:O2724,O2724)))</f>
        <v/>
      </c>
      <c r="O2724" s="54">
        <f>IF(A2724="","",IF(C2724="",0,C2724))</f>
        <v/>
      </c>
    </row>
    <row r="2725">
      <c r="A2725" s="58" t="n"/>
      <c r="B2725" s="49">
        <f>IF(A2725="","",CHOOSE(WEEKDAY(A2725,2),"Пн","Вт","Ср","Чт","Пт","Сб","Вс"))</f>
        <v/>
      </c>
      <c r="C2725" s="59" t="n"/>
      <c r="D2725" s="59" t="n"/>
      <c r="E2725" s="60">
        <f>IF(OR(C2725="",D2725=""),"",MOD(D2725-C2725,1)*24)</f>
        <v/>
      </c>
      <c r="F2725" s="50" t="n"/>
      <c r="G2725" s="51" t="n"/>
      <c r="H2725" s="51" t="n"/>
      <c r="I2725" s="51" t="n"/>
      <c r="J2725" s="51" t="n"/>
      <c r="K2725" s="51" t="n"/>
      <c r="L2725" s="54">
        <f>IF(OR(A2725="",C2725="",D2725=""),"",IF(COUNTIFS($A$5:$A$3004,A2725,$C$5:$C$3004,"&lt;"&amp;D2725,$D$5:$D$3004,"&gt;"&amp;C2725)&gt;1,"⚠️ пересечение",""))</f>
        <v/>
      </c>
      <c r="M2725" s="54">
        <f>IF(F2725="","",IF(J2725="✅ Сделано","✔ ",IF(J2725="❌ Пропущено","✖ ","⏰ "))&amp;IF(C2725="","",RIGHT("0"&amp;HOUR(C2725),2)&amp;":"&amp;RIGHT("0"&amp;MINUTE(C2725),2)&amp;IF(D2725="","","–"&amp;RIGHT("0"&amp;HOUR(D2725),2)&amp;":"&amp;RIGHT("0"&amp;MINUTE(D2725),2))&amp;" ")&amp;F2725)</f>
        <v/>
      </c>
      <c r="N2725" s="54">
        <f>IF(OR(A2725="",F2725=""),"",A2725&amp;"#"&amp;(COUNTIFS($A$5:$A$3004,A2725,$F$5:$F$3004,"?*",$O$5:$O$3004,"&lt;"&amp;O2725)+COUNTIFS($A$5:A2725,A2725,$F$5:F2725,"?*",$O$5:O2725,O2725)))</f>
        <v/>
      </c>
      <c r="O2725" s="54">
        <f>IF(A2725="","",IF(C2725="",0,C2725))</f>
        <v/>
      </c>
    </row>
    <row r="2726">
      <c r="A2726" s="58" t="n"/>
      <c r="B2726" s="49">
        <f>IF(A2726="","",CHOOSE(WEEKDAY(A2726,2),"Пн","Вт","Ср","Чт","Пт","Сб","Вс"))</f>
        <v/>
      </c>
      <c r="C2726" s="59" t="n"/>
      <c r="D2726" s="59" t="n"/>
      <c r="E2726" s="60">
        <f>IF(OR(C2726="",D2726=""),"",MOD(D2726-C2726,1)*24)</f>
        <v/>
      </c>
      <c r="F2726" s="50" t="n"/>
      <c r="G2726" s="51" t="n"/>
      <c r="H2726" s="51" t="n"/>
      <c r="I2726" s="51" t="n"/>
      <c r="J2726" s="51" t="n"/>
      <c r="K2726" s="51" t="n"/>
      <c r="L2726" s="54">
        <f>IF(OR(A2726="",C2726="",D2726=""),"",IF(COUNTIFS($A$5:$A$3004,A2726,$C$5:$C$3004,"&lt;"&amp;D2726,$D$5:$D$3004,"&gt;"&amp;C2726)&gt;1,"⚠️ пересечение",""))</f>
        <v/>
      </c>
      <c r="M2726" s="54">
        <f>IF(F2726="","",IF(J2726="✅ Сделано","✔ ",IF(J2726="❌ Пропущено","✖ ","⏰ "))&amp;IF(C2726="","",RIGHT("0"&amp;HOUR(C2726),2)&amp;":"&amp;RIGHT("0"&amp;MINUTE(C2726),2)&amp;IF(D2726="","","–"&amp;RIGHT("0"&amp;HOUR(D2726),2)&amp;":"&amp;RIGHT("0"&amp;MINUTE(D2726),2))&amp;" ")&amp;F2726)</f>
        <v/>
      </c>
      <c r="N2726" s="54">
        <f>IF(OR(A2726="",F2726=""),"",A2726&amp;"#"&amp;(COUNTIFS($A$5:$A$3004,A2726,$F$5:$F$3004,"?*",$O$5:$O$3004,"&lt;"&amp;O2726)+COUNTIFS($A$5:A2726,A2726,$F$5:F2726,"?*",$O$5:O2726,O2726)))</f>
        <v/>
      </c>
      <c r="O2726" s="54">
        <f>IF(A2726="","",IF(C2726="",0,C2726))</f>
        <v/>
      </c>
    </row>
    <row r="2727">
      <c r="A2727" s="58" t="n"/>
      <c r="B2727" s="49">
        <f>IF(A2727="","",CHOOSE(WEEKDAY(A2727,2),"Пн","Вт","Ср","Чт","Пт","Сб","Вс"))</f>
        <v/>
      </c>
      <c r="C2727" s="59" t="n"/>
      <c r="D2727" s="59" t="n"/>
      <c r="E2727" s="60">
        <f>IF(OR(C2727="",D2727=""),"",MOD(D2727-C2727,1)*24)</f>
        <v/>
      </c>
      <c r="F2727" s="50" t="n"/>
      <c r="G2727" s="51" t="n"/>
      <c r="H2727" s="51" t="n"/>
      <c r="I2727" s="51" t="n"/>
      <c r="J2727" s="51" t="n"/>
      <c r="K2727" s="51" t="n"/>
      <c r="L2727" s="54">
        <f>IF(OR(A2727="",C2727="",D2727=""),"",IF(COUNTIFS($A$5:$A$3004,A2727,$C$5:$C$3004,"&lt;"&amp;D2727,$D$5:$D$3004,"&gt;"&amp;C2727)&gt;1,"⚠️ пересечение",""))</f>
        <v/>
      </c>
      <c r="M2727" s="54">
        <f>IF(F2727="","",IF(J2727="✅ Сделано","✔ ",IF(J2727="❌ Пропущено","✖ ","⏰ "))&amp;IF(C2727="","",RIGHT("0"&amp;HOUR(C2727),2)&amp;":"&amp;RIGHT("0"&amp;MINUTE(C2727),2)&amp;IF(D2727="","","–"&amp;RIGHT("0"&amp;HOUR(D2727),2)&amp;":"&amp;RIGHT("0"&amp;MINUTE(D2727),2))&amp;" ")&amp;F2727)</f>
        <v/>
      </c>
      <c r="N2727" s="54">
        <f>IF(OR(A2727="",F2727=""),"",A2727&amp;"#"&amp;(COUNTIFS($A$5:$A$3004,A2727,$F$5:$F$3004,"?*",$O$5:$O$3004,"&lt;"&amp;O2727)+COUNTIFS($A$5:A2727,A2727,$F$5:F2727,"?*",$O$5:O2727,O2727)))</f>
        <v/>
      </c>
      <c r="O2727" s="54">
        <f>IF(A2727="","",IF(C2727="",0,C2727))</f>
        <v/>
      </c>
    </row>
    <row r="2728">
      <c r="A2728" s="58" t="n"/>
      <c r="B2728" s="49">
        <f>IF(A2728="","",CHOOSE(WEEKDAY(A2728,2),"Пн","Вт","Ср","Чт","Пт","Сб","Вс"))</f>
        <v/>
      </c>
      <c r="C2728" s="59" t="n"/>
      <c r="D2728" s="59" t="n"/>
      <c r="E2728" s="60">
        <f>IF(OR(C2728="",D2728=""),"",MOD(D2728-C2728,1)*24)</f>
        <v/>
      </c>
      <c r="F2728" s="50" t="n"/>
      <c r="G2728" s="51" t="n"/>
      <c r="H2728" s="51" t="n"/>
      <c r="I2728" s="51" t="n"/>
      <c r="J2728" s="51" t="n"/>
      <c r="K2728" s="51" t="n"/>
      <c r="L2728" s="54">
        <f>IF(OR(A2728="",C2728="",D2728=""),"",IF(COUNTIFS($A$5:$A$3004,A2728,$C$5:$C$3004,"&lt;"&amp;D2728,$D$5:$D$3004,"&gt;"&amp;C2728)&gt;1,"⚠️ пересечение",""))</f>
        <v/>
      </c>
      <c r="M2728" s="54">
        <f>IF(F2728="","",IF(J2728="✅ Сделано","✔ ",IF(J2728="❌ Пропущено","✖ ","⏰ "))&amp;IF(C2728="","",RIGHT("0"&amp;HOUR(C2728),2)&amp;":"&amp;RIGHT("0"&amp;MINUTE(C2728),2)&amp;IF(D2728="","","–"&amp;RIGHT("0"&amp;HOUR(D2728),2)&amp;":"&amp;RIGHT("0"&amp;MINUTE(D2728),2))&amp;" ")&amp;F2728)</f>
        <v/>
      </c>
      <c r="N2728" s="54">
        <f>IF(OR(A2728="",F2728=""),"",A2728&amp;"#"&amp;(COUNTIFS($A$5:$A$3004,A2728,$F$5:$F$3004,"?*",$O$5:$O$3004,"&lt;"&amp;O2728)+COUNTIFS($A$5:A2728,A2728,$F$5:F2728,"?*",$O$5:O2728,O2728)))</f>
        <v/>
      </c>
      <c r="O2728" s="54">
        <f>IF(A2728="","",IF(C2728="",0,C2728))</f>
        <v/>
      </c>
    </row>
    <row r="2729">
      <c r="A2729" s="58" t="n"/>
      <c r="B2729" s="49">
        <f>IF(A2729="","",CHOOSE(WEEKDAY(A2729,2),"Пн","Вт","Ср","Чт","Пт","Сб","Вс"))</f>
        <v/>
      </c>
      <c r="C2729" s="59" t="n"/>
      <c r="D2729" s="59" t="n"/>
      <c r="E2729" s="60">
        <f>IF(OR(C2729="",D2729=""),"",MOD(D2729-C2729,1)*24)</f>
        <v/>
      </c>
      <c r="F2729" s="50" t="n"/>
      <c r="G2729" s="51" t="n"/>
      <c r="H2729" s="51" t="n"/>
      <c r="I2729" s="51" t="n"/>
      <c r="J2729" s="51" t="n"/>
      <c r="K2729" s="51" t="n"/>
      <c r="L2729" s="54">
        <f>IF(OR(A2729="",C2729="",D2729=""),"",IF(COUNTIFS($A$5:$A$3004,A2729,$C$5:$C$3004,"&lt;"&amp;D2729,$D$5:$D$3004,"&gt;"&amp;C2729)&gt;1,"⚠️ пересечение",""))</f>
        <v/>
      </c>
      <c r="M2729" s="54">
        <f>IF(F2729="","",IF(J2729="✅ Сделано","✔ ",IF(J2729="❌ Пропущено","✖ ","⏰ "))&amp;IF(C2729="","",RIGHT("0"&amp;HOUR(C2729),2)&amp;":"&amp;RIGHT("0"&amp;MINUTE(C2729),2)&amp;IF(D2729="","","–"&amp;RIGHT("0"&amp;HOUR(D2729),2)&amp;":"&amp;RIGHT("0"&amp;MINUTE(D2729),2))&amp;" ")&amp;F2729)</f>
        <v/>
      </c>
      <c r="N2729" s="54">
        <f>IF(OR(A2729="",F2729=""),"",A2729&amp;"#"&amp;(COUNTIFS($A$5:$A$3004,A2729,$F$5:$F$3004,"?*",$O$5:$O$3004,"&lt;"&amp;O2729)+COUNTIFS($A$5:A2729,A2729,$F$5:F2729,"?*",$O$5:O2729,O2729)))</f>
        <v/>
      </c>
      <c r="O2729" s="54">
        <f>IF(A2729="","",IF(C2729="",0,C2729))</f>
        <v/>
      </c>
    </row>
    <row r="2730">
      <c r="A2730" s="58" t="n"/>
      <c r="B2730" s="49">
        <f>IF(A2730="","",CHOOSE(WEEKDAY(A2730,2),"Пн","Вт","Ср","Чт","Пт","Сб","Вс"))</f>
        <v/>
      </c>
      <c r="C2730" s="59" t="n"/>
      <c r="D2730" s="59" t="n"/>
      <c r="E2730" s="60">
        <f>IF(OR(C2730="",D2730=""),"",MOD(D2730-C2730,1)*24)</f>
        <v/>
      </c>
      <c r="F2730" s="50" t="n"/>
      <c r="G2730" s="51" t="n"/>
      <c r="H2730" s="51" t="n"/>
      <c r="I2730" s="51" t="n"/>
      <c r="J2730" s="51" t="n"/>
      <c r="K2730" s="51" t="n"/>
      <c r="L2730" s="54">
        <f>IF(OR(A2730="",C2730="",D2730=""),"",IF(COUNTIFS($A$5:$A$3004,A2730,$C$5:$C$3004,"&lt;"&amp;D2730,$D$5:$D$3004,"&gt;"&amp;C2730)&gt;1,"⚠️ пересечение",""))</f>
        <v/>
      </c>
      <c r="M2730" s="54">
        <f>IF(F2730="","",IF(J2730="✅ Сделано","✔ ",IF(J2730="❌ Пропущено","✖ ","⏰ "))&amp;IF(C2730="","",RIGHT("0"&amp;HOUR(C2730),2)&amp;":"&amp;RIGHT("0"&amp;MINUTE(C2730),2)&amp;IF(D2730="","","–"&amp;RIGHT("0"&amp;HOUR(D2730),2)&amp;":"&amp;RIGHT("0"&amp;MINUTE(D2730),2))&amp;" ")&amp;F2730)</f>
        <v/>
      </c>
      <c r="N2730" s="54">
        <f>IF(OR(A2730="",F2730=""),"",A2730&amp;"#"&amp;(COUNTIFS($A$5:$A$3004,A2730,$F$5:$F$3004,"?*",$O$5:$O$3004,"&lt;"&amp;O2730)+COUNTIFS($A$5:A2730,A2730,$F$5:F2730,"?*",$O$5:O2730,O2730)))</f>
        <v/>
      </c>
      <c r="O2730" s="54">
        <f>IF(A2730="","",IF(C2730="",0,C2730))</f>
        <v/>
      </c>
    </row>
    <row r="2731">
      <c r="A2731" s="58" t="n"/>
      <c r="B2731" s="49">
        <f>IF(A2731="","",CHOOSE(WEEKDAY(A2731,2),"Пн","Вт","Ср","Чт","Пт","Сб","Вс"))</f>
        <v/>
      </c>
      <c r="C2731" s="59" t="n"/>
      <c r="D2731" s="59" t="n"/>
      <c r="E2731" s="60">
        <f>IF(OR(C2731="",D2731=""),"",MOD(D2731-C2731,1)*24)</f>
        <v/>
      </c>
      <c r="F2731" s="50" t="n"/>
      <c r="G2731" s="51" t="n"/>
      <c r="H2731" s="51" t="n"/>
      <c r="I2731" s="51" t="n"/>
      <c r="J2731" s="51" t="n"/>
      <c r="K2731" s="51" t="n"/>
      <c r="L2731" s="54">
        <f>IF(OR(A2731="",C2731="",D2731=""),"",IF(COUNTIFS($A$5:$A$3004,A2731,$C$5:$C$3004,"&lt;"&amp;D2731,$D$5:$D$3004,"&gt;"&amp;C2731)&gt;1,"⚠️ пересечение",""))</f>
        <v/>
      </c>
      <c r="M2731" s="54">
        <f>IF(F2731="","",IF(J2731="✅ Сделано","✔ ",IF(J2731="❌ Пропущено","✖ ","⏰ "))&amp;IF(C2731="","",RIGHT("0"&amp;HOUR(C2731),2)&amp;":"&amp;RIGHT("0"&amp;MINUTE(C2731),2)&amp;IF(D2731="","","–"&amp;RIGHT("0"&amp;HOUR(D2731),2)&amp;":"&amp;RIGHT("0"&amp;MINUTE(D2731),2))&amp;" ")&amp;F2731)</f>
        <v/>
      </c>
      <c r="N2731" s="54">
        <f>IF(OR(A2731="",F2731=""),"",A2731&amp;"#"&amp;(COUNTIFS($A$5:$A$3004,A2731,$F$5:$F$3004,"?*",$O$5:$O$3004,"&lt;"&amp;O2731)+COUNTIFS($A$5:A2731,A2731,$F$5:F2731,"?*",$O$5:O2731,O2731)))</f>
        <v/>
      </c>
      <c r="O2731" s="54">
        <f>IF(A2731="","",IF(C2731="",0,C2731))</f>
        <v/>
      </c>
    </row>
    <row r="2732">
      <c r="A2732" s="58" t="n"/>
      <c r="B2732" s="49">
        <f>IF(A2732="","",CHOOSE(WEEKDAY(A2732,2),"Пн","Вт","Ср","Чт","Пт","Сб","Вс"))</f>
        <v/>
      </c>
      <c r="C2732" s="59" t="n"/>
      <c r="D2732" s="59" t="n"/>
      <c r="E2732" s="60">
        <f>IF(OR(C2732="",D2732=""),"",MOD(D2732-C2732,1)*24)</f>
        <v/>
      </c>
      <c r="F2732" s="50" t="n"/>
      <c r="G2732" s="51" t="n"/>
      <c r="H2732" s="51" t="n"/>
      <c r="I2732" s="51" t="n"/>
      <c r="J2732" s="51" t="n"/>
      <c r="K2732" s="51" t="n"/>
      <c r="L2732" s="54">
        <f>IF(OR(A2732="",C2732="",D2732=""),"",IF(COUNTIFS($A$5:$A$3004,A2732,$C$5:$C$3004,"&lt;"&amp;D2732,$D$5:$D$3004,"&gt;"&amp;C2732)&gt;1,"⚠️ пересечение",""))</f>
        <v/>
      </c>
      <c r="M2732" s="54">
        <f>IF(F2732="","",IF(J2732="✅ Сделано","✔ ",IF(J2732="❌ Пропущено","✖ ","⏰ "))&amp;IF(C2732="","",RIGHT("0"&amp;HOUR(C2732),2)&amp;":"&amp;RIGHT("0"&amp;MINUTE(C2732),2)&amp;IF(D2732="","","–"&amp;RIGHT("0"&amp;HOUR(D2732),2)&amp;":"&amp;RIGHT("0"&amp;MINUTE(D2732),2))&amp;" ")&amp;F2732)</f>
        <v/>
      </c>
      <c r="N2732" s="54">
        <f>IF(OR(A2732="",F2732=""),"",A2732&amp;"#"&amp;(COUNTIFS($A$5:$A$3004,A2732,$F$5:$F$3004,"?*",$O$5:$O$3004,"&lt;"&amp;O2732)+COUNTIFS($A$5:A2732,A2732,$F$5:F2732,"?*",$O$5:O2732,O2732)))</f>
        <v/>
      </c>
      <c r="O2732" s="54">
        <f>IF(A2732="","",IF(C2732="",0,C2732))</f>
        <v/>
      </c>
    </row>
    <row r="2733">
      <c r="A2733" s="58" t="n"/>
      <c r="B2733" s="49">
        <f>IF(A2733="","",CHOOSE(WEEKDAY(A2733,2),"Пн","Вт","Ср","Чт","Пт","Сб","Вс"))</f>
        <v/>
      </c>
      <c r="C2733" s="59" t="n"/>
      <c r="D2733" s="59" t="n"/>
      <c r="E2733" s="60">
        <f>IF(OR(C2733="",D2733=""),"",MOD(D2733-C2733,1)*24)</f>
        <v/>
      </c>
      <c r="F2733" s="50" t="n"/>
      <c r="G2733" s="51" t="n"/>
      <c r="H2733" s="51" t="n"/>
      <c r="I2733" s="51" t="n"/>
      <c r="J2733" s="51" t="n"/>
      <c r="K2733" s="51" t="n"/>
      <c r="L2733" s="54">
        <f>IF(OR(A2733="",C2733="",D2733=""),"",IF(COUNTIFS($A$5:$A$3004,A2733,$C$5:$C$3004,"&lt;"&amp;D2733,$D$5:$D$3004,"&gt;"&amp;C2733)&gt;1,"⚠️ пересечение",""))</f>
        <v/>
      </c>
      <c r="M2733" s="54">
        <f>IF(F2733="","",IF(J2733="✅ Сделано","✔ ",IF(J2733="❌ Пропущено","✖ ","⏰ "))&amp;IF(C2733="","",RIGHT("0"&amp;HOUR(C2733),2)&amp;":"&amp;RIGHT("0"&amp;MINUTE(C2733),2)&amp;IF(D2733="","","–"&amp;RIGHT("0"&amp;HOUR(D2733),2)&amp;":"&amp;RIGHT("0"&amp;MINUTE(D2733),2))&amp;" ")&amp;F2733)</f>
        <v/>
      </c>
      <c r="N2733" s="54">
        <f>IF(OR(A2733="",F2733=""),"",A2733&amp;"#"&amp;(COUNTIFS($A$5:$A$3004,A2733,$F$5:$F$3004,"?*",$O$5:$O$3004,"&lt;"&amp;O2733)+COUNTIFS($A$5:A2733,A2733,$F$5:F2733,"?*",$O$5:O2733,O2733)))</f>
        <v/>
      </c>
      <c r="O2733" s="54">
        <f>IF(A2733="","",IF(C2733="",0,C2733))</f>
        <v/>
      </c>
    </row>
    <row r="2734">
      <c r="A2734" s="58" t="n"/>
      <c r="B2734" s="49">
        <f>IF(A2734="","",CHOOSE(WEEKDAY(A2734,2),"Пн","Вт","Ср","Чт","Пт","Сб","Вс"))</f>
        <v/>
      </c>
      <c r="C2734" s="59" t="n"/>
      <c r="D2734" s="59" t="n"/>
      <c r="E2734" s="60">
        <f>IF(OR(C2734="",D2734=""),"",MOD(D2734-C2734,1)*24)</f>
        <v/>
      </c>
      <c r="F2734" s="50" t="n"/>
      <c r="G2734" s="51" t="n"/>
      <c r="H2734" s="51" t="n"/>
      <c r="I2734" s="51" t="n"/>
      <c r="J2734" s="51" t="n"/>
      <c r="K2734" s="51" t="n"/>
      <c r="L2734" s="54">
        <f>IF(OR(A2734="",C2734="",D2734=""),"",IF(COUNTIFS($A$5:$A$3004,A2734,$C$5:$C$3004,"&lt;"&amp;D2734,$D$5:$D$3004,"&gt;"&amp;C2734)&gt;1,"⚠️ пересечение",""))</f>
        <v/>
      </c>
      <c r="M2734" s="54">
        <f>IF(F2734="","",IF(J2734="✅ Сделано","✔ ",IF(J2734="❌ Пропущено","✖ ","⏰ "))&amp;IF(C2734="","",RIGHT("0"&amp;HOUR(C2734),2)&amp;":"&amp;RIGHT("0"&amp;MINUTE(C2734),2)&amp;IF(D2734="","","–"&amp;RIGHT("0"&amp;HOUR(D2734),2)&amp;":"&amp;RIGHT("0"&amp;MINUTE(D2734),2))&amp;" ")&amp;F2734)</f>
        <v/>
      </c>
      <c r="N2734" s="54">
        <f>IF(OR(A2734="",F2734=""),"",A2734&amp;"#"&amp;(COUNTIFS($A$5:$A$3004,A2734,$F$5:$F$3004,"?*",$O$5:$O$3004,"&lt;"&amp;O2734)+COUNTIFS($A$5:A2734,A2734,$F$5:F2734,"?*",$O$5:O2734,O2734)))</f>
        <v/>
      </c>
      <c r="O2734" s="54">
        <f>IF(A2734="","",IF(C2734="",0,C2734))</f>
        <v/>
      </c>
    </row>
    <row r="2735">
      <c r="A2735" s="58" t="n"/>
      <c r="B2735" s="49">
        <f>IF(A2735="","",CHOOSE(WEEKDAY(A2735,2),"Пн","Вт","Ср","Чт","Пт","Сб","Вс"))</f>
        <v/>
      </c>
      <c r="C2735" s="59" t="n"/>
      <c r="D2735" s="59" t="n"/>
      <c r="E2735" s="60">
        <f>IF(OR(C2735="",D2735=""),"",MOD(D2735-C2735,1)*24)</f>
        <v/>
      </c>
      <c r="F2735" s="50" t="n"/>
      <c r="G2735" s="51" t="n"/>
      <c r="H2735" s="51" t="n"/>
      <c r="I2735" s="51" t="n"/>
      <c r="J2735" s="51" t="n"/>
      <c r="K2735" s="51" t="n"/>
      <c r="L2735" s="54">
        <f>IF(OR(A2735="",C2735="",D2735=""),"",IF(COUNTIFS($A$5:$A$3004,A2735,$C$5:$C$3004,"&lt;"&amp;D2735,$D$5:$D$3004,"&gt;"&amp;C2735)&gt;1,"⚠️ пересечение",""))</f>
        <v/>
      </c>
      <c r="M2735" s="54">
        <f>IF(F2735="","",IF(J2735="✅ Сделано","✔ ",IF(J2735="❌ Пропущено","✖ ","⏰ "))&amp;IF(C2735="","",RIGHT("0"&amp;HOUR(C2735),2)&amp;":"&amp;RIGHT("0"&amp;MINUTE(C2735),2)&amp;IF(D2735="","","–"&amp;RIGHT("0"&amp;HOUR(D2735),2)&amp;":"&amp;RIGHT("0"&amp;MINUTE(D2735),2))&amp;" ")&amp;F2735)</f>
        <v/>
      </c>
      <c r="N2735" s="54">
        <f>IF(OR(A2735="",F2735=""),"",A2735&amp;"#"&amp;(COUNTIFS($A$5:$A$3004,A2735,$F$5:$F$3004,"?*",$O$5:$O$3004,"&lt;"&amp;O2735)+COUNTIFS($A$5:A2735,A2735,$F$5:F2735,"?*",$O$5:O2735,O2735)))</f>
        <v/>
      </c>
      <c r="O2735" s="54">
        <f>IF(A2735="","",IF(C2735="",0,C2735))</f>
        <v/>
      </c>
    </row>
    <row r="2736">
      <c r="A2736" s="58" t="n"/>
      <c r="B2736" s="49">
        <f>IF(A2736="","",CHOOSE(WEEKDAY(A2736,2),"Пн","Вт","Ср","Чт","Пт","Сб","Вс"))</f>
        <v/>
      </c>
      <c r="C2736" s="59" t="n"/>
      <c r="D2736" s="59" t="n"/>
      <c r="E2736" s="60">
        <f>IF(OR(C2736="",D2736=""),"",MOD(D2736-C2736,1)*24)</f>
        <v/>
      </c>
      <c r="F2736" s="50" t="n"/>
      <c r="G2736" s="51" t="n"/>
      <c r="H2736" s="51" t="n"/>
      <c r="I2736" s="51" t="n"/>
      <c r="J2736" s="51" t="n"/>
      <c r="K2736" s="51" t="n"/>
      <c r="L2736" s="54">
        <f>IF(OR(A2736="",C2736="",D2736=""),"",IF(COUNTIFS($A$5:$A$3004,A2736,$C$5:$C$3004,"&lt;"&amp;D2736,$D$5:$D$3004,"&gt;"&amp;C2736)&gt;1,"⚠️ пересечение",""))</f>
        <v/>
      </c>
      <c r="M2736" s="54">
        <f>IF(F2736="","",IF(J2736="✅ Сделано","✔ ",IF(J2736="❌ Пропущено","✖ ","⏰ "))&amp;IF(C2736="","",RIGHT("0"&amp;HOUR(C2736),2)&amp;":"&amp;RIGHT("0"&amp;MINUTE(C2736),2)&amp;IF(D2736="","","–"&amp;RIGHT("0"&amp;HOUR(D2736),2)&amp;":"&amp;RIGHT("0"&amp;MINUTE(D2736),2))&amp;" ")&amp;F2736)</f>
        <v/>
      </c>
      <c r="N2736" s="54">
        <f>IF(OR(A2736="",F2736=""),"",A2736&amp;"#"&amp;(COUNTIFS($A$5:$A$3004,A2736,$F$5:$F$3004,"?*",$O$5:$O$3004,"&lt;"&amp;O2736)+COUNTIFS($A$5:A2736,A2736,$F$5:F2736,"?*",$O$5:O2736,O2736)))</f>
        <v/>
      </c>
      <c r="O2736" s="54">
        <f>IF(A2736="","",IF(C2736="",0,C2736))</f>
        <v/>
      </c>
    </row>
    <row r="2737">
      <c r="A2737" s="58" t="n"/>
      <c r="B2737" s="49">
        <f>IF(A2737="","",CHOOSE(WEEKDAY(A2737,2),"Пн","Вт","Ср","Чт","Пт","Сб","Вс"))</f>
        <v/>
      </c>
      <c r="C2737" s="59" t="n"/>
      <c r="D2737" s="59" t="n"/>
      <c r="E2737" s="60">
        <f>IF(OR(C2737="",D2737=""),"",MOD(D2737-C2737,1)*24)</f>
        <v/>
      </c>
      <c r="F2737" s="50" t="n"/>
      <c r="G2737" s="51" t="n"/>
      <c r="H2737" s="51" t="n"/>
      <c r="I2737" s="51" t="n"/>
      <c r="J2737" s="51" t="n"/>
      <c r="K2737" s="51" t="n"/>
      <c r="L2737" s="54">
        <f>IF(OR(A2737="",C2737="",D2737=""),"",IF(COUNTIFS($A$5:$A$3004,A2737,$C$5:$C$3004,"&lt;"&amp;D2737,$D$5:$D$3004,"&gt;"&amp;C2737)&gt;1,"⚠️ пересечение",""))</f>
        <v/>
      </c>
      <c r="M2737" s="54">
        <f>IF(F2737="","",IF(J2737="✅ Сделано","✔ ",IF(J2737="❌ Пропущено","✖ ","⏰ "))&amp;IF(C2737="","",RIGHT("0"&amp;HOUR(C2737),2)&amp;":"&amp;RIGHT("0"&amp;MINUTE(C2737),2)&amp;IF(D2737="","","–"&amp;RIGHT("0"&amp;HOUR(D2737),2)&amp;":"&amp;RIGHT("0"&amp;MINUTE(D2737),2))&amp;" ")&amp;F2737)</f>
        <v/>
      </c>
      <c r="N2737" s="54">
        <f>IF(OR(A2737="",F2737=""),"",A2737&amp;"#"&amp;(COUNTIFS($A$5:$A$3004,A2737,$F$5:$F$3004,"?*",$O$5:$O$3004,"&lt;"&amp;O2737)+COUNTIFS($A$5:A2737,A2737,$F$5:F2737,"?*",$O$5:O2737,O2737)))</f>
        <v/>
      </c>
      <c r="O2737" s="54">
        <f>IF(A2737="","",IF(C2737="",0,C2737))</f>
        <v/>
      </c>
    </row>
    <row r="2738">
      <c r="A2738" s="58" t="n"/>
      <c r="B2738" s="49">
        <f>IF(A2738="","",CHOOSE(WEEKDAY(A2738,2),"Пн","Вт","Ср","Чт","Пт","Сб","Вс"))</f>
        <v/>
      </c>
      <c r="C2738" s="59" t="n"/>
      <c r="D2738" s="59" t="n"/>
      <c r="E2738" s="60">
        <f>IF(OR(C2738="",D2738=""),"",MOD(D2738-C2738,1)*24)</f>
        <v/>
      </c>
      <c r="F2738" s="50" t="n"/>
      <c r="G2738" s="51" t="n"/>
      <c r="H2738" s="51" t="n"/>
      <c r="I2738" s="51" t="n"/>
      <c r="J2738" s="51" t="n"/>
      <c r="K2738" s="51" t="n"/>
      <c r="L2738" s="54">
        <f>IF(OR(A2738="",C2738="",D2738=""),"",IF(COUNTIFS($A$5:$A$3004,A2738,$C$5:$C$3004,"&lt;"&amp;D2738,$D$5:$D$3004,"&gt;"&amp;C2738)&gt;1,"⚠️ пересечение",""))</f>
        <v/>
      </c>
      <c r="M2738" s="54">
        <f>IF(F2738="","",IF(J2738="✅ Сделано","✔ ",IF(J2738="❌ Пропущено","✖ ","⏰ "))&amp;IF(C2738="","",RIGHT("0"&amp;HOUR(C2738),2)&amp;":"&amp;RIGHT("0"&amp;MINUTE(C2738),2)&amp;IF(D2738="","","–"&amp;RIGHT("0"&amp;HOUR(D2738),2)&amp;":"&amp;RIGHT("0"&amp;MINUTE(D2738),2))&amp;" ")&amp;F2738)</f>
        <v/>
      </c>
      <c r="N2738" s="54">
        <f>IF(OR(A2738="",F2738=""),"",A2738&amp;"#"&amp;(COUNTIFS($A$5:$A$3004,A2738,$F$5:$F$3004,"?*",$O$5:$O$3004,"&lt;"&amp;O2738)+COUNTIFS($A$5:A2738,A2738,$F$5:F2738,"?*",$O$5:O2738,O2738)))</f>
        <v/>
      </c>
      <c r="O2738" s="54">
        <f>IF(A2738="","",IF(C2738="",0,C2738))</f>
        <v/>
      </c>
    </row>
    <row r="2739">
      <c r="A2739" s="58" t="n"/>
      <c r="B2739" s="49">
        <f>IF(A2739="","",CHOOSE(WEEKDAY(A2739,2),"Пн","Вт","Ср","Чт","Пт","Сб","Вс"))</f>
        <v/>
      </c>
      <c r="C2739" s="59" t="n"/>
      <c r="D2739" s="59" t="n"/>
      <c r="E2739" s="60">
        <f>IF(OR(C2739="",D2739=""),"",MOD(D2739-C2739,1)*24)</f>
        <v/>
      </c>
      <c r="F2739" s="50" t="n"/>
      <c r="G2739" s="51" t="n"/>
      <c r="H2739" s="51" t="n"/>
      <c r="I2739" s="51" t="n"/>
      <c r="J2739" s="51" t="n"/>
      <c r="K2739" s="51" t="n"/>
      <c r="L2739" s="54">
        <f>IF(OR(A2739="",C2739="",D2739=""),"",IF(COUNTIFS($A$5:$A$3004,A2739,$C$5:$C$3004,"&lt;"&amp;D2739,$D$5:$D$3004,"&gt;"&amp;C2739)&gt;1,"⚠️ пересечение",""))</f>
        <v/>
      </c>
      <c r="M2739" s="54">
        <f>IF(F2739="","",IF(J2739="✅ Сделано","✔ ",IF(J2739="❌ Пропущено","✖ ","⏰ "))&amp;IF(C2739="","",RIGHT("0"&amp;HOUR(C2739),2)&amp;":"&amp;RIGHT("0"&amp;MINUTE(C2739),2)&amp;IF(D2739="","","–"&amp;RIGHT("0"&amp;HOUR(D2739),2)&amp;":"&amp;RIGHT("0"&amp;MINUTE(D2739),2))&amp;" ")&amp;F2739)</f>
        <v/>
      </c>
      <c r="N2739" s="54">
        <f>IF(OR(A2739="",F2739=""),"",A2739&amp;"#"&amp;(COUNTIFS($A$5:$A$3004,A2739,$F$5:$F$3004,"?*",$O$5:$O$3004,"&lt;"&amp;O2739)+COUNTIFS($A$5:A2739,A2739,$F$5:F2739,"?*",$O$5:O2739,O2739)))</f>
        <v/>
      </c>
      <c r="O2739" s="54">
        <f>IF(A2739="","",IF(C2739="",0,C2739))</f>
        <v/>
      </c>
    </row>
    <row r="2740">
      <c r="A2740" s="58" t="n"/>
      <c r="B2740" s="49">
        <f>IF(A2740="","",CHOOSE(WEEKDAY(A2740,2),"Пн","Вт","Ср","Чт","Пт","Сб","Вс"))</f>
        <v/>
      </c>
      <c r="C2740" s="59" t="n"/>
      <c r="D2740" s="59" t="n"/>
      <c r="E2740" s="60">
        <f>IF(OR(C2740="",D2740=""),"",MOD(D2740-C2740,1)*24)</f>
        <v/>
      </c>
      <c r="F2740" s="50" t="n"/>
      <c r="G2740" s="51" t="n"/>
      <c r="H2740" s="51" t="n"/>
      <c r="I2740" s="51" t="n"/>
      <c r="J2740" s="51" t="n"/>
      <c r="K2740" s="51" t="n"/>
      <c r="L2740" s="54">
        <f>IF(OR(A2740="",C2740="",D2740=""),"",IF(COUNTIFS($A$5:$A$3004,A2740,$C$5:$C$3004,"&lt;"&amp;D2740,$D$5:$D$3004,"&gt;"&amp;C2740)&gt;1,"⚠️ пересечение",""))</f>
        <v/>
      </c>
      <c r="M2740" s="54">
        <f>IF(F2740="","",IF(J2740="✅ Сделано","✔ ",IF(J2740="❌ Пропущено","✖ ","⏰ "))&amp;IF(C2740="","",RIGHT("0"&amp;HOUR(C2740),2)&amp;":"&amp;RIGHT("0"&amp;MINUTE(C2740),2)&amp;IF(D2740="","","–"&amp;RIGHT("0"&amp;HOUR(D2740),2)&amp;":"&amp;RIGHT("0"&amp;MINUTE(D2740),2))&amp;" ")&amp;F2740)</f>
        <v/>
      </c>
      <c r="N2740" s="54">
        <f>IF(OR(A2740="",F2740=""),"",A2740&amp;"#"&amp;(COUNTIFS($A$5:$A$3004,A2740,$F$5:$F$3004,"?*",$O$5:$O$3004,"&lt;"&amp;O2740)+COUNTIFS($A$5:A2740,A2740,$F$5:F2740,"?*",$O$5:O2740,O2740)))</f>
        <v/>
      </c>
      <c r="O2740" s="54">
        <f>IF(A2740="","",IF(C2740="",0,C2740))</f>
        <v/>
      </c>
    </row>
    <row r="2741">
      <c r="A2741" s="58" t="n"/>
      <c r="B2741" s="49">
        <f>IF(A2741="","",CHOOSE(WEEKDAY(A2741,2),"Пн","Вт","Ср","Чт","Пт","Сб","Вс"))</f>
        <v/>
      </c>
      <c r="C2741" s="59" t="n"/>
      <c r="D2741" s="59" t="n"/>
      <c r="E2741" s="60">
        <f>IF(OR(C2741="",D2741=""),"",MOD(D2741-C2741,1)*24)</f>
        <v/>
      </c>
      <c r="F2741" s="50" t="n"/>
      <c r="G2741" s="51" t="n"/>
      <c r="H2741" s="51" t="n"/>
      <c r="I2741" s="51" t="n"/>
      <c r="J2741" s="51" t="n"/>
      <c r="K2741" s="51" t="n"/>
      <c r="L2741" s="54">
        <f>IF(OR(A2741="",C2741="",D2741=""),"",IF(COUNTIFS($A$5:$A$3004,A2741,$C$5:$C$3004,"&lt;"&amp;D2741,$D$5:$D$3004,"&gt;"&amp;C2741)&gt;1,"⚠️ пересечение",""))</f>
        <v/>
      </c>
      <c r="M2741" s="54">
        <f>IF(F2741="","",IF(J2741="✅ Сделано","✔ ",IF(J2741="❌ Пропущено","✖ ","⏰ "))&amp;IF(C2741="","",RIGHT("0"&amp;HOUR(C2741),2)&amp;":"&amp;RIGHT("0"&amp;MINUTE(C2741),2)&amp;IF(D2741="","","–"&amp;RIGHT("0"&amp;HOUR(D2741),2)&amp;":"&amp;RIGHT("0"&amp;MINUTE(D2741),2))&amp;" ")&amp;F2741)</f>
        <v/>
      </c>
      <c r="N2741" s="54">
        <f>IF(OR(A2741="",F2741=""),"",A2741&amp;"#"&amp;(COUNTIFS($A$5:$A$3004,A2741,$F$5:$F$3004,"?*",$O$5:$O$3004,"&lt;"&amp;O2741)+COUNTIFS($A$5:A2741,A2741,$F$5:F2741,"?*",$O$5:O2741,O2741)))</f>
        <v/>
      </c>
      <c r="O2741" s="54">
        <f>IF(A2741="","",IF(C2741="",0,C2741))</f>
        <v/>
      </c>
    </row>
    <row r="2742">
      <c r="A2742" s="58" t="n"/>
      <c r="B2742" s="49">
        <f>IF(A2742="","",CHOOSE(WEEKDAY(A2742,2),"Пн","Вт","Ср","Чт","Пт","Сб","Вс"))</f>
        <v/>
      </c>
      <c r="C2742" s="59" t="n"/>
      <c r="D2742" s="59" t="n"/>
      <c r="E2742" s="60">
        <f>IF(OR(C2742="",D2742=""),"",MOD(D2742-C2742,1)*24)</f>
        <v/>
      </c>
      <c r="F2742" s="50" t="n"/>
      <c r="G2742" s="51" t="n"/>
      <c r="H2742" s="51" t="n"/>
      <c r="I2742" s="51" t="n"/>
      <c r="J2742" s="51" t="n"/>
      <c r="K2742" s="51" t="n"/>
      <c r="L2742" s="54">
        <f>IF(OR(A2742="",C2742="",D2742=""),"",IF(COUNTIFS($A$5:$A$3004,A2742,$C$5:$C$3004,"&lt;"&amp;D2742,$D$5:$D$3004,"&gt;"&amp;C2742)&gt;1,"⚠️ пересечение",""))</f>
        <v/>
      </c>
      <c r="M2742" s="54">
        <f>IF(F2742="","",IF(J2742="✅ Сделано","✔ ",IF(J2742="❌ Пропущено","✖ ","⏰ "))&amp;IF(C2742="","",RIGHT("0"&amp;HOUR(C2742),2)&amp;":"&amp;RIGHT("0"&amp;MINUTE(C2742),2)&amp;IF(D2742="","","–"&amp;RIGHT("0"&amp;HOUR(D2742),2)&amp;":"&amp;RIGHT("0"&amp;MINUTE(D2742),2))&amp;" ")&amp;F2742)</f>
        <v/>
      </c>
      <c r="N2742" s="54">
        <f>IF(OR(A2742="",F2742=""),"",A2742&amp;"#"&amp;(COUNTIFS($A$5:$A$3004,A2742,$F$5:$F$3004,"?*",$O$5:$O$3004,"&lt;"&amp;O2742)+COUNTIFS($A$5:A2742,A2742,$F$5:F2742,"?*",$O$5:O2742,O2742)))</f>
        <v/>
      </c>
      <c r="O2742" s="54">
        <f>IF(A2742="","",IF(C2742="",0,C2742))</f>
        <v/>
      </c>
    </row>
    <row r="2743">
      <c r="A2743" s="58" t="n"/>
      <c r="B2743" s="49">
        <f>IF(A2743="","",CHOOSE(WEEKDAY(A2743,2),"Пн","Вт","Ср","Чт","Пт","Сб","Вс"))</f>
        <v/>
      </c>
      <c r="C2743" s="59" t="n"/>
      <c r="D2743" s="59" t="n"/>
      <c r="E2743" s="60">
        <f>IF(OR(C2743="",D2743=""),"",MOD(D2743-C2743,1)*24)</f>
        <v/>
      </c>
      <c r="F2743" s="50" t="n"/>
      <c r="G2743" s="51" t="n"/>
      <c r="H2743" s="51" t="n"/>
      <c r="I2743" s="51" t="n"/>
      <c r="J2743" s="51" t="n"/>
      <c r="K2743" s="51" t="n"/>
      <c r="L2743" s="54">
        <f>IF(OR(A2743="",C2743="",D2743=""),"",IF(COUNTIFS($A$5:$A$3004,A2743,$C$5:$C$3004,"&lt;"&amp;D2743,$D$5:$D$3004,"&gt;"&amp;C2743)&gt;1,"⚠️ пересечение",""))</f>
        <v/>
      </c>
      <c r="M2743" s="54">
        <f>IF(F2743="","",IF(J2743="✅ Сделано","✔ ",IF(J2743="❌ Пропущено","✖ ","⏰ "))&amp;IF(C2743="","",RIGHT("0"&amp;HOUR(C2743),2)&amp;":"&amp;RIGHT("0"&amp;MINUTE(C2743),2)&amp;IF(D2743="","","–"&amp;RIGHT("0"&amp;HOUR(D2743),2)&amp;":"&amp;RIGHT("0"&amp;MINUTE(D2743),2))&amp;" ")&amp;F2743)</f>
        <v/>
      </c>
      <c r="N2743" s="54">
        <f>IF(OR(A2743="",F2743=""),"",A2743&amp;"#"&amp;(COUNTIFS($A$5:$A$3004,A2743,$F$5:$F$3004,"?*",$O$5:$O$3004,"&lt;"&amp;O2743)+COUNTIFS($A$5:A2743,A2743,$F$5:F2743,"?*",$O$5:O2743,O2743)))</f>
        <v/>
      </c>
      <c r="O2743" s="54">
        <f>IF(A2743="","",IF(C2743="",0,C2743))</f>
        <v/>
      </c>
    </row>
    <row r="2744">
      <c r="A2744" s="58" t="n"/>
      <c r="B2744" s="49">
        <f>IF(A2744="","",CHOOSE(WEEKDAY(A2744,2),"Пн","Вт","Ср","Чт","Пт","Сб","Вс"))</f>
        <v/>
      </c>
      <c r="C2744" s="59" t="n"/>
      <c r="D2744" s="59" t="n"/>
      <c r="E2744" s="60">
        <f>IF(OR(C2744="",D2744=""),"",MOD(D2744-C2744,1)*24)</f>
        <v/>
      </c>
      <c r="F2744" s="50" t="n"/>
      <c r="G2744" s="51" t="n"/>
      <c r="H2744" s="51" t="n"/>
      <c r="I2744" s="51" t="n"/>
      <c r="J2744" s="51" t="n"/>
      <c r="K2744" s="51" t="n"/>
      <c r="L2744" s="54">
        <f>IF(OR(A2744="",C2744="",D2744=""),"",IF(COUNTIFS($A$5:$A$3004,A2744,$C$5:$C$3004,"&lt;"&amp;D2744,$D$5:$D$3004,"&gt;"&amp;C2744)&gt;1,"⚠️ пересечение",""))</f>
        <v/>
      </c>
      <c r="M2744" s="54">
        <f>IF(F2744="","",IF(J2744="✅ Сделано","✔ ",IF(J2744="❌ Пропущено","✖ ","⏰ "))&amp;IF(C2744="","",RIGHT("0"&amp;HOUR(C2744),2)&amp;":"&amp;RIGHT("0"&amp;MINUTE(C2744),2)&amp;IF(D2744="","","–"&amp;RIGHT("0"&amp;HOUR(D2744),2)&amp;":"&amp;RIGHT("0"&amp;MINUTE(D2744),2))&amp;" ")&amp;F2744)</f>
        <v/>
      </c>
      <c r="N2744" s="54">
        <f>IF(OR(A2744="",F2744=""),"",A2744&amp;"#"&amp;(COUNTIFS($A$5:$A$3004,A2744,$F$5:$F$3004,"?*",$O$5:$O$3004,"&lt;"&amp;O2744)+COUNTIFS($A$5:A2744,A2744,$F$5:F2744,"?*",$O$5:O2744,O2744)))</f>
        <v/>
      </c>
      <c r="O2744" s="54">
        <f>IF(A2744="","",IF(C2744="",0,C2744))</f>
        <v/>
      </c>
    </row>
    <row r="2745">
      <c r="A2745" s="58" t="n"/>
      <c r="B2745" s="49">
        <f>IF(A2745="","",CHOOSE(WEEKDAY(A2745,2),"Пн","Вт","Ср","Чт","Пт","Сб","Вс"))</f>
        <v/>
      </c>
      <c r="C2745" s="59" t="n"/>
      <c r="D2745" s="59" t="n"/>
      <c r="E2745" s="60">
        <f>IF(OR(C2745="",D2745=""),"",MOD(D2745-C2745,1)*24)</f>
        <v/>
      </c>
      <c r="F2745" s="50" t="n"/>
      <c r="G2745" s="51" t="n"/>
      <c r="H2745" s="51" t="n"/>
      <c r="I2745" s="51" t="n"/>
      <c r="J2745" s="51" t="n"/>
      <c r="K2745" s="51" t="n"/>
      <c r="L2745" s="54">
        <f>IF(OR(A2745="",C2745="",D2745=""),"",IF(COUNTIFS($A$5:$A$3004,A2745,$C$5:$C$3004,"&lt;"&amp;D2745,$D$5:$D$3004,"&gt;"&amp;C2745)&gt;1,"⚠️ пересечение",""))</f>
        <v/>
      </c>
      <c r="M2745" s="54">
        <f>IF(F2745="","",IF(J2745="✅ Сделано","✔ ",IF(J2745="❌ Пропущено","✖ ","⏰ "))&amp;IF(C2745="","",RIGHT("0"&amp;HOUR(C2745),2)&amp;":"&amp;RIGHT("0"&amp;MINUTE(C2745),2)&amp;IF(D2745="","","–"&amp;RIGHT("0"&amp;HOUR(D2745),2)&amp;":"&amp;RIGHT("0"&amp;MINUTE(D2745),2))&amp;" ")&amp;F2745)</f>
        <v/>
      </c>
      <c r="N2745" s="54">
        <f>IF(OR(A2745="",F2745=""),"",A2745&amp;"#"&amp;(COUNTIFS($A$5:$A$3004,A2745,$F$5:$F$3004,"?*",$O$5:$O$3004,"&lt;"&amp;O2745)+COUNTIFS($A$5:A2745,A2745,$F$5:F2745,"?*",$O$5:O2745,O2745)))</f>
        <v/>
      </c>
      <c r="O2745" s="54">
        <f>IF(A2745="","",IF(C2745="",0,C2745))</f>
        <v/>
      </c>
    </row>
    <row r="2746">
      <c r="A2746" s="58" t="n"/>
      <c r="B2746" s="49">
        <f>IF(A2746="","",CHOOSE(WEEKDAY(A2746,2),"Пн","Вт","Ср","Чт","Пт","Сб","Вс"))</f>
        <v/>
      </c>
      <c r="C2746" s="59" t="n"/>
      <c r="D2746" s="59" t="n"/>
      <c r="E2746" s="60">
        <f>IF(OR(C2746="",D2746=""),"",MOD(D2746-C2746,1)*24)</f>
        <v/>
      </c>
      <c r="F2746" s="50" t="n"/>
      <c r="G2746" s="51" t="n"/>
      <c r="H2746" s="51" t="n"/>
      <c r="I2746" s="51" t="n"/>
      <c r="J2746" s="51" t="n"/>
      <c r="K2746" s="51" t="n"/>
      <c r="L2746" s="54">
        <f>IF(OR(A2746="",C2746="",D2746=""),"",IF(COUNTIFS($A$5:$A$3004,A2746,$C$5:$C$3004,"&lt;"&amp;D2746,$D$5:$D$3004,"&gt;"&amp;C2746)&gt;1,"⚠️ пересечение",""))</f>
        <v/>
      </c>
      <c r="M2746" s="54">
        <f>IF(F2746="","",IF(J2746="✅ Сделано","✔ ",IF(J2746="❌ Пропущено","✖ ","⏰ "))&amp;IF(C2746="","",RIGHT("0"&amp;HOUR(C2746),2)&amp;":"&amp;RIGHT("0"&amp;MINUTE(C2746),2)&amp;IF(D2746="","","–"&amp;RIGHT("0"&amp;HOUR(D2746),2)&amp;":"&amp;RIGHT("0"&amp;MINUTE(D2746),2))&amp;" ")&amp;F2746)</f>
        <v/>
      </c>
      <c r="N2746" s="54">
        <f>IF(OR(A2746="",F2746=""),"",A2746&amp;"#"&amp;(COUNTIFS($A$5:$A$3004,A2746,$F$5:$F$3004,"?*",$O$5:$O$3004,"&lt;"&amp;O2746)+COUNTIFS($A$5:A2746,A2746,$F$5:F2746,"?*",$O$5:O2746,O2746)))</f>
        <v/>
      </c>
      <c r="O2746" s="54">
        <f>IF(A2746="","",IF(C2746="",0,C2746))</f>
        <v/>
      </c>
    </row>
    <row r="2747">
      <c r="A2747" s="58" t="n"/>
      <c r="B2747" s="49">
        <f>IF(A2747="","",CHOOSE(WEEKDAY(A2747,2),"Пн","Вт","Ср","Чт","Пт","Сб","Вс"))</f>
        <v/>
      </c>
      <c r="C2747" s="59" t="n"/>
      <c r="D2747" s="59" t="n"/>
      <c r="E2747" s="60">
        <f>IF(OR(C2747="",D2747=""),"",MOD(D2747-C2747,1)*24)</f>
        <v/>
      </c>
      <c r="F2747" s="50" t="n"/>
      <c r="G2747" s="51" t="n"/>
      <c r="H2747" s="51" t="n"/>
      <c r="I2747" s="51" t="n"/>
      <c r="J2747" s="51" t="n"/>
      <c r="K2747" s="51" t="n"/>
      <c r="L2747" s="54">
        <f>IF(OR(A2747="",C2747="",D2747=""),"",IF(COUNTIFS($A$5:$A$3004,A2747,$C$5:$C$3004,"&lt;"&amp;D2747,$D$5:$D$3004,"&gt;"&amp;C2747)&gt;1,"⚠️ пересечение",""))</f>
        <v/>
      </c>
      <c r="M2747" s="54">
        <f>IF(F2747="","",IF(J2747="✅ Сделано","✔ ",IF(J2747="❌ Пропущено","✖ ","⏰ "))&amp;IF(C2747="","",RIGHT("0"&amp;HOUR(C2747),2)&amp;":"&amp;RIGHT("0"&amp;MINUTE(C2747),2)&amp;IF(D2747="","","–"&amp;RIGHT("0"&amp;HOUR(D2747),2)&amp;":"&amp;RIGHT("0"&amp;MINUTE(D2747),2))&amp;" ")&amp;F2747)</f>
        <v/>
      </c>
      <c r="N2747" s="54">
        <f>IF(OR(A2747="",F2747=""),"",A2747&amp;"#"&amp;(COUNTIFS($A$5:$A$3004,A2747,$F$5:$F$3004,"?*",$O$5:$O$3004,"&lt;"&amp;O2747)+COUNTIFS($A$5:A2747,A2747,$F$5:F2747,"?*",$O$5:O2747,O2747)))</f>
        <v/>
      </c>
      <c r="O2747" s="54">
        <f>IF(A2747="","",IF(C2747="",0,C2747))</f>
        <v/>
      </c>
    </row>
    <row r="2748">
      <c r="A2748" s="58" t="n"/>
      <c r="B2748" s="49">
        <f>IF(A2748="","",CHOOSE(WEEKDAY(A2748,2),"Пн","Вт","Ср","Чт","Пт","Сб","Вс"))</f>
        <v/>
      </c>
      <c r="C2748" s="59" t="n"/>
      <c r="D2748" s="59" t="n"/>
      <c r="E2748" s="60">
        <f>IF(OR(C2748="",D2748=""),"",MOD(D2748-C2748,1)*24)</f>
        <v/>
      </c>
      <c r="F2748" s="50" t="n"/>
      <c r="G2748" s="51" t="n"/>
      <c r="H2748" s="51" t="n"/>
      <c r="I2748" s="51" t="n"/>
      <c r="J2748" s="51" t="n"/>
      <c r="K2748" s="51" t="n"/>
      <c r="L2748" s="54">
        <f>IF(OR(A2748="",C2748="",D2748=""),"",IF(COUNTIFS($A$5:$A$3004,A2748,$C$5:$C$3004,"&lt;"&amp;D2748,$D$5:$D$3004,"&gt;"&amp;C2748)&gt;1,"⚠️ пересечение",""))</f>
        <v/>
      </c>
      <c r="M2748" s="54">
        <f>IF(F2748="","",IF(J2748="✅ Сделано","✔ ",IF(J2748="❌ Пропущено","✖ ","⏰ "))&amp;IF(C2748="","",RIGHT("0"&amp;HOUR(C2748),2)&amp;":"&amp;RIGHT("0"&amp;MINUTE(C2748),2)&amp;IF(D2748="","","–"&amp;RIGHT("0"&amp;HOUR(D2748),2)&amp;":"&amp;RIGHT("0"&amp;MINUTE(D2748),2))&amp;" ")&amp;F2748)</f>
        <v/>
      </c>
      <c r="N2748" s="54">
        <f>IF(OR(A2748="",F2748=""),"",A2748&amp;"#"&amp;(COUNTIFS($A$5:$A$3004,A2748,$F$5:$F$3004,"?*",$O$5:$O$3004,"&lt;"&amp;O2748)+COUNTIFS($A$5:A2748,A2748,$F$5:F2748,"?*",$O$5:O2748,O2748)))</f>
        <v/>
      </c>
      <c r="O2748" s="54">
        <f>IF(A2748="","",IF(C2748="",0,C2748))</f>
        <v/>
      </c>
    </row>
    <row r="2749">
      <c r="A2749" s="58" t="n"/>
      <c r="B2749" s="49">
        <f>IF(A2749="","",CHOOSE(WEEKDAY(A2749,2),"Пн","Вт","Ср","Чт","Пт","Сб","Вс"))</f>
        <v/>
      </c>
      <c r="C2749" s="59" t="n"/>
      <c r="D2749" s="59" t="n"/>
      <c r="E2749" s="60">
        <f>IF(OR(C2749="",D2749=""),"",MOD(D2749-C2749,1)*24)</f>
        <v/>
      </c>
      <c r="F2749" s="50" t="n"/>
      <c r="G2749" s="51" t="n"/>
      <c r="H2749" s="51" t="n"/>
      <c r="I2749" s="51" t="n"/>
      <c r="J2749" s="51" t="n"/>
      <c r="K2749" s="51" t="n"/>
      <c r="L2749" s="54">
        <f>IF(OR(A2749="",C2749="",D2749=""),"",IF(COUNTIFS($A$5:$A$3004,A2749,$C$5:$C$3004,"&lt;"&amp;D2749,$D$5:$D$3004,"&gt;"&amp;C2749)&gt;1,"⚠️ пересечение",""))</f>
        <v/>
      </c>
      <c r="M2749" s="54">
        <f>IF(F2749="","",IF(J2749="✅ Сделано","✔ ",IF(J2749="❌ Пропущено","✖ ","⏰ "))&amp;IF(C2749="","",RIGHT("0"&amp;HOUR(C2749),2)&amp;":"&amp;RIGHT("0"&amp;MINUTE(C2749),2)&amp;IF(D2749="","","–"&amp;RIGHT("0"&amp;HOUR(D2749),2)&amp;":"&amp;RIGHT("0"&amp;MINUTE(D2749),2))&amp;" ")&amp;F2749)</f>
        <v/>
      </c>
      <c r="N2749" s="54">
        <f>IF(OR(A2749="",F2749=""),"",A2749&amp;"#"&amp;(COUNTIFS($A$5:$A$3004,A2749,$F$5:$F$3004,"?*",$O$5:$O$3004,"&lt;"&amp;O2749)+COUNTIFS($A$5:A2749,A2749,$F$5:F2749,"?*",$O$5:O2749,O2749)))</f>
        <v/>
      </c>
      <c r="O2749" s="54">
        <f>IF(A2749="","",IF(C2749="",0,C2749))</f>
        <v/>
      </c>
    </row>
    <row r="2750">
      <c r="A2750" s="58" t="n"/>
      <c r="B2750" s="49">
        <f>IF(A2750="","",CHOOSE(WEEKDAY(A2750,2),"Пн","Вт","Ср","Чт","Пт","Сб","Вс"))</f>
        <v/>
      </c>
      <c r="C2750" s="59" t="n"/>
      <c r="D2750" s="59" t="n"/>
      <c r="E2750" s="60">
        <f>IF(OR(C2750="",D2750=""),"",MOD(D2750-C2750,1)*24)</f>
        <v/>
      </c>
      <c r="F2750" s="50" t="n"/>
      <c r="G2750" s="51" t="n"/>
      <c r="H2750" s="51" t="n"/>
      <c r="I2750" s="51" t="n"/>
      <c r="J2750" s="51" t="n"/>
      <c r="K2750" s="51" t="n"/>
      <c r="L2750" s="54">
        <f>IF(OR(A2750="",C2750="",D2750=""),"",IF(COUNTIFS($A$5:$A$3004,A2750,$C$5:$C$3004,"&lt;"&amp;D2750,$D$5:$D$3004,"&gt;"&amp;C2750)&gt;1,"⚠️ пересечение",""))</f>
        <v/>
      </c>
      <c r="M2750" s="54">
        <f>IF(F2750="","",IF(J2750="✅ Сделано","✔ ",IF(J2750="❌ Пропущено","✖ ","⏰ "))&amp;IF(C2750="","",RIGHT("0"&amp;HOUR(C2750),2)&amp;":"&amp;RIGHT("0"&amp;MINUTE(C2750),2)&amp;IF(D2750="","","–"&amp;RIGHT("0"&amp;HOUR(D2750),2)&amp;":"&amp;RIGHT("0"&amp;MINUTE(D2750),2))&amp;" ")&amp;F2750)</f>
        <v/>
      </c>
      <c r="N2750" s="54">
        <f>IF(OR(A2750="",F2750=""),"",A2750&amp;"#"&amp;(COUNTIFS($A$5:$A$3004,A2750,$F$5:$F$3004,"?*",$O$5:$O$3004,"&lt;"&amp;O2750)+COUNTIFS($A$5:A2750,A2750,$F$5:F2750,"?*",$O$5:O2750,O2750)))</f>
        <v/>
      </c>
      <c r="O2750" s="54">
        <f>IF(A2750="","",IF(C2750="",0,C2750))</f>
        <v/>
      </c>
    </row>
    <row r="2751">
      <c r="A2751" s="58" t="n"/>
      <c r="B2751" s="49">
        <f>IF(A2751="","",CHOOSE(WEEKDAY(A2751,2),"Пн","Вт","Ср","Чт","Пт","Сб","Вс"))</f>
        <v/>
      </c>
      <c r="C2751" s="59" t="n"/>
      <c r="D2751" s="59" t="n"/>
      <c r="E2751" s="60">
        <f>IF(OR(C2751="",D2751=""),"",MOD(D2751-C2751,1)*24)</f>
        <v/>
      </c>
      <c r="F2751" s="50" t="n"/>
      <c r="G2751" s="51" t="n"/>
      <c r="H2751" s="51" t="n"/>
      <c r="I2751" s="51" t="n"/>
      <c r="J2751" s="51" t="n"/>
      <c r="K2751" s="51" t="n"/>
      <c r="L2751" s="54">
        <f>IF(OR(A2751="",C2751="",D2751=""),"",IF(COUNTIFS($A$5:$A$3004,A2751,$C$5:$C$3004,"&lt;"&amp;D2751,$D$5:$D$3004,"&gt;"&amp;C2751)&gt;1,"⚠️ пересечение",""))</f>
        <v/>
      </c>
      <c r="M2751" s="54">
        <f>IF(F2751="","",IF(J2751="✅ Сделано","✔ ",IF(J2751="❌ Пропущено","✖ ","⏰ "))&amp;IF(C2751="","",RIGHT("0"&amp;HOUR(C2751),2)&amp;":"&amp;RIGHT("0"&amp;MINUTE(C2751),2)&amp;IF(D2751="","","–"&amp;RIGHT("0"&amp;HOUR(D2751),2)&amp;":"&amp;RIGHT("0"&amp;MINUTE(D2751),2))&amp;" ")&amp;F2751)</f>
        <v/>
      </c>
      <c r="N2751" s="54">
        <f>IF(OR(A2751="",F2751=""),"",A2751&amp;"#"&amp;(COUNTIFS($A$5:$A$3004,A2751,$F$5:$F$3004,"?*",$O$5:$O$3004,"&lt;"&amp;O2751)+COUNTIFS($A$5:A2751,A2751,$F$5:F2751,"?*",$O$5:O2751,O2751)))</f>
        <v/>
      </c>
      <c r="O2751" s="54">
        <f>IF(A2751="","",IF(C2751="",0,C2751))</f>
        <v/>
      </c>
    </row>
    <row r="2752">
      <c r="A2752" s="58" t="n"/>
      <c r="B2752" s="49">
        <f>IF(A2752="","",CHOOSE(WEEKDAY(A2752,2),"Пн","Вт","Ср","Чт","Пт","Сб","Вс"))</f>
        <v/>
      </c>
      <c r="C2752" s="59" t="n"/>
      <c r="D2752" s="59" t="n"/>
      <c r="E2752" s="60">
        <f>IF(OR(C2752="",D2752=""),"",MOD(D2752-C2752,1)*24)</f>
        <v/>
      </c>
      <c r="F2752" s="50" t="n"/>
      <c r="G2752" s="51" t="n"/>
      <c r="H2752" s="51" t="n"/>
      <c r="I2752" s="51" t="n"/>
      <c r="J2752" s="51" t="n"/>
      <c r="K2752" s="51" t="n"/>
      <c r="L2752" s="54">
        <f>IF(OR(A2752="",C2752="",D2752=""),"",IF(COUNTIFS($A$5:$A$3004,A2752,$C$5:$C$3004,"&lt;"&amp;D2752,$D$5:$D$3004,"&gt;"&amp;C2752)&gt;1,"⚠️ пересечение",""))</f>
        <v/>
      </c>
      <c r="M2752" s="54">
        <f>IF(F2752="","",IF(J2752="✅ Сделано","✔ ",IF(J2752="❌ Пропущено","✖ ","⏰ "))&amp;IF(C2752="","",RIGHT("0"&amp;HOUR(C2752),2)&amp;":"&amp;RIGHT("0"&amp;MINUTE(C2752),2)&amp;IF(D2752="","","–"&amp;RIGHT("0"&amp;HOUR(D2752),2)&amp;":"&amp;RIGHT("0"&amp;MINUTE(D2752),2))&amp;" ")&amp;F2752)</f>
        <v/>
      </c>
      <c r="N2752" s="54">
        <f>IF(OR(A2752="",F2752=""),"",A2752&amp;"#"&amp;(COUNTIFS($A$5:$A$3004,A2752,$F$5:$F$3004,"?*",$O$5:$O$3004,"&lt;"&amp;O2752)+COUNTIFS($A$5:A2752,A2752,$F$5:F2752,"?*",$O$5:O2752,O2752)))</f>
        <v/>
      </c>
      <c r="O2752" s="54">
        <f>IF(A2752="","",IF(C2752="",0,C2752))</f>
        <v/>
      </c>
    </row>
    <row r="2753">
      <c r="A2753" s="58" t="n"/>
      <c r="B2753" s="49">
        <f>IF(A2753="","",CHOOSE(WEEKDAY(A2753,2),"Пн","Вт","Ср","Чт","Пт","Сб","Вс"))</f>
        <v/>
      </c>
      <c r="C2753" s="59" t="n"/>
      <c r="D2753" s="59" t="n"/>
      <c r="E2753" s="60">
        <f>IF(OR(C2753="",D2753=""),"",MOD(D2753-C2753,1)*24)</f>
        <v/>
      </c>
      <c r="F2753" s="50" t="n"/>
      <c r="G2753" s="51" t="n"/>
      <c r="H2753" s="51" t="n"/>
      <c r="I2753" s="51" t="n"/>
      <c r="J2753" s="51" t="n"/>
      <c r="K2753" s="51" t="n"/>
      <c r="L2753" s="54">
        <f>IF(OR(A2753="",C2753="",D2753=""),"",IF(COUNTIFS($A$5:$A$3004,A2753,$C$5:$C$3004,"&lt;"&amp;D2753,$D$5:$D$3004,"&gt;"&amp;C2753)&gt;1,"⚠️ пересечение",""))</f>
        <v/>
      </c>
      <c r="M2753" s="54">
        <f>IF(F2753="","",IF(J2753="✅ Сделано","✔ ",IF(J2753="❌ Пропущено","✖ ","⏰ "))&amp;IF(C2753="","",RIGHT("0"&amp;HOUR(C2753),2)&amp;":"&amp;RIGHT("0"&amp;MINUTE(C2753),2)&amp;IF(D2753="","","–"&amp;RIGHT("0"&amp;HOUR(D2753),2)&amp;":"&amp;RIGHT("0"&amp;MINUTE(D2753),2))&amp;" ")&amp;F2753)</f>
        <v/>
      </c>
      <c r="N2753" s="54">
        <f>IF(OR(A2753="",F2753=""),"",A2753&amp;"#"&amp;(COUNTIFS($A$5:$A$3004,A2753,$F$5:$F$3004,"?*",$O$5:$O$3004,"&lt;"&amp;O2753)+COUNTIFS($A$5:A2753,A2753,$F$5:F2753,"?*",$O$5:O2753,O2753)))</f>
        <v/>
      </c>
      <c r="O2753" s="54">
        <f>IF(A2753="","",IF(C2753="",0,C2753))</f>
        <v/>
      </c>
    </row>
    <row r="2754">
      <c r="A2754" s="58" t="n"/>
      <c r="B2754" s="49">
        <f>IF(A2754="","",CHOOSE(WEEKDAY(A2754,2),"Пн","Вт","Ср","Чт","Пт","Сб","Вс"))</f>
        <v/>
      </c>
      <c r="C2754" s="59" t="n"/>
      <c r="D2754" s="59" t="n"/>
      <c r="E2754" s="60">
        <f>IF(OR(C2754="",D2754=""),"",MOD(D2754-C2754,1)*24)</f>
        <v/>
      </c>
      <c r="F2754" s="50" t="n"/>
      <c r="G2754" s="51" t="n"/>
      <c r="H2754" s="51" t="n"/>
      <c r="I2754" s="51" t="n"/>
      <c r="J2754" s="51" t="n"/>
      <c r="K2754" s="51" t="n"/>
      <c r="L2754" s="54">
        <f>IF(OR(A2754="",C2754="",D2754=""),"",IF(COUNTIFS($A$5:$A$3004,A2754,$C$5:$C$3004,"&lt;"&amp;D2754,$D$5:$D$3004,"&gt;"&amp;C2754)&gt;1,"⚠️ пересечение",""))</f>
        <v/>
      </c>
      <c r="M2754" s="54">
        <f>IF(F2754="","",IF(J2754="✅ Сделано","✔ ",IF(J2754="❌ Пропущено","✖ ","⏰ "))&amp;IF(C2754="","",RIGHT("0"&amp;HOUR(C2754),2)&amp;":"&amp;RIGHT("0"&amp;MINUTE(C2754),2)&amp;IF(D2754="","","–"&amp;RIGHT("0"&amp;HOUR(D2754),2)&amp;":"&amp;RIGHT("0"&amp;MINUTE(D2754),2))&amp;" ")&amp;F2754)</f>
        <v/>
      </c>
      <c r="N2754" s="54">
        <f>IF(OR(A2754="",F2754=""),"",A2754&amp;"#"&amp;(COUNTIFS($A$5:$A$3004,A2754,$F$5:$F$3004,"?*",$O$5:$O$3004,"&lt;"&amp;O2754)+COUNTIFS($A$5:A2754,A2754,$F$5:F2754,"?*",$O$5:O2754,O2754)))</f>
        <v/>
      </c>
      <c r="O2754" s="54">
        <f>IF(A2754="","",IF(C2754="",0,C2754))</f>
        <v/>
      </c>
    </row>
    <row r="2755">
      <c r="A2755" s="58" t="n"/>
      <c r="B2755" s="49">
        <f>IF(A2755="","",CHOOSE(WEEKDAY(A2755,2),"Пн","Вт","Ср","Чт","Пт","Сб","Вс"))</f>
        <v/>
      </c>
      <c r="C2755" s="59" t="n"/>
      <c r="D2755" s="59" t="n"/>
      <c r="E2755" s="60">
        <f>IF(OR(C2755="",D2755=""),"",MOD(D2755-C2755,1)*24)</f>
        <v/>
      </c>
      <c r="F2755" s="50" t="n"/>
      <c r="G2755" s="51" t="n"/>
      <c r="H2755" s="51" t="n"/>
      <c r="I2755" s="51" t="n"/>
      <c r="J2755" s="51" t="n"/>
      <c r="K2755" s="51" t="n"/>
      <c r="L2755" s="54">
        <f>IF(OR(A2755="",C2755="",D2755=""),"",IF(COUNTIFS($A$5:$A$3004,A2755,$C$5:$C$3004,"&lt;"&amp;D2755,$D$5:$D$3004,"&gt;"&amp;C2755)&gt;1,"⚠️ пересечение",""))</f>
        <v/>
      </c>
      <c r="M2755" s="54">
        <f>IF(F2755="","",IF(J2755="✅ Сделано","✔ ",IF(J2755="❌ Пропущено","✖ ","⏰ "))&amp;IF(C2755="","",RIGHT("0"&amp;HOUR(C2755),2)&amp;":"&amp;RIGHT("0"&amp;MINUTE(C2755),2)&amp;IF(D2755="","","–"&amp;RIGHT("0"&amp;HOUR(D2755),2)&amp;":"&amp;RIGHT("0"&amp;MINUTE(D2755),2))&amp;" ")&amp;F2755)</f>
        <v/>
      </c>
      <c r="N2755" s="54">
        <f>IF(OR(A2755="",F2755=""),"",A2755&amp;"#"&amp;(COUNTIFS($A$5:$A$3004,A2755,$F$5:$F$3004,"?*",$O$5:$O$3004,"&lt;"&amp;O2755)+COUNTIFS($A$5:A2755,A2755,$F$5:F2755,"?*",$O$5:O2755,O2755)))</f>
        <v/>
      </c>
      <c r="O2755" s="54">
        <f>IF(A2755="","",IF(C2755="",0,C2755))</f>
        <v/>
      </c>
    </row>
    <row r="2756">
      <c r="A2756" s="58" t="n"/>
      <c r="B2756" s="49">
        <f>IF(A2756="","",CHOOSE(WEEKDAY(A2756,2),"Пн","Вт","Ср","Чт","Пт","Сб","Вс"))</f>
        <v/>
      </c>
      <c r="C2756" s="59" t="n"/>
      <c r="D2756" s="59" t="n"/>
      <c r="E2756" s="60">
        <f>IF(OR(C2756="",D2756=""),"",MOD(D2756-C2756,1)*24)</f>
        <v/>
      </c>
      <c r="F2756" s="50" t="n"/>
      <c r="G2756" s="51" t="n"/>
      <c r="H2756" s="51" t="n"/>
      <c r="I2756" s="51" t="n"/>
      <c r="J2756" s="51" t="n"/>
      <c r="K2756" s="51" t="n"/>
      <c r="L2756" s="54">
        <f>IF(OR(A2756="",C2756="",D2756=""),"",IF(COUNTIFS($A$5:$A$3004,A2756,$C$5:$C$3004,"&lt;"&amp;D2756,$D$5:$D$3004,"&gt;"&amp;C2756)&gt;1,"⚠️ пересечение",""))</f>
        <v/>
      </c>
      <c r="M2756" s="54">
        <f>IF(F2756="","",IF(J2756="✅ Сделано","✔ ",IF(J2756="❌ Пропущено","✖ ","⏰ "))&amp;IF(C2756="","",RIGHT("0"&amp;HOUR(C2756),2)&amp;":"&amp;RIGHT("0"&amp;MINUTE(C2756),2)&amp;IF(D2756="","","–"&amp;RIGHT("0"&amp;HOUR(D2756),2)&amp;":"&amp;RIGHT("0"&amp;MINUTE(D2756),2))&amp;" ")&amp;F2756)</f>
        <v/>
      </c>
      <c r="N2756" s="54">
        <f>IF(OR(A2756="",F2756=""),"",A2756&amp;"#"&amp;(COUNTIFS($A$5:$A$3004,A2756,$F$5:$F$3004,"?*",$O$5:$O$3004,"&lt;"&amp;O2756)+COUNTIFS($A$5:A2756,A2756,$F$5:F2756,"?*",$O$5:O2756,O2756)))</f>
        <v/>
      </c>
      <c r="O2756" s="54">
        <f>IF(A2756="","",IF(C2756="",0,C2756))</f>
        <v/>
      </c>
    </row>
    <row r="2757">
      <c r="A2757" s="58" t="n"/>
      <c r="B2757" s="49">
        <f>IF(A2757="","",CHOOSE(WEEKDAY(A2757,2),"Пн","Вт","Ср","Чт","Пт","Сб","Вс"))</f>
        <v/>
      </c>
      <c r="C2757" s="59" t="n"/>
      <c r="D2757" s="59" t="n"/>
      <c r="E2757" s="60">
        <f>IF(OR(C2757="",D2757=""),"",MOD(D2757-C2757,1)*24)</f>
        <v/>
      </c>
      <c r="F2757" s="50" t="n"/>
      <c r="G2757" s="51" t="n"/>
      <c r="H2757" s="51" t="n"/>
      <c r="I2757" s="51" t="n"/>
      <c r="J2757" s="51" t="n"/>
      <c r="K2757" s="51" t="n"/>
      <c r="L2757" s="54">
        <f>IF(OR(A2757="",C2757="",D2757=""),"",IF(COUNTIFS($A$5:$A$3004,A2757,$C$5:$C$3004,"&lt;"&amp;D2757,$D$5:$D$3004,"&gt;"&amp;C2757)&gt;1,"⚠️ пересечение",""))</f>
        <v/>
      </c>
      <c r="M2757" s="54">
        <f>IF(F2757="","",IF(J2757="✅ Сделано","✔ ",IF(J2757="❌ Пропущено","✖ ","⏰ "))&amp;IF(C2757="","",RIGHT("0"&amp;HOUR(C2757),2)&amp;":"&amp;RIGHT("0"&amp;MINUTE(C2757),2)&amp;IF(D2757="","","–"&amp;RIGHT("0"&amp;HOUR(D2757),2)&amp;":"&amp;RIGHT("0"&amp;MINUTE(D2757),2))&amp;" ")&amp;F2757)</f>
        <v/>
      </c>
      <c r="N2757" s="54">
        <f>IF(OR(A2757="",F2757=""),"",A2757&amp;"#"&amp;(COUNTIFS($A$5:$A$3004,A2757,$F$5:$F$3004,"?*",$O$5:$O$3004,"&lt;"&amp;O2757)+COUNTIFS($A$5:A2757,A2757,$F$5:F2757,"?*",$O$5:O2757,O2757)))</f>
        <v/>
      </c>
      <c r="O2757" s="54">
        <f>IF(A2757="","",IF(C2757="",0,C2757))</f>
        <v/>
      </c>
    </row>
    <row r="2758">
      <c r="A2758" s="58" t="n"/>
      <c r="B2758" s="49">
        <f>IF(A2758="","",CHOOSE(WEEKDAY(A2758,2),"Пн","Вт","Ср","Чт","Пт","Сб","Вс"))</f>
        <v/>
      </c>
      <c r="C2758" s="59" t="n"/>
      <c r="D2758" s="59" t="n"/>
      <c r="E2758" s="60">
        <f>IF(OR(C2758="",D2758=""),"",MOD(D2758-C2758,1)*24)</f>
        <v/>
      </c>
      <c r="F2758" s="50" t="n"/>
      <c r="G2758" s="51" t="n"/>
      <c r="H2758" s="51" t="n"/>
      <c r="I2758" s="51" t="n"/>
      <c r="J2758" s="51" t="n"/>
      <c r="K2758" s="51" t="n"/>
      <c r="L2758" s="54">
        <f>IF(OR(A2758="",C2758="",D2758=""),"",IF(COUNTIFS($A$5:$A$3004,A2758,$C$5:$C$3004,"&lt;"&amp;D2758,$D$5:$D$3004,"&gt;"&amp;C2758)&gt;1,"⚠️ пересечение",""))</f>
        <v/>
      </c>
      <c r="M2758" s="54">
        <f>IF(F2758="","",IF(J2758="✅ Сделано","✔ ",IF(J2758="❌ Пропущено","✖ ","⏰ "))&amp;IF(C2758="","",RIGHT("0"&amp;HOUR(C2758),2)&amp;":"&amp;RIGHT("0"&amp;MINUTE(C2758),2)&amp;IF(D2758="","","–"&amp;RIGHT("0"&amp;HOUR(D2758),2)&amp;":"&amp;RIGHT("0"&amp;MINUTE(D2758),2))&amp;" ")&amp;F2758)</f>
        <v/>
      </c>
      <c r="N2758" s="54">
        <f>IF(OR(A2758="",F2758=""),"",A2758&amp;"#"&amp;(COUNTIFS($A$5:$A$3004,A2758,$F$5:$F$3004,"?*",$O$5:$O$3004,"&lt;"&amp;O2758)+COUNTIFS($A$5:A2758,A2758,$F$5:F2758,"?*",$O$5:O2758,O2758)))</f>
        <v/>
      </c>
      <c r="O2758" s="54">
        <f>IF(A2758="","",IF(C2758="",0,C2758))</f>
        <v/>
      </c>
    </row>
    <row r="2759">
      <c r="A2759" s="58" t="n"/>
      <c r="B2759" s="49">
        <f>IF(A2759="","",CHOOSE(WEEKDAY(A2759,2),"Пн","Вт","Ср","Чт","Пт","Сб","Вс"))</f>
        <v/>
      </c>
      <c r="C2759" s="59" t="n"/>
      <c r="D2759" s="59" t="n"/>
      <c r="E2759" s="60">
        <f>IF(OR(C2759="",D2759=""),"",MOD(D2759-C2759,1)*24)</f>
        <v/>
      </c>
      <c r="F2759" s="50" t="n"/>
      <c r="G2759" s="51" t="n"/>
      <c r="H2759" s="51" t="n"/>
      <c r="I2759" s="51" t="n"/>
      <c r="J2759" s="51" t="n"/>
      <c r="K2759" s="51" t="n"/>
      <c r="L2759" s="54">
        <f>IF(OR(A2759="",C2759="",D2759=""),"",IF(COUNTIFS($A$5:$A$3004,A2759,$C$5:$C$3004,"&lt;"&amp;D2759,$D$5:$D$3004,"&gt;"&amp;C2759)&gt;1,"⚠️ пересечение",""))</f>
        <v/>
      </c>
      <c r="M2759" s="54">
        <f>IF(F2759="","",IF(J2759="✅ Сделано","✔ ",IF(J2759="❌ Пропущено","✖ ","⏰ "))&amp;IF(C2759="","",RIGHT("0"&amp;HOUR(C2759),2)&amp;":"&amp;RIGHT("0"&amp;MINUTE(C2759),2)&amp;IF(D2759="","","–"&amp;RIGHT("0"&amp;HOUR(D2759),2)&amp;":"&amp;RIGHT("0"&amp;MINUTE(D2759),2))&amp;" ")&amp;F2759)</f>
        <v/>
      </c>
      <c r="N2759" s="54">
        <f>IF(OR(A2759="",F2759=""),"",A2759&amp;"#"&amp;(COUNTIFS($A$5:$A$3004,A2759,$F$5:$F$3004,"?*",$O$5:$O$3004,"&lt;"&amp;O2759)+COUNTIFS($A$5:A2759,A2759,$F$5:F2759,"?*",$O$5:O2759,O2759)))</f>
        <v/>
      </c>
      <c r="O2759" s="54">
        <f>IF(A2759="","",IF(C2759="",0,C2759))</f>
        <v/>
      </c>
    </row>
    <row r="2760">
      <c r="A2760" s="58" t="n"/>
      <c r="B2760" s="49">
        <f>IF(A2760="","",CHOOSE(WEEKDAY(A2760,2),"Пн","Вт","Ср","Чт","Пт","Сб","Вс"))</f>
        <v/>
      </c>
      <c r="C2760" s="59" t="n"/>
      <c r="D2760" s="59" t="n"/>
      <c r="E2760" s="60">
        <f>IF(OR(C2760="",D2760=""),"",MOD(D2760-C2760,1)*24)</f>
        <v/>
      </c>
      <c r="F2760" s="50" t="n"/>
      <c r="G2760" s="51" t="n"/>
      <c r="H2760" s="51" t="n"/>
      <c r="I2760" s="51" t="n"/>
      <c r="J2760" s="51" t="n"/>
      <c r="K2760" s="51" t="n"/>
      <c r="L2760" s="54">
        <f>IF(OR(A2760="",C2760="",D2760=""),"",IF(COUNTIFS($A$5:$A$3004,A2760,$C$5:$C$3004,"&lt;"&amp;D2760,$D$5:$D$3004,"&gt;"&amp;C2760)&gt;1,"⚠️ пересечение",""))</f>
        <v/>
      </c>
      <c r="M2760" s="54">
        <f>IF(F2760="","",IF(J2760="✅ Сделано","✔ ",IF(J2760="❌ Пропущено","✖ ","⏰ "))&amp;IF(C2760="","",RIGHT("0"&amp;HOUR(C2760),2)&amp;":"&amp;RIGHT("0"&amp;MINUTE(C2760),2)&amp;IF(D2760="","","–"&amp;RIGHT("0"&amp;HOUR(D2760),2)&amp;":"&amp;RIGHT("0"&amp;MINUTE(D2760),2))&amp;" ")&amp;F2760)</f>
        <v/>
      </c>
      <c r="N2760" s="54">
        <f>IF(OR(A2760="",F2760=""),"",A2760&amp;"#"&amp;(COUNTIFS($A$5:$A$3004,A2760,$F$5:$F$3004,"?*",$O$5:$O$3004,"&lt;"&amp;O2760)+COUNTIFS($A$5:A2760,A2760,$F$5:F2760,"?*",$O$5:O2760,O2760)))</f>
        <v/>
      </c>
      <c r="O2760" s="54">
        <f>IF(A2760="","",IF(C2760="",0,C2760))</f>
        <v/>
      </c>
    </row>
    <row r="2761">
      <c r="A2761" s="58" t="n"/>
      <c r="B2761" s="49">
        <f>IF(A2761="","",CHOOSE(WEEKDAY(A2761,2),"Пн","Вт","Ср","Чт","Пт","Сб","Вс"))</f>
        <v/>
      </c>
      <c r="C2761" s="59" t="n"/>
      <c r="D2761" s="59" t="n"/>
      <c r="E2761" s="60">
        <f>IF(OR(C2761="",D2761=""),"",MOD(D2761-C2761,1)*24)</f>
        <v/>
      </c>
      <c r="F2761" s="50" t="n"/>
      <c r="G2761" s="51" t="n"/>
      <c r="H2761" s="51" t="n"/>
      <c r="I2761" s="51" t="n"/>
      <c r="J2761" s="51" t="n"/>
      <c r="K2761" s="51" t="n"/>
      <c r="L2761" s="54">
        <f>IF(OR(A2761="",C2761="",D2761=""),"",IF(COUNTIFS($A$5:$A$3004,A2761,$C$5:$C$3004,"&lt;"&amp;D2761,$D$5:$D$3004,"&gt;"&amp;C2761)&gt;1,"⚠️ пересечение",""))</f>
        <v/>
      </c>
      <c r="M2761" s="54">
        <f>IF(F2761="","",IF(J2761="✅ Сделано","✔ ",IF(J2761="❌ Пропущено","✖ ","⏰ "))&amp;IF(C2761="","",RIGHT("0"&amp;HOUR(C2761),2)&amp;":"&amp;RIGHT("0"&amp;MINUTE(C2761),2)&amp;IF(D2761="","","–"&amp;RIGHT("0"&amp;HOUR(D2761),2)&amp;":"&amp;RIGHT("0"&amp;MINUTE(D2761),2))&amp;" ")&amp;F2761)</f>
        <v/>
      </c>
      <c r="N2761" s="54">
        <f>IF(OR(A2761="",F2761=""),"",A2761&amp;"#"&amp;(COUNTIFS($A$5:$A$3004,A2761,$F$5:$F$3004,"?*",$O$5:$O$3004,"&lt;"&amp;O2761)+COUNTIFS($A$5:A2761,A2761,$F$5:F2761,"?*",$O$5:O2761,O2761)))</f>
        <v/>
      </c>
      <c r="O2761" s="54">
        <f>IF(A2761="","",IF(C2761="",0,C2761))</f>
        <v/>
      </c>
    </row>
    <row r="2762">
      <c r="A2762" s="58" t="n"/>
      <c r="B2762" s="49">
        <f>IF(A2762="","",CHOOSE(WEEKDAY(A2762,2),"Пн","Вт","Ср","Чт","Пт","Сб","Вс"))</f>
        <v/>
      </c>
      <c r="C2762" s="59" t="n"/>
      <c r="D2762" s="59" t="n"/>
      <c r="E2762" s="60">
        <f>IF(OR(C2762="",D2762=""),"",MOD(D2762-C2762,1)*24)</f>
        <v/>
      </c>
      <c r="F2762" s="50" t="n"/>
      <c r="G2762" s="51" t="n"/>
      <c r="H2762" s="51" t="n"/>
      <c r="I2762" s="51" t="n"/>
      <c r="J2762" s="51" t="n"/>
      <c r="K2762" s="51" t="n"/>
      <c r="L2762" s="54">
        <f>IF(OR(A2762="",C2762="",D2762=""),"",IF(COUNTIFS($A$5:$A$3004,A2762,$C$5:$C$3004,"&lt;"&amp;D2762,$D$5:$D$3004,"&gt;"&amp;C2762)&gt;1,"⚠️ пересечение",""))</f>
        <v/>
      </c>
      <c r="M2762" s="54">
        <f>IF(F2762="","",IF(J2762="✅ Сделано","✔ ",IF(J2762="❌ Пропущено","✖ ","⏰ "))&amp;IF(C2762="","",RIGHT("0"&amp;HOUR(C2762),2)&amp;":"&amp;RIGHT("0"&amp;MINUTE(C2762),2)&amp;IF(D2762="","","–"&amp;RIGHT("0"&amp;HOUR(D2762),2)&amp;":"&amp;RIGHT("0"&amp;MINUTE(D2762),2))&amp;" ")&amp;F2762)</f>
        <v/>
      </c>
      <c r="N2762" s="54">
        <f>IF(OR(A2762="",F2762=""),"",A2762&amp;"#"&amp;(COUNTIFS($A$5:$A$3004,A2762,$F$5:$F$3004,"?*",$O$5:$O$3004,"&lt;"&amp;O2762)+COUNTIFS($A$5:A2762,A2762,$F$5:F2762,"?*",$O$5:O2762,O2762)))</f>
        <v/>
      </c>
      <c r="O2762" s="54">
        <f>IF(A2762="","",IF(C2762="",0,C2762))</f>
        <v/>
      </c>
    </row>
    <row r="2763">
      <c r="A2763" s="58" t="n"/>
      <c r="B2763" s="49">
        <f>IF(A2763="","",CHOOSE(WEEKDAY(A2763,2),"Пн","Вт","Ср","Чт","Пт","Сб","Вс"))</f>
        <v/>
      </c>
      <c r="C2763" s="59" t="n"/>
      <c r="D2763" s="59" t="n"/>
      <c r="E2763" s="60">
        <f>IF(OR(C2763="",D2763=""),"",MOD(D2763-C2763,1)*24)</f>
        <v/>
      </c>
      <c r="F2763" s="50" t="n"/>
      <c r="G2763" s="51" t="n"/>
      <c r="H2763" s="51" t="n"/>
      <c r="I2763" s="51" t="n"/>
      <c r="J2763" s="51" t="n"/>
      <c r="K2763" s="51" t="n"/>
      <c r="L2763" s="54">
        <f>IF(OR(A2763="",C2763="",D2763=""),"",IF(COUNTIFS($A$5:$A$3004,A2763,$C$5:$C$3004,"&lt;"&amp;D2763,$D$5:$D$3004,"&gt;"&amp;C2763)&gt;1,"⚠️ пересечение",""))</f>
        <v/>
      </c>
      <c r="M2763" s="54">
        <f>IF(F2763="","",IF(J2763="✅ Сделано","✔ ",IF(J2763="❌ Пропущено","✖ ","⏰ "))&amp;IF(C2763="","",RIGHT("0"&amp;HOUR(C2763),2)&amp;":"&amp;RIGHT("0"&amp;MINUTE(C2763),2)&amp;IF(D2763="","","–"&amp;RIGHT("0"&amp;HOUR(D2763),2)&amp;":"&amp;RIGHT("0"&amp;MINUTE(D2763),2))&amp;" ")&amp;F2763)</f>
        <v/>
      </c>
      <c r="N2763" s="54">
        <f>IF(OR(A2763="",F2763=""),"",A2763&amp;"#"&amp;(COUNTIFS($A$5:$A$3004,A2763,$F$5:$F$3004,"?*",$O$5:$O$3004,"&lt;"&amp;O2763)+COUNTIFS($A$5:A2763,A2763,$F$5:F2763,"?*",$O$5:O2763,O2763)))</f>
        <v/>
      </c>
      <c r="O2763" s="54">
        <f>IF(A2763="","",IF(C2763="",0,C2763))</f>
        <v/>
      </c>
    </row>
    <row r="2764">
      <c r="A2764" s="58" t="n"/>
      <c r="B2764" s="49">
        <f>IF(A2764="","",CHOOSE(WEEKDAY(A2764,2),"Пн","Вт","Ср","Чт","Пт","Сб","Вс"))</f>
        <v/>
      </c>
      <c r="C2764" s="59" t="n"/>
      <c r="D2764" s="59" t="n"/>
      <c r="E2764" s="60">
        <f>IF(OR(C2764="",D2764=""),"",MOD(D2764-C2764,1)*24)</f>
        <v/>
      </c>
      <c r="F2764" s="50" t="n"/>
      <c r="G2764" s="51" t="n"/>
      <c r="H2764" s="51" t="n"/>
      <c r="I2764" s="51" t="n"/>
      <c r="J2764" s="51" t="n"/>
      <c r="K2764" s="51" t="n"/>
      <c r="L2764" s="54">
        <f>IF(OR(A2764="",C2764="",D2764=""),"",IF(COUNTIFS($A$5:$A$3004,A2764,$C$5:$C$3004,"&lt;"&amp;D2764,$D$5:$D$3004,"&gt;"&amp;C2764)&gt;1,"⚠️ пересечение",""))</f>
        <v/>
      </c>
      <c r="M2764" s="54">
        <f>IF(F2764="","",IF(J2764="✅ Сделано","✔ ",IF(J2764="❌ Пропущено","✖ ","⏰ "))&amp;IF(C2764="","",RIGHT("0"&amp;HOUR(C2764),2)&amp;":"&amp;RIGHT("0"&amp;MINUTE(C2764),2)&amp;IF(D2764="","","–"&amp;RIGHT("0"&amp;HOUR(D2764),2)&amp;":"&amp;RIGHT("0"&amp;MINUTE(D2764),2))&amp;" ")&amp;F2764)</f>
        <v/>
      </c>
      <c r="N2764" s="54">
        <f>IF(OR(A2764="",F2764=""),"",A2764&amp;"#"&amp;(COUNTIFS($A$5:$A$3004,A2764,$F$5:$F$3004,"?*",$O$5:$O$3004,"&lt;"&amp;O2764)+COUNTIFS($A$5:A2764,A2764,$F$5:F2764,"?*",$O$5:O2764,O2764)))</f>
        <v/>
      </c>
      <c r="O2764" s="54">
        <f>IF(A2764="","",IF(C2764="",0,C2764))</f>
        <v/>
      </c>
    </row>
    <row r="2765">
      <c r="A2765" s="58" t="n"/>
      <c r="B2765" s="49">
        <f>IF(A2765="","",CHOOSE(WEEKDAY(A2765,2),"Пн","Вт","Ср","Чт","Пт","Сб","Вс"))</f>
        <v/>
      </c>
      <c r="C2765" s="59" t="n"/>
      <c r="D2765" s="59" t="n"/>
      <c r="E2765" s="60">
        <f>IF(OR(C2765="",D2765=""),"",MOD(D2765-C2765,1)*24)</f>
        <v/>
      </c>
      <c r="F2765" s="50" t="n"/>
      <c r="G2765" s="51" t="n"/>
      <c r="H2765" s="51" t="n"/>
      <c r="I2765" s="51" t="n"/>
      <c r="J2765" s="51" t="n"/>
      <c r="K2765" s="51" t="n"/>
      <c r="L2765" s="54">
        <f>IF(OR(A2765="",C2765="",D2765=""),"",IF(COUNTIFS($A$5:$A$3004,A2765,$C$5:$C$3004,"&lt;"&amp;D2765,$D$5:$D$3004,"&gt;"&amp;C2765)&gt;1,"⚠️ пересечение",""))</f>
        <v/>
      </c>
      <c r="M2765" s="54">
        <f>IF(F2765="","",IF(J2765="✅ Сделано","✔ ",IF(J2765="❌ Пропущено","✖ ","⏰ "))&amp;IF(C2765="","",RIGHT("0"&amp;HOUR(C2765),2)&amp;":"&amp;RIGHT("0"&amp;MINUTE(C2765),2)&amp;IF(D2765="","","–"&amp;RIGHT("0"&amp;HOUR(D2765),2)&amp;":"&amp;RIGHT("0"&amp;MINUTE(D2765),2))&amp;" ")&amp;F2765)</f>
        <v/>
      </c>
      <c r="N2765" s="54">
        <f>IF(OR(A2765="",F2765=""),"",A2765&amp;"#"&amp;(COUNTIFS($A$5:$A$3004,A2765,$F$5:$F$3004,"?*",$O$5:$O$3004,"&lt;"&amp;O2765)+COUNTIFS($A$5:A2765,A2765,$F$5:F2765,"?*",$O$5:O2765,O2765)))</f>
        <v/>
      </c>
      <c r="O2765" s="54">
        <f>IF(A2765="","",IF(C2765="",0,C2765))</f>
        <v/>
      </c>
    </row>
    <row r="2766">
      <c r="A2766" s="58" t="n"/>
      <c r="B2766" s="49">
        <f>IF(A2766="","",CHOOSE(WEEKDAY(A2766,2),"Пн","Вт","Ср","Чт","Пт","Сб","Вс"))</f>
        <v/>
      </c>
      <c r="C2766" s="59" t="n"/>
      <c r="D2766" s="59" t="n"/>
      <c r="E2766" s="60">
        <f>IF(OR(C2766="",D2766=""),"",MOD(D2766-C2766,1)*24)</f>
        <v/>
      </c>
      <c r="F2766" s="50" t="n"/>
      <c r="G2766" s="51" t="n"/>
      <c r="H2766" s="51" t="n"/>
      <c r="I2766" s="51" t="n"/>
      <c r="J2766" s="51" t="n"/>
      <c r="K2766" s="51" t="n"/>
      <c r="L2766" s="54">
        <f>IF(OR(A2766="",C2766="",D2766=""),"",IF(COUNTIFS($A$5:$A$3004,A2766,$C$5:$C$3004,"&lt;"&amp;D2766,$D$5:$D$3004,"&gt;"&amp;C2766)&gt;1,"⚠️ пересечение",""))</f>
        <v/>
      </c>
      <c r="M2766" s="54">
        <f>IF(F2766="","",IF(J2766="✅ Сделано","✔ ",IF(J2766="❌ Пропущено","✖ ","⏰ "))&amp;IF(C2766="","",RIGHT("0"&amp;HOUR(C2766),2)&amp;":"&amp;RIGHT("0"&amp;MINUTE(C2766),2)&amp;IF(D2766="","","–"&amp;RIGHT("0"&amp;HOUR(D2766),2)&amp;":"&amp;RIGHT("0"&amp;MINUTE(D2766),2))&amp;" ")&amp;F2766)</f>
        <v/>
      </c>
      <c r="N2766" s="54">
        <f>IF(OR(A2766="",F2766=""),"",A2766&amp;"#"&amp;(COUNTIFS($A$5:$A$3004,A2766,$F$5:$F$3004,"?*",$O$5:$O$3004,"&lt;"&amp;O2766)+COUNTIFS($A$5:A2766,A2766,$F$5:F2766,"?*",$O$5:O2766,O2766)))</f>
        <v/>
      </c>
      <c r="O2766" s="54">
        <f>IF(A2766="","",IF(C2766="",0,C2766))</f>
        <v/>
      </c>
    </row>
    <row r="2767">
      <c r="A2767" s="58" t="n"/>
      <c r="B2767" s="49">
        <f>IF(A2767="","",CHOOSE(WEEKDAY(A2767,2),"Пн","Вт","Ср","Чт","Пт","Сб","Вс"))</f>
        <v/>
      </c>
      <c r="C2767" s="59" t="n"/>
      <c r="D2767" s="59" t="n"/>
      <c r="E2767" s="60">
        <f>IF(OR(C2767="",D2767=""),"",MOD(D2767-C2767,1)*24)</f>
        <v/>
      </c>
      <c r="F2767" s="50" t="n"/>
      <c r="G2767" s="51" t="n"/>
      <c r="H2767" s="51" t="n"/>
      <c r="I2767" s="51" t="n"/>
      <c r="J2767" s="51" t="n"/>
      <c r="K2767" s="51" t="n"/>
      <c r="L2767" s="54">
        <f>IF(OR(A2767="",C2767="",D2767=""),"",IF(COUNTIFS($A$5:$A$3004,A2767,$C$5:$C$3004,"&lt;"&amp;D2767,$D$5:$D$3004,"&gt;"&amp;C2767)&gt;1,"⚠️ пересечение",""))</f>
        <v/>
      </c>
      <c r="M2767" s="54">
        <f>IF(F2767="","",IF(J2767="✅ Сделано","✔ ",IF(J2767="❌ Пропущено","✖ ","⏰ "))&amp;IF(C2767="","",RIGHT("0"&amp;HOUR(C2767),2)&amp;":"&amp;RIGHT("0"&amp;MINUTE(C2767),2)&amp;IF(D2767="","","–"&amp;RIGHT("0"&amp;HOUR(D2767),2)&amp;":"&amp;RIGHT("0"&amp;MINUTE(D2767),2))&amp;" ")&amp;F2767)</f>
        <v/>
      </c>
      <c r="N2767" s="54">
        <f>IF(OR(A2767="",F2767=""),"",A2767&amp;"#"&amp;(COUNTIFS($A$5:$A$3004,A2767,$F$5:$F$3004,"?*",$O$5:$O$3004,"&lt;"&amp;O2767)+COUNTIFS($A$5:A2767,A2767,$F$5:F2767,"?*",$O$5:O2767,O2767)))</f>
        <v/>
      </c>
      <c r="O2767" s="54">
        <f>IF(A2767="","",IF(C2767="",0,C2767))</f>
        <v/>
      </c>
    </row>
    <row r="2768">
      <c r="A2768" s="58" t="n"/>
      <c r="B2768" s="49">
        <f>IF(A2768="","",CHOOSE(WEEKDAY(A2768,2),"Пн","Вт","Ср","Чт","Пт","Сб","Вс"))</f>
        <v/>
      </c>
      <c r="C2768" s="59" t="n"/>
      <c r="D2768" s="59" t="n"/>
      <c r="E2768" s="60">
        <f>IF(OR(C2768="",D2768=""),"",MOD(D2768-C2768,1)*24)</f>
        <v/>
      </c>
      <c r="F2768" s="50" t="n"/>
      <c r="G2768" s="51" t="n"/>
      <c r="H2768" s="51" t="n"/>
      <c r="I2768" s="51" t="n"/>
      <c r="J2768" s="51" t="n"/>
      <c r="K2768" s="51" t="n"/>
      <c r="L2768" s="54">
        <f>IF(OR(A2768="",C2768="",D2768=""),"",IF(COUNTIFS($A$5:$A$3004,A2768,$C$5:$C$3004,"&lt;"&amp;D2768,$D$5:$D$3004,"&gt;"&amp;C2768)&gt;1,"⚠️ пересечение",""))</f>
        <v/>
      </c>
      <c r="M2768" s="54">
        <f>IF(F2768="","",IF(J2768="✅ Сделано","✔ ",IF(J2768="❌ Пропущено","✖ ","⏰ "))&amp;IF(C2768="","",RIGHT("0"&amp;HOUR(C2768),2)&amp;":"&amp;RIGHT("0"&amp;MINUTE(C2768),2)&amp;IF(D2768="","","–"&amp;RIGHT("0"&amp;HOUR(D2768),2)&amp;":"&amp;RIGHT("0"&amp;MINUTE(D2768),2))&amp;" ")&amp;F2768)</f>
        <v/>
      </c>
      <c r="N2768" s="54">
        <f>IF(OR(A2768="",F2768=""),"",A2768&amp;"#"&amp;(COUNTIFS($A$5:$A$3004,A2768,$F$5:$F$3004,"?*",$O$5:$O$3004,"&lt;"&amp;O2768)+COUNTIFS($A$5:A2768,A2768,$F$5:F2768,"?*",$O$5:O2768,O2768)))</f>
        <v/>
      </c>
      <c r="O2768" s="54">
        <f>IF(A2768="","",IF(C2768="",0,C2768))</f>
        <v/>
      </c>
    </row>
    <row r="2769">
      <c r="A2769" s="58" t="n"/>
      <c r="B2769" s="49">
        <f>IF(A2769="","",CHOOSE(WEEKDAY(A2769,2),"Пн","Вт","Ср","Чт","Пт","Сб","Вс"))</f>
        <v/>
      </c>
      <c r="C2769" s="59" t="n"/>
      <c r="D2769" s="59" t="n"/>
      <c r="E2769" s="60">
        <f>IF(OR(C2769="",D2769=""),"",MOD(D2769-C2769,1)*24)</f>
        <v/>
      </c>
      <c r="F2769" s="50" t="n"/>
      <c r="G2769" s="51" t="n"/>
      <c r="H2769" s="51" t="n"/>
      <c r="I2769" s="51" t="n"/>
      <c r="J2769" s="51" t="n"/>
      <c r="K2769" s="51" t="n"/>
      <c r="L2769" s="54">
        <f>IF(OR(A2769="",C2769="",D2769=""),"",IF(COUNTIFS($A$5:$A$3004,A2769,$C$5:$C$3004,"&lt;"&amp;D2769,$D$5:$D$3004,"&gt;"&amp;C2769)&gt;1,"⚠️ пересечение",""))</f>
        <v/>
      </c>
      <c r="M2769" s="54">
        <f>IF(F2769="","",IF(J2769="✅ Сделано","✔ ",IF(J2769="❌ Пропущено","✖ ","⏰ "))&amp;IF(C2769="","",RIGHT("0"&amp;HOUR(C2769),2)&amp;":"&amp;RIGHT("0"&amp;MINUTE(C2769),2)&amp;IF(D2769="","","–"&amp;RIGHT("0"&amp;HOUR(D2769),2)&amp;":"&amp;RIGHT("0"&amp;MINUTE(D2769),2))&amp;" ")&amp;F2769)</f>
        <v/>
      </c>
      <c r="N2769" s="54">
        <f>IF(OR(A2769="",F2769=""),"",A2769&amp;"#"&amp;(COUNTIFS($A$5:$A$3004,A2769,$F$5:$F$3004,"?*",$O$5:$O$3004,"&lt;"&amp;O2769)+COUNTIFS($A$5:A2769,A2769,$F$5:F2769,"?*",$O$5:O2769,O2769)))</f>
        <v/>
      </c>
      <c r="O2769" s="54">
        <f>IF(A2769="","",IF(C2769="",0,C2769))</f>
        <v/>
      </c>
    </row>
    <row r="2770">
      <c r="A2770" s="58" t="n"/>
      <c r="B2770" s="49">
        <f>IF(A2770="","",CHOOSE(WEEKDAY(A2770,2),"Пн","Вт","Ср","Чт","Пт","Сб","Вс"))</f>
        <v/>
      </c>
      <c r="C2770" s="59" t="n"/>
      <c r="D2770" s="59" t="n"/>
      <c r="E2770" s="60">
        <f>IF(OR(C2770="",D2770=""),"",MOD(D2770-C2770,1)*24)</f>
        <v/>
      </c>
      <c r="F2770" s="50" t="n"/>
      <c r="G2770" s="51" t="n"/>
      <c r="H2770" s="51" t="n"/>
      <c r="I2770" s="51" t="n"/>
      <c r="J2770" s="51" t="n"/>
      <c r="K2770" s="51" t="n"/>
      <c r="L2770" s="54">
        <f>IF(OR(A2770="",C2770="",D2770=""),"",IF(COUNTIFS($A$5:$A$3004,A2770,$C$5:$C$3004,"&lt;"&amp;D2770,$D$5:$D$3004,"&gt;"&amp;C2770)&gt;1,"⚠️ пересечение",""))</f>
        <v/>
      </c>
      <c r="M2770" s="54">
        <f>IF(F2770="","",IF(J2770="✅ Сделано","✔ ",IF(J2770="❌ Пропущено","✖ ","⏰ "))&amp;IF(C2770="","",RIGHT("0"&amp;HOUR(C2770),2)&amp;":"&amp;RIGHT("0"&amp;MINUTE(C2770),2)&amp;IF(D2770="","","–"&amp;RIGHT("0"&amp;HOUR(D2770),2)&amp;":"&amp;RIGHT("0"&amp;MINUTE(D2770),2))&amp;" ")&amp;F2770)</f>
        <v/>
      </c>
      <c r="N2770" s="54">
        <f>IF(OR(A2770="",F2770=""),"",A2770&amp;"#"&amp;(COUNTIFS($A$5:$A$3004,A2770,$F$5:$F$3004,"?*",$O$5:$O$3004,"&lt;"&amp;O2770)+COUNTIFS($A$5:A2770,A2770,$F$5:F2770,"?*",$O$5:O2770,O2770)))</f>
        <v/>
      </c>
      <c r="O2770" s="54">
        <f>IF(A2770="","",IF(C2770="",0,C2770))</f>
        <v/>
      </c>
    </row>
    <row r="2771">
      <c r="A2771" s="58" t="n"/>
      <c r="B2771" s="49">
        <f>IF(A2771="","",CHOOSE(WEEKDAY(A2771,2),"Пн","Вт","Ср","Чт","Пт","Сб","Вс"))</f>
        <v/>
      </c>
      <c r="C2771" s="59" t="n"/>
      <c r="D2771" s="59" t="n"/>
      <c r="E2771" s="60">
        <f>IF(OR(C2771="",D2771=""),"",MOD(D2771-C2771,1)*24)</f>
        <v/>
      </c>
      <c r="F2771" s="50" t="n"/>
      <c r="G2771" s="51" t="n"/>
      <c r="H2771" s="51" t="n"/>
      <c r="I2771" s="51" t="n"/>
      <c r="J2771" s="51" t="n"/>
      <c r="K2771" s="51" t="n"/>
      <c r="L2771" s="54">
        <f>IF(OR(A2771="",C2771="",D2771=""),"",IF(COUNTIFS($A$5:$A$3004,A2771,$C$5:$C$3004,"&lt;"&amp;D2771,$D$5:$D$3004,"&gt;"&amp;C2771)&gt;1,"⚠️ пересечение",""))</f>
        <v/>
      </c>
      <c r="M2771" s="54">
        <f>IF(F2771="","",IF(J2771="✅ Сделано","✔ ",IF(J2771="❌ Пропущено","✖ ","⏰ "))&amp;IF(C2771="","",RIGHT("0"&amp;HOUR(C2771),2)&amp;":"&amp;RIGHT("0"&amp;MINUTE(C2771),2)&amp;IF(D2771="","","–"&amp;RIGHT("0"&amp;HOUR(D2771),2)&amp;":"&amp;RIGHT("0"&amp;MINUTE(D2771),2))&amp;" ")&amp;F2771)</f>
        <v/>
      </c>
      <c r="N2771" s="54">
        <f>IF(OR(A2771="",F2771=""),"",A2771&amp;"#"&amp;(COUNTIFS($A$5:$A$3004,A2771,$F$5:$F$3004,"?*",$O$5:$O$3004,"&lt;"&amp;O2771)+COUNTIFS($A$5:A2771,A2771,$F$5:F2771,"?*",$O$5:O2771,O2771)))</f>
        <v/>
      </c>
      <c r="O2771" s="54">
        <f>IF(A2771="","",IF(C2771="",0,C2771))</f>
        <v/>
      </c>
    </row>
    <row r="2772">
      <c r="A2772" s="58" t="n"/>
      <c r="B2772" s="49">
        <f>IF(A2772="","",CHOOSE(WEEKDAY(A2772,2),"Пн","Вт","Ср","Чт","Пт","Сб","Вс"))</f>
        <v/>
      </c>
      <c r="C2772" s="59" t="n"/>
      <c r="D2772" s="59" t="n"/>
      <c r="E2772" s="60">
        <f>IF(OR(C2772="",D2772=""),"",MOD(D2772-C2772,1)*24)</f>
        <v/>
      </c>
      <c r="F2772" s="50" t="n"/>
      <c r="G2772" s="51" t="n"/>
      <c r="H2772" s="51" t="n"/>
      <c r="I2772" s="51" t="n"/>
      <c r="J2772" s="51" t="n"/>
      <c r="K2772" s="51" t="n"/>
      <c r="L2772" s="54">
        <f>IF(OR(A2772="",C2772="",D2772=""),"",IF(COUNTIFS($A$5:$A$3004,A2772,$C$5:$C$3004,"&lt;"&amp;D2772,$D$5:$D$3004,"&gt;"&amp;C2772)&gt;1,"⚠️ пересечение",""))</f>
        <v/>
      </c>
      <c r="M2772" s="54">
        <f>IF(F2772="","",IF(J2772="✅ Сделано","✔ ",IF(J2772="❌ Пропущено","✖ ","⏰ "))&amp;IF(C2772="","",RIGHT("0"&amp;HOUR(C2772),2)&amp;":"&amp;RIGHT("0"&amp;MINUTE(C2772),2)&amp;IF(D2772="","","–"&amp;RIGHT("0"&amp;HOUR(D2772),2)&amp;":"&amp;RIGHT("0"&amp;MINUTE(D2772),2))&amp;" ")&amp;F2772)</f>
        <v/>
      </c>
      <c r="N2772" s="54">
        <f>IF(OR(A2772="",F2772=""),"",A2772&amp;"#"&amp;(COUNTIFS($A$5:$A$3004,A2772,$F$5:$F$3004,"?*",$O$5:$O$3004,"&lt;"&amp;O2772)+COUNTIFS($A$5:A2772,A2772,$F$5:F2772,"?*",$O$5:O2772,O2772)))</f>
        <v/>
      </c>
      <c r="O2772" s="54">
        <f>IF(A2772="","",IF(C2772="",0,C2772))</f>
        <v/>
      </c>
    </row>
    <row r="2773">
      <c r="A2773" s="58" t="n"/>
      <c r="B2773" s="49">
        <f>IF(A2773="","",CHOOSE(WEEKDAY(A2773,2),"Пн","Вт","Ср","Чт","Пт","Сб","Вс"))</f>
        <v/>
      </c>
      <c r="C2773" s="59" t="n"/>
      <c r="D2773" s="59" t="n"/>
      <c r="E2773" s="60">
        <f>IF(OR(C2773="",D2773=""),"",MOD(D2773-C2773,1)*24)</f>
        <v/>
      </c>
      <c r="F2773" s="50" t="n"/>
      <c r="G2773" s="51" t="n"/>
      <c r="H2773" s="51" t="n"/>
      <c r="I2773" s="51" t="n"/>
      <c r="J2773" s="51" t="n"/>
      <c r="K2773" s="51" t="n"/>
      <c r="L2773" s="54">
        <f>IF(OR(A2773="",C2773="",D2773=""),"",IF(COUNTIFS($A$5:$A$3004,A2773,$C$5:$C$3004,"&lt;"&amp;D2773,$D$5:$D$3004,"&gt;"&amp;C2773)&gt;1,"⚠️ пересечение",""))</f>
        <v/>
      </c>
      <c r="M2773" s="54">
        <f>IF(F2773="","",IF(J2773="✅ Сделано","✔ ",IF(J2773="❌ Пропущено","✖ ","⏰ "))&amp;IF(C2773="","",RIGHT("0"&amp;HOUR(C2773),2)&amp;":"&amp;RIGHT("0"&amp;MINUTE(C2773),2)&amp;IF(D2773="","","–"&amp;RIGHT("0"&amp;HOUR(D2773),2)&amp;":"&amp;RIGHT("0"&amp;MINUTE(D2773),2))&amp;" ")&amp;F2773)</f>
        <v/>
      </c>
      <c r="N2773" s="54">
        <f>IF(OR(A2773="",F2773=""),"",A2773&amp;"#"&amp;(COUNTIFS($A$5:$A$3004,A2773,$F$5:$F$3004,"?*",$O$5:$O$3004,"&lt;"&amp;O2773)+COUNTIFS($A$5:A2773,A2773,$F$5:F2773,"?*",$O$5:O2773,O2773)))</f>
        <v/>
      </c>
      <c r="O2773" s="54">
        <f>IF(A2773="","",IF(C2773="",0,C2773))</f>
        <v/>
      </c>
    </row>
    <row r="2774">
      <c r="A2774" s="58" t="n"/>
      <c r="B2774" s="49">
        <f>IF(A2774="","",CHOOSE(WEEKDAY(A2774,2),"Пн","Вт","Ср","Чт","Пт","Сб","Вс"))</f>
        <v/>
      </c>
      <c r="C2774" s="59" t="n"/>
      <c r="D2774" s="59" t="n"/>
      <c r="E2774" s="60">
        <f>IF(OR(C2774="",D2774=""),"",MOD(D2774-C2774,1)*24)</f>
        <v/>
      </c>
      <c r="F2774" s="50" t="n"/>
      <c r="G2774" s="51" t="n"/>
      <c r="H2774" s="51" t="n"/>
      <c r="I2774" s="51" t="n"/>
      <c r="J2774" s="51" t="n"/>
      <c r="K2774" s="51" t="n"/>
      <c r="L2774" s="54">
        <f>IF(OR(A2774="",C2774="",D2774=""),"",IF(COUNTIFS($A$5:$A$3004,A2774,$C$5:$C$3004,"&lt;"&amp;D2774,$D$5:$D$3004,"&gt;"&amp;C2774)&gt;1,"⚠️ пересечение",""))</f>
        <v/>
      </c>
      <c r="M2774" s="54">
        <f>IF(F2774="","",IF(J2774="✅ Сделано","✔ ",IF(J2774="❌ Пропущено","✖ ","⏰ "))&amp;IF(C2774="","",RIGHT("0"&amp;HOUR(C2774),2)&amp;":"&amp;RIGHT("0"&amp;MINUTE(C2774),2)&amp;IF(D2774="","","–"&amp;RIGHT("0"&amp;HOUR(D2774),2)&amp;":"&amp;RIGHT("0"&amp;MINUTE(D2774),2))&amp;" ")&amp;F2774)</f>
        <v/>
      </c>
      <c r="N2774" s="54">
        <f>IF(OR(A2774="",F2774=""),"",A2774&amp;"#"&amp;(COUNTIFS($A$5:$A$3004,A2774,$F$5:$F$3004,"?*",$O$5:$O$3004,"&lt;"&amp;O2774)+COUNTIFS($A$5:A2774,A2774,$F$5:F2774,"?*",$O$5:O2774,O2774)))</f>
        <v/>
      </c>
      <c r="O2774" s="54">
        <f>IF(A2774="","",IF(C2774="",0,C2774))</f>
        <v/>
      </c>
    </row>
    <row r="2775">
      <c r="A2775" s="58" t="n"/>
      <c r="B2775" s="49">
        <f>IF(A2775="","",CHOOSE(WEEKDAY(A2775,2),"Пн","Вт","Ср","Чт","Пт","Сб","Вс"))</f>
        <v/>
      </c>
      <c r="C2775" s="59" t="n"/>
      <c r="D2775" s="59" t="n"/>
      <c r="E2775" s="60">
        <f>IF(OR(C2775="",D2775=""),"",MOD(D2775-C2775,1)*24)</f>
        <v/>
      </c>
      <c r="F2775" s="50" t="n"/>
      <c r="G2775" s="51" t="n"/>
      <c r="H2775" s="51" t="n"/>
      <c r="I2775" s="51" t="n"/>
      <c r="J2775" s="51" t="n"/>
      <c r="K2775" s="51" t="n"/>
      <c r="L2775" s="54">
        <f>IF(OR(A2775="",C2775="",D2775=""),"",IF(COUNTIFS($A$5:$A$3004,A2775,$C$5:$C$3004,"&lt;"&amp;D2775,$D$5:$D$3004,"&gt;"&amp;C2775)&gt;1,"⚠️ пересечение",""))</f>
        <v/>
      </c>
      <c r="M2775" s="54">
        <f>IF(F2775="","",IF(J2775="✅ Сделано","✔ ",IF(J2775="❌ Пропущено","✖ ","⏰ "))&amp;IF(C2775="","",RIGHT("0"&amp;HOUR(C2775),2)&amp;":"&amp;RIGHT("0"&amp;MINUTE(C2775),2)&amp;IF(D2775="","","–"&amp;RIGHT("0"&amp;HOUR(D2775),2)&amp;":"&amp;RIGHT("0"&amp;MINUTE(D2775),2))&amp;" ")&amp;F2775)</f>
        <v/>
      </c>
      <c r="N2775" s="54">
        <f>IF(OR(A2775="",F2775=""),"",A2775&amp;"#"&amp;(COUNTIFS($A$5:$A$3004,A2775,$F$5:$F$3004,"?*",$O$5:$O$3004,"&lt;"&amp;O2775)+COUNTIFS($A$5:A2775,A2775,$F$5:F2775,"?*",$O$5:O2775,O2775)))</f>
        <v/>
      </c>
      <c r="O2775" s="54">
        <f>IF(A2775="","",IF(C2775="",0,C2775))</f>
        <v/>
      </c>
    </row>
    <row r="2776">
      <c r="A2776" s="58" t="n"/>
      <c r="B2776" s="49">
        <f>IF(A2776="","",CHOOSE(WEEKDAY(A2776,2),"Пн","Вт","Ср","Чт","Пт","Сб","Вс"))</f>
        <v/>
      </c>
      <c r="C2776" s="59" t="n"/>
      <c r="D2776" s="59" t="n"/>
      <c r="E2776" s="60">
        <f>IF(OR(C2776="",D2776=""),"",MOD(D2776-C2776,1)*24)</f>
        <v/>
      </c>
      <c r="F2776" s="50" t="n"/>
      <c r="G2776" s="51" t="n"/>
      <c r="H2776" s="51" t="n"/>
      <c r="I2776" s="51" t="n"/>
      <c r="J2776" s="51" t="n"/>
      <c r="K2776" s="51" t="n"/>
      <c r="L2776" s="54">
        <f>IF(OR(A2776="",C2776="",D2776=""),"",IF(COUNTIFS($A$5:$A$3004,A2776,$C$5:$C$3004,"&lt;"&amp;D2776,$D$5:$D$3004,"&gt;"&amp;C2776)&gt;1,"⚠️ пересечение",""))</f>
        <v/>
      </c>
      <c r="M2776" s="54">
        <f>IF(F2776="","",IF(J2776="✅ Сделано","✔ ",IF(J2776="❌ Пропущено","✖ ","⏰ "))&amp;IF(C2776="","",RIGHT("0"&amp;HOUR(C2776),2)&amp;":"&amp;RIGHT("0"&amp;MINUTE(C2776),2)&amp;IF(D2776="","","–"&amp;RIGHT("0"&amp;HOUR(D2776),2)&amp;":"&amp;RIGHT("0"&amp;MINUTE(D2776),2))&amp;" ")&amp;F2776)</f>
        <v/>
      </c>
      <c r="N2776" s="54">
        <f>IF(OR(A2776="",F2776=""),"",A2776&amp;"#"&amp;(COUNTIFS($A$5:$A$3004,A2776,$F$5:$F$3004,"?*",$O$5:$O$3004,"&lt;"&amp;O2776)+COUNTIFS($A$5:A2776,A2776,$F$5:F2776,"?*",$O$5:O2776,O2776)))</f>
        <v/>
      </c>
      <c r="O2776" s="54">
        <f>IF(A2776="","",IF(C2776="",0,C2776))</f>
        <v/>
      </c>
    </row>
    <row r="2777">
      <c r="A2777" s="58" t="n"/>
      <c r="B2777" s="49">
        <f>IF(A2777="","",CHOOSE(WEEKDAY(A2777,2),"Пн","Вт","Ср","Чт","Пт","Сб","Вс"))</f>
        <v/>
      </c>
      <c r="C2777" s="59" t="n"/>
      <c r="D2777" s="59" t="n"/>
      <c r="E2777" s="60">
        <f>IF(OR(C2777="",D2777=""),"",MOD(D2777-C2777,1)*24)</f>
        <v/>
      </c>
      <c r="F2777" s="50" t="n"/>
      <c r="G2777" s="51" t="n"/>
      <c r="H2777" s="51" t="n"/>
      <c r="I2777" s="51" t="n"/>
      <c r="J2777" s="51" t="n"/>
      <c r="K2777" s="51" t="n"/>
      <c r="L2777" s="54">
        <f>IF(OR(A2777="",C2777="",D2777=""),"",IF(COUNTIFS($A$5:$A$3004,A2777,$C$5:$C$3004,"&lt;"&amp;D2777,$D$5:$D$3004,"&gt;"&amp;C2777)&gt;1,"⚠️ пересечение",""))</f>
        <v/>
      </c>
      <c r="M2777" s="54">
        <f>IF(F2777="","",IF(J2777="✅ Сделано","✔ ",IF(J2777="❌ Пропущено","✖ ","⏰ "))&amp;IF(C2777="","",RIGHT("0"&amp;HOUR(C2777),2)&amp;":"&amp;RIGHT("0"&amp;MINUTE(C2777),2)&amp;IF(D2777="","","–"&amp;RIGHT("0"&amp;HOUR(D2777),2)&amp;":"&amp;RIGHT("0"&amp;MINUTE(D2777),2))&amp;" ")&amp;F2777)</f>
        <v/>
      </c>
      <c r="N2777" s="54">
        <f>IF(OR(A2777="",F2777=""),"",A2777&amp;"#"&amp;(COUNTIFS($A$5:$A$3004,A2777,$F$5:$F$3004,"?*",$O$5:$O$3004,"&lt;"&amp;O2777)+COUNTIFS($A$5:A2777,A2777,$F$5:F2777,"?*",$O$5:O2777,O2777)))</f>
        <v/>
      </c>
      <c r="O2777" s="54">
        <f>IF(A2777="","",IF(C2777="",0,C2777))</f>
        <v/>
      </c>
    </row>
    <row r="2778">
      <c r="A2778" s="58" t="n"/>
      <c r="B2778" s="49">
        <f>IF(A2778="","",CHOOSE(WEEKDAY(A2778,2),"Пн","Вт","Ср","Чт","Пт","Сб","Вс"))</f>
        <v/>
      </c>
      <c r="C2778" s="59" t="n"/>
      <c r="D2778" s="59" t="n"/>
      <c r="E2778" s="60">
        <f>IF(OR(C2778="",D2778=""),"",MOD(D2778-C2778,1)*24)</f>
        <v/>
      </c>
      <c r="F2778" s="50" t="n"/>
      <c r="G2778" s="51" t="n"/>
      <c r="H2778" s="51" t="n"/>
      <c r="I2778" s="51" t="n"/>
      <c r="J2778" s="51" t="n"/>
      <c r="K2778" s="51" t="n"/>
      <c r="L2778" s="54">
        <f>IF(OR(A2778="",C2778="",D2778=""),"",IF(COUNTIFS($A$5:$A$3004,A2778,$C$5:$C$3004,"&lt;"&amp;D2778,$D$5:$D$3004,"&gt;"&amp;C2778)&gt;1,"⚠️ пересечение",""))</f>
        <v/>
      </c>
      <c r="M2778" s="54">
        <f>IF(F2778="","",IF(J2778="✅ Сделано","✔ ",IF(J2778="❌ Пропущено","✖ ","⏰ "))&amp;IF(C2778="","",RIGHT("0"&amp;HOUR(C2778),2)&amp;":"&amp;RIGHT("0"&amp;MINUTE(C2778),2)&amp;IF(D2778="","","–"&amp;RIGHT("0"&amp;HOUR(D2778),2)&amp;":"&amp;RIGHT("0"&amp;MINUTE(D2778),2))&amp;" ")&amp;F2778)</f>
        <v/>
      </c>
      <c r="N2778" s="54">
        <f>IF(OR(A2778="",F2778=""),"",A2778&amp;"#"&amp;(COUNTIFS($A$5:$A$3004,A2778,$F$5:$F$3004,"?*",$O$5:$O$3004,"&lt;"&amp;O2778)+COUNTIFS($A$5:A2778,A2778,$F$5:F2778,"?*",$O$5:O2778,O2778)))</f>
        <v/>
      </c>
      <c r="O2778" s="54">
        <f>IF(A2778="","",IF(C2778="",0,C2778))</f>
        <v/>
      </c>
    </row>
    <row r="2779">
      <c r="A2779" s="58" t="n"/>
      <c r="B2779" s="49">
        <f>IF(A2779="","",CHOOSE(WEEKDAY(A2779,2),"Пн","Вт","Ср","Чт","Пт","Сб","Вс"))</f>
        <v/>
      </c>
      <c r="C2779" s="59" t="n"/>
      <c r="D2779" s="59" t="n"/>
      <c r="E2779" s="60">
        <f>IF(OR(C2779="",D2779=""),"",MOD(D2779-C2779,1)*24)</f>
        <v/>
      </c>
      <c r="F2779" s="50" t="n"/>
      <c r="G2779" s="51" t="n"/>
      <c r="H2779" s="51" t="n"/>
      <c r="I2779" s="51" t="n"/>
      <c r="J2779" s="51" t="n"/>
      <c r="K2779" s="51" t="n"/>
      <c r="L2779" s="54">
        <f>IF(OR(A2779="",C2779="",D2779=""),"",IF(COUNTIFS($A$5:$A$3004,A2779,$C$5:$C$3004,"&lt;"&amp;D2779,$D$5:$D$3004,"&gt;"&amp;C2779)&gt;1,"⚠️ пересечение",""))</f>
        <v/>
      </c>
      <c r="M2779" s="54">
        <f>IF(F2779="","",IF(J2779="✅ Сделано","✔ ",IF(J2779="❌ Пропущено","✖ ","⏰ "))&amp;IF(C2779="","",RIGHT("0"&amp;HOUR(C2779),2)&amp;":"&amp;RIGHT("0"&amp;MINUTE(C2779),2)&amp;IF(D2779="","","–"&amp;RIGHT("0"&amp;HOUR(D2779),2)&amp;":"&amp;RIGHT("0"&amp;MINUTE(D2779),2))&amp;" ")&amp;F2779)</f>
        <v/>
      </c>
      <c r="N2779" s="54">
        <f>IF(OR(A2779="",F2779=""),"",A2779&amp;"#"&amp;(COUNTIFS($A$5:$A$3004,A2779,$F$5:$F$3004,"?*",$O$5:$O$3004,"&lt;"&amp;O2779)+COUNTIFS($A$5:A2779,A2779,$F$5:F2779,"?*",$O$5:O2779,O2779)))</f>
        <v/>
      </c>
      <c r="O2779" s="54">
        <f>IF(A2779="","",IF(C2779="",0,C2779))</f>
        <v/>
      </c>
    </row>
    <row r="2780">
      <c r="A2780" s="58" t="n"/>
      <c r="B2780" s="49">
        <f>IF(A2780="","",CHOOSE(WEEKDAY(A2780,2),"Пн","Вт","Ср","Чт","Пт","Сб","Вс"))</f>
        <v/>
      </c>
      <c r="C2780" s="59" t="n"/>
      <c r="D2780" s="59" t="n"/>
      <c r="E2780" s="60">
        <f>IF(OR(C2780="",D2780=""),"",MOD(D2780-C2780,1)*24)</f>
        <v/>
      </c>
      <c r="F2780" s="50" t="n"/>
      <c r="G2780" s="51" t="n"/>
      <c r="H2780" s="51" t="n"/>
      <c r="I2780" s="51" t="n"/>
      <c r="J2780" s="51" t="n"/>
      <c r="K2780" s="51" t="n"/>
      <c r="L2780" s="54">
        <f>IF(OR(A2780="",C2780="",D2780=""),"",IF(COUNTIFS($A$5:$A$3004,A2780,$C$5:$C$3004,"&lt;"&amp;D2780,$D$5:$D$3004,"&gt;"&amp;C2780)&gt;1,"⚠️ пересечение",""))</f>
        <v/>
      </c>
      <c r="M2780" s="54">
        <f>IF(F2780="","",IF(J2780="✅ Сделано","✔ ",IF(J2780="❌ Пропущено","✖ ","⏰ "))&amp;IF(C2780="","",RIGHT("0"&amp;HOUR(C2780),2)&amp;":"&amp;RIGHT("0"&amp;MINUTE(C2780),2)&amp;IF(D2780="","","–"&amp;RIGHT("0"&amp;HOUR(D2780),2)&amp;":"&amp;RIGHT("0"&amp;MINUTE(D2780),2))&amp;" ")&amp;F2780)</f>
        <v/>
      </c>
      <c r="N2780" s="54">
        <f>IF(OR(A2780="",F2780=""),"",A2780&amp;"#"&amp;(COUNTIFS($A$5:$A$3004,A2780,$F$5:$F$3004,"?*",$O$5:$O$3004,"&lt;"&amp;O2780)+COUNTIFS($A$5:A2780,A2780,$F$5:F2780,"?*",$O$5:O2780,O2780)))</f>
        <v/>
      </c>
      <c r="O2780" s="54">
        <f>IF(A2780="","",IF(C2780="",0,C2780))</f>
        <v/>
      </c>
    </row>
    <row r="2781">
      <c r="A2781" s="58" t="n"/>
      <c r="B2781" s="49">
        <f>IF(A2781="","",CHOOSE(WEEKDAY(A2781,2),"Пн","Вт","Ср","Чт","Пт","Сб","Вс"))</f>
        <v/>
      </c>
      <c r="C2781" s="59" t="n"/>
      <c r="D2781" s="59" t="n"/>
      <c r="E2781" s="60">
        <f>IF(OR(C2781="",D2781=""),"",MOD(D2781-C2781,1)*24)</f>
        <v/>
      </c>
      <c r="F2781" s="50" t="n"/>
      <c r="G2781" s="51" t="n"/>
      <c r="H2781" s="51" t="n"/>
      <c r="I2781" s="51" t="n"/>
      <c r="J2781" s="51" t="n"/>
      <c r="K2781" s="51" t="n"/>
      <c r="L2781" s="54">
        <f>IF(OR(A2781="",C2781="",D2781=""),"",IF(COUNTIFS($A$5:$A$3004,A2781,$C$5:$C$3004,"&lt;"&amp;D2781,$D$5:$D$3004,"&gt;"&amp;C2781)&gt;1,"⚠️ пересечение",""))</f>
        <v/>
      </c>
      <c r="M2781" s="54">
        <f>IF(F2781="","",IF(J2781="✅ Сделано","✔ ",IF(J2781="❌ Пропущено","✖ ","⏰ "))&amp;IF(C2781="","",RIGHT("0"&amp;HOUR(C2781),2)&amp;":"&amp;RIGHT("0"&amp;MINUTE(C2781),2)&amp;IF(D2781="","","–"&amp;RIGHT("0"&amp;HOUR(D2781),2)&amp;":"&amp;RIGHT("0"&amp;MINUTE(D2781),2))&amp;" ")&amp;F2781)</f>
        <v/>
      </c>
      <c r="N2781" s="54">
        <f>IF(OR(A2781="",F2781=""),"",A2781&amp;"#"&amp;(COUNTIFS($A$5:$A$3004,A2781,$F$5:$F$3004,"?*",$O$5:$O$3004,"&lt;"&amp;O2781)+COUNTIFS($A$5:A2781,A2781,$F$5:F2781,"?*",$O$5:O2781,O2781)))</f>
        <v/>
      </c>
      <c r="O2781" s="54">
        <f>IF(A2781="","",IF(C2781="",0,C2781))</f>
        <v/>
      </c>
    </row>
    <row r="2782">
      <c r="A2782" s="58" t="n"/>
      <c r="B2782" s="49">
        <f>IF(A2782="","",CHOOSE(WEEKDAY(A2782,2),"Пн","Вт","Ср","Чт","Пт","Сб","Вс"))</f>
        <v/>
      </c>
      <c r="C2782" s="59" t="n"/>
      <c r="D2782" s="59" t="n"/>
      <c r="E2782" s="60">
        <f>IF(OR(C2782="",D2782=""),"",MOD(D2782-C2782,1)*24)</f>
        <v/>
      </c>
      <c r="F2782" s="50" t="n"/>
      <c r="G2782" s="51" t="n"/>
      <c r="H2782" s="51" t="n"/>
      <c r="I2782" s="51" t="n"/>
      <c r="J2782" s="51" t="n"/>
      <c r="K2782" s="51" t="n"/>
      <c r="L2782" s="54">
        <f>IF(OR(A2782="",C2782="",D2782=""),"",IF(COUNTIFS($A$5:$A$3004,A2782,$C$5:$C$3004,"&lt;"&amp;D2782,$D$5:$D$3004,"&gt;"&amp;C2782)&gt;1,"⚠️ пересечение",""))</f>
        <v/>
      </c>
      <c r="M2782" s="54">
        <f>IF(F2782="","",IF(J2782="✅ Сделано","✔ ",IF(J2782="❌ Пропущено","✖ ","⏰ "))&amp;IF(C2782="","",RIGHT("0"&amp;HOUR(C2782),2)&amp;":"&amp;RIGHT("0"&amp;MINUTE(C2782),2)&amp;IF(D2782="","","–"&amp;RIGHT("0"&amp;HOUR(D2782),2)&amp;":"&amp;RIGHT("0"&amp;MINUTE(D2782),2))&amp;" ")&amp;F2782)</f>
        <v/>
      </c>
      <c r="N2782" s="54">
        <f>IF(OR(A2782="",F2782=""),"",A2782&amp;"#"&amp;(COUNTIFS($A$5:$A$3004,A2782,$F$5:$F$3004,"?*",$O$5:$O$3004,"&lt;"&amp;O2782)+COUNTIFS($A$5:A2782,A2782,$F$5:F2782,"?*",$O$5:O2782,O2782)))</f>
        <v/>
      </c>
      <c r="O2782" s="54">
        <f>IF(A2782="","",IF(C2782="",0,C2782))</f>
        <v/>
      </c>
    </row>
    <row r="2783">
      <c r="A2783" s="58" t="n"/>
      <c r="B2783" s="49">
        <f>IF(A2783="","",CHOOSE(WEEKDAY(A2783,2),"Пн","Вт","Ср","Чт","Пт","Сб","Вс"))</f>
        <v/>
      </c>
      <c r="C2783" s="59" t="n"/>
      <c r="D2783" s="59" t="n"/>
      <c r="E2783" s="60">
        <f>IF(OR(C2783="",D2783=""),"",MOD(D2783-C2783,1)*24)</f>
        <v/>
      </c>
      <c r="F2783" s="50" t="n"/>
      <c r="G2783" s="51" t="n"/>
      <c r="H2783" s="51" t="n"/>
      <c r="I2783" s="51" t="n"/>
      <c r="J2783" s="51" t="n"/>
      <c r="K2783" s="51" t="n"/>
      <c r="L2783" s="54">
        <f>IF(OR(A2783="",C2783="",D2783=""),"",IF(COUNTIFS($A$5:$A$3004,A2783,$C$5:$C$3004,"&lt;"&amp;D2783,$D$5:$D$3004,"&gt;"&amp;C2783)&gt;1,"⚠️ пересечение",""))</f>
        <v/>
      </c>
      <c r="M2783" s="54">
        <f>IF(F2783="","",IF(J2783="✅ Сделано","✔ ",IF(J2783="❌ Пропущено","✖ ","⏰ "))&amp;IF(C2783="","",RIGHT("0"&amp;HOUR(C2783),2)&amp;":"&amp;RIGHT("0"&amp;MINUTE(C2783),2)&amp;IF(D2783="","","–"&amp;RIGHT("0"&amp;HOUR(D2783),2)&amp;":"&amp;RIGHT("0"&amp;MINUTE(D2783),2))&amp;" ")&amp;F2783)</f>
        <v/>
      </c>
      <c r="N2783" s="54">
        <f>IF(OR(A2783="",F2783=""),"",A2783&amp;"#"&amp;(COUNTIFS($A$5:$A$3004,A2783,$F$5:$F$3004,"?*",$O$5:$O$3004,"&lt;"&amp;O2783)+COUNTIFS($A$5:A2783,A2783,$F$5:F2783,"?*",$O$5:O2783,O2783)))</f>
        <v/>
      </c>
      <c r="O2783" s="54">
        <f>IF(A2783="","",IF(C2783="",0,C2783))</f>
        <v/>
      </c>
    </row>
    <row r="2784">
      <c r="A2784" s="58" t="n"/>
      <c r="B2784" s="49">
        <f>IF(A2784="","",CHOOSE(WEEKDAY(A2784,2),"Пн","Вт","Ср","Чт","Пт","Сб","Вс"))</f>
        <v/>
      </c>
      <c r="C2784" s="59" t="n"/>
      <c r="D2784" s="59" t="n"/>
      <c r="E2784" s="60">
        <f>IF(OR(C2784="",D2784=""),"",MOD(D2784-C2784,1)*24)</f>
        <v/>
      </c>
      <c r="F2784" s="50" t="n"/>
      <c r="G2784" s="51" t="n"/>
      <c r="H2784" s="51" t="n"/>
      <c r="I2784" s="51" t="n"/>
      <c r="J2784" s="51" t="n"/>
      <c r="K2784" s="51" t="n"/>
      <c r="L2784" s="54">
        <f>IF(OR(A2784="",C2784="",D2784=""),"",IF(COUNTIFS($A$5:$A$3004,A2784,$C$5:$C$3004,"&lt;"&amp;D2784,$D$5:$D$3004,"&gt;"&amp;C2784)&gt;1,"⚠️ пересечение",""))</f>
        <v/>
      </c>
      <c r="M2784" s="54">
        <f>IF(F2784="","",IF(J2784="✅ Сделано","✔ ",IF(J2784="❌ Пропущено","✖ ","⏰ "))&amp;IF(C2784="","",RIGHT("0"&amp;HOUR(C2784),2)&amp;":"&amp;RIGHT("0"&amp;MINUTE(C2784),2)&amp;IF(D2784="","","–"&amp;RIGHT("0"&amp;HOUR(D2784),2)&amp;":"&amp;RIGHT("0"&amp;MINUTE(D2784),2))&amp;" ")&amp;F2784)</f>
        <v/>
      </c>
      <c r="N2784" s="54">
        <f>IF(OR(A2784="",F2784=""),"",A2784&amp;"#"&amp;(COUNTIFS($A$5:$A$3004,A2784,$F$5:$F$3004,"?*",$O$5:$O$3004,"&lt;"&amp;O2784)+COUNTIFS($A$5:A2784,A2784,$F$5:F2784,"?*",$O$5:O2784,O2784)))</f>
        <v/>
      </c>
      <c r="O2784" s="54">
        <f>IF(A2784="","",IF(C2784="",0,C2784))</f>
        <v/>
      </c>
    </row>
    <row r="2785">
      <c r="A2785" s="58" t="n"/>
      <c r="B2785" s="49">
        <f>IF(A2785="","",CHOOSE(WEEKDAY(A2785,2),"Пн","Вт","Ср","Чт","Пт","Сб","Вс"))</f>
        <v/>
      </c>
      <c r="C2785" s="59" t="n"/>
      <c r="D2785" s="59" t="n"/>
      <c r="E2785" s="60">
        <f>IF(OR(C2785="",D2785=""),"",MOD(D2785-C2785,1)*24)</f>
        <v/>
      </c>
      <c r="F2785" s="50" t="n"/>
      <c r="G2785" s="51" t="n"/>
      <c r="H2785" s="51" t="n"/>
      <c r="I2785" s="51" t="n"/>
      <c r="J2785" s="51" t="n"/>
      <c r="K2785" s="51" t="n"/>
      <c r="L2785" s="54">
        <f>IF(OR(A2785="",C2785="",D2785=""),"",IF(COUNTIFS($A$5:$A$3004,A2785,$C$5:$C$3004,"&lt;"&amp;D2785,$D$5:$D$3004,"&gt;"&amp;C2785)&gt;1,"⚠️ пересечение",""))</f>
        <v/>
      </c>
      <c r="M2785" s="54">
        <f>IF(F2785="","",IF(J2785="✅ Сделано","✔ ",IF(J2785="❌ Пропущено","✖ ","⏰ "))&amp;IF(C2785="","",RIGHT("0"&amp;HOUR(C2785),2)&amp;":"&amp;RIGHT("0"&amp;MINUTE(C2785),2)&amp;IF(D2785="","","–"&amp;RIGHT("0"&amp;HOUR(D2785),2)&amp;":"&amp;RIGHT("0"&amp;MINUTE(D2785),2))&amp;" ")&amp;F2785)</f>
        <v/>
      </c>
      <c r="N2785" s="54">
        <f>IF(OR(A2785="",F2785=""),"",A2785&amp;"#"&amp;(COUNTIFS($A$5:$A$3004,A2785,$F$5:$F$3004,"?*",$O$5:$O$3004,"&lt;"&amp;O2785)+COUNTIFS($A$5:A2785,A2785,$F$5:F2785,"?*",$O$5:O2785,O2785)))</f>
        <v/>
      </c>
      <c r="O2785" s="54">
        <f>IF(A2785="","",IF(C2785="",0,C2785))</f>
        <v/>
      </c>
    </row>
    <row r="2786">
      <c r="A2786" s="58" t="n"/>
      <c r="B2786" s="49">
        <f>IF(A2786="","",CHOOSE(WEEKDAY(A2786,2),"Пн","Вт","Ср","Чт","Пт","Сб","Вс"))</f>
        <v/>
      </c>
      <c r="C2786" s="59" t="n"/>
      <c r="D2786" s="59" t="n"/>
      <c r="E2786" s="60">
        <f>IF(OR(C2786="",D2786=""),"",MOD(D2786-C2786,1)*24)</f>
        <v/>
      </c>
      <c r="F2786" s="50" t="n"/>
      <c r="G2786" s="51" t="n"/>
      <c r="H2786" s="51" t="n"/>
      <c r="I2786" s="51" t="n"/>
      <c r="J2786" s="51" t="n"/>
      <c r="K2786" s="51" t="n"/>
      <c r="L2786" s="54">
        <f>IF(OR(A2786="",C2786="",D2786=""),"",IF(COUNTIFS($A$5:$A$3004,A2786,$C$5:$C$3004,"&lt;"&amp;D2786,$D$5:$D$3004,"&gt;"&amp;C2786)&gt;1,"⚠️ пересечение",""))</f>
        <v/>
      </c>
      <c r="M2786" s="54">
        <f>IF(F2786="","",IF(J2786="✅ Сделано","✔ ",IF(J2786="❌ Пропущено","✖ ","⏰ "))&amp;IF(C2786="","",RIGHT("0"&amp;HOUR(C2786),2)&amp;":"&amp;RIGHT("0"&amp;MINUTE(C2786),2)&amp;IF(D2786="","","–"&amp;RIGHT("0"&amp;HOUR(D2786),2)&amp;":"&amp;RIGHT("0"&amp;MINUTE(D2786),2))&amp;" ")&amp;F2786)</f>
        <v/>
      </c>
      <c r="N2786" s="54">
        <f>IF(OR(A2786="",F2786=""),"",A2786&amp;"#"&amp;(COUNTIFS($A$5:$A$3004,A2786,$F$5:$F$3004,"?*",$O$5:$O$3004,"&lt;"&amp;O2786)+COUNTIFS($A$5:A2786,A2786,$F$5:F2786,"?*",$O$5:O2786,O2786)))</f>
        <v/>
      </c>
      <c r="O2786" s="54">
        <f>IF(A2786="","",IF(C2786="",0,C2786))</f>
        <v/>
      </c>
    </row>
    <row r="2787">
      <c r="A2787" s="58" t="n"/>
      <c r="B2787" s="49">
        <f>IF(A2787="","",CHOOSE(WEEKDAY(A2787,2),"Пн","Вт","Ср","Чт","Пт","Сб","Вс"))</f>
        <v/>
      </c>
      <c r="C2787" s="59" t="n"/>
      <c r="D2787" s="59" t="n"/>
      <c r="E2787" s="60">
        <f>IF(OR(C2787="",D2787=""),"",MOD(D2787-C2787,1)*24)</f>
        <v/>
      </c>
      <c r="F2787" s="50" t="n"/>
      <c r="G2787" s="51" t="n"/>
      <c r="H2787" s="51" t="n"/>
      <c r="I2787" s="51" t="n"/>
      <c r="J2787" s="51" t="n"/>
      <c r="K2787" s="51" t="n"/>
      <c r="L2787" s="54">
        <f>IF(OR(A2787="",C2787="",D2787=""),"",IF(COUNTIFS($A$5:$A$3004,A2787,$C$5:$C$3004,"&lt;"&amp;D2787,$D$5:$D$3004,"&gt;"&amp;C2787)&gt;1,"⚠️ пересечение",""))</f>
        <v/>
      </c>
      <c r="M2787" s="54">
        <f>IF(F2787="","",IF(J2787="✅ Сделано","✔ ",IF(J2787="❌ Пропущено","✖ ","⏰ "))&amp;IF(C2787="","",RIGHT("0"&amp;HOUR(C2787),2)&amp;":"&amp;RIGHT("0"&amp;MINUTE(C2787),2)&amp;IF(D2787="","","–"&amp;RIGHT("0"&amp;HOUR(D2787),2)&amp;":"&amp;RIGHT("0"&amp;MINUTE(D2787),2))&amp;" ")&amp;F2787)</f>
        <v/>
      </c>
      <c r="N2787" s="54">
        <f>IF(OR(A2787="",F2787=""),"",A2787&amp;"#"&amp;(COUNTIFS($A$5:$A$3004,A2787,$F$5:$F$3004,"?*",$O$5:$O$3004,"&lt;"&amp;O2787)+COUNTIFS($A$5:A2787,A2787,$F$5:F2787,"?*",$O$5:O2787,O2787)))</f>
        <v/>
      </c>
      <c r="O2787" s="54">
        <f>IF(A2787="","",IF(C2787="",0,C2787))</f>
        <v/>
      </c>
    </row>
    <row r="2788">
      <c r="A2788" s="58" t="n"/>
      <c r="B2788" s="49">
        <f>IF(A2788="","",CHOOSE(WEEKDAY(A2788,2),"Пн","Вт","Ср","Чт","Пт","Сб","Вс"))</f>
        <v/>
      </c>
      <c r="C2788" s="59" t="n"/>
      <c r="D2788" s="59" t="n"/>
      <c r="E2788" s="60">
        <f>IF(OR(C2788="",D2788=""),"",MOD(D2788-C2788,1)*24)</f>
        <v/>
      </c>
      <c r="F2788" s="50" t="n"/>
      <c r="G2788" s="51" t="n"/>
      <c r="H2788" s="51" t="n"/>
      <c r="I2788" s="51" t="n"/>
      <c r="J2788" s="51" t="n"/>
      <c r="K2788" s="51" t="n"/>
      <c r="L2788" s="54">
        <f>IF(OR(A2788="",C2788="",D2788=""),"",IF(COUNTIFS($A$5:$A$3004,A2788,$C$5:$C$3004,"&lt;"&amp;D2788,$D$5:$D$3004,"&gt;"&amp;C2788)&gt;1,"⚠️ пересечение",""))</f>
        <v/>
      </c>
      <c r="M2788" s="54">
        <f>IF(F2788="","",IF(J2788="✅ Сделано","✔ ",IF(J2788="❌ Пропущено","✖ ","⏰ "))&amp;IF(C2788="","",RIGHT("0"&amp;HOUR(C2788),2)&amp;":"&amp;RIGHT("0"&amp;MINUTE(C2788),2)&amp;IF(D2788="","","–"&amp;RIGHT("0"&amp;HOUR(D2788),2)&amp;":"&amp;RIGHT("0"&amp;MINUTE(D2788),2))&amp;" ")&amp;F2788)</f>
        <v/>
      </c>
      <c r="N2788" s="54">
        <f>IF(OR(A2788="",F2788=""),"",A2788&amp;"#"&amp;(COUNTIFS($A$5:$A$3004,A2788,$F$5:$F$3004,"?*",$O$5:$O$3004,"&lt;"&amp;O2788)+COUNTIFS($A$5:A2788,A2788,$F$5:F2788,"?*",$O$5:O2788,O2788)))</f>
        <v/>
      </c>
      <c r="O2788" s="54">
        <f>IF(A2788="","",IF(C2788="",0,C2788))</f>
        <v/>
      </c>
    </row>
    <row r="2789">
      <c r="A2789" s="58" t="n"/>
      <c r="B2789" s="49">
        <f>IF(A2789="","",CHOOSE(WEEKDAY(A2789,2),"Пн","Вт","Ср","Чт","Пт","Сб","Вс"))</f>
        <v/>
      </c>
      <c r="C2789" s="59" t="n"/>
      <c r="D2789" s="59" t="n"/>
      <c r="E2789" s="60">
        <f>IF(OR(C2789="",D2789=""),"",MOD(D2789-C2789,1)*24)</f>
        <v/>
      </c>
      <c r="F2789" s="50" t="n"/>
      <c r="G2789" s="51" t="n"/>
      <c r="H2789" s="51" t="n"/>
      <c r="I2789" s="51" t="n"/>
      <c r="J2789" s="51" t="n"/>
      <c r="K2789" s="51" t="n"/>
      <c r="L2789" s="54">
        <f>IF(OR(A2789="",C2789="",D2789=""),"",IF(COUNTIFS($A$5:$A$3004,A2789,$C$5:$C$3004,"&lt;"&amp;D2789,$D$5:$D$3004,"&gt;"&amp;C2789)&gt;1,"⚠️ пересечение",""))</f>
        <v/>
      </c>
      <c r="M2789" s="54">
        <f>IF(F2789="","",IF(J2789="✅ Сделано","✔ ",IF(J2789="❌ Пропущено","✖ ","⏰ "))&amp;IF(C2789="","",RIGHT("0"&amp;HOUR(C2789),2)&amp;":"&amp;RIGHT("0"&amp;MINUTE(C2789),2)&amp;IF(D2789="","","–"&amp;RIGHT("0"&amp;HOUR(D2789),2)&amp;":"&amp;RIGHT("0"&amp;MINUTE(D2789),2))&amp;" ")&amp;F2789)</f>
        <v/>
      </c>
      <c r="N2789" s="54">
        <f>IF(OR(A2789="",F2789=""),"",A2789&amp;"#"&amp;(COUNTIFS($A$5:$A$3004,A2789,$F$5:$F$3004,"?*",$O$5:$O$3004,"&lt;"&amp;O2789)+COUNTIFS($A$5:A2789,A2789,$F$5:F2789,"?*",$O$5:O2789,O2789)))</f>
        <v/>
      </c>
      <c r="O2789" s="54">
        <f>IF(A2789="","",IF(C2789="",0,C2789))</f>
        <v/>
      </c>
    </row>
    <row r="2790">
      <c r="A2790" s="58" t="n"/>
      <c r="B2790" s="49">
        <f>IF(A2790="","",CHOOSE(WEEKDAY(A2790,2),"Пн","Вт","Ср","Чт","Пт","Сб","Вс"))</f>
        <v/>
      </c>
      <c r="C2790" s="59" t="n"/>
      <c r="D2790" s="59" t="n"/>
      <c r="E2790" s="60">
        <f>IF(OR(C2790="",D2790=""),"",MOD(D2790-C2790,1)*24)</f>
        <v/>
      </c>
      <c r="F2790" s="50" t="n"/>
      <c r="G2790" s="51" t="n"/>
      <c r="H2790" s="51" t="n"/>
      <c r="I2790" s="51" t="n"/>
      <c r="J2790" s="51" t="n"/>
      <c r="K2790" s="51" t="n"/>
      <c r="L2790" s="54">
        <f>IF(OR(A2790="",C2790="",D2790=""),"",IF(COUNTIFS($A$5:$A$3004,A2790,$C$5:$C$3004,"&lt;"&amp;D2790,$D$5:$D$3004,"&gt;"&amp;C2790)&gt;1,"⚠️ пересечение",""))</f>
        <v/>
      </c>
      <c r="M2790" s="54">
        <f>IF(F2790="","",IF(J2790="✅ Сделано","✔ ",IF(J2790="❌ Пропущено","✖ ","⏰ "))&amp;IF(C2790="","",RIGHT("0"&amp;HOUR(C2790),2)&amp;":"&amp;RIGHT("0"&amp;MINUTE(C2790),2)&amp;IF(D2790="","","–"&amp;RIGHT("0"&amp;HOUR(D2790),2)&amp;":"&amp;RIGHT("0"&amp;MINUTE(D2790),2))&amp;" ")&amp;F2790)</f>
        <v/>
      </c>
      <c r="N2790" s="54">
        <f>IF(OR(A2790="",F2790=""),"",A2790&amp;"#"&amp;(COUNTIFS($A$5:$A$3004,A2790,$F$5:$F$3004,"?*",$O$5:$O$3004,"&lt;"&amp;O2790)+COUNTIFS($A$5:A2790,A2790,$F$5:F2790,"?*",$O$5:O2790,O2790)))</f>
        <v/>
      </c>
      <c r="O2790" s="54">
        <f>IF(A2790="","",IF(C2790="",0,C2790))</f>
        <v/>
      </c>
    </row>
    <row r="2791">
      <c r="A2791" s="58" t="n"/>
      <c r="B2791" s="49">
        <f>IF(A2791="","",CHOOSE(WEEKDAY(A2791,2),"Пн","Вт","Ср","Чт","Пт","Сб","Вс"))</f>
        <v/>
      </c>
      <c r="C2791" s="59" t="n"/>
      <c r="D2791" s="59" t="n"/>
      <c r="E2791" s="60">
        <f>IF(OR(C2791="",D2791=""),"",MOD(D2791-C2791,1)*24)</f>
        <v/>
      </c>
      <c r="F2791" s="50" t="n"/>
      <c r="G2791" s="51" t="n"/>
      <c r="H2791" s="51" t="n"/>
      <c r="I2791" s="51" t="n"/>
      <c r="J2791" s="51" t="n"/>
      <c r="K2791" s="51" t="n"/>
      <c r="L2791" s="54">
        <f>IF(OR(A2791="",C2791="",D2791=""),"",IF(COUNTIFS($A$5:$A$3004,A2791,$C$5:$C$3004,"&lt;"&amp;D2791,$D$5:$D$3004,"&gt;"&amp;C2791)&gt;1,"⚠️ пересечение",""))</f>
        <v/>
      </c>
      <c r="M2791" s="54">
        <f>IF(F2791="","",IF(J2791="✅ Сделано","✔ ",IF(J2791="❌ Пропущено","✖ ","⏰ "))&amp;IF(C2791="","",RIGHT("0"&amp;HOUR(C2791),2)&amp;":"&amp;RIGHT("0"&amp;MINUTE(C2791),2)&amp;IF(D2791="","","–"&amp;RIGHT("0"&amp;HOUR(D2791),2)&amp;":"&amp;RIGHT("0"&amp;MINUTE(D2791),2))&amp;" ")&amp;F2791)</f>
        <v/>
      </c>
      <c r="N2791" s="54">
        <f>IF(OR(A2791="",F2791=""),"",A2791&amp;"#"&amp;(COUNTIFS($A$5:$A$3004,A2791,$F$5:$F$3004,"?*",$O$5:$O$3004,"&lt;"&amp;O2791)+COUNTIFS($A$5:A2791,A2791,$F$5:F2791,"?*",$O$5:O2791,O2791)))</f>
        <v/>
      </c>
      <c r="O2791" s="54">
        <f>IF(A2791="","",IF(C2791="",0,C2791))</f>
        <v/>
      </c>
    </row>
    <row r="2792">
      <c r="A2792" s="58" t="n"/>
      <c r="B2792" s="49">
        <f>IF(A2792="","",CHOOSE(WEEKDAY(A2792,2),"Пн","Вт","Ср","Чт","Пт","Сб","Вс"))</f>
        <v/>
      </c>
      <c r="C2792" s="59" t="n"/>
      <c r="D2792" s="59" t="n"/>
      <c r="E2792" s="60">
        <f>IF(OR(C2792="",D2792=""),"",MOD(D2792-C2792,1)*24)</f>
        <v/>
      </c>
      <c r="F2792" s="50" t="n"/>
      <c r="G2792" s="51" t="n"/>
      <c r="H2792" s="51" t="n"/>
      <c r="I2792" s="51" t="n"/>
      <c r="J2792" s="51" t="n"/>
      <c r="K2792" s="51" t="n"/>
      <c r="L2792" s="54">
        <f>IF(OR(A2792="",C2792="",D2792=""),"",IF(COUNTIFS($A$5:$A$3004,A2792,$C$5:$C$3004,"&lt;"&amp;D2792,$D$5:$D$3004,"&gt;"&amp;C2792)&gt;1,"⚠️ пересечение",""))</f>
        <v/>
      </c>
      <c r="M2792" s="54">
        <f>IF(F2792="","",IF(J2792="✅ Сделано","✔ ",IF(J2792="❌ Пропущено","✖ ","⏰ "))&amp;IF(C2792="","",RIGHT("0"&amp;HOUR(C2792),2)&amp;":"&amp;RIGHT("0"&amp;MINUTE(C2792),2)&amp;IF(D2792="","","–"&amp;RIGHT("0"&amp;HOUR(D2792),2)&amp;":"&amp;RIGHT("0"&amp;MINUTE(D2792),2))&amp;" ")&amp;F2792)</f>
        <v/>
      </c>
      <c r="N2792" s="54">
        <f>IF(OR(A2792="",F2792=""),"",A2792&amp;"#"&amp;(COUNTIFS($A$5:$A$3004,A2792,$F$5:$F$3004,"?*",$O$5:$O$3004,"&lt;"&amp;O2792)+COUNTIFS($A$5:A2792,A2792,$F$5:F2792,"?*",$O$5:O2792,O2792)))</f>
        <v/>
      </c>
      <c r="O2792" s="54">
        <f>IF(A2792="","",IF(C2792="",0,C2792))</f>
        <v/>
      </c>
    </row>
    <row r="2793">
      <c r="A2793" s="58" t="n"/>
      <c r="B2793" s="49">
        <f>IF(A2793="","",CHOOSE(WEEKDAY(A2793,2),"Пн","Вт","Ср","Чт","Пт","Сб","Вс"))</f>
        <v/>
      </c>
      <c r="C2793" s="59" t="n"/>
      <c r="D2793" s="59" t="n"/>
      <c r="E2793" s="60">
        <f>IF(OR(C2793="",D2793=""),"",MOD(D2793-C2793,1)*24)</f>
        <v/>
      </c>
      <c r="F2793" s="50" t="n"/>
      <c r="G2793" s="51" t="n"/>
      <c r="H2793" s="51" t="n"/>
      <c r="I2793" s="51" t="n"/>
      <c r="J2793" s="51" t="n"/>
      <c r="K2793" s="51" t="n"/>
      <c r="L2793" s="54">
        <f>IF(OR(A2793="",C2793="",D2793=""),"",IF(COUNTIFS($A$5:$A$3004,A2793,$C$5:$C$3004,"&lt;"&amp;D2793,$D$5:$D$3004,"&gt;"&amp;C2793)&gt;1,"⚠️ пересечение",""))</f>
        <v/>
      </c>
      <c r="M2793" s="54">
        <f>IF(F2793="","",IF(J2793="✅ Сделано","✔ ",IF(J2793="❌ Пропущено","✖ ","⏰ "))&amp;IF(C2793="","",RIGHT("0"&amp;HOUR(C2793),2)&amp;":"&amp;RIGHT("0"&amp;MINUTE(C2793),2)&amp;IF(D2793="","","–"&amp;RIGHT("0"&amp;HOUR(D2793),2)&amp;":"&amp;RIGHT("0"&amp;MINUTE(D2793),2))&amp;" ")&amp;F2793)</f>
        <v/>
      </c>
      <c r="N2793" s="54">
        <f>IF(OR(A2793="",F2793=""),"",A2793&amp;"#"&amp;(COUNTIFS($A$5:$A$3004,A2793,$F$5:$F$3004,"?*",$O$5:$O$3004,"&lt;"&amp;O2793)+COUNTIFS($A$5:A2793,A2793,$F$5:F2793,"?*",$O$5:O2793,O2793)))</f>
        <v/>
      </c>
      <c r="O2793" s="54">
        <f>IF(A2793="","",IF(C2793="",0,C2793))</f>
        <v/>
      </c>
    </row>
    <row r="2794">
      <c r="A2794" s="58" t="n"/>
      <c r="B2794" s="49">
        <f>IF(A2794="","",CHOOSE(WEEKDAY(A2794,2),"Пн","Вт","Ср","Чт","Пт","Сб","Вс"))</f>
        <v/>
      </c>
      <c r="C2794" s="59" t="n"/>
      <c r="D2794" s="59" t="n"/>
      <c r="E2794" s="60">
        <f>IF(OR(C2794="",D2794=""),"",MOD(D2794-C2794,1)*24)</f>
        <v/>
      </c>
      <c r="F2794" s="50" t="n"/>
      <c r="G2794" s="51" t="n"/>
      <c r="H2794" s="51" t="n"/>
      <c r="I2794" s="51" t="n"/>
      <c r="J2794" s="51" t="n"/>
      <c r="K2794" s="51" t="n"/>
      <c r="L2794" s="54">
        <f>IF(OR(A2794="",C2794="",D2794=""),"",IF(COUNTIFS($A$5:$A$3004,A2794,$C$5:$C$3004,"&lt;"&amp;D2794,$D$5:$D$3004,"&gt;"&amp;C2794)&gt;1,"⚠️ пересечение",""))</f>
        <v/>
      </c>
      <c r="M2794" s="54">
        <f>IF(F2794="","",IF(J2794="✅ Сделано","✔ ",IF(J2794="❌ Пропущено","✖ ","⏰ "))&amp;IF(C2794="","",RIGHT("0"&amp;HOUR(C2794),2)&amp;":"&amp;RIGHT("0"&amp;MINUTE(C2794),2)&amp;IF(D2794="","","–"&amp;RIGHT("0"&amp;HOUR(D2794),2)&amp;":"&amp;RIGHT("0"&amp;MINUTE(D2794),2))&amp;" ")&amp;F2794)</f>
        <v/>
      </c>
      <c r="N2794" s="54">
        <f>IF(OR(A2794="",F2794=""),"",A2794&amp;"#"&amp;(COUNTIFS($A$5:$A$3004,A2794,$F$5:$F$3004,"?*",$O$5:$O$3004,"&lt;"&amp;O2794)+COUNTIFS($A$5:A2794,A2794,$F$5:F2794,"?*",$O$5:O2794,O2794)))</f>
        <v/>
      </c>
      <c r="O2794" s="54">
        <f>IF(A2794="","",IF(C2794="",0,C2794))</f>
        <v/>
      </c>
    </row>
    <row r="2795">
      <c r="A2795" s="58" t="n"/>
      <c r="B2795" s="49">
        <f>IF(A2795="","",CHOOSE(WEEKDAY(A2795,2),"Пн","Вт","Ср","Чт","Пт","Сб","Вс"))</f>
        <v/>
      </c>
      <c r="C2795" s="59" t="n"/>
      <c r="D2795" s="59" t="n"/>
      <c r="E2795" s="60">
        <f>IF(OR(C2795="",D2795=""),"",MOD(D2795-C2795,1)*24)</f>
        <v/>
      </c>
      <c r="F2795" s="50" t="n"/>
      <c r="G2795" s="51" t="n"/>
      <c r="H2795" s="51" t="n"/>
      <c r="I2795" s="51" t="n"/>
      <c r="J2795" s="51" t="n"/>
      <c r="K2795" s="51" t="n"/>
      <c r="L2795" s="54">
        <f>IF(OR(A2795="",C2795="",D2795=""),"",IF(COUNTIFS($A$5:$A$3004,A2795,$C$5:$C$3004,"&lt;"&amp;D2795,$D$5:$D$3004,"&gt;"&amp;C2795)&gt;1,"⚠️ пересечение",""))</f>
        <v/>
      </c>
      <c r="M2795" s="54">
        <f>IF(F2795="","",IF(J2795="✅ Сделано","✔ ",IF(J2795="❌ Пропущено","✖ ","⏰ "))&amp;IF(C2795="","",RIGHT("0"&amp;HOUR(C2795),2)&amp;":"&amp;RIGHT("0"&amp;MINUTE(C2795),2)&amp;IF(D2795="","","–"&amp;RIGHT("0"&amp;HOUR(D2795),2)&amp;":"&amp;RIGHT("0"&amp;MINUTE(D2795),2))&amp;" ")&amp;F2795)</f>
        <v/>
      </c>
      <c r="N2795" s="54">
        <f>IF(OR(A2795="",F2795=""),"",A2795&amp;"#"&amp;(COUNTIFS($A$5:$A$3004,A2795,$F$5:$F$3004,"?*",$O$5:$O$3004,"&lt;"&amp;O2795)+COUNTIFS($A$5:A2795,A2795,$F$5:F2795,"?*",$O$5:O2795,O2795)))</f>
        <v/>
      </c>
      <c r="O2795" s="54">
        <f>IF(A2795="","",IF(C2795="",0,C2795))</f>
        <v/>
      </c>
    </row>
    <row r="2796">
      <c r="A2796" s="58" t="n"/>
      <c r="B2796" s="49">
        <f>IF(A2796="","",CHOOSE(WEEKDAY(A2796,2),"Пн","Вт","Ср","Чт","Пт","Сб","Вс"))</f>
        <v/>
      </c>
      <c r="C2796" s="59" t="n"/>
      <c r="D2796" s="59" t="n"/>
      <c r="E2796" s="60">
        <f>IF(OR(C2796="",D2796=""),"",MOD(D2796-C2796,1)*24)</f>
        <v/>
      </c>
      <c r="F2796" s="50" t="n"/>
      <c r="G2796" s="51" t="n"/>
      <c r="H2796" s="51" t="n"/>
      <c r="I2796" s="51" t="n"/>
      <c r="J2796" s="51" t="n"/>
      <c r="K2796" s="51" t="n"/>
      <c r="L2796" s="54">
        <f>IF(OR(A2796="",C2796="",D2796=""),"",IF(COUNTIFS($A$5:$A$3004,A2796,$C$5:$C$3004,"&lt;"&amp;D2796,$D$5:$D$3004,"&gt;"&amp;C2796)&gt;1,"⚠️ пересечение",""))</f>
        <v/>
      </c>
      <c r="M2796" s="54">
        <f>IF(F2796="","",IF(J2796="✅ Сделано","✔ ",IF(J2796="❌ Пропущено","✖ ","⏰ "))&amp;IF(C2796="","",RIGHT("0"&amp;HOUR(C2796),2)&amp;":"&amp;RIGHT("0"&amp;MINUTE(C2796),2)&amp;IF(D2796="","","–"&amp;RIGHT("0"&amp;HOUR(D2796),2)&amp;":"&amp;RIGHT("0"&amp;MINUTE(D2796),2))&amp;" ")&amp;F2796)</f>
        <v/>
      </c>
      <c r="N2796" s="54">
        <f>IF(OR(A2796="",F2796=""),"",A2796&amp;"#"&amp;(COUNTIFS($A$5:$A$3004,A2796,$F$5:$F$3004,"?*",$O$5:$O$3004,"&lt;"&amp;O2796)+COUNTIFS($A$5:A2796,A2796,$F$5:F2796,"?*",$O$5:O2796,O2796)))</f>
        <v/>
      </c>
      <c r="O2796" s="54">
        <f>IF(A2796="","",IF(C2796="",0,C2796))</f>
        <v/>
      </c>
    </row>
    <row r="2797">
      <c r="A2797" s="58" t="n"/>
      <c r="B2797" s="49">
        <f>IF(A2797="","",CHOOSE(WEEKDAY(A2797,2),"Пн","Вт","Ср","Чт","Пт","Сб","Вс"))</f>
        <v/>
      </c>
      <c r="C2797" s="59" t="n"/>
      <c r="D2797" s="59" t="n"/>
      <c r="E2797" s="60">
        <f>IF(OR(C2797="",D2797=""),"",MOD(D2797-C2797,1)*24)</f>
        <v/>
      </c>
      <c r="F2797" s="50" t="n"/>
      <c r="G2797" s="51" t="n"/>
      <c r="H2797" s="51" t="n"/>
      <c r="I2797" s="51" t="n"/>
      <c r="J2797" s="51" t="n"/>
      <c r="K2797" s="51" t="n"/>
      <c r="L2797" s="54">
        <f>IF(OR(A2797="",C2797="",D2797=""),"",IF(COUNTIFS($A$5:$A$3004,A2797,$C$5:$C$3004,"&lt;"&amp;D2797,$D$5:$D$3004,"&gt;"&amp;C2797)&gt;1,"⚠️ пересечение",""))</f>
        <v/>
      </c>
      <c r="M2797" s="54">
        <f>IF(F2797="","",IF(J2797="✅ Сделано","✔ ",IF(J2797="❌ Пропущено","✖ ","⏰ "))&amp;IF(C2797="","",RIGHT("0"&amp;HOUR(C2797),2)&amp;":"&amp;RIGHT("0"&amp;MINUTE(C2797),2)&amp;IF(D2797="","","–"&amp;RIGHT("0"&amp;HOUR(D2797),2)&amp;":"&amp;RIGHT("0"&amp;MINUTE(D2797),2))&amp;" ")&amp;F2797)</f>
        <v/>
      </c>
      <c r="N2797" s="54">
        <f>IF(OR(A2797="",F2797=""),"",A2797&amp;"#"&amp;(COUNTIFS($A$5:$A$3004,A2797,$F$5:$F$3004,"?*",$O$5:$O$3004,"&lt;"&amp;O2797)+COUNTIFS($A$5:A2797,A2797,$F$5:F2797,"?*",$O$5:O2797,O2797)))</f>
        <v/>
      </c>
      <c r="O2797" s="54">
        <f>IF(A2797="","",IF(C2797="",0,C2797))</f>
        <v/>
      </c>
    </row>
    <row r="2798">
      <c r="A2798" s="58" t="n"/>
      <c r="B2798" s="49">
        <f>IF(A2798="","",CHOOSE(WEEKDAY(A2798,2),"Пн","Вт","Ср","Чт","Пт","Сб","Вс"))</f>
        <v/>
      </c>
      <c r="C2798" s="59" t="n"/>
      <c r="D2798" s="59" t="n"/>
      <c r="E2798" s="60">
        <f>IF(OR(C2798="",D2798=""),"",MOD(D2798-C2798,1)*24)</f>
        <v/>
      </c>
      <c r="F2798" s="50" t="n"/>
      <c r="G2798" s="51" t="n"/>
      <c r="H2798" s="51" t="n"/>
      <c r="I2798" s="51" t="n"/>
      <c r="J2798" s="51" t="n"/>
      <c r="K2798" s="51" t="n"/>
      <c r="L2798" s="54">
        <f>IF(OR(A2798="",C2798="",D2798=""),"",IF(COUNTIFS($A$5:$A$3004,A2798,$C$5:$C$3004,"&lt;"&amp;D2798,$D$5:$D$3004,"&gt;"&amp;C2798)&gt;1,"⚠️ пересечение",""))</f>
        <v/>
      </c>
      <c r="M2798" s="54">
        <f>IF(F2798="","",IF(J2798="✅ Сделано","✔ ",IF(J2798="❌ Пропущено","✖ ","⏰ "))&amp;IF(C2798="","",RIGHT("0"&amp;HOUR(C2798),2)&amp;":"&amp;RIGHT("0"&amp;MINUTE(C2798),2)&amp;IF(D2798="","","–"&amp;RIGHT("0"&amp;HOUR(D2798),2)&amp;":"&amp;RIGHT("0"&amp;MINUTE(D2798),2))&amp;" ")&amp;F2798)</f>
        <v/>
      </c>
      <c r="N2798" s="54">
        <f>IF(OR(A2798="",F2798=""),"",A2798&amp;"#"&amp;(COUNTIFS($A$5:$A$3004,A2798,$F$5:$F$3004,"?*",$O$5:$O$3004,"&lt;"&amp;O2798)+COUNTIFS($A$5:A2798,A2798,$F$5:F2798,"?*",$O$5:O2798,O2798)))</f>
        <v/>
      </c>
      <c r="O2798" s="54">
        <f>IF(A2798="","",IF(C2798="",0,C2798))</f>
        <v/>
      </c>
    </row>
    <row r="2799">
      <c r="A2799" s="58" t="n"/>
      <c r="B2799" s="49">
        <f>IF(A2799="","",CHOOSE(WEEKDAY(A2799,2),"Пн","Вт","Ср","Чт","Пт","Сб","Вс"))</f>
        <v/>
      </c>
      <c r="C2799" s="59" t="n"/>
      <c r="D2799" s="59" t="n"/>
      <c r="E2799" s="60">
        <f>IF(OR(C2799="",D2799=""),"",MOD(D2799-C2799,1)*24)</f>
        <v/>
      </c>
      <c r="F2799" s="50" t="n"/>
      <c r="G2799" s="51" t="n"/>
      <c r="H2799" s="51" t="n"/>
      <c r="I2799" s="51" t="n"/>
      <c r="J2799" s="51" t="n"/>
      <c r="K2799" s="51" t="n"/>
      <c r="L2799" s="54">
        <f>IF(OR(A2799="",C2799="",D2799=""),"",IF(COUNTIFS($A$5:$A$3004,A2799,$C$5:$C$3004,"&lt;"&amp;D2799,$D$5:$D$3004,"&gt;"&amp;C2799)&gt;1,"⚠️ пересечение",""))</f>
        <v/>
      </c>
      <c r="M2799" s="54">
        <f>IF(F2799="","",IF(J2799="✅ Сделано","✔ ",IF(J2799="❌ Пропущено","✖ ","⏰ "))&amp;IF(C2799="","",RIGHT("0"&amp;HOUR(C2799),2)&amp;":"&amp;RIGHT("0"&amp;MINUTE(C2799),2)&amp;IF(D2799="","","–"&amp;RIGHT("0"&amp;HOUR(D2799),2)&amp;":"&amp;RIGHT("0"&amp;MINUTE(D2799),2))&amp;" ")&amp;F2799)</f>
        <v/>
      </c>
      <c r="N2799" s="54">
        <f>IF(OR(A2799="",F2799=""),"",A2799&amp;"#"&amp;(COUNTIFS($A$5:$A$3004,A2799,$F$5:$F$3004,"?*",$O$5:$O$3004,"&lt;"&amp;O2799)+COUNTIFS($A$5:A2799,A2799,$F$5:F2799,"?*",$O$5:O2799,O2799)))</f>
        <v/>
      </c>
      <c r="O2799" s="54">
        <f>IF(A2799="","",IF(C2799="",0,C2799))</f>
        <v/>
      </c>
    </row>
    <row r="2800">
      <c r="A2800" s="58" t="n"/>
      <c r="B2800" s="49">
        <f>IF(A2800="","",CHOOSE(WEEKDAY(A2800,2),"Пн","Вт","Ср","Чт","Пт","Сб","Вс"))</f>
        <v/>
      </c>
      <c r="C2800" s="59" t="n"/>
      <c r="D2800" s="59" t="n"/>
      <c r="E2800" s="60">
        <f>IF(OR(C2800="",D2800=""),"",MOD(D2800-C2800,1)*24)</f>
        <v/>
      </c>
      <c r="F2800" s="50" t="n"/>
      <c r="G2800" s="51" t="n"/>
      <c r="H2800" s="51" t="n"/>
      <c r="I2800" s="51" t="n"/>
      <c r="J2800" s="51" t="n"/>
      <c r="K2800" s="51" t="n"/>
      <c r="L2800" s="54">
        <f>IF(OR(A2800="",C2800="",D2800=""),"",IF(COUNTIFS($A$5:$A$3004,A2800,$C$5:$C$3004,"&lt;"&amp;D2800,$D$5:$D$3004,"&gt;"&amp;C2800)&gt;1,"⚠️ пересечение",""))</f>
        <v/>
      </c>
      <c r="M2800" s="54">
        <f>IF(F2800="","",IF(J2800="✅ Сделано","✔ ",IF(J2800="❌ Пропущено","✖ ","⏰ "))&amp;IF(C2800="","",RIGHT("0"&amp;HOUR(C2800),2)&amp;":"&amp;RIGHT("0"&amp;MINUTE(C2800),2)&amp;IF(D2800="","","–"&amp;RIGHT("0"&amp;HOUR(D2800),2)&amp;":"&amp;RIGHT("0"&amp;MINUTE(D2800),2))&amp;" ")&amp;F2800)</f>
        <v/>
      </c>
      <c r="N2800" s="54">
        <f>IF(OR(A2800="",F2800=""),"",A2800&amp;"#"&amp;(COUNTIFS($A$5:$A$3004,A2800,$F$5:$F$3004,"?*",$O$5:$O$3004,"&lt;"&amp;O2800)+COUNTIFS($A$5:A2800,A2800,$F$5:F2800,"?*",$O$5:O2800,O2800)))</f>
        <v/>
      </c>
      <c r="O2800" s="54">
        <f>IF(A2800="","",IF(C2800="",0,C2800))</f>
        <v/>
      </c>
    </row>
    <row r="2801">
      <c r="A2801" s="58" t="n"/>
      <c r="B2801" s="49">
        <f>IF(A2801="","",CHOOSE(WEEKDAY(A2801,2),"Пн","Вт","Ср","Чт","Пт","Сб","Вс"))</f>
        <v/>
      </c>
      <c r="C2801" s="59" t="n"/>
      <c r="D2801" s="59" t="n"/>
      <c r="E2801" s="60">
        <f>IF(OR(C2801="",D2801=""),"",MOD(D2801-C2801,1)*24)</f>
        <v/>
      </c>
      <c r="F2801" s="50" t="n"/>
      <c r="G2801" s="51" t="n"/>
      <c r="H2801" s="51" t="n"/>
      <c r="I2801" s="51" t="n"/>
      <c r="J2801" s="51" t="n"/>
      <c r="K2801" s="51" t="n"/>
      <c r="L2801" s="54">
        <f>IF(OR(A2801="",C2801="",D2801=""),"",IF(COUNTIFS($A$5:$A$3004,A2801,$C$5:$C$3004,"&lt;"&amp;D2801,$D$5:$D$3004,"&gt;"&amp;C2801)&gt;1,"⚠️ пересечение",""))</f>
        <v/>
      </c>
      <c r="M2801" s="54">
        <f>IF(F2801="","",IF(J2801="✅ Сделано","✔ ",IF(J2801="❌ Пропущено","✖ ","⏰ "))&amp;IF(C2801="","",RIGHT("0"&amp;HOUR(C2801),2)&amp;":"&amp;RIGHT("0"&amp;MINUTE(C2801),2)&amp;IF(D2801="","","–"&amp;RIGHT("0"&amp;HOUR(D2801),2)&amp;":"&amp;RIGHT("0"&amp;MINUTE(D2801),2))&amp;" ")&amp;F2801)</f>
        <v/>
      </c>
      <c r="N2801" s="54">
        <f>IF(OR(A2801="",F2801=""),"",A2801&amp;"#"&amp;(COUNTIFS($A$5:$A$3004,A2801,$F$5:$F$3004,"?*",$O$5:$O$3004,"&lt;"&amp;O2801)+COUNTIFS($A$5:A2801,A2801,$F$5:F2801,"?*",$O$5:O2801,O2801)))</f>
        <v/>
      </c>
      <c r="O2801" s="54">
        <f>IF(A2801="","",IF(C2801="",0,C2801))</f>
        <v/>
      </c>
    </row>
    <row r="2802">
      <c r="A2802" s="58" t="n"/>
      <c r="B2802" s="49">
        <f>IF(A2802="","",CHOOSE(WEEKDAY(A2802,2),"Пн","Вт","Ср","Чт","Пт","Сб","Вс"))</f>
        <v/>
      </c>
      <c r="C2802" s="59" t="n"/>
      <c r="D2802" s="59" t="n"/>
      <c r="E2802" s="60">
        <f>IF(OR(C2802="",D2802=""),"",MOD(D2802-C2802,1)*24)</f>
        <v/>
      </c>
      <c r="F2802" s="50" t="n"/>
      <c r="G2802" s="51" t="n"/>
      <c r="H2802" s="51" t="n"/>
      <c r="I2802" s="51" t="n"/>
      <c r="J2802" s="51" t="n"/>
      <c r="K2802" s="51" t="n"/>
      <c r="L2802" s="54">
        <f>IF(OR(A2802="",C2802="",D2802=""),"",IF(COUNTIFS($A$5:$A$3004,A2802,$C$5:$C$3004,"&lt;"&amp;D2802,$D$5:$D$3004,"&gt;"&amp;C2802)&gt;1,"⚠️ пересечение",""))</f>
        <v/>
      </c>
      <c r="M2802" s="54">
        <f>IF(F2802="","",IF(J2802="✅ Сделано","✔ ",IF(J2802="❌ Пропущено","✖ ","⏰ "))&amp;IF(C2802="","",RIGHT("0"&amp;HOUR(C2802),2)&amp;":"&amp;RIGHT("0"&amp;MINUTE(C2802),2)&amp;IF(D2802="","","–"&amp;RIGHT("0"&amp;HOUR(D2802),2)&amp;":"&amp;RIGHT("0"&amp;MINUTE(D2802),2))&amp;" ")&amp;F2802)</f>
        <v/>
      </c>
      <c r="N2802" s="54">
        <f>IF(OR(A2802="",F2802=""),"",A2802&amp;"#"&amp;(COUNTIFS($A$5:$A$3004,A2802,$F$5:$F$3004,"?*",$O$5:$O$3004,"&lt;"&amp;O2802)+COUNTIFS($A$5:A2802,A2802,$F$5:F2802,"?*",$O$5:O2802,O2802)))</f>
        <v/>
      </c>
      <c r="O2802" s="54">
        <f>IF(A2802="","",IF(C2802="",0,C2802))</f>
        <v/>
      </c>
    </row>
    <row r="2803">
      <c r="A2803" s="58" t="n"/>
      <c r="B2803" s="49">
        <f>IF(A2803="","",CHOOSE(WEEKDAY(A2803,2),"Пн","Вт","Ср","Чт","Пт","Сб","Вс"))</f>
        <v/>
      </c>
      <c r="C2803" s="59" t="n"/>
      <c r="D2803" s="59" t="n"/>
      <c r="E2803" s="60">
        <f>IF(OR(C2803="",D2803=""),"",MOD(D2803-C2803,1)*24)</f>
        <v/>
      </c>
      <c r="F2803" s="50" t="n"/>
      <c r="G2803" s="51" t="n"/>
      <c r="H2803" s="51" t="n"/>
      <c r="I2803" s="51" t="n"/>
      <c r="J2803" s="51" t="n"/>
      <c r="K2803" s="51" t="n"/>
      <c r="L2803" s="54">
        <f>IF(OR(A2803="",C2803="",D2803=""),"",IF(COUNTIFS($A$5:$A$3004,A2803,$C$5:$C$3004,"&lt;"&amp;D2803,$D$5:$D$3004,"&gt;"&amp;C2803)&gt;1,"⚠️ пересечение",""))</f>
        <v/>
      </c>
      <c r="M2803" s="54">
        <f>IF(F2803="","",IF(J2803="✅ Сделано","✔ ",IF(J2803="❌ Пропущено","✖ ","⏰ "))&amp;IF(C2803="","",RIGHT("0"&amp;HOUR(C2803),2)&amp;":"&amp;RIGHT("0"&amp;MINUTE(C2803),2)&amp;IF(D2803="","","–"&amp;RIGHT("0"&amp;HOUR(D2803),2)&amp;":"&amp;RIGHT("0"&amp;MINUTE(D2803),2))&amp;" ")&amp;F2803)</f>
        <v/>
      </c>
      <c r="N2803" s="54">
        <f>IF(OR(A2803="",F2803=""),"",A2803&amp;"#"&amp;(COUNTIFS($A$5:$A$3004,A2803,$F$5:$F$3004,"?*",$O$5:$O$3004,"&lt;"&amp;O2803)+COUNTIFS($A$5:A2803,A2803,$F$5:F2803,"?*",$O$5:O2803,O2803)))</f>
        <v/>
      </c>
      <c r="O2803" s="54">
        <f>IF(A2803="","",IF(C2803="",0,C2803))</f>
        <v/>
      </c>
    </row>
    <row r="2804">
      <c r="A2804" s="58" t="n"/>
      <c r="B2804" s="49">
        <f>IF(A2804="","",CHOOSE(WEEKDAY(A2804,2),"Пн","Вт","Ср","Чт","Пт","Сб","Вс"))</f>
        <v/>
      </c>
      <c r="C2804" s="59" t="n"/>
      <c r="D2804" s="59" t="n"/>
      <c r="E2804" s="60">
        <f>IF(OR(C2804="",D2804=""),"",MOD(D2804-C2804,1)*24)</f>
        <v/>
      </c>
      <c r="F2804" s="50" t="n"/>
      <c r="G2804" s="51" t="n"/>
      <c r="H2804" s="51" t="n"/>
      <c r="I2804" s="51" t="n"/>
      <c r="J2804" s="51" t="n"/>
      <c r="K2804" s="51" t="n"/>
      <c r="L2804" s="54">
        <f>IF(OR(A2804="",C2804="",D2804=""),"",IF(COUNTIFS($A$5:$A$3004,A2804,$C$5:$C$3004,"&lt;"&amp;D2804,$D$5:$D$3004,"&gt;"&amp;C2804)&gt;1,"⚠️ пересечение",""))</f>
        <v/>
      </c>
      <c r="M2804" s="54">
        <f>IF(F2804="","",IF(J2804="✅ Сделано","✔ ",IF(J2804="❌ Пропущено","✖ ","⏰ "))&amp;IF(C2804="","",RIGHT("0"&amp;HOUR(C2804),2)&amp;":"&amp;RIGHT("0"&amp;MINUTE(C2804),2)&amp;IF(D2804="","","–"&amp;RIGHT("0"&amp;HOUR(D2804),2)&amp;":"&amp;RIGHT("0"&amp;MINUTE(D2804),2))&amp;" ")&amp;F2804)</f>
        <v/>
      </c>
      <c r="N2804" s="54">
        <f>IF(OR(A2804="",F2804=""),"",A2804&amp;"#"&amp;(COUNTIFS($A$5:$A$3004,A2804,$F$5:$F$3004,"?*",$O$5:$O$3004,"&lt;"&amp;O2804)+COUNTIFS($A$5:A2804,A2804,$F$5:F2804,"?*",$O$5:O2804,O2804)))</f>
        <v/>
      </c>
      <c r="O2804" s="54">
        <f>IF(A2804="","",IF(C2804="",0,C2804))</f>
        <v/>
      </c>
    </row>
    <row r="2805">
      <c r="A2805" s="58" t="n"/>
      <c r="B2805" s="49">
        <f>IF(A2805="","",CHOOSE(WEEKDAY(A2805,2),"Пн","Вт","Ср","Чт","Пт","Сб","Вс"))</f>
        <v/>
      </c>
      <c r="C2805" s="59" t="n"/>
      <c r="D2805" s="59" t="n"/>
      <c r="E2805" s="60">
        <f>IF(OR(C2805="",D2805=""),"",MOD(D2805-C2805,1)*24)</f>
        <v/>
      </c>
      <c r="F2805" s="50" t="n"/>
      <c r="G2805" s="51" t="n"/>
      <c r="H2805" s="51" t="n"/>
      <c r="I2805" s="51" t="n"/>
      <c r="J2805" s="51" t="n"/>
      <c r="K2805" s="51" t="n"/>
      <c r="L2805" s="54">
        <f>IF(OR(A2805="",C2805="",D2805=""),"",IF(COUNTIFS($A$5:$A$3004,A2805,$C$5:$C$3004,"&lt;"&amp;D2805,$D$5:$D$3004,"&gt;"&amp;C2805)&gt;1,"⚠️ пересечение",""))</f>
        <v/>
      </c>
      <c r="M2805" s="54">
        <f>IF(F2805="","",IF(J2805="✅ Сделано","✔ ",IF(J2805="❌ Пропущено","✖ ","⏰ "))&amp;IF(C2805="","",RIGHT("0"&amp;HOUR(C2805),2)&amp;":"&amp;RIGHT("0"&amp;MINUTE(C2805),2)&amp;IF(D2805="","","–"&amp;RIGHT("0"&amp;HOUR(D2805),2)&amp;":"&amp;RIGHT("0"&amp;MINUTE(D2805),2))&amp;" ")&amp;F2805)</f>
        <v/>
      </c>
      <c r="N2805" s="54">
        <f>IF(OR(A2805="",F2805=""),"",A2805&amp;"#"&amp;(COUNTIFS($A$5:$A$3004,A2805,$F$5:$F$3004,"?*",$O$5:$O$3004,"&lt;"&amp;O2805)+COUNTIFS($A$5:A2805,A2805,$F$5:F2805,"?*",$O$5:O2805,O2805)))</f>
        <v/>
      </c>
      <c r="O2805" s="54">
        <f>IF(A2805="","",IF(C2805="",0,C2805))</f>
        <v/>
      </c>
    </row>
    <row r="2806">
      <c r="A2806" s="58" t="n"/>
      <c r="B2806" s="49">
        <f>IF(A2806="","",CHOOSE(WEEKDAY(A2806,2),"Пн","Вт","Ср","Чт","Пт","Сб","Вс"))</f>
        <v/>
      </c>
      <c r="C2806" s="59" t="n"/>
      <c r="D2806" s="59" t="n"/>
      <c r="E2806" s="60">
        <f>IF(OR(C2806="",D2806=""),"",MOD(D2806-C2806,1)*24)</f>
        <v/>
      </c>
      <c r="F2806" s="50" t="n"/>
      <c r="G2806" s="51" t="n"/>
      <c r="H2806" s="51" t="n"/>
      <c r="I2806" s="51" t="n"/>
      <c r="J2806" s="51" t="n"/>
      <c r="K2806" s="51" t="n"/>
      <c r="L2806" s="54">
        <f>IF(OR(A2806="",C2806="",D2806=""),"",IF(COUNTIFS($A$5:$A$3004,A2806,$C$5:$C$3004,"&lt;"&amp;D2806,$D$5:$D$3004,"&gt;"&amp;C2806)&gt;1,"⚠️ пересечение",""))</f>
        <v/>
      </c>
      <c r="M2806" s="54">
        <f>IF(F2806="","",IF(J2806="✅ Сделано","✔ ",IF(J2806="❌ Пропущено","✖ ","⏰ "))&amp;IF(C2806="","",RIGHT("0"&amp;HOUR(C2806),2)&amp;":"&amp;RIGHT("0"&amp;MINUTE(C2806),2)&amp;IF(D2806="","","–"&amp;RIGHT("0"&amp;HOUR(D2806),2)&amp;":"&amp;RIGHT("0"&amp;MINUTE(D2806),2))&amp;" ")&amp;F2806)</f>
        <v/>
      </c>
      <c r="N2806" s="54">
        <f>IF(OR(A2806="",F2806=""),"",A2806&amp;"#"&amp;(COUNTIFS($A$5:$A$3004,A2806,$F$5:$F$3004,"?*",$O$5:$O$3004,"&lt;"&amp;O2806)+COUNTIFS($A$5:A2806,A2806,$F$5:F2806,"?*",$O$5:O2806,O2806)))</f>
        <v/>
      </c>
      <c r="O2806" s="54">
        <f>IF(A2806="","",IF(C2806="",0,C2806))</f>
        <v/>
      </c>
    </row>
    <row r="2807">
      <c r="A2807" s="58" t="n"/>
      <c r="B2807" s="49">
        <f>IF(A2807="","",CHOOSE(WEEKDAY(A2807,2),"Пн","Вт","Ср","Чт","Пт","Сб","Вс"))</f>
        <v/>
      </c>
      <c r="C2807" s="59" t="n"/>
      <c r="D2807" s="59" t="n"/>
      <c r="E2807" s="60">
        <f>IF(OR(C2807="",D2807=""),"",MOD(D2807-C2807,1)*24)</f>
        <v/>
      </c>
      <c r="F2807" s="50" t="n"/>
      <c r="G2807" s="51" t="n"/>
      <c r="H2807" s="51" t="n"/>
      <c r="I2807" s="51" t="n"/>
      <c r="J2807" s="51" t="n"/>
      <c r="K2807" s="51" t="n"/>
      <c r="L2807" s="54">
        <f>IF(OR(A2807="",C2807="",D2807=""),"",IF(COUNTIFS($A$5:$A$3004,A2807,$C$5:$C$3004,"&lt;"&amp;D2807,$D$5:$D$3004,"&gt;"&amp;C2807)&gt;1,"⚠️ пересечение",""))</f>
        <v/>
      </c>
      <c r="M2807" s="54">
        <f>IF(F2807="","",IF(J2807="✅ Сделано","✔ ",IF(J2807="❌ Пропущено","✖ ","⏰ "))&amp;IF(C2807="","",RIGHT("0"&amp;HOUR(C2807),2)&amp;":"&amp;RIGHT("0"&amp;MINUTE(C2807),2)&amp;IF(D2807="","","–"&amp;RIGHT("0"&amp;HOUR(D2807),2)&amp;":"&amp;RIGHT("0"&amp;MINUTE(D2807),2))&amp;" ")&amp;F2807)</f>
        <v/>
      </c>
      <c r="N2807" s="54">
        <f>IF(OR(A2807="",F2807=""),"",A2807&amp;"#"&amp;(COUNTIFS($A$5:$A$3004,A2807,$F$5:$F$3004,"?*",$O$5:$O$3004,"&lt;"&amp;O2807)+COUNTIFS($A$5:A2807,A2807,$F$5:F2807,"?*",$O$5:O2807,O2807)))</f>
        <v/>
      </c>
      <c r="O2807" s="54">
        <f>IF(A2807="","",IF(C2807="",0,C2807))</f>
        <v/>
      </c>
    </row>
    <row r="2808">
      <c r="A2808" s="58" t="n"/>
      <c r="B2808" s="49">
        <f>IF(A2808="","",CHOOSE(WEEKDAY(A2808,2),"Пн","Вт","Ср","Чт","Пт","Сб","Вс"))</f>
        <v/>
      </c>
      <c r="C2808" s="59" t="n"/>
      <c r="D2808" s="59" t="n"/>
      <c r="E2808" s="60">
        <f>IF(OR(C2808="",D2808=""),"",MOD(D2808-C2808,1)*24)</f>
        <v/>
      </c>
      <c r="F2808" s="50" t="n"/>
      <c r="G2808" s="51" t="n"/>
      <c r="H2808" s="51" t="n"/>
      <c r="I2808" s="51" t="n"/>
      <c r="J2808" s="51" t="n"/>
      <c r="K2808" s="51" t="n"/>
      <c r="L2808" s="54">
        <f>IF(OR(A2808="",C2808="",D2808=""),"",IF(COUNTIFS($A$5:$A$3004,A2808,$C$5:$C$3004,"&lt;"&amp;D2808,$D$5:$D$3004,"&gt;"&amp;C2808)&gt;1,"⚠️ пересечение",""))</f>
        <v/>
      </c>
      <c r="M2808" s="54">
        <f>IF(F2808="","",IF(J2808="✅ Сделано","✔ ",IF(J2808="❌ Пропущено","✖ ","⏰ "))&amp;IF(C2808="","",RIGHT("0"&amp;HOUR(C2808),2)&amp;":"&amp;RIGHT("0"&amp;MINUTE(C2808),2)&amp;IF(D2808="","","–"&amp;RIGHT("0"&amp;HOUR(D2808),2)&amp;":"&amp;RIGHT("0"&amp;MINUTE(D2808),2))&amp;" ")&amp;F2808)</f>
        <v/>
      </c>
      <c r="N2808" s="54">
        <f>IF(OR(A2808="",F2808=""),"",A2808&amp;"#"&amp;(COUNTIFS($A$5:$A$3004,A2808,$F$5:$F$3004,"?*",$O$5:$O$3004,"&lt;"&amp;O2808)+COUNTIFS($A$5:A2808,A2808,$F$5:F2808,"?*",$O$5:O2808,O2808)))</f>
        <v/>
      </c>
      <c r="O2808" s="54">
        <f>IF(A2808="","",IF(C2808="",0,C2808))</f>
        <v/>
      </c>
    </row>
    <row r="2809">
      <c r="A2809" s="58" t="n"/>
      <c r="B2809" s="49">
        <f>IF(A2809="","",CHOOSE(WEEKDAY(A2809,2),"Пн","Вт","Ср","Чт","Пт","Сб","Вс"))</f>
        <v/>
      </c>
      <c r="C2809" s="59" t="n"/>
      <c r="D2809" s="59" t="n"/>
      <c r="E2809" s="60">
        <f>IF(OR(C2809="",D2809=""),"",MOD(D2809-C2809,1)*24)</f>
        <v/>
      </c>
      <c r="F2809" s="50" t="n"/>
      <c r="G2809" s="51" t="n"/>
      <c r="H2809" s="51" t="n"/>
      <c r="I2809" s="51" t="n"/>
      <c r="J2809" s="51" t="n"/>
      <c r="K2809" s="51" t="n"/>
      <c r="L2809" s="54">
        <f>IF(OR(A2809="",C2809="",D2809=""),"",IF(COUNTIFS($A$5:$A$3004,A2809,$C$5:$C$3004,"&lt;"&amp;D2809,$D$5:$D$3004,"&gt;"&amp;C2809)&gt;1,"⚠️ пересечение",""))</f>
        <v/>
      </c>
      <c r="M2809" s="54">
        <f>IF(F2809="","",IF(J2809="✅ Сделано","✔ ",IF(J2809="❌ Пропущено","✖ ","⏰ "))&amp;IF(C2809="","",RIGHT("0"&amp;HOUR(C2809),2)&amp;":"&amp;RIGHT("0"&amp;MINUTE(C2809),2)&amp;IF(D2809="","","–"&amp;RIGHT("0"&amp;HOUR(D2809),2)&amp;":"&amp;RIGHT("0"&amp;MINUTE(D2809),2))&amp;" ")&amp;F2809)</f>
        <v/>
      </c>
      <c r="N2809" s="54">
        <f>IF(OR(A2809="",F2809=""),"",A2809&amp;"#"&amp;(COUNTIFS($A$5:$A$3004,A2809,$F$5:$F$3004,"?*",$O$5:$O$3004,"&lt;"&amp;O2809)+COUNTIFS($A$5:A2809,A2809,$F$5:F2809,"?*",$O$5:O2809,O2809)))</f>
        <v/>
      </c>
      <c r="O2809" s="54">
        <f>IF(A2809="","",IF(C2809="",0,C2809))</f>
        <v/>
      </c>
    </row>
    <row r="2810">
      <c r="A2810" s="58" t="n"/>
      <c r="B2810" s="49">
        <f>IF(A2810="","",CHOOSE(WEEKDAY(A2810,2),"Пн","Вт","Ср","Чт","Пт","Сб","Вс"))</f>
        <v/>
      </c>
      <c r="C2810" s="59" t="n"/>
      <c r="D2810" s="59" t="n"/>
      <c r="E2810" s="60">
        <f>IF(OR(C2810="",D2810=""),"",MOD(D2810-C2810,1)*24)</f>
        <v/>
      </c>
      <c r="F2810" s="50" t="n"/>
      <c r="G2810" s="51" t="n"/>
      <c r="H2810" s="51" t="n"/>
      <c r="I2810" s="51" t="n"/>
      <c r="J2810" s="51" t="n"/>
      <c r="K2810" s="51" t="n"/>
      <c r="L2810" s="54">
        <f>IF(OR(A2810="",C2810="",D2810=""),"",IF(COUNTIFS($A$5:$A$3004,A2810,$C$5:$C$3004,"&lt;"&amp;D2810,$D$5:$D$3004,"&gt;"&amp;C2810)&gt;1,"⚠️ пересечение",""))</f>
        <v/>
      </c>
      <c r="M2810" s="54">
        <f>IF(F2810="","",IF(J2810="✅ Сделано","✔ ",IF(J2810="❌ Пропущено","✖ ","⏰ "))&amp;IF(C2810="","",RIGHT("0"&amp;HOUR(C2810),2)&amp;":"&amp;RIGHT("0"&amp;MINUTE(C2810),2)&amp;IF(D2810="","","–"&amp;RIGHT("0"&amp;HOUR(D2810),2)&amp;":"&amp;RIGHT("0"&amp;MINUTE(D2810),2))&amp;" ")&amp;F2810)</f>
        <v/>
      </c>
      <c r="N2810" s="54">
        <f>IF(OR(A2810="",F2810=""),"",A2810&amp;"#"&amp;(COUNTIFS($A$5:$A$3004,A2810,$F$5:$F$3004,"?*",$O$5:$O$3004,"&lt;"&amp;O2810)+COUNTIFS($A$5:A2810,A2810,$F$5:F2810,"?*",$O$5:O2810,O2810)))</f>
        <v/>
      </c>
      <c r="O2810" s="54">
        <f>IF(A2810="","",IF(C2810="",0,C2810))</f>
        <v/>
      </c>
    </row>
    <row r="2811">
      <c r="A2811" s="58" t="n"/>
      <c r="B2811" s="49">
        <f>IF(A2811="","",CHOOSE(WEEKDAY(A2811,2),"Пн","Вт","Ср","Чт","Пт","Сб","Вс"))</f>
        <v/>
      </c>
      <c r="C2811" s="59" t="n"/>
      <c r="D2811" s="59" t="n"/>
      <c r="E2811" s="60">
        <f>IF(OR(C2811="",D2811=""),"",MOD(D2811-C2811,1)*24)</f>
        <v/>
      </c>
      <c r="F2811" s="50" t="n"/>
      <c r="G2811" s="51" t="n"/>
      <c r="H2811" s="51" t="n"/>
      <c r="I2811" s="51" t="n"/>
      <c r="J2811" s="51" t="n"/>
      <c r="K2811" s="51" t="n"/>
      <c r="L2811" s="54">
        <f>IF(OR(A2811="",C2811="",D2811=""),"",IF(COUNTIFS($A$5:$A$3004,A2811,$C$5:$C$3004,"&lt;"&amp;D2811,$D$5:$D$3004,"&gt;"&amp;C2811)&gt;1,"⚠️ пересечение",""))</f>
        <v/>
      </c>
      <c r="M2811" s="54">
        <f>IF(F2811="","",IF(J2811="✅ Сделано","✔ ",IF(J2811="❌ Пропущено","✖ ","⏰ "))&amp;IF(C2811="","",RIGHT("0"&amp;HOUR(C2811),2)&amp;":"&amp;RIGHT("0"&amp;MINUTE(C2811),2)&amp;IF(D2811="","","–"&amp;RIGHT("0"&amp;HOUR(D2811),2)&amp;":"&amp;RIGHT("0"&amp;MINUTE(D2811),2))&amp;" ")&amp;F2811)</f>
        <v/>
      </c>
      <c r="N2811" s="54">
        <f>IF(OR(A2811="",F2811=""),"",A2811&amp;"#"&amp;(COUNTIFS($A$5:$A$3004,A2811,$F$5:$F$3004,"?*",$O$5:$O$3004,"&lt;"&amp;O2811)+COUNTIFS($A$5:A2811,A2811,$F$5:F2811,"?*",$O$5:O2811,O2811)))</f>
        <v/>
      </c>
      <c r="O2811" s="54">
        <f>IF(A2811="","",IF(C2811="",0,C2811))</f>
        <v/>
      </c>
    </row>
    <row r="2812">
      <c r="A2812" s="58" t="n"/>
      <c r="B2812" s="49">
        <f>IF(A2812="","",CHOOSE(WEEKDAY(A2812,2),"Пн","Вт","Ср","Чт","Пт","Сб","Вс"))</f>
        <v/>
      </c>
      <c r="C2812" s="59" t="n"/>
      <c r="D2812" s="59" t="n"/>
      <c r="E2812" s="60">
        <f>IF(OR(C2812="",D2812=""),"",MOD(D2812-C2812,1)*24)</f>
        <v/>
      </c>
      <c r="F2812" s="50" t="n"/>
      <c r="G2812" s="51" t="n"/>
      <c r="H2812" s="51" t="n"/>
      <c r="I2812" s="51" t="n"/>
      <c r="J2812" s="51" t="n"/>
      <c r="K2812" s="51" t="n"/>
      <c r="L2812" s="54">
        <f>IF(OR(A2812="",C2812="",D2812=""),"",IF(COUNTIFS($A$5:$A$3004,A2812,$C$5:$C$3004,"&lt;"&amp;D2812,$D$5:$D$3004,"&gt;"&amp;C2812)&gt;1,"⚠️ пересечение",""))</f>
        <v/>
      </c>
      <c r="M2812" s="54">
        <f>IF(F2812="","",IF(J2812="✅ Сделано","✔ ",IF(J2812="❌ Пропущено","✖ ","⏰ "))&amp;IF(C2812="","",RIGHT("0"&amp;HOUR(C2812),2)&amp;":"&amp;RIGHT("0"&amp;MINUTE(C2812),2)&amp;IF(D2812="","","–"&amp;RIGHT("0"&amp;HOUR(D2812),2)&amp;":"&amp;RIGHT("0"&amp;MINUTE(D2812),2))&amp;" ")&amp;F2812)</f>
        <v/>
      </c>
      <c r="N2812" s="54">
        <f>IF(OR(A2812="",F2812=""),"",A2812&amp;"#"&amp;(COUNTIFS($A$5:$A$3004,A2812,$F$5:$F$3004,"?*",$O$5:$O$3004,"&lt;"&amp;O2812)+COUNTIFS($A$5:A2812,A2812,$F$5:F2812,"?*",$O$5:O2812,O2812)))</f>
        <v/>
      </c>
      <c r="O2812" s="54">
        <f>IF(A2812="","",IF(C2812="",0,C2812))</f>
        <v/>
      </c>
    </row>
    <row r="2813">
      <c r="A2813" s="58" t="n"/>
      <c r="B2813" s="49">
        <f>IF(A2813="","",CHOOSE(WEEKDAY(A2813,2),"Пн","Вт","Ср","Чт","Пт","Сб","Вс"))</f>
        <v/>
      </c>
      <c r="C2813" s="59" t="n"/>
      <c r="D2813" s="59" t="n"/>
      <c r="E2813" s="60">
        <f>IF(OR(C2813="",D2813=""),"",MOD(D2813-C2813,1)*24)</f>
        <v/>
      </c>
      <c r="F2813" s="50" t="n"/>
      <c r="G2813" s="51" t="n"/>
      <c r="H2813" s="51" t="n"/>
      <c r="I2813" s="51" t="n"/>
      <c r="J2813" s="51" t="n"/>
      <c r="K2813" s="51" t="n"/>
      <c r="L2813" s="54">
        <f>IF(OR(A2813="",C2813="",D2813=""),"",IF(COUNTIFS($A$5:$A$3004,A2813,$C$5:$C$3004,"&lt;"&amp;D2813,$D$5:$D$3004,"&gt;"&amp;C2813)&gt;1,"⚠️ пересечение",""))</f>
        <v/>
      </c>
      <c r="M2813" s="54">
        <f>IF(F2813="","",IF(J2813="✅ Сделано","✔ ",IF(J2813="❌ Пропущено","✖ ","⏰ "))&amp;IF(C2813="","",RIGHT("0"&amp;HOUR(C2813),2)&amp;":"&amp;RIGHT("0"&amp;MINUTE(C2813),2)&amp;IF(D2813="","","–"&amp;RIGHT("0"&amp;HOUR(D2813),2)&amp;":"&amp;RIGHT("0"&amp;MINUTE(D2813),2))&amp;" ")&amp;F2813)</f>
        <v/>
      </c>
      <c r="N2813" s="54">
        <f>IF(OR(A2813="",F2813=""),"",A2813&amp;"#"&amp;(COUNTIFS($A$5:$A$3004,A2813,$F$5:$F$3004,"?*",$O$5:$O$3004,"&lt;"&amp;O2813)+COUNTIFS($A$5:A2813,A2813,$F$5:F2813,"?*",$O$5:O2813,O2813)))</f>
        <v/>
      </c>
      <c r="O2813" s="54">
        <f>IF(A2813="","",IF(C2813="",0,C2813))</f>
        <v/>
      </c>
    </row>
    <row r="2814">
      <c r="A2814" s="58" t="n"/>
      <c r="B2814" s="49">
        <f>IF(A2814="","",CHOOSE(WEEKDAY(A2814,2),"Пн","Вт","Ср","Чт","Пт","Сб","Вс"))</f>
        <v/>
      </c>
      <c r="C2814" s="59" t="n"/>
      <c r="D2814" s="59" t="n"/>
      <c r="E2814" s="60">
        <f>IF(OR(C2814="",D2814=""),"",MOD(D2814-C2814,1)*24)</f>
        <v/>
      </c>
      <c r="F2814" s="50" t="n"/>
      <c r="G2814" s="51" t="n"/>
      <c r="H2814" s="51" t="n"/>
      <c r="I2814" s="51" t="n"/>
      <c r="J2814" s="51" t="n"/>
      <c r="K2814" s="51" t="n"/>
      <c r="L2814" s="54">
        <f>IF(OR(A2814="",C2814="",D2814=""),"",IF(COUNTIFS($A$5:$A$3004,A2814,$C$5:$C$3004,"&lt;"&amp;D2814,$D$5:$D$3004,"&gt;"&amp;C2814)&gt;1,"⚠️ пересечение",""))</f>
        <v/>
      </c>
      <c r="M2814" s="54">
        <f>IF(F2814="","",IF(J2814="✅ Сделано","✔ ",IF(J2814="❌ Пропущено","✖ ","⏰ "))&amp;IF(C2814="","",RIGHT("0"&amp;HOUR(C2814),2)&amp;":"&amp;RIGHT("0"&amp;MINUTE(C2814),2)&amp;IF(D2814="","","–"&amp;RIGHT("0"&amp;HOUR(D2814),2)&amp;":"&amp;RIGHT("0"&amp;MINUTE(D2814),2))&amp;" ")&amp;F2814)</f>
        <v/>
      </c>
      <c r="N2814" s="54">
        <f>IF(OR(A2814="",F2814=""),"",A2814&amp;"#"&amp;(COUNTIFS($A$5:$A$3004,A2814,$F$5:$F$3004,"?*",$O$5:$O$3004,"&lt;"&amp;O2814)+COUNTIFS($A$5:A2814,A2814,$F$5:F2814,"?*",$O$5:O2814,O2814)))</f>
        <v/>
      </c>
      <c r="O2814" s="54">
        <f>IF(A2814="","",IF(C2814="",0,C2814))</f>
        <v/>
      </c>
    </row>
    <row r="2815">
      <c r="A2815" s="58" t="n"/>
      <c r="B2815" s="49">
        <f>IF(A2815="","",CHOOSE(WEEKDAY(A2815,2),"Пн","Вт","Ср","Чт","Пт","Сб","Вс"))</f>
        <v/>
      </c>
      <c r="C2815" s="59" t="n"/>
      <c r="D2815" s="59" t="n"/>
      <c r="E2815" s="60">
        <f>IF(OR(C2815="",D2815=""),"",MOD(D2815-C2815,1)*24)</f>
        <v/>
      </c>
      <c r="F2815" s="50" t="n"/>
      <c r="G2815" s="51" t="n"/>
      <c r="H2815" s="51" t="n"/>
      <c r="I2815" s="51" t="n"/>
      <c r="J2815" s="51" t="n"/>
      <c r="K2815" s="51" t="n"/>
      <c r="L2815" s="54">
        <f>IF(OR(A2815="",C2815="",D2815=""),"",IF(COUNTIFS($A$5:$A$3004,A2815,$C$5:$C$3004,"&lt;"&amp;D2815,$D$5:$D$3004,"&gt;"&amp;C2815)&gt;1,"⚠️ пересечение",""))</f>
        <v/>
      </c>
      <c r="M2815" s="54">
        <f>IF(F2815="","",IF(J2815="✅ Сделано","✔ ",IF(J2815="❌ Пропущено","✖ ","⏰ "))&amp;IF(C2815="","",RIGHT("0"&amp;HOUR(C2815),2)&amp;":"&amp;RIGHT("0"&amp;MINUTE(C2815),2)&amp;IF(D2815="","","–"&amp;RIGHT("0"&amp;HOUR(D2815),2)&amp;":"&amp;RIGHT("0"&amp;MINUTE(D2815),2))&amp;" ")&amp;F2815)</f>
        <v/>
      </c>
      <c r="N2815" s="54">
        <f>IF(OR(A2815="",F2815=""),"",A2815&amp;"#"&amp;(COUNTIFS($A$5:$A$3004,A2815,$F$5:$F$3004,"?*",$O$5:$O$3004,"&lt;"&amp;O2815)+COUNTIFS($A$5:A2815,A2815,$F$5:F2815,"?*",$O$5:O2815,O2815)))</f>
        <v/>
      </c>
      <c r="O2815" s="54">
        <f>IF(A2815="","",IF(C2815="",0,C2815))</f>
        <v/>
      </c>
    </row>
    <row r="2816">
      <c r="A2816" s="58" t="n"/>
      <c r="B2816" s="49">
        <f>IF(A2816="","",CHOOSE(WEEKDAY(A2816,2),"Пн","Вт","Ср","Чт","Пт","Сб","Вс"))</f>
        <v/>
      </c>
      <c r="C2816" s="59" t="n"/>
      <c r="D2816" s="59" t="n"/>
      <c r="E2816" s="60">
        <f>IF(OR(C2816="",D2816=""),"",MOD(D2816-C2816,1)*24)</f>
        <v/>
      </c>
      <c r="F2816" s="50" t="n"/>
      <c r="G2816" s="51" t="n"/>
      <c r="H2816" s="51" t="n"/>
      <c r="I2816" s="51" t="n"/>
      <c r="J2816" s="51" t="n"/>
      <c r="K2816" s="51" t="n"/>
      <c r="L2816" s="54">
        <f>IF(OR(A2816="",C2816="",D2816=""),"",IF(COUNTIFS($A$5:$A$3004,A2816,$C$5:$C$3004,"&lt;"&amp;D2816,$D$5:$D$3004,"&gt;"&amp;C2816)&gt;1,"⚠️ пересечение",""))</f>
        <v/>
      </c>
      <c r="M2816" s="54">
        <f>IF(F2816="","",IF(J2816="✅ Сделано","✔ ",IF(J2816="❌ Пропущено","✖ ","⏰ "))&amp;IF(C2816="","",RIGHT("0"&amp;HOUR(C2816),2)&amp;":"&amp;RIGHT("0"&amp;MINUTE(C2816),2)&amp;IF(D2816="","","–"&amp;RIGHT("0"&amp;HOUR(D2816),2)&amp;":"&amp;RIGHT("0"&amp;MINUTE(D2816),2))&amp;" ")&amp;F2816)</f>
        <v/>
      </c>
      <c r="N2816" s="54">
        <f>IF(OR(A2816="",F2816=""),"",A2816&amp;"#"&amp;(COUNTIFS($A$5:$A$3004,A2816,$F$5:$F$3004,"?*",$O$5:$O$3004,"&lt;"&amp;O2816)+COUNTIFS($A$5:A2816,A2816,$F$5:F2816,"?*",$O$5:O2816,O2816)))</f>
        <v/>
      </c>
      <c r="O2816" s="54">
        <f>IF(A2816="","",IF(C2816="",0,C2816))</f>
        <v/>
      </c>
    </row>
    <row r="2817">
      <c r="A2817" s="58" t="n"/>
      <c r="B2817" s="49">
        <f>IF(A2817="","",CHOOSE(WEEKDAY(A2817,2),"Пн","Вт","Ср","Чт","Пт","Сб","Вс"))</f>
        <v/>
      </c>
      <c r="C2817" s="59" t="n"/>
      <c r="D2817" s="59" t="n"/>
      <c r="E2817" s="60">
        <f>IF(OR(C2817="",D2817=""),"",MOD(D2817-C2817,1)*24)</f>
        <v/>
      </c>
      <c r="F2817" s="50" t="n"/>
      <c r="G2817" s="51" t="n"/>
      <c r="H2817" s="51" t="n"/>
      <c r="I2817" s="51" t="n"/>
      <c r="J2817" s="51" t="n"/>
      <c r="K2817" s="51" t="n"/>
      <c r="L2817" s="54">
        <f>IF(OR(A2817="",C2817="",D2817=""),"",IF(COUNTIFS($A$5:$A$3004,A2817,$C$5:$C$3004,"&lt;"&amp;D2817,$D$5:$D$3004,"&gt;"&amp;C2817)&gt;1,"⚠️ пересечение",""))</f>
        <v/>
      </c>
      <c r="M2817" s="54">
        <f>IF(F2817="","",IF(J2817="✅ Сделано","✔ ",IF(J2817="❌ Пропущено","✖ ","⏰ "))&amp;IF(C2817="","",RIGHT("0"&amp;HOUR(C2817),2)&amp;":"&amp;RIGHT("0"&amp;MINUTE(C2817),2)&amp;IF(D2817="","","–"&amp;RIGHT("0"&amp;HOUR(D2817),2)&amp;":"&amp;RIGHT("0"&amp;MINUTE(D2817),2))&amp;" ")&amp;F2817)</f>
        <v/>
      </c>
      <c r="N2817" s="54">
        <f>IF(OR(A2817="",F2817=""),"",A2817&amp;"#"&amp;(COUNTIFS($A$5:$A$3004,A2817,$F$5:$F$3004,"?*",$O$5:$O$3004,"&lt;"&amp;O2817)+COUNTIFS($A$5:A2817,A2817,$F$5:F2817,"?*",$O$5:O2817,O2817)))</f>
        <v/>
      </c>
      <c r="O2817" s="54">
        <f>IF(A2817="","",IF(C2817="",0,C2817))</f>
        <v/>
      </c>
    </row>
    <row r="2818">
      <c r="A2818" s="58" t="n"/>
      <c r="B2818" s="49">
        <f>IF(A2818="","",CHOOSE(WEEKDAY(A2818,2),"Пн","Вт","Ср","Чт","Пт","Сб","Вс"))</f>
        <v/>
      </c>
      <c r="C2818" s="59" t="n"/>
      <c r="D2818" s="59" t="n"/>
      <c r="E2818" s="60">
        <f>IF(OR(C2818="",D2818=""),"",MOD(D2818-C2818,1)*24)</f>
        <v/>
      </c>
      <c r="F2818" s="50" t="n"/>
      <c r="G2818" s="51" t="n"/>
      <c r="H2818" s="51" t="n"/>
      <c r="I2818" s="51" t="n"/>
      <c r="J2818" s="51" t="n"/>
      <c r="K2818" s="51" t="n"/>
      <c r="L2818" s="54">
        <f>IF(OR(A2818="",C2818="",D2818=""),"",IF(COUNTIFS($A$5:$A$3004,A2818,$C$5:$C$3004,"&lt;"&amp;D2818,$D$5:$D$3004,"&gt;"&amp;C2818)&gt;1,"⚠️ пересечение",""))</f>
        <v/>
      </c>
      <c r="M2818" s="54">
        <f>IF(F2818="","",IF(J2818="✅ Сделано","✔ ",IF(J2818="❌ Пропущено","✖ ","⏰ "))&amp;IF(C2818="","",RIGHT("0"&amp;HOUR(C2818),2)&amp;":"&amp;RIGHT("0"&amp;MINUTE(C2818),2)&amp;IF(D2818="","","–"&amp;RIGHT("0"&amp;HOUR(D2818),2)&amp;":"&amp;RIGHT("0"&amp;MINUTE(D2818),2))&amp;" ")&amp;F2818)</f>
        <v/>
      </c>
      <c r="N2818" s="54">
        <f>IF(OR(A2818="",F2818=""),"",A2818&amp;"#"&amp;(COUNTIFS($A$5:$A$3004,A2818,$F$5:$F$3004,"?*",$O$5:$O$3004,"&lt;"&amp;O2818)+COUNTIFS($A$5:A2818,A2818,$F$5:F2818,"?*",$O$5:O2818,O2818)))</f>
        <v/>
      </c>
      <c r="O2818" s="54">
        <f>IF(A2818="","",IF(C2818="",0,C2818))</f>
        <v/>
      </c>
    </row>
    <row r="2819">
      <c r="A2819" s="58" t="n"/>
      <c r="B2819" s="49">
        <f>IF(A2819="","",CHOOSE(WEEKDAY(A2819,2),"Пн","Вт","Ср","Чт","Пт","Сб","Вс"))</f>
        <v/>
      </c>
      <c r="C2819" s="59" t="n"/>
      <c r="D2819" s="59" t="n"/>
      <c r="E2819" s="60">
        <f>IF(OR(C2819="",D2819=""),"",MOD(D2819-C2819,1)*24)</f>
        <v/>
      </c>
      <c r="F2819" s="50" t="n"/>
      <c r="G2819" s="51" t="n"/>
      <c r="H2819" s="51" t="n"/>
      <c r="I2819" s="51" t="n"/>
      <c r="J2819" s="51" t="n"/>
      <c r="K2819" s="51" t="n"/>
      <c r="L2819" s="54">
        <f>IF(OR(A2819="",C2819="",D2819=""),"",IF(COUNTIFS($A$5:$A$3004,A2819,$C$5:$C$3004,"&lt;"&amp;D2819,$D$5:$D$3004,"&gt;"&amp;C2819)&gt;1,"⚠️ пересечение",""))</f>
        <v/>
      </c>
      <c r="M2819" s="54">
        <f>IF(F2819="","",IF(J2819="✅ Сделано","✔ ",IF(J2819="❌ Пропущено","✖ ","⏰ "))&amp;IF(C2819="","",RIGHT("0"&amp;HOUR(C2819),2)&amp;":"&amp;RIGHT("0"&amp;MINUTE(C2819),2)&amp;IF(D2819="","","–"&amp;RIGHT("0"&amp;HOUR(D2819),2)&amp;":"&amp;RIGHT("0"&amp;MINUTE(D2819),2))&amp;" ")&amp;F2819)</f>
        <v/>
      </c>
      <c r="N2819" s="54">
        <f>IF(OR(A2819="",F2819=""),"",A2819&amp;"#"&amp;(COUNTIFS($A$5:$A$3004,A2819,$F$5:$F$3004,"?*",$O$5:$O$3004,"&lt;"&amp;O2819)+COUNTIFS($A$5:A2819,A2819,$F$5:F2819,"?*",$O$5:O2819,O2819)))</f>
        <v/>
      </c>
      <c r="O2819" s="54">
        <f>IF(A2819="","",IF(C2819="",0,C2819))</f>
        <v/>
      </c>
    </row>
    <row r="2820">
      <c r="A2820" s="58" t="n"/>
      <c r="B2820" s="49">
        <f>IF(A2820="","",CHOOSE(WEEKDAY(A2820,2),"Пн","Вт","Ср","Чт","Пт","Сб","Вс"))</f>
        <v/>
      </c>
      <c r="C2820" s="59" t="n"/>
      <c r="D2820" s="59" t="n"/>
      <c r="E2820" s="60">
        <f>IF(OR(C2820="",D2820=""),"",MOD(D2820-C2820,1)*24)</f>
        <v/>
      </c>
      <c r="F2820" s="50" t="n"/>
      <c r="G2820" s="51" t="n"/>
      <c r="H2820" s="51" t="n"/>
      <c r="I2820" s="51" t="n"/>
      <c r="J2820" s="51" t="n"/>
      <c r="K2820" s="51" t="n"/>
      <c r="L2820" s="54">
        <f>IF(OR(A2820="",C2820="",D2820=""),"",IF(COUNTIFS($A$5:$A$3004,A2820,$C$5:$C$3004,"&lt;"&amp;D2820,$D$5:$D$3004,"&gt;"&amp;C2820)&gt;1,"⚠️ пересечение",""))</f>
        <v/>
      </c>
      <c r="M2820" s="54">
        <f>IF(F2820="","",IF(J2820="✅ Сделано","✔ ",IF(J2820="❌ Пропущено","✖ ","⏰ "))&amp;IF(C2820="","",RIGHT("0"&amp;HOUR(C2820),2)&amp;":"&amp;RIGHT("0"&amp;MINUTE(C2820),2)&amp;IF(D2820="","","–"&amp;RIGHT("0"&amp;HOUR(D2820),2)&amp;":"&amp;RIGHT("0"&amp;MINUTE(D2820),2))&amp;" ")&amp;F2820)</f>
        <v/>
      </c>
      <c r="N2820" s="54">
        <f>IF(OR(A2820="",F2820=""),"",A2820&amp;"#"&amp;(COUNTIFS($A$5:$A$3004,A2820,$F$5:$F$3004,"?*",$O$5:$O$3004,"&lt;"&amp;O2820)+COUNTIFS($A$5:A2820,A2820,$F$5:F2820,"?*",$O$5:O2820,O2820)))</f>
        <v/>
      </c>
      <c r="O2820" s="54">
        <f>IF(A2820="","",IF(C2820="",0,C2820))</f>
        <v/>
      </c>
    </row>
    <row r="2821">
      <c r="A2821" s="58" t="n"/>
      <c r="B2821" s="49">
        <f>IF(A2821="","",CHOOSE(WEEKDAY(A2821,2),"Пн","Вт","Ср","Чт","Пт","Сб","Вс"))</f>
        <v/>
      </c>
      <c r="C2821" s="59" t="n"/>
      <c r="D2821" s="59" t="n"/>
      <c r="E2821" s="60">
        <f>IF(OR(C2821="",D2821=""),"",MOD(D2821-C2821,1)*24)</f>
        <v/>
      </c>
      <c r="F2821" s="50" t="n"/>
      <c r="G2821" s="51" t="n"/>
      <c r="H2821" s="51" t="n"/>
      <c r="I2821" s="51" t="n"/>
      <c r="J2821" s="51" t="n"/>
      <c r="K2821" s="51" t="n"/>
      <c r="L2821" s="54">
        <f>IF(OR(A2821="",C2821="",D2821=""),"",IF(COUNTIFS($A$5:$A$3004,A2821,$C$5:$C$3004,"&lt;"&amp;D2821,$D$5:$D$3004,"&gt;"&amp;C2821)&gt;1,"⚠️ пересечение",""))</f>
        <v/>
      </c>
      <c r="M2821" s="54">
        <f>IF(F2821="","",IF(J2821="✅ Сделано","✔ ",IF(J2821="❌ Пропущено","✖ ","⏰ "))&amp;IF(C2821="","",RIGHT("0"&amp;HOUR(C2821),2)&amp;":"&amp;RIGHT("0"&amp;MINUTE(C2821),2)&amp;IF(D2821="","","–"&amp;RIGHT("0"&amp;HOUR(D2821),2)&amp;":"&amp;RIGHT("0"&amp;MINUTE(D2821),2))&amp;" ")&amp;F2821)</f>
        <v/>
      </c>
      <c r="N2821" s="54">
        <f>IF(OR(A2821="",F2821=""),"",A2821&amp;"#"&amp;(COUNTIFS($A$5:$A$3004,A2821,$F$5:$F$3004,"?*",$O$5:$O$3004,"&lt;"&amp;O2821)+COUNTIFS($A$5:A2821,A2821,$F$5:F2821,"?*",$O$5:O2821,O2821)))</f>
        <v/>
      </c>
      <c r="O2821" s="54">
        <f>IF(A2821="","",IF(C2821="",0,C2821))</f>
        <v/>
      </c>
    </row>
    <row r="2822">
      <c r="A2822" s="58" t="n"/>
      <c r="B2822" s="49">
        <f>IF(A2822="","",CHOOSE(WEEKDAY(A2822,2),"Пн","Вт","Ср","Чт","Пт","Сб","Вс"))</f>
        <v/>
      </c>
      <c r="C2822" s="59" t="n"/>
      <c r="D2822" s="59" t="n"/>
      <c r="E2822" s="60">
        <f>IF(OR(C2822="",D2822=""),"",MOD(D2822-C2822,1)*24)</f>
        <v/>
      </c>
      <c r="F2822" s="50" t="n"/>
      <c r="G2822" s="51" t="n"/>
      <c r="H2822" s="51" t="n"/>
      <c r="I2822" s="51" t="n"/>
      <c r="J2822" s="51" t="n"/>
      <c r="K2822" s="51" t="n"/>
      <c r="L2822" s="54">
        <f>IF(OR(A2822="",C2822="",D2822=""),"",IF(COUNTIFS($A$5:$A$3004,A2822,$C$5:$C$3004,"&lt;"&amp;D2822,$D$5:$D$3004,"&gt;"&amp;C2822)&gt;1,"⚠️ пересечение",""))</f>
        <v/>
      </c>
      <c r="M2822" s="54">
        <f>IF(F2822="","",IF(J2822="✅ Сделано","✔ ",IF(J2822="❌ Пропущено","✖ ","⏰ "))&amp;IF(C2822="","",RIGHT("0"&amp;HOUR(C2822),2)&amp;":"&amp;RIGHT("0"&amp;MINUTE(C2822),2)&amp;IF(D2822="","","–"&amp;RIGHT("0"&amp;HOUR(D2822),2)&amp;":"&amp;RIGHT("0"&amp;MINUTE(D2822),2))&amp;" ")&amp;F2822)</f>
        <v/>
      </c>
      <c r="N2822" s="54">
        <f>IF(OR(A2822="",F2822=""),"",A2822&amp;"#"&amp;(COUNTIFS($A$5:$A$3004,A2822,$F$5:$F$3004,"?*",$O$5:$O$3004,"&lt;"&amp;O2822)+COUNTIFS($A$5:A2822,A2822,$F$5:F2822,"?*",$O$5:O2822,O2822)))</f>
        <v/>
      </c>
      <c r="O2822" s="54">
        <f>IF(A2822="","",IF(C2822="",0,C2822))</f>
        <v/>
      </c>
    </row>
    <row r="2823">
      <c r="A2823" s="58" t="n"/>
      <c r="B2823" s="49">
        <f>IF(A2823="","",CHOOSE(WEEKDAY(A2823,2),"Пн","Вт","Ср","Чт","Пт","Сб","Вс"))</f>
        <v/>
      </c>
      <c r="C2823" s="59" t="n"/>
      <c r="D2823" s="59" t="n"/>
      <c r="E2823" s="60">
        <f>IF(OR(C2823="",D2823=""),"",MOD(D2823-C2823,1)*24)</f>
        <v/>
      </c>
      <c r="F2823" s="50" t="n"/>
      <c r="G2823" s="51" t="n"/>
      <c r="H2823" s="51" t="n"/>
      <c r="I2823" s="51" t="n"/>
      <c r="J2823" s="51" t="n"/>
      <c r="K2823" s="51" t="n"/>
      <c r="L2823" s="54">
        <f>IF(OR(A2823="",C2823="",D2823=""),"",IF(COUNTIFS($A$5:$A$3004,A2823,$C$5:$C$3004,"&lt;"&amp;D2823,$D$5:$D$3004,"&gt;"&amp;C2823)&gt;1,"⚠️ пересечение",""))</f>
        <v/>
      </c>
      <c r="M2823" s="54">
        <f>IF(F2823="","",IF(J2823="✅ Сделано","✔ ",IF(J2823="❌ Пропущено","✖ ","⏰ "))&amp;IF(C2823="","",RIGHT("0"&amp;HOUR(C2823),2)&amp;":"&amp;RIGHT("0"&amp;MINUTE(C2823),2)&amp;IF(D2823="","","–"&amp;RIGHT("0"&amp;HOUR(D2823),2)&amp;":"&amp;RIGHT("0"&amp;MINUTE(D2823),2))&amp;" ")&amp;F2823)</f>
        <v/>
      </c>
      <c r="N2823" s="54">
        <f>IF(OR(A2823="",F2823=""),"",A2823&amp;"#"&amp;(COUNTIFS($A$5:$A$3004,A2823,$F$5:$F$3004,"?*",$O$5:$O$3004,"&lt;"&amp;O2823)+COUNTIFS($A$5:A2823,A2823,$F$5:F2823,"?*",$O$5:O2823,O2823)))</f>
        <v/>
      </c>
      <c r="O2823" s="54">
        <f>IF(A2823="","",IF(C2823="",0,C2823))</f>
        <v/>
      </c>
    </row>
    <row r="2824">
      <c r="A2824" s="58" t="n"/>
      <c r="B2824" s="49">
        <f>IF(A2824="","",CHOOSE(WEEKDAY(A2824,2),"Пн","Вт","Ср","Чт","Пт","Сб","Вс"))</f>
        <v/>
      </c>
      <c r="C2824" s="59" t="n"/>
      <c r="D2824" s="59" t="n"/>
      <c r="E2824" s="60">
        <f>IF(OR(C2824="",D2824=""),"",MOD(D2824-C2824,1)*24)</f>
        <v/>
      </c>
      <c r="F2824" s="50" t="n"/>
      <c r="G2824" s="51" t="n"/>
      <c r="H2824" s="51" t="n"/>
      <c r="I2824" s="51" t="n"/>
      <c r="J2824" s="51" t="n"/>
      <c r="K2824" s="51" t="n"/>
      <c r="L2824" s="54">
        <f>IF(OR(A2824="",C2824="",D2824=""),"",IF(COUNTIFS($A$5:$A$3004,A2824,$C$5:$C$3004,"&lt;"&amp;D2824,$D$5:$D$3004,"&gt;"&amp;C2824)&gt;1,"⚠️ пересечение",""))</f>
        <v/>
      </c>
      <c r="M2824" s="54">
        <f>IF(F2824="","",IF(J2824="✅ Сделано","✔ ",IF(J2824="❌ Пропущено","✖ ","⏰ "))&amp;IF(C2824="","",RIGHT("0"&amp;HOUR(C2824),2)&amp;":"&amp;RIGHT("0"&amp;MINUTE(C2824),2)&amp;IF(D2824="","","–"&amp;RIGHT("0"&amp;HOUR(D2824),2)&amp;":"&amp;RIGHT("0"&amp;MINUTE(D2824),2))&amp;" ")&amp;F2824)</f>
        <v/>
      </c>
      <c r="N2824" s="54">
        <f>IF(OR(A2824="",F2824=""),"",A2824&amp;"#"&amp;(COUNTIFS($A$5:$A$3004,A2824,$F$5:$F$3004,"?*",$O$5:$O$3004,"&lt;"&amp;O2824)+COUNTIFS($A$5:A2824,A2824,$F$5:F2824,"?*",$O$5:O2824,O2824)))</f>
        <v/>
      </c>
      <c r="O2824" s="54">
        <f>IF(A2824="","",IF(C2824="",0,C2824))</f>
        <v/>
      </c>
    </row>
    <row r="2825">
      <c r="A2825" s="58" t="n"/>
      <c r="B2825" s="49">
        <f>IF(A2825="","",CHOOSE(WEEKDAY(A2825,2),"Пн","Вт","Ср","Чт","Пт","Сб","Вс"))</f>
        <v/>
      </c>
      <c r="C2825" s="59" t="n"/>
      <c r="D2825" s="59" t="n"/>
      <c r="E2825" s="60">
        <f>IF(OR(C2825="",D2825=""),"",MOD(D2825-C2825,1)*24)</f>
        <v/>
      </c>
      <c r="F2825" s="50" t="n"/>
      <c r="G2825" s="51" t="n"/>
      <c r="H2825" s="51" t="n"/>
      <c r="I2825" s="51" t="n"/>
      <c r="J2825" s="51" t="n"/>
      <c r="K2825" s="51" t="n"/>
      <c r="L2825" s="54">
        <f>IF(OR(A2825="",C2825="",D2825=""),"",IF(COUNTIFS($A$5:$A$3004,A2825,$C$5:$C$3004,"&lt;"&amp;D2825,$D$5:$D$3004,"&gt;"&amp;C2825)&gt;1,"⚠️ пересечение",""))</f>
        <v/>
      </c>
      <c r="M2825" s="54">
        <f>IF(F2825="","",IF(J2825="✅ Сделано","✔ ",IF(J2825="❌ Пропущено","✖ ","⏰ "))&amp;IF(C2825="","",RIGHT("0"&amp;HOUR(C2825),2)&amp;":"&amp;RIGHT("0"&amp;MINUTE(C2825),2)&amp;IF(D2825="","","–"&amp;RIGHT("0"&amp;HOUR(D2825),2)&amp;":"&amp;RIGHT("0"&amp;MINUTE(D2825),2))&amp;" ")&amp;F2825)</f>
        <v/>
      </c>
      <c r="N2825" s="54">
        <f>IF(OR(A2825="",F2825=""),"",A2825&amp;"#"&amp;(COUNTIFS($A$5:$A$3004,A2825,$F$5:$F$3004,"?*",$O$5:$O$3004,"&lt;"&amp;O2825)+COUNTIFS($A$5:A2825,A2825,$F$5:F2825,"?*",$O$5:O2825,O2825)))</f>
        <v/>
      </c>
      <c r="O2825" s="54">
        <f>IF(A2825="","",IF(C2825="",0,C2825))</f>
        <v/>
      </c>
    </row>
    <row r="2826">
      <c r="A2826" s="58" t="n"/>
      <c r="B2826" s="49">
        <f>IF(A2826="","",CHOOSE(WEEKDAY(A2826,2),"Пн","Вт","Ср","Чт","Пт","Сб","Вс"))</f>
        <v/>
      </c>
      <c r="C2826" s="59" t="n"/>
      <c r="D2826" s="59" t="n"/>
      <c r="E2826" s="60">
        <f>IF(OR(C2826="",D2826=""),"",MOD(D2826-C2826,1)*24)</f>
        <v/>
      </c>
      <c r="F2826" s="50" t="n"/>
      <c r="G2826" s="51" t="n"/>
      <c r="H2826" s="51" t="n"/>
      <c r="I2826" s="51" t="n"/>
      <c r="J2826" s="51" t="n"/>
      <c r="K2826" s="51" t="n"/>
      <c r="L2826" s="54">
        <f>IF(OR(A2826="",C2826="",D2826=""),"",IF(COUNTIFS($A$5:$A$3004,A2826,$C$5:$C$3004,"&lt;"&amp;D2826,$D$5:$D$3004,"&gt;"&amp;C2826)&gt;1,"⚠️ пересечение",""))</f>
        <v/>
      </c>
      <c r="M2826" s="54">
        <f>IF(F2826="","",IF(J2826="✅ Сделано","✔ ",IF(J2826="❌ Пропущено","✖ ","⏰ "))&amp;IF(C2826="","",RIGHT("0"&amp;HOUR(C2826),2)&amp;":"&amp;RIGHT("0"&amp;MINUTE(C2826),2)&amp;IF(D2826="","","–"&amp;RIGHT("0"&amp;HOUR(D2826),2)&amp;":"&amp;RIGHT("0"&amp;MINUTE(D2826),2))&amp;" ")&amp;F2826)</f>
        <v/>
      </c>
      <c r="N2826" s="54">
        <f>IF(OR(A2826="",F2826=""),"",A2826&amp;"#"&amp;(COUNTIFS($A$5:$A$3004,A2826,$F$5:$F$3004,"?*",$O$5:$O$3004,"&lt;"&amp;O2826)+COUNTIFS($A$5:A2826,A2826,$F$5:F2826,"?*",$O$5:O2826,O2826)))</f>
        <v/>
      </c>
      <c r="O2826" s="54">
        <f>IF(A2826="","",IF(C2826="",0,C2826))</f>
        <v/>
      </c>
    </row>
    <row r="2827">
      <c r="A2827" s="58" t="n"/>
      <c r="B2827" s="49">
        <f>IF(A2827="","",CHOOSE(WEEKDAY(A2827,2),"Пн","Вт","Ср","Чт","Пт","Сб","Вс"))</f>
        <v/>
      </c>
      <c r="C2827" s="59" t="n"/>
      <c r="D2827" s="59" t="n"/>
      <c r="E2827" s="60">
        <f>IF(OR(C2827="",D2827=""),"",MOD(D2827-C2827,1)*24)</f>
        <v/>
      </c>
      <c r="F2827" s="50" t="n"/>
      <c r="G2827" s="51" t="n"/>
      <c r="H2827" s="51" t="n"/>
      <c r="I2827" s="51" t="n"/>
      <c r="J2827" s="51" t="n"/>
      <c r="K2827" s="51" t="n"/>
      <c r="L2827" s="54">
        <f>IF(OR(A2827="",C2827="",D2827=""),"",IF(COUNTIFS($A$5:$A$3004,A2827,$C$5:$C$3004,"&lt;"&amp;D2827,$D$5:$D$3004,"&gt;"&amp;C2827)&gt;1,"⚠️ пересечение",""))</f>
        <v/>
      </c>
      <c r="M2827" s="54">
        <f>IF(F2827="","",IF(J2827="✅ Сделано","✔ ",IF(J2827="❌ Пропущено","✖ ","⏰ "))&amp;IF(C2827="","",RIGHT("0"&amp;HOUR(C2827),2)&amp;":"&amp;RIGHT("0"&amp;MINUTE(C2827),2)&amp;IF(D2827="","","–"&amp;RIGHT("0"&amp;HOUR(D2827),2)&amp;":"&amp;RIGHT("0"&amp;MINUTE(D2827),2))&amp;" ")&amp;F2827)</f>
        <v/>
      </c>
      <c r="N2827" s="54">
        <f>IF(OR(A2827="",F2827=""),"",A2827&amp;"#"&amp;(COUNTIFS($A$5:$A$3004,A2827,$F$5:$F$3004,"?*",$O$5:$O$3004,"&lt;"&amp;O2827)+COUNTIFS($A$5:A2827,A2827,$F$5:F2827,"?*",$O$5:O2827,O2827)))</f>
        <v/>
      </c>
      <c r="O2827" s="54">
        <f>IF(A2827="","",IF(C2827="",0,C2827))</f>
        <v/>
      </c>
    </row>
    <row r="2828">
      <c r="A2828" s="58" t="n"/>
      <c r="B2828" s="49">
        <f>IF(A2828="","",CHOOSE(WEEKDAY(A2828,2),"Пн","Вт","Ср","Чт","Пт","Сб","Вс"))</f>
        <v/>
      </c>
      <c r="C2828" s="59" t="n"/>
      <c r="D2828" s="59" t="n"/>
      <c r="E2828" s="60">
        <f>IF(OR(C2828="",D2828=""),"",MOD(D2828-C2828,1)*24)</f>
        <v/>
      </c>
      <c r="F2828" s="50" t="n"/>
      <c r="G2828" s="51" t="n"/>
      <c r="H2828" s="51" t="n"/>
      <c r="I2828" s="51" t="n"/>
      <c r="J2828" s="51" t="n"/>
      <c r="K2828" s="51" t="n"/>
      <c r="L2828" s="54">
        <f>IF(OR(A2828="",C2828="",D2828=""),"",IF(COUNTIFS($A$5:$A$3004,A2828,$C$5:$C$3004,"&lt;"&amp;D2828,$D$5:$D$3004,"&gt;"&amp;C2828)&gt;1,"⚠️ пересечение",""))</f>
        <v/>
      </c>
      <c r="M2828" s="54">
        <f>IF(F2828="","",IF(J2828="✅ Сделано","✔ ",IF(J2828="❌ Пропущено","✖ ","⏰ "))&amp;IF(C2828="","",RIGHT("0"&amp;HOUR(C2828),2)&amp;":"&amp;RIGHT("0"&amp;MINUTE(C2828),2)&amp;IF(D2828="","","–"&amp;RIGHT("0"&amp;HOUR(D2828),2)&amp;":"&amp;RIGHT("0"&amp;MINUTE(D2828),2))&amp;" ")&amp;F2828)</f>
        <v/>
      </c>
      <c r="N2828" s="54">
        <f>IF(OR(A2828="",F2828=""),"",A2828&amp;"#"&amp;(COUNTIFS($A$5:$A$3004,A2828,$F$5:$F$3004,"?*",$O$5:$O$3004,"&lt;"&amp;O2828)+COUNTIFS($A$5:A2828,A2828,$F$5:F2828,"?*",$O$5:O2828,O2828)))</f>
        <v/>
      </c>
      <c r="O2828" s="54">
        <f>IF(A2828="","",IF(C2828="",0,C2828))</f>
        <v/>
      </c>
    </row>
    <row r="2829">
      <c r="A2829" s="58" t="n"/>
      <c r="B2829" s="49">
        <f>IF(A2829="","",CHOOSE(WEEKDAY(A2829,2),"Пн","Вт","Ср","Чт","Пт","Сб","Вс"))</f>
        <v/>
      </c>
      <c r="C2829" s="59" t="n"/>
      <c r="D2829" s="59" t="n"/>
      <c r="E2829" s="60">
        <f>IF(OR(C2829="",D2829=""),"",MOD(D2829-C2829,1)*24)</f>
        <v/>
      </c>
      <c r="F2829" s="50" t="n"/>
      <c r="G2829" s="51" t="n"/>
      <c r="H2829" s="51" t="n"/>
      <c r="I2829" s="51" t="n"/>
      <c r="J2829" s="51" t="n"/>
      <c r="K2829" s="51" t="n"/>
      <c r="L2829" s="54">
        <f>IF(OR(A2829="",C2829="",D2829=""),"",IF(COUNTIFS($A$5:$A$3004,A2829,$C$5:$C$3004,"&lt;"&amp;D2829,$D$5:$D$3004,"&gt;"&amp;C2829)&gt;1,"⚠️ пересечение",""))</f>
        <v/>
      </c>
      <c r="M2829" s="54">
        <f>IF(F2829="","",IF(J2829="✅ Сделано","✔ ",IF(J2829="❌ Пропущено","✖ ","⏰ "))&amp;IF(C2829="","",RIGHT("0"&amp;HOUR(C2829),2)&amp;":"&amp;RIGHT("0"&amp;MINUTE(C2829),2)&amp;IF(D2829="","","–"&amp;RIGHT("0"&amp;HOUR(D2829),2)&amp;":"&amp;RIGHT("0"&amp;MINUTE(D2829),2))&amp;" ")&amp;F2829)</f>
        <v/>
      </c>
      <c r="N2829" s="54">
        <f>IF(OR(A2829="",F2829=""),"",A2829&amp;"#"&amp;(COUNTIFS($A$5:$A$3004,A2829,$F$5:$F$3004,"?*",$O$5:$O$3004,"&lt;"&amp;O2829)+COUNTIFS($A$5:A2829,A2829,$F$5:F2829,"?*",$O$5:O2829,O2829)))</f>
        <v/>
      </c>
      <c r="O2829" s="54">
        <f>IF(A2829="","",IF(C2829="",0,C2829))</f>
        <v/>
      </c>
    </row>
    <row r="2830">
      <c r="A2830" s="58" t="n"/>
      <c r="B2830" s="49">
        <f>IF(A2830="","",CHOOSE(WEEKDAY(A2830,2),"Пн","Вт","Ср","Чт","Пт","Сб","Вс"))</f>
        <v/>
      </c>
      <c r="C2830" s="59" t="n"/>
      <c r="D2830" s="59" t="n"/>
      <c r="E2830" s="60">
        <f>IF(OR(C2830="",D2830=""),"",MOD(D2830-C2830,1)*24)</f>
        <v/>
      </c>
      <c r="F2830" s="50" t="n"/>
      <c r="G2830" s="51" t="n"/>
      <c r="H2830" s="51" t="n"/>
      <c r="I2830" s="51" t="n"/>
      <c r="J2830" s="51" t="n"/>
      <c r="K2830" s="51" t="n"/>
      <c r="L2830" s="54">
        <f>IF(OR(A2830="",C2830="",D2830=""),"",IF(COUNTIFS($A$5:$A$3004,A2830,$C$5:$C$3004,"&lt;"&amp;D2830,$D$5:$D$3004,"&gt;"&amp;C2830)&gt;1,"⚠️ пересечение",""))</f>
        <v/>
      </c>
      <c r="M2830" s="54">
        <f>IF(F2830="","",IF(J2830="✅ Сделано","✔ ",IF(J2830="❌ Пропущено","✖ ","⏰ "))&amp;IF(C2830="","",RIGHT("0"&amp;HOUR(C2830),2)&amp;":"&amp;RIGHT("0"&amp;MINUTE(C2830),2)&amp;IF(D2830="","","–"&amp;RIGHT("0"&amp;HOUR(D2830),2)&amp;":"&amp;RIGHT("0"&amp;MINUTE(D2830),2))&amp;" ")&amp;F2830)</f>
        <v/>
      </c>
      <c r="N2830" s="54">
        <f>IF(OR(A2830="",F2830=""),"",A2830&amp;"#"&amp;(COUNTIFS($A$5:$A$3004,A2830,$F$5:$F$3004,"?*",$O$5:$O$3004,"&lt;"&amp;O2830)+COUNTIFS($A$5:A2830,A2830,$F$5:F2830,"?*",$O$5:O2830,O2830)))</f>
        <v/>
      </c>
      <c r="O2830" s="54">
        <f>IF(A2830="","",IF(C2830="",0,C2830))</f>
        <v/>
      </c>
    </row>
    <row r="2831">
      <c r="A2831" s="58" t="n"/>
      <c r="B2831" s="49">
        <f>IF(A2831="","",CHOOSE(WEEKDAY(A2831,2),"Пн","Вт","Ср","Чт","Пт","Сб","Вс"))</f>
        <v/>
      </c>
      <c r="C2831" s="59" t="n"/>
      <c r="D2831" s="59" t="n"/>
      <c r="E2831" s="60">
        <f>IF(OR(C2831="",D2831=""),"",MOD(D2831-C2831,1)*24)</f>
        <v/>
      </c>
      <c r="F2831" s="50" t="n"/>
      <c r="G2831" s="51" t="n"/>
      <c r="H2831" s="51" t="n"/>
      <c r="I2831" s="51" t="n"/>
      <c r="J2831" s="51" t="n"/>
      <c r="K2831" s="51" t="n"/>
      <c r="L2831" s="54">
        <f>IF(OR(A2831="",C2831="",D2831=""),"",IF(COUNTIFS($A$5:$A$3004,A2831,$C$5:$C$3004,"&lt;"&amp;D2831,$D$5:$D$3004,"&gt;"&amp;C2831)&gt;1,"⚠️ пересечение",""))</f>
        <v/>
      </c>
      <c r="M2831" s="54">
        <f>IF(F2831="","",IF(J2831="✅ Сделано","✔ ",IF(J2831="❌ Пропущено","✖ ","⏰ "))&amp;IF(C2831="","",RIGHT("0"&amp;HOUR(C2831),2)&amp;":"&amp;RIGHT("0"&amp;MINUTE(C2831),2)&amp;IF(D2831="","","–"&amp;RIGHT("0"&amp;HOUR(D2831),2)&amp;":"&amp;RIGHT("0"&amp;MINUTE(D2831),2))&amp;" ")&amp;F2831)</f>
        <v/>
      </c>
      <c r="N2831" s="54">
        <f>IF(OR(A2831="",F2831=""),"",A2831&amp;"#"&amp;(COUNTIFS($A$5:$A$3004,A2831,$F$5:$F$3004,"?*",$O$5:$O$3004,"&lt;"&amp;O2831)+COUNTIFS($A$5:A2831,A2831,$F$5:F2831,"?*",$O$5:O2831,O2831)))</f>
        <v/>
      </c>
      <c r="O2831" s="54">
        <f>IF(A2831="","",IF(C2831="",0,C2831))</f>
        <v/>
      </c>
    </row>
    <row r="2832">
      <c r="A2832" s="58" t="n"/>
      <c r="B2832" s="49">
        <f>IF(A2832="","",CHOOSE(WEEKDAY(A2832,2),"Пн","Вт","Ср","Чт","Пт","Сб","Вс"))</f>
        <v/>
      </c>
      <c r="C2832" s="59" t="n"/>
      <c r="D2832" s="59" t="n"/>
      <c r="E2832" s="60">
        <f>IF(OR(C2832="",D2832=""),"",MOD(D2832-C2832,1)*24)</f>
        <v/>
      </c>
      <c r="F2832" s="50" t="n"/>
      <c r="G2832" s="51" t="n"/>
      <c r="H2832" s="51" t="n"/>
      <c r="I2832" s="51" t="n"/>
      <c r="J2832" s="51" t="n"/>
      <c r="K2832" s="51" t="n"/>
      <c r="L2832" s="54">
        <f>IF(OR(A2832="",C2832="",D2832=""),"",IF(COUNTIFS($A$5:$A$3004,A2832,$C$5:$C$3004,"&lt;"&amp;D2832,$D$5:$D$3004,"&gt;"&amp;C2832)&gt;1,"⚠️ пересечение",""))</f>
        <v/>
      </c>
      <c r="M2832" s="54">
        <f>IF(F2832="","",IF(J2832="✅ Сделано","✔ ",IF(J2832="❌ Пропущено","✖ ","⏰ "))&amp;IF(C2832="","",RIGHT("0"&amp;HOUR(C2832),2)&amp;":"&amp;RIGHT("0"&amp;MINUTE(C2832),2)&amp;IF(D2832="","","–"&amp;RIGHT("0"&amp;HOUR(D2832),2)&amp;":"&amp;RIGHT("0"&amp;MINUTE(D2832),2))&amp;" ")&amp;F2832)</f>
        <v/>
      </c>
      <c r="N2832" s="54">
        <f>IF(OR(A2832="",F2832=""),"",A2832&amp;"#"&amp;(COUNTIFS($A$5:$A$3004,A2832,$F$5:$F$3004,"?*",$O$5:$O$3004,"&lt;"&amp;O2832)+COUNTIFS($A$5:A2832,A2832,$F$5:F2832,"?*",$O$5:O2832,O2832)))</f>
        <v/>
      </c>
      <c r="O2832" s="54">
        <f>IF(A2832="","",IF(C2832="",0,C2832))</f>
        <v/>
      </c>
    </row>
    <row r="2833">
      <c r="A2833" s="58" t="n"/>
      <c r="B2833" s="49">
        <f>IF(A2833="","",CHOOSE(WEEKDAY(A2833,2),"Пн","Вт","Ср","Чт","Пт","Сб","Вс"))</f>
        <v/>
      </c>
      <c r="C2833" s="59" t="n"/>
      <c r="D2833" s="59" t="n"/>
      <c r="E2833" s="60">
        <f>IF(OR(C2833="",D2833=""),"",MOD(D2833-C2833,1)*24)</f>
        <v/>
      </c>
      <c r="F2833" s="50" t="n"/>
      <c r="G2833" s="51" t="n"/>
      <c r="H2833" s="51" t="n"/>
      <c r="I2833" s="51" t="n"/>
      <c r="J2833" s="51" t="n"/>
      <c r="K2833" s="51" t="n"/>
      <c r="L2833" s="54">
        <f>IF(OR(A2833="",C2833="",D2833=""),"",IF(COUNTIFS($A$5:$A$3004,A2833,$C$5:$C$3004,"&lt;"&amp;D2833,$D$5:$D$3004,"&gt;"&amp;C2833)&gt;1,"⚠️ пересечение",""))</f>
        <v/>
      </c>
      <c r="M2833" s="54">
        <f>IF(F2833="","",IF(J2833="✅ Сделано","✔ ",IF(J2833="❌ Пропущено","✖ ","⏰ "))&amp;IF(C2833="","",RIGHT("0"&amp;HOUR(C2833),2)&amp;":"&amp;RIGHT("0"&amp;MINUTE(C2833),2)&amp;IF(D2833="","","–"&amp;RIGHT("0"&amp;HOUR(D2833),2)&amp;":"&amp;RIGHT("0"&amp;MINUTE(D2833),2))&amp;" ")&amp;F2833)</f>
        <v/>
      </c>
      <c r="N2833" s="54">
        <f>IF(OR(A2833="",F2833=""),"",A2833&amp;"#"&amp;(COUNTIFS($A$5:$A$3004,A2833,$F$5:$F$3004,"?*",$O$5:$O$3004,"&lt;"&amp;O2833)+COUNTIFS($A$5:A2833,A2833,$F$5:F2833,"?*",$O$5:O2833,O2833)))</f>
        <v/>
      </c>
      <c r="O2833" s="54">
        <f>IF(A2833="","",IF(C2833="",0,C2833))</f>
        <v/>
      </c>
    </row>
    <row r="2834">
      <c r="A2834" s="58" t="n"/>
      <c r="B2834" s="49">
        <f>IF(A2834="","",CHOOSE(WEEKDAY(A2834,2),"Пн","Вт","Ср","Чт","Пт","Сб","Вс"))</f>
        <v/>
      </c>
      <c r="C2834" s="59" t="n"/>
      <c r="D2834" s="59" t="n"/>
      <c r="E2834" s="60">
        <f>IF(OR(C2834="",D2834=""),"",MOD(D2834-C2834,1)*24)</f>
        <v/>
      </c>
      <c r="F2834" s="50" t="n"/>
      <c r="G2834" s="51" t="n"/>
      <c r="H2834" s="51" t="n"/>
      <c r="I2834" s="51" t="n"/>
      <c r="J2834" s="51" t="n"/>
      <c r="K2834" s="51" t="n"/>
      <c r="L2834" s="54">
        <f>IF(OR(A2834="",C2834="",D2834=""),"",IF(COUNTIFS($A$5:$A$3004,A2834,$C$5:$C$3004,"&lt;"&amp;D2834,$D$5:$D$3004,"&gt;"&amp;C2834)&gt;1,"⚠️ пересечение",""))</f>
        <v/>
      </c>
      <c r="M2834" s="54">
        <f>IF(F2834="","",IF(J2834="✅ Сделано","✔ ",IF(J2834="❌ Пропущено","✖ ","⏰ "))&amp;IF(C2834="","",RIGHT("0"&amp;HOUR(C2834),2)&amp;":"&amp;RIGHT("0"&amp;MINUTE(C2834),2)&amp;IF(D2834="","","–"&amp;RIGHT("0"&amp;HOUR(D2834),2)&amp;":"&amp;RIGHT("0"&amp;MINUTE(D2834),2))&amp;" ")&amp;F2834)</f>
        <v/>
      </c>
      <c r="N2834" s="54">
        <f>IF(OR(A2834="",F2834=""),"",A2834&amp;"#"&amp;(COUNTIFS($A$5:$A$3004,A2834,$F$5:$F$3004,"?*",$O$5:$O$3004,"&lt;"&amp;O2834)+COUNTIFS($A$5:A2834,A2834,$F$5:F2834,"?*",$O$5:O2834,O2834)))</f>
        <v/>
      </c>
      <c r="O2834" s="54">
        <f>IF(A2834="","",IF(C2834="",0,C2834))</f>
        <v/>
      </c>
    </row>
    <row r="2835">
      <c r="A2835" s="58" t="n"/>
      <c r="B2835" s="49">
        <f>IF(A2835="","",CHOOSE(WEEKDAY(A2835,2),"Пн","Вт","Ср","Чт","Пт","Сб","Вс"))</f>
        <v/>
      </c>
      <c r="C2835" s="59" t="n"/>
      <c r="D2835" s="59" t="n"/>
      <c r="E2835" s="60">
        <f>IF(OR(C2835="",D2835=""),"",MOD(D2835-C2835,1)*24)</f>
        <v/>
      </c>
      <c r="F2835" s="50" t="n"/>
      <c r="G2835" s="51" t="n"/>
      <c r="H2835" s="51" t="n"/>
      <c r="I2835" s="51" t="n"/>
      <c r="J2835" s="51" t="n"/>
      <c r="K2835" s="51" t="n"/>
      <c r="L2835" s="54">
        <f>IF(OR(A2835="",C2835="",D2835=""),"",IF(COUNTIFS($A$5:$A$3004,A2835,$C$5:$C$3004,"&lt;"&amp;D2835,$D$5:$D$3004,"&gt;"&amp;C2835)&gt;1,"⚠️ пересечение",""))</f>
        <v/>
      </c>
      <c r="M2835" s="54">
        <f>IF(F2835="","",IF(J2835="✅ Сделано","✔ ",IF(J2835="❌ Пропущено","✖ ","⏰ "))&amp;IF(C2835="","",RIGHT("0"&amp;HOUR(C2835),2)&amp;":"&amp;RIGHT("0"&amp;MINUTE(C2835),2)&amp;IF(D2835="","","–"&amp;RIGHT("0"&amp;HOUR(D2835),2)&amp;":"&amp;RIGHT("0"&amp;MINUTE(D2835),2))&amp;" ")&amp;F2835)</f>
        <v/>
      </c>
      <c r="N2835" s="54">
        <f>IF(OR(A2835="",F2835=""),"",A2835&amp;"#"&amp;(COUNTIFS($A$5:$A$3004,A2835,$F$5:$F$3004,"?*",$O$5:$O$3004,"&lt;"&amp;O2835)+COUNTIFS($A$5:A2835,A2835,$F$5:F2835,"?*",$O$5:O2835,O2835)))</f>
        <v/>
      </c>
      <c r="O2835" s="54">
        <f>IF(A2835="","",IF(C2835="",0,C2835))</f>
        <v/>
      </c>
    </row>
    <row r="2836">
      <c r="A2836" s="58" t="n"/>
      <c r="B2836" s="49">
        <f>IF(A2836="","",CHOOSE(WEEKDAY(A2836,2),"Пн","Вт","Ср","Чт","Пт","Сб","Вс"))</f>
        <v/>
      </c>
      <c r="C2836" s="59" t="n"/>
      <c r="D2836" s="59" t="n"/>
      <c r="E2836" s="60">
        <f>IF(OR(C2836="",D2836=""),"",MOD(D2836-C2836,1)*24)</f>
        <v/>
      </c>
      <c r="F2836" s="50" t="n"/>
      <c r="G2836" s="51" t="n"/>
      <c r="H2836" s="51" t="n"/>
      <c r="I2836" s="51" t="n"/>
      <c r="J2836" s="51" t="n"/>
      <c r="K2836" s="51" t="n"/>
      <c r="L2836" s="54">
        <f>IF(OR(A2836="",C2836="",D2836=""),"",IF(COUNTIFS($A$5:$A$3004,A2836,$C$5:$C$3004,"&lt;"&amp;D2836,$D$5:$D$3004,"&gt;"&amp;C2836)&gt;1,"⚠️ пересечение",""))</f>
        <v/>
      </c>
      <c r="M2836" s="54">
        <f>IF(F2836="","",IF(J2836="✅ Сделано","✔ ",IF(J2836="❌ Пропущено","✖ ","⏰ "))&amp;IF(C2836="","",RIGHT("0"&amp;HOUR(C2836),2)&amp;":"&amp;RIGHT("0"&amp;MINUTE(C2836),2)&amp;IF(D2836="","","–"&amp;RIGHT("0"&amp;HOUR(D2836),2)&amp;":"&amp;RIGHT("0"&amp;MINUTE(D2836),2))&amp;" ")&amp;F2836)</f>
        <v/>
      </c>
      <c r="N2836" s="54">
        <f>IF(OR(A2836="",F2836=""),"",A2836&amp;"#"&amp;(COUNTIFS($A$5:$A$3004,A2836,$F$5:$F$3004,"?*",$O$5:$O$3004,"&lt;"&amp;O2836)+COUNTIFS($A$5:A2836,A2836,$F$5:F2836,"?*",$O$5:O2836,O2836)))</f>
        <v/>
      </c>
      <c r="O2836" s="54">
        <f>IF(A2836="","",IF(C2836="",0,C2836))</f>
        <v/>
      </c>
    </row>
    <row r="2837">
      <c r="A2837" s="58" t="n"/>
      <c r="B2837" s="49">
        <f>IF(A2837="","",CHOOSE(WEEKDAY(A2837,2),"Пн","Вт","Ср","Чт","Пт","Сб","Вс"))</f>
        <v/>
      </c>
      <c r="C2837" s="59" t="n"/>
      <c r="D2837" s="59" t="n"/>
      <c r="E2837" s="60">
        <f>IF(OR(C2837="",D2837=""),"",MOD(D2837-C2837,1)*24)</f>
        <v/>
      </c>
      <c r="F2837" s="50" t="n"/>
      <c r="G2837" s="51" t="n"/>
      <c r="H2837" s="51" t="n"/>
      <c r="I2837" s="51" t="n"/>
      <c r="J2837" s="51" t="n"/>
      <c r="K2837" s="51" t="n"/>
      <c r="L2837" s="54">
        <f>IF(OR(A2837="",C2837="",D2837=""),"",IF(COUNTIFS($A$5:$A$3004,A2837,$C$5:$C$3004,"&lt;"&amp;D2837,$D$5:$D$3004,"&gt;"&amp;C2837)&gt;1,"⚠️ пересечение",""))</f>
        <v/>
      </c>
      <c r="M2837" s="54">
        <f>IF(F2837="","",IF(J2837="✅ Сделано","✔ ",IF(J2837="❌ Пропущено","✖ ","⏰ "))&amp;IF(C2837="","",RIGHT("0"&amp;HOUR(C2837),2)&amp;":"&amp;RIGHT("0"&amp;MINUTE(C2837),2)&amp;IF(D2837="","","–"&amp;RIGHT("0"&amp;HOUR(D2837),2)&amp;":"&amp;RIGHT("0"&amp;MINUTE(D2837),2))&amp;" ")&amp;F2837)</f>
        <v/>
      </c>
      <c r="N2837" s="54">
        <f>IF(OR(A2837="",F2837=""),"",A2837&amp;"#"&amp;(COUNTIFS($A$5:$A$3004,A2837,$F$5:$F$3004,"?*",$O$5:$O$3004,"&lt;"&amp;O2837)+COUNTIFS($A$5:A2837,A2837,$F$5:F2837,"?*",$O$5:O2837,O2837)))</f>
        <v/>
      </c>
      <c r="O2837" s="54">
        <f>IF(A2837="","",IF(C2837="",0,C2837))</f>
        <v/>
      </c>
    </row>
    <row r="2838">
      <c r="A2838" s="58" t="n"/>
      <c r="B2838" s="49">
        <f>IF(A2838="","",CHOOSE(WEEKDAY(A2838,2),"Пн","Вт","Ср","Чт","Пт","Сб","Вс"))</f>
        <v/>
      </c>
      <c r="C2838" s="59" t="n"/>
      <c r="D2838" s="59" t="n"/>
      <c r="E2838" s="60">
        <f>IF(OR(C2838="",D2838=""),"",MOD(D2838-C2838,1)*24)</f>
        <v/>
      </c>
      <c r="F2838" s="50" t="n"/>
      <c r="G2838" s="51" t="n"/>
      <c r="H2838" s="51" t="n"/>
      <c r="I2838" s="51" t="n"/>
      <c r="J2838" s="51" t="n"/>
      <c r="K2838" s="51" t="n"/>
      <c r="L2838" s="54">
        <f>IF(OR(A2838="",C2838="",D2838=""),"",IF(COUNTIFS($A$5:$A$3004,A2838,$C$5:$C$3004,"&lt;"&amp;D2838,$D$5:$D$3004,"&gt;"&amp;C2838)&gt;1,"⚠️ пересечение",""))</f>
        <v/>
      </c>
      <c r="M2838" s="54">
        <f>IF(F2838="","",IF(J2838="✅ Сделано","✔ ",IF(J2838="❌ Пропущено","✖ ","⏰ "))&amp;IF(C2838="","",RIGHT("0"&amp;HOUR(C2838),2)&amp;":"&amp;RIGHT("0"&amp;MINUTE(C2838),2)&amp;IF(D2838="","","–"&amp;RIGHT("0"&amp;HOUR(D2838),2)&amp;":"&amp;RIGHT("0"&amp;MINUTE(D2838),2))&amp;" ")&amp;F2838)</f>
        <v/>
      </c>
      <c r="N2838" s="54">
        <f>IF(OR(A2838="",F2838=""),"",A2838&amp;"#"&amp;(COUNTIFS($A$5:$A$3004,A2838,$F$5:$F$3004,"?*",$O$5:$O$3004,"&lt;"&amp;O2838)+COUNTIFS($A$5:A2838,A2838,$F$5:F2838,"?*",$O$5:O2838,O2838)))</f>
        <v/>
      </c>
      <c r="O2838" s="54">
        <f>IF(A2838="","",IF(C2838="",0,C2838))</f>
        <v/>
      </c>
    </row>
    <row r="2839">
      <c r="A2839" s="58" t="n"/>
      <c r="B2839" s="49">
        <f>IF(A2839="","",CHOOSE(WEEKDAY(A2839,2),"Пн","Вт","Ср","Чт","Пт","Сб","Вс"))</f>
        <v/>
      </c>
      <c r="C2839" s="59" t="n"/>
      <c r="D2839" s="59" t="n"/>
      <c r="E2839" s="60">
        <f>IF(OR(C2839="",D2839=""),"",MOD(D2839-C2839,1)*24)</f>
        <v/>
      </c>
      <c r="F2839" s="50" t="n"/>
      <c r="G2839" s="51" t="n"/>
      <c r="H2839" s="51" t="n"/>
      <c r="I2839" s="51" t="n"/>
      <c r="J2839" s="51" t="n"/>
      <c r="K2839" s="51" t="n"/>
      <c r="L2839" s="54">
        <f>IF(OR(A2839="",C2839="",D2839=""),"",IF(COUNTIFS($A$5:$A$3004,A2839,$C$5:$C$3004,"&lt;"&amp;D2839,$D$5:$D$3004,"&gt;"&amp;C2839)&gt;1,"⚠️ пересечение",""))</f>
        <v/>
      </c>
      <c r="M2839" s="54">
        <f>IF(F2839="","",IF(J2839="✅ Сделано","✔ ",IF(J2839="❌ Пропущено","✖ ","⏰ "))&amp;IF(C2839="","",RIGHT("0"&amp;HOUR(C2839),2)&amp;":"&amp;RIGHT("0"&amp;MINUTE(C2839),2)&amp;IF(D2839="","","–"&amp;RIGHT("0"&amp;HOUR(D2839),2)&amp;":"&amp;RIGHT("0"&amp;MINUTE(D2839),2))&amp;" ")&amp;F2839)</f>
        <v/>
      </c>
      <c r="N2839" s="54">
        <f>IF(OR(A2839="",F2839=""),"",A2839&amp;"#"&amp;(COUNTIFS($A$5:$A$3004,A2839,$F$5:$F$3004,"?*",$O$5:$O$3004,"&lt;"&amp;O2839)+COUNTIFS($A$5:A2839,A2839,$F$5:F2839,"?*",$O$5:O2839,O2839)))</f>
        <v/>
      </c>
      <c r="O2839" s="54">
        <f>IF(A2839="","",IF(C2839="",0,C2839))</f>
        <v/>
      </c>
    </row>
    <row r="2840">
      <c r="A2840" s="58" t="n"/>
      <c r="B2840" s="49">
        <f>IF(A2840="","",CHOOSE(WEEKDAY(A2840,2),"Пн","Вт","Ср","Чт","Пт","Сб","Вс"))</f>
        <v/>
      </c>
      <c r="C2840" s="59" t="n"/>
      <c r="D2840" s="59" t="n"/>
      <c r="E2840" s="60">
        <f>IF(OR(C2840="",D2840=""),"",MOD(D2840-C2840,1)*24)</f>
        <v/>
      </c>
      <c r="F2840" s="50" t="n"/>
      <c r="G2840" s="51" t="n"/>
      <c r="H2840" s="51" t="n"/>
      <c r="I2840" s="51" t="n"/>
      <c r="J2840" s="51" t="n"/>
      <c r="K2840" s="51" t="n"/>
      <c r="L2840" s="54">
        <f>IF(OR(A2840="",C2840="",D2840=""),"",IF(COUNTIFS($A$5:$A$3004,A2840,$C$5:$C$3004,"&lt;"&amp;D2840,$D$5:$D$3004,"&gt;"&amp;C2840)&gt;1,"⚠️ пересечение",""))</f>
        <v/>
      </c>
      <c r="M2840" s="54">
        <f>IF(F2840="","",IF(J2840="✅ Сделано","✔ ",IF(J2840="❌ Пропущено","✖ ","⏰ "))&amp;IF(C2840="","",RIGHT("0"&amp;HOUR(C2840),2)&amp;":"&amp;RIGHT("0"&amp;MINUTE(C2840),2)&amp;IF(D2840="","","–"&amp;RIGHT("0"&amp;HOUR(D2840),2)&amp;":"&amp;RIGHT("0"&amp;MINUTE(D2840),2))&amp;" ")&amp;F2840)</f>
        <v/>
      </c>
      <c r="N2840" s="54">
        <f>IF(OR(A2840="",F2840=""),"",A2840&amp;"#"&amp;(COUNTIFS($A$5:$A$3004,A2840,$F$5:$F$3004,"?*",$O$5:$O$3004,"&lt;"&amp;O2840)+COUNTIFS($A$5:A2840,A2840,$F$5:F2840,"?*",$O$5:O2840,O2840)))</f>
        <v/>
      </c>
      <c r="O2840" s="54">
        <f>IF(A2840="","",IF(C2840="",0,C2840))</f>
        <v/>
      </c>
    </row>
    <row r="2841">
      <c r="A2841" s="58" t="n"/>
      <c r="B2841" s="49">
        <f>IF(A2841="","",CHOOSE(WEEKDAY(A2841,2),"Пн","Вт","Ср","Чт","Пт","Сб","Вс"))</f>
        <v/>
      </c>
      <c r="C2841" s="59" t="n"/>
      <c r="D2841" s="59" t="n"/>
      <c r="E2841" s="60">
        <f>IF(OR(C2841="",D2841=""),"",MOD(D2841-C2841,1)*24)</f>
        <v/>
      </c>
      <c r="F2841" s="50" t="n"/>
      <c r="G2841" s="51" t="n"/>
      <c r="H2841" s="51" t="n"/>
      <c r="I2841" s="51" t="n"/>
      <c r="J2841" s="51" t="n"/>
      <c r="K2841" s="51" t="n"/>
      <c r="L2841" s="54">
        <f>IF(OR(A2841="",C2841="",D2841=""),"",IF(COUNTIFS($A$5:$A$3004,A2841,$C$5:$C$3004,"&lt;"&amp;D2841,$D$5:$D$3004,"&gt;"&amp;C2841)&gt;1,"⚠️ пересечение",""))</f>
        <v/>
      </c>
      <c r="M2841" s="54">
        <f>IF(F2841="","",IF(J2841="✅ Сделано","✔ ",IF(J2841="❌ Пропущено","✖ ","⏰ "))&amp;IF(C2841="","",RIGHT("0"&amp;HOUR(C2841),2)&amp;":"&amp;RIGHT("0"&amp;MINUTE(C2841),2)&amp;IF(D2841="","","–"&amp;RIGHT("0"&amp;HOUR(D2841),2)&amp;":"&amp;RIGHT("0"&amp;MINUTE(D2841),2))&amp;" ")&amp;F2841)</f>
        <v/>
      </c>
      <c r="N2841" s="54">
        <f>IF(OR(A2841="",F2841=""),"",A2841&amp;"#"&amp;(COUNTIFS($A$5:$A$3004,A2841,$F$5:$F$3004,"?*",$O$5:$O$3004,"&lt;"&amp;O2841)+COUNTIFS($A$5:A2841,A2841,$F$5:F2841,"?*",$O$5:O2841,O2841)))</f>
        <v/>
      </c>
      <c r="O2841" s="54">
        <f>IF(A2841="","",IF(C2841="",0,C2841))</f>
        <v/>
      </c>
    </row>
    <row r="2842">
      <c r="A2842" s="58" t="n"/>
      <c r="B2842" s="49">
        <f>IF(A2842="","",CHOOSE(WEEKDAY(A2842,2),"Пн","Вт","Ср","Чт","Пт","Сб","Вс"))</f>
        <v/>
      </c>
      <c r="C2842" s="59" t="n"/>
      <c r="D2842" s="59" t="n"/>
      <c r="E2842" s="60">
        <f>IF(OR(C2842="",D2842=""),"",MOD(D2842-C2842,1)*24)</f>
        <v/>
      </c>
      <c r="F2842" s="50" t="n"/>
      <c r="G2842" s="51" t="n"/>
      <c r="H2842" s="51" t="n"/>
      <c r="I2842" s="51" t="n"/>
      <c r="J2842" s="51" t="n"/>
      <c r="K2842" s="51" t="n"/>
      <c r="L2842" s="54">
        <f>IF(OR(A2842="",C2842="",D2842=""),"",IF(COUNTIFS($A$5:$A$3004,A2842,$C$5:$C$3004,"&lt;"&amp;D2842,$D$5:$D$3004,"&gt;"&amp;C2842)&gt;1,"⚠️ пересечение",""))</f>
        <v/>
      </c>
      <c r="M2842" s="54">
        <f>IF(F2842="","",IF(J2842="✅ Сделано","✔ ",IF(J2842="❌ Пропущено","✖ ","⏰ "))&amp;IF(C2842="","",RIGHT("0"&amp;HOUR(C2842),2)&amp;":"&amp;RIGHT("0"&amp;MINUTE(C2842),2)&amp;IF(D2842="","","–"&amp;RIGHT("0"&amp;HOUR(D2842),2)&amp;":"&amp;RIGHT("0"&amp;MINUTE(D2842),2))&amp;" ")&amp;F2842)</f>
        <v/>
      </c>
      <c r="N2842" s="54">
        <f>IF(OR(A2842="",F2842=""),"",A2842&amp;"#"&amp;(COUNTIFS($A$5:$A$3004,A2842,$F$5:$F$3004,"?*",$O$5:$O$3004,"&lt;"&amp;O2842)+COUNTIFS($A$5:A2842,A2842,$F$5:F2842,"?*",$O$5:O2842,O2842)))</f>
        <v/>
      </c>
      <c r="O2842" s="54">
        <f>IF(A2842="","",IF(C2842="",0,C2842))</f>
        <v/>
      </c>
    </row>
    <row r="2843">
      <c r="A2843" s="58" t="n"/>
      <c r="B2843" s="49">
        <f>IF(A2843="","",CHOOSE(WEEKDAY(A2843,2),"Пн","Вт","Ср","Чт","Пт","Сб","Вс"))</f>
        <v/>
      </c>
      <c r="C2843" s="59" t="n"/>
      <c r="D2843" s="59" t="n"/>
      <c r="E2843" s="60">
        <f>IF(OR(C2843="",D2843=""),"",MOD(D2843-C2843,1)*24)</f>
        <v/>
      </c>
      <c r="F2843" s="50" t="n"/>
      <c r="G2843" s="51" t="n"/>
      <c r="H2843" s="51" t="n"/>
      <c r="I2843" s="51" t="n"/>
      <c r="J2843" s="51" t="n"/>
      <c r="K2843" s="51" t="n"/>
      <c r="L2843" s="54">
        <f>IF(OR(A2843="",C2843="",D2843=""),"",IF(COUNTIFS($A$5:$A$3004,A2843,$C$5:$C$3004,"&lt;"&amp;D2843,$D$5:$D$3004,"&gt;"&amp;C2843)&gt;1,"⚠️ пересечение",""))</f>
        <v/>
      </c>
      <c r="M2843" s="54">
        <f>IF(F2843="","",IF(J2843="✅ Сделано","✔ ",IF(J2843="❌ Пропущено","✖ ","⏰ "))&amp;IF(C2843="","",RIGHT("0"&amp;HOUR(C2843),2)&amp;":"&amp;RIGHT("0"&amp;MINUTE(C2843),2)&amp;IF(D2843="","","–"&amp;RIGHT("0"&amp;HOUR(D2843),2)&amp;":"&amp;RIGHT("0"&amp;MINUTE(D2843),2))&amp;" ")&amp;F2843)</f>
        <v/>
      </c>
      <c r="N2843" s="54">
        <f>IF(OR(A2843="",F2843=""),"",A2843&amp;"#"&amp;(COUNTIFS($A$5:$A$3004,A2843,$F$5:$F$3004,"?*",$O$5:$O$3004,"&lt;"&amp;O2843)+COUNTIFS($A$5:A2843,A2843,$F$5:F2843,"?*",$O$5:O2843,O2843)))</f>
        <v/>
      </c>
      <c r="O2843" s="54">
        <f>IF(A2843="","",IF(C2843="",0,C2843))</f>
        <v/>
      </c>
    </row>
    <row r="2844">
      <c r="A2844" s="58" t="n"/>
      <c r="B2844" s="49">
        <f>IF(A2844="","",CHOOSE(WEEKDAY(A2844,2),"Пн","Вт","Ср","Чт","Пт","Сб","Вс"))</f>
        <v/>
      </c>
      <c r="C2844" s="59" t="n"/>
      <c r="D2844" s="59" t="n"/>
      <c r="E2844" s="60">
        <f>IF(OR(C2844="",D2844=""),"",MOD(D2844-C2844,1)*24)</f>
        <v/>
      </c>
      <c r="F2844" s="50" t="n"/>
      <c r="G2844" s="51" t="n"/>
      <c r="H2844" s="51" t="n"/>
      <c r="I2844" s="51" t="n"/>
      <c r="J2844" s="51" t="n"/>
      <c r="K2844" s="51" t="n"/>
      <c r="L2844" s="54">
        <f>IF(OR(A2844="",C2844="",D2844=""),"",IF(COUNTIFS($A$5:$A$3004,A2844,$C$5:$C$3004,"&lt;"&amp;D2844,$D$5:$D$3004,"&gt;"&amp;C2844)&gt;1,"⚠️ пересечение",""))</f>
        <v/>
      </c>
      <c r="M2844" s="54">
        <f>IF(F2844="","",IF(J2844="✅ Сделано","✔ ",IF(J2844="❌ Пропущено","✖ ","⏰ "))&amp;IF(C2844="","",RIGHT("0"&amp;HOUR(C2844),2)&amp;":"&amp;RIGHT("0"&amp;MINUTE(C2844),2)&amp;IF(D2844="","","–"&amp;RIGHT("0"&amp;HOUR(D2844),2)&amp;":"&amp;RIGHT("0"&amp;MINUTE(D2844),2))&amp;" ")&amp;F2844)</f>
        <v/>
      </c>
      <c r="N2844" s="54">
        <f>IF(OR(A2844="",F2844=""),"",A2844&amp;"#"&amp;(COUNTIFS($A$5:$A$3004,A2844,$F$5:$F$3004,"?*",$O$5:$O$3004,"&lt;"&amp;O2844)+COUNTIFS($A$5:A2844,A2844,$F$5:F2844,"?*",$O$5:O2844,O2844)))</f>
        <v/>
      </c>
      <c r="O2844" s="54">
        <f>IF(A2844="","",IF(C2844="",0,C2844))</f>
        <v/>
      </c>
    </row>
    <row r="2845">
      <c r="A2845" s="58" t="n"/>
      <c r="B2845" s="49">
        <f>IF(A2845="","",CHOOSE(WEEKDAY(A2845,2),"Пн","Вт","Ср","Чт","Пт","Сб","Вс"))</f>
        <v/>
      </c>
      <c r="C2845" s="59" t="n"/>
      <c r="D2845" s="59" t="n"/>
      <c r="E2845" s="60">
        <f>IF(OR(C2845="",D2845=""),"",MOD(D2845-C2845,1)*24)</f>
        <v/>
      </c>
      <c r="F2845" s="50" t="n"/>
      <c r="G2845" s="51" t="n"/>
      <c r="H2845" s="51" t="n"/>
      <c r="I2845" s="51" t="n"/>
      <c r="J2845" s="51" t="n"/>
      <c r="K2845" s="51" t="n"/>
      <c r="L2845" s="54">
        <f>IF(OR(A2845="",C2845="",D2845=""),"",IF(COUNTIFS($A$5:$A$3004,A2845,$C$5:$C$3004,"&lt;"&amp;D2845,$D$5:$D$3004,"&gt;"&amp;C2845)&gt;1,"⚠️ пересечение",""))</f>
        <v/>
      </c>
      <c r="M2845" s="54">
        <f>IF(F2845="","",IF(J2845="✅ Сделано","✔ ",IF(J2845="❌ Пропущено","✖ ","⏰ "))&amp;IF(C2845="","",RIGHT("0"&amp;HOUR(C2845),2)&amp;":"&amp;RIGHT("0"&amp;MINUTE(C2845),2)&amp;IF(D2845="","","–"&amp;RIGHT("0"&amp;HOUR(D2845),2)&amp;":"&amp;RIGHT("0"&amp;MINUTE(D2845),2))&amp;" ")&amp;F2845)</f>
        <v/>
      </c>
      <c r="N2845" s="54">
        <f>IF(OR(A2845="",F2845=""),"",A2845&amp;"#"&amp;(COUNTIFS($A$5:$A$3004,A2845,$F$5:$F$3004,"?*",$O$5:$O$3004,"&lt;"&amp;O2845)+COUNTIFS($A$5:A2845,A2845,$F$5:F2845,"?*",$O$5:O2845,O2845)))</f>
        <v/>
      </c>
      <c r="O2845" s="54">
        <f>IF(A2845="","",IF(C2845="",0,C2845))</f>
        <v/>
      </c>
    </row>
    <row r="2846">
      <c r="A2846" s="58" t="n"/>
      <c r="B2846" s="49">
        <f>IF(A2846="","",CHOOSE(WEEKDAY(A2846,2),"Пн","Вт","Ср","Чт","Пт","Сб","Вс"))</f>
        <v/>
      </c>
      <c r="C2846" s="59" t="n"/>
      <c r="D2846" s="59" t="n"/>
      <c r="E2846" s="60">
        <f>IF(OR(C2846="",D2846=""),"",MOD(D2846-C2846,1)*24)</f>
        <v/>
      </c>
      <c r="F2846" s="50" t="n"/>
      <c r="G2846" s="51" t="n"/>
      <c r="H2846" s="51" t="n"/>
      <c r="I2846" s="51" t="n"/>
      <c r="J2846" s="51" t="n"/>
      <c r="K2846" s="51" t="n"/>
      <c r="L2846" s="54">
        <f>IF(OR(A2846="",C2846="",D2846=""),"",IF(COUNTIFS($A$5:$A$3004,A2846,$C$5:$C$3004,"&lt;"&amp;D2846,$D$5:$D$3004,"&gt;"&amp;C2846)&gt;1,"⚠️ пересечение",""))</f>
        <v/>
      </c>
      <c r="M2846" s="54">
        <f>IF(F2846="","",IF(J2846="✅ Сделано","✔ ",IF(J2846="❌ Пропущено","✖ ","⏰ "))&amp;IF(C2846="","",RIGHT("0"&amp;HOUR(C2846),2)&amp;":"&amp;RIGHT("0"&amp;MINUTE(C2846),2)&amp;IF(D2846="","","–"&amp;RIGHT("0"&amp;HOUR(D2846),2)&amp;":"&amp;RIGHT("0"&amp;MINUTE(D2846),2))&amp;" ")&amp;F2846)</f>
        <v/>
      </c>
      <c r="N2846" s="54">
        <f>IF(OR(A2846="",F2846=""),"",A2846&amp;"#"&amp;(COUNTIFS($A$5:$A$3004,A2846,$F$5:$F$3004,"?*",$O$5:$O$3004,"&lt;"&amp;O2846)+COUNTIFS($A$5:A2846,A2846,$F$5:F2846,"?*",$O$5:O2846,O2846)))</f>
        <v/>
      </c>
      <c r="O2846" s="54">
        <f>IF(A2846="","",IF(C2846="",0,C2846))</f>
        <v/>
      </c>
    </row>
    <row r="2847">
      <c r="A2847" s="58" t="n"/>
      <c r="B2847" s="49">
        <f>IF(A2847="","",CHOOSE(WEEKDAY(A2847,2),"Пн","Вт","Ср","Чт","Пт","Сб","Вс"))</f>
        <v/>
      </c>
      <c r="C2847" s="59" t="n"/>
      <c r="D2847" s="59" t="n"/>
      <c r="E2847" s="60">
        <f>IF(OR(C2847="",D2847=""),"",MOD(D2847-C2847,1)*24)</f>
        <v/>
      </c>
      <c r="F2847" s="50" t="n"/>
      <c r="G2847" s="51" t="n"/>
      <c r="H2847" s="51" t="n"/>
      <c r="I2847" s="51" t="n"/>
      <c r="J2847" s="51" t="n"/>
      <c r="K2847" s="51" t="n"/>
      <c r="L2847" s="54">
        <f>IF(OR(A2847="",C2847="",D2847=""),"",IF(COUNTIFS($A$5:$A$3004,A2847,$C$5:$C$3004,"&lt;"&amp;D2847,$D$5:$D$3004,"&gt;"&amp;C2847)&gt;1,"⚠️ пересечение",""))</f>
        <v/>
      </c>
      <c r="M2847" s="54">
        <f>IF(F2847="","",IF(J2847="✅ Сделано","✔ ",IF(J2847="❌ Пропущено","✖ ","⏰ "))&amp;IF(C2847="","",RIGHT("0"&amp;HOUR(C2847),2)&amp;":"&amp;RIGHT("0"&amp;MINUTE(C2847),2)&amp;IF(D2847="","","–"&amp;RIGHT("0"&amp;HOUR(D2847),2)&amp;":"&amp;RIGHT("0"&amp;MINUTE(D2847),2))&amp;" ")&amp;F2847)</f>
        <v/>
      </c>
      <c r="N2847" s="54">
        <f>IF(OR(A2847="",F2847=""),"",A2847&amp;"#"&amp;(COUNTIFS($A$5:$A$3004,A2847,$F$5:$F$3004,"?*",$O$5:$O$3004,"&lt;"&amp;O2847)+COUNTIFS($A$5:A2847,A2847,$F$5:F2847,"?*",$O$5:O2847,O2847)))</f>
        <v/>
      </c>
      <c r="O2847" s="54">
        <f>IF(A2847="","",IF(C2847="",0,C2847))</f>
        <v/>
      </c>
    </row>
    <row r="2848">
      <c r="A2848" s="58" t="n"/>
      <c r="B2848" s="49">
        <f>IF(A2848="","",CHOOSE(WEEKDAY(A2848,2),"Пн","Вт","Ср","Чт","Пт","Сб","Вс"))</f>
        <v/>
      </c>
      <c r="C2848" s="59" t="n"/>
      <c r="D2848" s="59" t="n"/>
      <c r="E2848" s="60">
        <f>IF(OR(C2848="",D2848=""),"",MOD(D2848-C2848,1)*24)</f>
        <v/>
      </c>
      <c r="F2848" s="50" t="n"/>
      <c r="G2848" s="51" t="n"/>
      <c r="H2848" s="51" t="n"/>
      <c r="I2848" s="51" t="n"/>
      <c r="J2848" s="51" t="n"/>
      <c r="K2848" s="51" t="n"/>
      <c r="L2848" s="54">
        <f>IF(OR(A2848="",C2848="",D2848=""),"",IF(COUNTIFS($A$5:$A$3004,A2848,$C$5:$C$3004,"&lt;"&amp;D2848,$D$5:$D$3004,"&gt;"&amp;C2848)&gt;1,"⚠️ пересечение",""))</f>
        <v/>
      </c>
      <c r="M2848" s="54">
        <f>IF(F2848="","",IF(J2848="✅ Сделано","✔ ",IF(J2848="❌ Пропущено","✖ ","⏰ "))&amp;IF(C2848="","",RIGHT("0"&amp;HOUR(C2848),2)&amp;":"&amp;RIGHT("0"&amp;MINUTE(C2848),2)&amp;IF(D2848="","","–"&amp;RIGHT("0"&amp;HOUR(D2848),2)&amp;":"&amp;RIGHT("0"&amp;MINUTE(D2848),2))&amp;" ")&amp;F2848)</f>
        <v/>
      </c>
      <c r="N2848" s="54">
        <f>IF(OR(A2848="",F2848=""),"",A2848&amp;"#"&amp;(COUNTIFS($A$5:$A$3004,A2848,$F$5:$F$3004,"?*",$O$5:$O$3004,"&lt;"&amp;O2848)+COUNTIFS($A$5:A2848,A2848,$F$5:F2848,"?*",$O$5:O2848,O2848)))</f>
        <v/>
      </c>
      <c r="O2848" s="54">
        <f>IF(A2848="","",IF(C2848="",0,C2848))</f>
        <v/>
      </c>
    </row>
    <row r="2849">
      <c r="A2849" s="58" t="n"/>
      <c r="B2849" s="49">
        <f>IF(A2849="","",CHOOSE(WEEKDAY(A2849,2),"Пн","Вт","Ср","Чт","Пт","Сб","Вс"))</f>
        <v/>
      </c>
      <c r="C2849" s="59" t="n"/>
      <c r="D2849" s="59" t="n"/>
      <c r="E2849" s="60">
        <f>IF(OR(C2849="",D2849=""),"",MOD(D2849-C2849,1)*24)</f>
        <v/>
      </c>
      <c r="F2849" s="50" t="n"/>
      <c r="G2849" s="51" t="n"/>
      <c r="H2849" s="51" t="n"/>
      <c r="I2849" s="51" t="n"/>
      <c r="J2849" s="51" t="n"/>
      <c r="K2849" s="51" t="n"/>
      <c r="L2849" s="54">
        <f>IF(OR(A2849="",C2849="",D2849=""),"",IF(COUNTIFS($A$5:$A$3004,A2849,$C$5:$C$3004,"&lt;"&amp;D2849,$D$5:$D$3004,"&gt;"&amp;C2849)&gt;1,"⚠️ пересечение",""))</f>
        <v/>
      </c>
      <c r="M2849" s="54">
        <f>IF(F2849="","",IF(J2849="✅ Сделано","✔ ",IF(J2849="❌ Пропущено","✖ ","⏰ "))&amp;IF(C2849="","",RIGHT("0"&amp;HOUR(C2849),2)&amp;":"&amp;RIGHT("0"&amp;MINUTE(C2849),2)&amp;IF(D2849="","","–"&amp;RIGHT("0"&amp;HOUR(D2849),2)&amp;":"&amp;RIGHT("0"&amp;MINUTE(D2849),2))&amp;" ")&amp;F2849)</f>
        <v/>
      </c>
      <c r="N2849" s="54">
        <f>IF(OR(A2849="",F2849=""),"",A2849&amp;"#"&amp;(COUNTIFS($A$5:$A$3004,A2849,$F$5:$F$3004,"?*",$O$5:$O$3004,"&lt;"&amp;O2849)+COUNTIFS($A$5:A2849,A2849,$F$5:F2849,"?*",$O$5:O2849,O2849)))</f>
        <v/>
      </c>
      <c r="O2849" s="54">
        <f>IF(A2849="","",IF(C2849="",0,C2849))</f>
        <v/>
      </c>
    </row>
    <row r="2850">
      <c r="A2850" s="58" t="n"/>
      <c r="B2850" s="49">
        <f>IF(A2850="","",CHOOSE(WEEKDAY(A2850,2),"Пн","Вт","Ср","Чт","Пт","Сб","Вс"))</f>
        <v/>
      </c>
      <c r="C2850" s="59" t="n"/>
      <c r="D2850" s="59" t="n"/>
      <c r="E2850" s="60">
        <f>IF(OR(C2850="",D2850=""),"",MOD(D2850-C2850,1)*24)</f>
        <v/>
      </c>
      <c r="F2850" s="50" t="n"/>
      <c r="G2850" s="51" t="n"/>
      <c r="H2850" s="51" t="n"/>
      <c r="I2850" s="51" t="n"/>
      <c r="J2850" s="51" t="n"/>
      <c r="K2850" s="51" t="n"/>
      <c r="L2850" s="54">
        <f>IF(OR(A2850="",C2850="",D2850=""),"",IF(COUNTIFS($A$5:$A$3004,A2850,$C$5:$C$3004,"&lt;"&amp;D2850,$D$5:$D$3004,"&gt;"&amp;C2850)&gt;1,"⚠️ пересечение",""))</f>
        <v/>
      </c>
      <c r="M2850" s="54">
        <f>IF(F2850="","",IF(J2850="✅ Сделано","✔ ",IF(J2850="❌ Пропущено","✖ ","⏰ "))&amp;IF(C2850="","",RIGHT("0"&amp;HOUR(C2850),2)&amp;":"&amp;RIGHT("0"&amp;MINUTE(C2850),2)&amp;IF(D2850="","","–"&amp;RIGHT("0"&amp;HOUR(D2850),2)&amp;":"&amp;RIGHT("0"&amp;MINUTE(D2850),2))&amp;" ")&amp;F2850)</f>
        <v/>
      </c>
      <c r="N2850" s="54">
        <f>IF(OR(A2850="",F2850=""),"",A2850&amp;"#"&amp;(COUNTIFS($A$5:$A$3004,A2850,$F$5:$F$3004,"?*",$O$5:$O$3004,"&lt;"&amp;O2850)+COUNTIFS($A$5:A2850,A2850,$F$5:F2850,"?*",$O$5:O2850,O2850)))</f>
        <v/>
      </c>
      <c r="O2850" s="54">
        <f>IF(A2850="","",IF(C2850="",0,C2850))</f>
        <v/>
      </c>
    </row>
    <row r="2851">
      <c r="A2851" s="58" t="n"/>
      <c r="B2851" s="49">
        <f>IF(A2851="","",CHOOSE(WEEKDAY(A2851,2),"Пн","Вт","Ср","Чт","Пт","Сб","Вс"))</f>
        <v/>
      </c>
      <c r="C2851" s="59" t="n"/>
      <c r="D2851" s="59" t="n"/>
      <c r="E2851" s="60">
        <f>IF(OR(C2851="",D2851=""),"",MOD(D2851-C2851,1)*24)</f>
        <v/>
      </c>
      <c r="F2851" s="50" t="n"/>
      <c r="G2851" s="51" t="n"/>
      <c r="H2851" s="51" t="n"/>
      <c r="I2851" s="51" t="n"/>
      <c r="J2851" s="51" t="n"/>
      <c r="K2851" s="51" t="n"/>
      <c r="L2851" s="54">
        <f>IF(OR(A2851="",C2851="",D2851=""),"",IF(COUNTIFS($A$5:$A$3004,A2851,$C$5:$C$3004,"&lt;"&amp;D2851,$D$5:$D$3004,"&gt;"&amp;C2851)&gt;1,"⚠️ пересечение",""))</f>
        <v/>
      </c>
      <c r="M2851" s="54">
        <f>IF(F2851="","",IF(J2851="✅ Сделано","✔ ",IF(J2851="❌ Пропущено","✖ ","⏰ "))&amp;IF(C2851="","",RIGHT("0"&amp;HOUR(C2851),2)&amp;":"&amp;RIGHT("0"&amp;MINUTE(C2851),2)&amp;IF(D2851="","","–"&amp;RIGHT("0"&amp;HOUR(D2851),2)&amp;":"&amp;RIGHT("0"&amp;MINUTE(D2851),2))&amp;" ")&amp;F2851)</f>
        <v/>
      </c>
      <c r="N2851" s="54">
        <f>IF(OR(A2851="",F2851=""),"",A2851&amp;"#"&amp;(COUNTIFS($A$5:$A$3004,A2851,$F$5:$F$3004,"?*",$O$5:$O$3004,"&lt;"&amp;O2851)+COUNTIFS($A$5:A2851,A2851,$F$5:F2851,"?*",$O$5:O2851,O2851)))</f>
        <v/>
      </c>
      <c r="O2851" s="54">
        <f>IF(A2851="","",IF(C2851="",0,C2851))</f>
        <v/>
      </c>
    </row>
    <row r="2852">
      <c r="A2852" s="58" t="n"/>
      <c r="B2852" s="49">
        <f>IF(A2852="","",CHOOSE(WEEKDAY(A2852,2),"Пн","Вт","Ср","Чт","Пт","Сб","Вс"))</f>
        <v/>
      </c>
      <c r="C2852" s="59" t="n"/>
      <c r="D2852" s="59" t="n"/>
      <c r="E2852" s="60">
        <f>IF(OR(C2852="",D2852=""),"",MOD(D2852-C2852,1)*24)</f>
        <v/>
      </c>
      <c r="F2852" s="50" t="n"/>
      <c r="G2852" s="51" t="n"/>
      <c r="H2852" s="51" t="n"/>
      <c r="I2852" s="51" t="n"/>
      <c r="J2852" s="51" t="n"/>
      <c r="K2852" s="51" t="n"/>
      <c r="L2852" s="54">
        <f>IF(OR(A2852="",C2852="",D2852=""),"",IF(COUNTIFS($A$5:$A$3004,A2852,$C$5:$C$3004,"&lt;"&amp;D2852,$D$5:$D$3004,"&gt;"&amp;C2852)&gt;1,"⚠️ пересечение",""))</f>
        <v/>
      </c>
      <c r="M2852" s="54">
        <f>IF(F2852="","",IF(J2852="✅ Сделано","✔ ",IF(J2852="❌ Пропущено","✖ ","⏰ "))&amp;IF(C2852="","",RIGHT("0"&amp;HOUR(C2852),2)&amp;":"&amp;RIGHT("0"&amp;MINUTE(C2852),2)&amp;IF(D2852="","","–"&amp;RIGHT("0"&amp;HOUR(D2852),2)&amp;":"&amp;RIGHT("0"&amp;MINUTE(D2852),2))&amp;" ")&amp;F2852)</f>
        <v/>
      </c>
      <c r="N2852" s="54">
        <f>IF(OR(A2852="",F2852=""),"",A2852&amp;"#"&amp;(COUNTIFS($A$5:$A$3004,A2852,$F$5:$F$3004,"?*",$O$5:$O$3004,"&lt;"&amp;O2852)+COUNTIFS($A$5:A2852,A2852,$F$5:F2852,"?*",$O$5:O2852,O2852)))</f>
        <v/>
      </c>
      <c r="O2852" s="54">
        <f>IF(A2852="","",IF(C2852="",0,C2852))</f>
        <v/>
      </c>
    </row>
    <row r="2853">
      <c r="A2853" s="58" t="n"/>
      <c r="B2853" s="49">
        <f>IF(A2853="","",CHOOSE(WEEKDAY(A2853,2),"Пн","Вт","Ср","Чт","Пт","Сб","Вс"))</f>
        <v/>
      </c>
      <c r="C2853" s="59" t="n"/>
      <c r="D2853" s="59" t="n"/>
      <c r="E2853" s="60">
        <f>IF(OR(C2853="",D2853=""),"",MOD(D2853-C2853,1)*24)</f>
        <v/>
      </c>
      <c r="F2853" s="50" t="n"/>
      <c r="G2853" s="51" t="n"/>
      <c r="H2853" s="51" t="n"/>
      <c r="I2853" s="51" t="n"/>
      <c r="J2853" s="51" t="n"/>
      <c r="K2853" s="51" t="n"/>
      <c r="L2853" s="54">
        <f>IF(OR(A2853="",C2853="",D2853=""),"",IF(COUNTIFS($A$5:$A$3004,A2853,$C$5:$C$3004,"&lt;"&amp;D2853,$D$5:$D$3004,"&gt;"&amp;C2853)&gt;1,"⚠️ пересечение",""))</f>
        <v/>
      </c>
      <c r="M2853" s="54">
        <f>IF(F2853="","",IF(J2853="✅ Сделано","✔ ",IF(J2853="❌ Пропущено","✖ ","⏰ "))&amp;IF(C2853="","",RIGHT("0"&amp;HOUR(C2853),2)&amp;":"&amp;RIGHT("0"&amp;MINUTE(C2853),2)&amp;IF(D2853="","","–"&amp;RIGHT("0"&amp;HOUR(D2853),2)&amp;":"&amp;RIGHT("0"&amp;MINUTE(D2853),2))&amp;" ")&amp;F2853)</f>
        <v/>
      </c>
      <c r="N2853" s="54">
        <f>IF(OR(A2853="",F2853=""),"",A2853&amp;"#"&amp;(COUNTIFS($A$5:$A$3004,A2853,$F$5:$F$3004,"?*",$O$5:$O$3004,"&lt;"&amp;O2853)+COUNTIFS($A$5:A2853,A2853,$F$5:F2853,"?*",$O$5:O2853,O2853)))</f>
        <v/>
      </c>
      <c r="O2853" s="54">
        <f>IF(A2853="","",IF(C2853="",0,C2853))</f>
        <v/>
      </c>
    </row>
    <row r="2854">
      <c r="A2854" s="58" t="n"/>
      <c r="B2854" s="49">
        <f>IF(A2854="","",CHOOSE(WEEKDAY(A2854,2),"Пн","Вт","Ср","Чт","Пт","Сб","Вс"))</f>
        <v/>
      </c>
      <c r="C2854" s="59" t="n"/>
      <c r="D2854" s="59" t="n"/>
      <c r="E2854" s="60">
        <f>IF(OR(C2854="",D2854=""),"",MOD(D2854-C2854,1)*24)</f>
        <v/>
      </c>
      <c r="F2854" s="50" t="n"/>
      <c r="G2854" s="51" t="n"/>
      <c r="H2854" s="51" t="n"/>
      <c r="I2854" s="51" t="n"/>
      <c r="J2854" s="51" t="n"/>
      <c r="K2854" s="51" t="n"/>
      <c r="L2854" s="54">
        <f>IF(OR(A2854="",C2854="",D2854=""),"",IF(COUNTIFS($A$5:$A$3004,A2854,$C$5:$C$3004,"&lt;"&amp;D2854,$D$5:$D$3004,"&gt;"&amp;C2854)&gt;1,"⚠️ пересечение",""))</f>
        <v/>
      </c>
      <c r="M2854" s="54">
        <f>IF(F2854="","",IF(J2854="✅ Сделано","✔ ",IF(J2854="❌ Пропущено","✖ ","⏰ "))&amp;IF(C2854="","",RIGHT("0"&amp;HOUR(C2854),2)&amp;":"&amp;RIGHT("0"&amp;MINUTE(C2854),2)&amp;IF(D2854="","","–"&amp;RIGHT("0"&amp;HOUR(D2854),2)&amp;":"&amp;RIGHT("0"&amp;MINUTE(D2854),2))&amp;" ")&amp;F2854)</f>
        <v/>
      </c>
      <c r="N2854" s="54">
        <f>IF(OR(A2854="",F2854=""),"",A2854&amp;"#"&amp;(COUNTIFS($A$5:$A$3004,A2854,$F$5:$F$3004,"?*",$O$5:$O$3004,"&lt;"&amp;O2854)+COUNTIFS($A$5:A2854,A2854,$F$5:F2854,"?*",$O$5:O2854,O2854)))</f>
        <v/>
      </c>
      <c r="O2854" s="54">
        <f>IF(A2854="","",IF(C2854="",0,C2854))</f>
        <v/>
      </c>
    </row>
    <row r="2855">
      <c r="A2855" s="58" t="n"/>
      <c r="B2855" s="49">
        <f>IF(A2855="","",CHOOSE(WEEKDAY(A2855,2),"Пн","Вт","Ср","Чт","Пт","Сб","Вс"))</f>
        <v/>
      </c>
      <c r="C2855" s="59" t="n"/>
      <c r="D2855" s="59" t="n"/>
      <c r="E2855" s="60">
        <f>IF(OR(C2855="",D2855=""),"",MOD(D2855-C2855,1)*24)</f>
        <v/>
      </c>
      <c r="F2855" s="50" t="n"/>
      <c r="G2855" s="51" t="n"/>
      <c r="H2855" s="51" t="n"/>
      <c r="I2855" s="51" t="n"/>
      <c r="J2855" s="51" t="n"/>
      <c r="K2855" s="51" t="n"/>
      <c r="L2855" s="54">
        <f>IF(OR(A2855="",C2855="",D2855=""),"",IF(COUNTIFS($A$5:$A$3004,A2855,$C$5:$C$3004,"&lt;"&amp;D2855,$D$5:$D$3004,"&gt;"&amp;C2855)&gt;1,"⚠️ пересечение",""))</f>
        <v/>
      </c>
      <c r="M2855" s="54">
        <f>IF(F2855="","",IF(J2855="✅ Сделано","✔ ",IF(J2855="❌ Пропущено","✖ ","⏰ "))&amp;IF(C2855="","",RIGHT("0"&amp;HOUR(C2855),2)&amp;":"&amp;RIGHT("0"&amp;MINUTE(C2855),2)&amp;IF(D2855="","","–"&amp;RIGHT("0"&amp;HOUR(D2855),2)&amp;":"&amp;RIGHT("0"&amp;MINUTE(D2855),2))&amp;" ")&amp;F2855)</f>
        <v/>
      </c>
      <c r="N2855" s="54">
        <f>IF(OR(A2855="",F2855=""),"",A2855&amp;"#"&amp;(COUNTIFS($A$5:$A$3004,A2855,$F$5:$F$3004,"?*",$O$5:$O$3004,"&lt;"&amp;O2855)+COUNTIFS($A$5:A2855,A2855,$F$5:F2855,"?*",$O$5:O2855,O2855)))</f>
        <v/>
      </c>
      <c r="O2855" s="54">
        <f>IF(A2855="","",IF(C2855="",0,C2855))</f>
        <v/>
      </c>
    </row>
    <row r="2856">
      <c r="A2856" s="58" t="n"/>
      <c r="B2856" s="49">
        <f>IF(A2856="","",CHOOSE(WEEKDAY(A2856,2),"Пн","Вт","Ср","Чт","Пт","Сб","Вс"))</f>
        <v/>
      </c>
      <c r="C2856" s="59" t="n"/>
      <c r="D2856" s="59" t="n"/>
      <c r="E2856" s="60">
        <f>IF(OR(C2856="",D2856=""),"",MOD(D2856-C2856,1)*24)</f>
        <v/>
      </c>
      <c r="F2856" s="50" t="n"/>
      <c r="G2856" s="51" t="n"/>
      <c r="H2856" s="51" t="n"/>
      <c r="I2856" s="51" t="n"/>
      <c r="J2856" s="51" t="n"/>
      <c r="K2856" s="51" t="n"/>
      <c r="L2856" s="54">
        <f>IF(OR(A2856="",C2856="",D2856=""),"",IF(COUNTIFS($A$5:$A$3004,A2856,$C$5:$C$3004,"&lt;"&amp;D2856,$D$5:$D$3004,"&gt;"&amp;C2856)&gt;1,"⚠️ пересечение",""))</f>
        <v/>
      </c>
      <c r="M2856" s="54">
        <f>IF(F2856="","",IF(J2856="✅ Сделано","✔ ",IF(J2856="❌ Пропущено","✖ ","⏰ "))&amp;IF(C2856="","",RIGHT("0"&amp;HOUR(C2856),2)&amp;":"&amp;RIGHT("0"&amp;MINUTE(C2856),2)&amp;IF(D2856="","","–"&amp;RIGHT("0"&amp;HOUR(D2856),2)&amp;":"&amp;RIGHT("0"&amp;MINUTE(D2856),2))&amp;" ")&amp;F2856)</f>
        <v/>
      </c>
      <c r="N2856" s="54">
        <f>IF(OR(A2856="",F2856=""),"",A2856&amp;"#"&amp;(COUNTIFS($A$5:$A$3004,A2856,$F$5:$F$3004,"?*",$O$5:$O$3004,"&lt;"&amp;O2856)+COUNTIFS($A$5:A2856,A2856,$F$5:F2856,"?*",$O$5:O2856,O2856)))</f>
        <v/>
      </c>
      <c r="O2856" s="54">
        <f>IF(A2856="","",IF(C2856="",0,C2856))</f>
        <v/>
      </c>
    </row>
    <row r="2857">
      <c r="A2857" s="58" t="n"/>
      <c r="B2857" s="49">
        <f>IF(A2857="","",CHOOSE(WEEKDAY(A2857,2),"Пн","Вт","Ср","Чт","Пт","Сб","Вс"))</f>
        <v/>
      </c>
      <c r="C2857" s="59" t="n"/>
      <c r="D2857" s="59" t="n"/>
      <c r="E2857" s="60">
        <f>IF(OR(C2857="",D2857=""),"",MOD(D2857-C2857,1)*24)</f>
        <v/>
      </c>
      <c r="F2857" s="50" t="n"/>
      <c r="G2857" s="51" t="n"/>
      <c r="H2857" s="51" t="n"/>
      <c r="I2857" s="51" t="n"/>
      <c r="J2857" s="51" t="n"/>
      <c r="K2857" s="51" t="n"/>
      <c r="L2857" s="54">
        <f>IF(OR(A2857="",C2857="",D2857=""),"",IF(COUNTIFS($A$5:$A$3004,A2857,$C$5:$C$3004,"&lt;"&amp;D2857,$D$5:$D$3004,"&gt;"&amp;C2857)&gt;1,"⚠️ пересечение",""))</f>
        <v/>
      </c>
      <c r="M2857" s="54">
        <f>IF(F2857="","",IF(J2857="✅ Сделано","✔ ",IF(J2857="❌ Пропущено","✖ ","⏰ "))&amp;IF(C2857="","",RIGHT("0"&amp;HOUR(C2857),2)&amp;":"&amp;RIGHT("0"&amp;MINUTE(C2857),2)&amp;IF(D2857="","","–"&amp;RIGHT("0"&amp;HOUR(D2857),2)&amp;":"&amp;RIGHT("0"&amp;MINUTE(D2857),2))&amp;" ")&amp;F2857)</f>
        <v/>
      </c>
      <c r="N2857" s="54">
        <f>IF(OR(A2857="",F2857=""),"",A2857&amp;"#"&amp;(COUNTIFS($A$5:$A$3004,A2857,$F$5:$F$3004,"?*",$O$5:$O$3004,"&lt;"&amp;O2857)+COUNTIFS($A$5:A2857,A2857,$F$5:F2857,"?*",$O$5:O2857,O2857)))</f>
        <v/>
      </c>
      <c r="O2857" s="54">
        <f>IF(A2857="","",IF(C2857="",0,C2857))</f>
        <v/>
      </c>
    </row>
    <row r="2858">
      <c r="A2858" s="58" t="n"/>
      <c r="B2858" s="49">
        <f>IF(A2858="","",CHOOSE(WEEKDAY(A2858,2),"Пн","Вт","Ср","Чт","Пт","Сб","Вс"))</f>
        <v/>
      </c>
      <c r="C2858" s="59" t="n"/>
      <c r="D2858" s="59" t="n"/>
      <c r="E2858" s="60">
        <f>IF(OR(C2858="",D2858=""),"",MOD(D2858-C2858,1)*24)</f>
        <v/>
      </c>
      <c r="F2858" s="50" t="n"/>
      <c r="G2858" s="51" t="n"/>
      <c r="H2858" s="51" t="n"/>
      <c r="I2858" s="51" t="n"/>
      <c r="J2858" s="51" t="n"/>
      <c r="K2858" s="51" t="n"/>
      <c r="L2858" s="54">
        <f>IF(OR(A2858="",C2858="",D2858=""),"",IF(COUNTIFS($A$5:$A$3004,A2858,$C$5:$C$3004,"&lt;"&amp;D2858,$D$5:$D$3004,"&gt;"&amp;C2858)&gt;1,"⚠️ пересечение",""))</f>
        <v/>
      </c>
      <c r="M2858" s="54">
        <f>IF(F2858="","",IF(J2858="✅ Сделано","✔ ",IF(J2858="❌ Пропущено","✖ ","⏰ "))&amp;IF(C2858="","",RIGHT("0"&amp;HOUR(C2858),2)&amp;":"&amp;RIGHT("0"&amp;MINUTE(C2858),2)&amp;IF(D2858="","","–"&amp;RIGHT("0"&amp;HOUR(D2858),2)&amp;":"&amp;RIGHT("0"&amp;MINUTE(D2858),2))&amp;" ")&amp;F2858)</f>
        <v/>
      </c>
      <c r="N2858" s="54">
        <f>IF(OR(A2858="",F2858=""),"",A2858&amp;"#"&amp;(COUNTIFS($A$5:$A$3004,A2858,$F$5:$F$3004,"?*",$O$5:$O$3004,"&lt;"&amp;O2858)+COUNTIFS($A$5:A2858,A2858,$F$5:F2858,"?*",$O$5:O2858,O2858)))</f>
        <v/>
      </c>
      <c r="O2858" s="54">
        <f>IF(A2858="","",IF(C2858="",0,C2858))</f>
        <v/>
      </c>
    </row>
    <row r="2859">
      <c r="A2859" s="58" t="n"/>
      <c r="B2859" s="49">
        <f>IF(A2859="","",CHOOSE(WEEKDAY(A2859,2),"Пн","Вт","Ср","Чт","Пт","Сб","Вс"))</f>
        <v/>
      </c>
      <c r="C2859" s="59" t="n"/>
      <c r="D2859" s="59" t="n"/>
      <c r="E2859" s="60">
        <f>IF(OR(C2859="",D2859=""),"",MOD(D2859-C2859,1)*24)</f>
        <v/>
      </c>
      <c r="F2859" s="50" t="n"/>
      <c r="G2859" s="51" t="n"/>
      <c r="H2859" s="51" t="n"/>
      <c r="I2859" s="51" t="n"/>
      <c r="J2859" s="51" t="n"/>
      <c r="K2859" s="51" t="n"/>
      <c r="L2859" s="54">
        <f>IF(OR(A2859="",C2859="",D2859=""),"",IF(COUNTIFS($A$5:$A$3004,A2859,$C$5:$C$3004,"&lt;"&amp;D2859,$D$5:$D$3004,"&gt;"&amp;C2859)&gt;1,"⚠️ пересечение",""))</f>
        <v/>
      </c>
      <c r="M2859" s="54">
        <f>IF(F2859="","",IF(J2859="✅ Сделано","✔ ",IF(J2859="❌ Пропущено","✖ ","⏰ "))&amp;IF(C2859="","",RIGHT("0"&amp;HOUR(C2859),2)&amp;":"&amp;RIGHT("0"&amp;MINUTE(C2859),2)&amp;IF(D2859="","","–"&amp;RIGHT("0"&amp;HOUR(D2859),2)&amp;":"&amp;RIGHT("0"&amp;MINUTE(D2859),2))&amp;" ")&amp;F2859)</f>
        <v/>
      </c>
      <c r="N2859" s="54">
        <f>IF(OR(A2859="",F2859=""),"",A2859&amp;"#"&amp;(COUNTIFS($A$5:$A$3004,A2859,$F$5:$F$3004,"?*",$O$5:$O$3004,"&lt;"&amp;O2859)+COUNTIFS($A$5:A2859,A2859,$F$5:F2859,"?*",$O$5:O2859,O2859)))</f>
        <v/>
      </c>
      <c r="O2859" s="54">
        <f>IF(A2859="","",IF(C2859="",0,C2859))</f>
        <v/>
      </c>
    </row>
    <row r="2860">
      <c r="A2860" s="58" t="n"/>
      <c r="B2860" s="49">
        <f>IF(A2860="","",CHOOSE(WEEKDAY(A2860,2),"Пн","Вт","Ср","Чт","Пт","Сб","Вс"))</f>
        <v/>
      </c>
      <c r="C2860" s="59" t="n"/>
      <c r="D2860" s="59" t="n"/>
      <c r="E2860" s="60">
        <f>IF(OR(C2860="",D2860=""),"",MOD(D2860-C2860,1)*24)</f>
        <v/>
      </c>
      <c r="F2860" s="50" t="n"/>
      <c r="G2860" s="51" t="n"/>
      <c r="H2860" s="51" t="n"/>
      <c r="I2860" s="51" t="n"/>
      <c r="J2860" s="51" t="n"/>
      <c r="K2860" s="51" t="n"/>
      <c r="L2860" s="54">
        <f>IF(OR(A2860="",C2860="",D2860=""),"",IF(COUNTIFS($A$5:$A$3004,A2860,$C$5:$C$3004,"&lt;"&amp;D2860,$D$5:$D$3004,"&gt;"&amp;C2860)&gt;1,"⚠️ пересечение",""))</f>
        <v/>
      </c>
      <c r="M2860" s="54">
        <f>IF(F2860="","",IF(J2860="✅ Сделано","✔ ",IF(J2860="❌ Пропущено","✖ ","⏰ "))&amp;IF(C2860="","",RIGHT("0"&amp;HOUR(C2860),2)&amp;":"&amp;RIGHT("0"&amp;MINUTE(C2860),2)&amp;IF(D2860="","","–"&amp;RIGHT("0"&amp;HOUR(D2860),2)&amp;":"&amp;RIGHT("0"&amp;MINUTE(D2860),2))&amp;" ")&amp;F2860)</f>
        <v/>
      </c>
      <c r="N2860" s="54">
        <f>IF(OR(A2860="",F2860=""),"",A2860&amp;"#"&amp;(COUNTIFS($A$5:$A$3004,A2860,$F$5:$F$3004,"?*",$O$5:$O$3004,"&lt;"&amp;O2860)+COUNTIFS($A$5:A2860,A2860,$F$5:F2860,"?*",$O$5:O2860,O2860)))</f>
        <v/>
      </c>
      <c r="O2860" s="54">
        <f>IF(A2860="","",IF(C2860="",0,C2860))</f>
        <v/>
      </c>
    </row>
    <row r="2861">
      <c r="A2861" s="58" t="n"/>
      <c r="B2861" s="49">
        <f>IF(A2861="","",CHOOSE(WEEKDAY(A2861,2),"Пн","Вт","Ср","Чт","Пт","Сб","Вс"))</f>
        <v/>
      </c>
      <c r="C2861" s="59" t="n"/>
      <c r="D2861" s="59" t="n"/>
      <c r="E2861" s="60">
        <f>IF(OR(C2861="",D2861=""),"",MOD(D2861-C2861,1)*24)</f>
        <v/>
      </c>
      <c r="F2861" s="50" t="n"/>
      <c r="G2861" s="51" t="n"/>
      <c r="H2861" s="51" t="n"/>
      <c r="I2861" s="51" t="n"/>
      <c r="J2861" s="51" t="n"/>
      <c r="K2861" s="51" t="n"/>
      <c r="L2861" s="54">
        <f>IF(OR(A2861="",C2861="",D2861=""),"",IF(COUNTIFS($A$5:$A$3004,A2861,$C$5:$C$3004,"&lt;"&amp;D2861,$D$5:$D$3004,"&gt;"&amp;C2861)&gt;1,"⚠️ пересечение",""))</f>
        <v/>
      </c>
      <c r="M2861" s="54">
        <f>IF(F2861="","",IF(J2861="✅ Сделано","✔ ",IF(J2861="❌ Пропущено","✖ ","⏰ "))&amp;IF(C2861="","",RIGHT("0"&amp;HOUR(C2861),2)&amp;":"&amp;RIGHT("0"&amp;MINUTE(C2861),2)&amp;IF(D2861="","","–"&amp;RIGHT("0"&amp;HOUR(D2861),2)&amp;":"&amp;RIGHT("0"&amp;MINUTE(D2861),2))&amp;" ")&amp;F2861)</f>
        <v/>
      </c>
      <c r="N2861" s="54">
        <f>IF(OR(A2861="",F2861=""),"",A2861&amp;"#"&amp;(COUNTIFS($A$5:$A$3004,A2861,$F$5:$F$3004,"?*",$O$5:$O$3004,"&lt;"&amp;O2861)+COUNTIFS($A$5:A2861,A2861,$F$5:F2861,"?*",$O$5:O2861,O2861)))</f>
        <v/>
      </c>
      <c r="O2861" s="54">
        <f>IF(A2861="","",IF(C2861="",0,C2861))</f>
        <v/>
      </c>
    </row>
    <row r="2862">
      <c r="A2862" s="58" t="n"/>
      <c r="B2862" s="49">
        <f>IF(A2862="","",CHOOSE(WEEKDAY(A2862,2),"Пн","Вт","Ср","Чт","Пт","Сб","Вс"))</f>
        <v/>
      </c>
      <c r="C2862" s="59" t="n"/>
      <c r="D2862" s="59" t="n"/>
      <c r="E2862" s="60">
        <f>IF(OR(C2862="",D2862=""),"",MOD(D2862-C2862,1)*24)</f>
        <v/>
      </c>
      <c r="F2862" s="50" t="n"/>
      <c r="G2862" s="51" t="n"/>
      <c r="H2862" s="51" t="n"/>
      <c r="I2862" s="51" t="n"/>
      <c r="J2862" s="51" t="n"/>
      <c r="K2862" s="51" t="n"/>
      <c r="L2862" s="54">
        <f>IF(OR(A2862="",C2862="",D2862=""),"",IF(COUNTIFS($A$5:$A$3004,A2862,$C$5:$C$3004,"&lt;"&amp;D2862,$D$5:$D$3004,"&gt;"&amp;C2862)&gt;1,"⚠️ пересечение",""))</f>
        <v/>
      </c>
      <c r="M2862" s="54">
        <f>IF(F2862="","",IF(J2862="✅ Сделано","✔ ",IF(J2862="❌ Пропущено","✖ ","⏰ "))&amp;IF(C2862="","",RIGHT("0"&amp;HOUR(C2862),2)&amp;":"&amp;RIGHT("0"&amp;MINUTE(C2862),2)&amp;IF(D2862="","","–"&amp;RIGHT("0"&amp;HOUR(D2862),2)&amp;":"&amp;RIGHT("0"&amp;MINUTE(D2862),2))&amp;" ")&amp;F2862)</f>
        <v/>
      </c>
      <c r="N2862" s="54">
        <f>IF(OR(A2862="",F2862=""),"",A2862&amp;"#"&amp;(COUNTIFS($A$5:$A$3004,A2862,$F$5:$F$3004,"?*",$O$5:$O$3004,"&lt;"&amp;O2862)+COUNTIFS($A$5:A2862,A2862,$F$5:F2862,"?*",$O$5:O2862,O2862)))</f>
        <v/>
      </c>
      <c r="O2862" s="54">
        <f>IF(A2862="","",IF(C2862="",0,C2862))</f>
        <v/>
      </c>
    </row>
    <row r="2863">
      <c r="A2863" s="58" t="n"/>
      <c r="B2863" s="49">
        <f>IF(A2863="","",CHOOSE(WEEKDAY(A2863,2),"Пн","Вт","Ср","Чт","Пт","Сб","Вс"))</f>
        <v/>
      </c>
      <c r="C2863" s="59" t="n"/>
      <c r="D2863" s="59" t="n"/>
      <c r="E2863" s="60">
        <f>IF(OR(C2863="",D2863=""),"",MOD(D2863-C2863,1)*24)</f>
        <v/>
      </c>
      <c r="F2863" s="50" t="n"/>
      <c r="G2863" s="51" t="n"/>
      <c r="H2863" s="51" t="n"/>
      <c r="I2863" s="51" t="n"/>
      <c r="J2863" s="51" t="n"/>
      <c r="K2863" s="51" t="n"/>
      <c r="L2863" s="54">
        <f>IF(OR(A2863="",C2863="",D2863=""),"",IF(COUNTIFS($A$5:$A$3004,A2863,$C$5:$C$3004,"&lt;"&amp;D2863,$D$5:$D$3004,"&gt;"&amp;C2863)&gt;1,"⚠️ пересечение",""))</f>
        <v/>
      </c>
      <c r="M2863" s="54">
        <f>IF(F2863="","",IF(J2863="✅ Сделано","✔ ",IF(J2863="❌ Пропущено","✖ ","⏰ "))&amp;IF(C2863="","",RIGHT("0"&amp;HOUR(C2863),2)&amp;":"&amp;RIGHT("0"&amp;MINUTE(C2863),2)&amp;IF(D2863="","","–"&amp;RIGHT("0"&amp;HOUR(D2863),2)&amp;":"&amp;RIGHT("0"&amp;MINUTE(D2863),2))&amp;" ")&amp;F2863)</f>
        <v/>
      </c>
      <c r="N2863" s="54">
        <f>IF(OR(A2863="",F2863=""),"",A2863&amp;"#"&amp;(COUNTIFS($A$5:$A$3004,A2863,$F$5:$F$3004,"?*",$O$5:$O$3004,"&lt;"&amp;O2863)+COUNTIFS($A$5:A2863,A2863,$F$5:F2863,"?*",$O$5:O2863,O2863)))</f>
        <v/>
      </c>
      <c r="O2863" s="54">
        <f>IF(A2863="","",IF(C2863="",0,C2863))</f>
        <v/>
      </c>
    </row>
    <row r="2864">
      <c r="A2864" s="58" t="n"/>
      <c r="B2864" s="49">
        <f>IF(A2864="","",CHOOSE(WEEKDAY(A2864,2),"Пн","Вт","Ср","Чт","Пт","Сб","Вс"))</f>
        <v/>
      </c>
      <c r="C2864" s="59" t="n"/>
      <c r="D2864" s="59" t="n"/>
      <c r="E2864" s="60">
        <f>IF(OR(C2864="",D2864=""),"",MOD(D2864-C2864,1)*24)</f>
        <v/>
      </c>
      <c r="F2864" s="50" t="n"/>
      <c r="G2864" s="51" t="n"/>
      <c r="H2864" s="51" t="n"/>
      <c r="I2864" s="51" t="n"/>
      <c r="J2864" s="51" t="n"/>
      <c r="K2864" s="51" t="n"/>
      <c r="L2864" s="54">
        <f>IF(OR(A2864="",C2864="",D2864=""),"",IF(COUNTIFS($A$5:$A$3004,A2864,$C$5:$C$3004,"&lt;"&amp;D2864,$D$5:$D$3004,"&gt;"&amp;C2864)&gt;1,"⚠️ пересечение",""))</f>
        <v/>
      </c>
      <c r="M2864" s="54">
        <f>IF(F2864="","",IF(J2864="✅ Сделано","✔ ",IF(J2864="❌ Пропущено","✖ ","⏰ "))&amp;IF(C2864="","",RIGHT("0"&amp;HOUR(C2864),2)&amp;":"&amp;RIGHT("0"&amp;MINUTE(C2864),2)&amp;IF(D2864="","","–"&amp;RIGHT("0"&amp;HOUR(D2864),2)&amp;":"&amp;RIGHT("0"&amp;MINUTE(D2864),2))&amp;" ")&amp;F2864)</f>
        <v/>
      </c>
      <c r="N2864" s="54">
        <f>IF(OR(A2864="",F2864=""),"",A2864&amp;"#"&amp;(COUNTIFS($A$5:$A$3004,A2864,$F$5:$F$3004,"?*",$O$5:$O$3004,"&lt;"&amp;O2864)+COUNTIFS($A$5:A2864,A2864,$F$5:F2864,"?*",$O$5:O2864,O2864)))</f>
        <v/>
      </c>
      <c r="O2864" s="54">
        <f>IF(A2864="","",IF(C2864="",0,C2864))</f>
        <v/>
      </c>
    </row>
    <row r="2865">
      <c r="A2865" s="58" t="n"/>
      <c r="B2865" s="49">
        <f>IF(A2865="","",CHOOSE(WEEKDAY(A2865,2),"Пн","Вт","Ср","Чт","Пт","Сб","Вс"))</f>
        <v/>
      </c>
      <c r="C2865" s="59" t="n"/>
      <c r="D2865" s="59" t="n"/>
      <c r="E2865" s="60">
        <f>IF(OR(C2865="",D2865=""),"",MOD(D2865-C2865,1)*24)</f>
        <v/>
      </c>
      <c r="F2865" s="50" t="n"/>
      <c r="G2865" s="51" t="n"/>
      <c r="H2865" s="51" t="n"/>
      <c r="I2865" s="51" t="n"/>
      <c r="J2865" s="51" t="n"/>
      <c r="K2865" s="51" t="n"/>
      <c r="L2865" s="54">
        <f>IF(OR(A2865="",C2865="",D2865=""),"",IF(COUNTIFS($A$5:$A$3004,A2865,$C$5:$C$3004,"&lt;"&amp;D2865,$D$5:$D$3004,"&gt;"&amp;C2865)&gt;1,"⚠️ пересечение",""))</f>
        <v/>
      </c>
      <c r="M2865" s="54">
        <f>IF(F2865="","",IF(J2865="✅ Сделано","✔ ",IF(J2865="❌ Пропущено","✖ ","⏰ "))&amp;IF(C2865="","",RIGHT("0"&amp;HOUR(C2865),2)&amp;":"&amp;RIGHT("0"&amp;MINUTE(C2865),2)&amp;IF(D2865="","","–"&amp;RIGHT("0"&amp;HOUR(D2865),2)&amp;":"&amp;RIGHT("0"&amp;MINUTE(D2865),2))&amp;" ")&amp;F2865)</f>
        <v/>
      </c>
      <c r="N2865" s="54">
        <f>IF(OR(A2865="",F2865=""),"",A2865&amp;"#"&amp;(COUNTIFS($A$5:$A$3004,A2865,$F$5:$F$3004,"?*",$O$5:$O$3004,"&lt;"&amp;O2865)+COUNTIFS($A$5:A2865,A2865,$F$5:F2865,"?*",$O$5:O2865,O2865)))</f>
        <v/>
      </c>
      <c r="O2865" s="54">
        <f>IF(A2865="","",IF(C2865="",0,C2865))</f>
        <v/>
      </c>
    </row>
    <row r="2866">
      <c r="A2866" s="58" t="n"/>
      <c r="B2866" s="49">
        <f>IF(A2866="","",CHOOSE(WEEKDAY(A2866,2),"Пн","Вт","Ср","Чт","Пт","Сб","Вс"))</f>
        <v/>
      </c>
      <c r="C2866" s="59" t="n"/>
      <c r="D2866" s="59" t="n"/>
      <c r="E2866" s="60">
        <f>IF(OR(C2866="",D2866=""),"",MOD(D2866-C2866,1)*24)</f>
        <v/>
      </c>
      <c r="F2866" s="50" t="n"/>
      <c r="G2866" s="51" t="n"/>
      <c r="H2866" s="51" t="n"/>
      <c r="I2866" s="51" t="n"/>
      <c r="J2866" s="51" t="n"/>
      <c r="K2866" s="51" t="n"/>
      <c r="L2866" s="54">
        <f>IF(OR(A2866="",C2866="",D2866=""),"",IF(COUNTIFS($A$5:$A$3004,A2866,$C$5:$C$3004,"&lt;"&amp;D2866,$D$5:$D$3004,"&gt;"&amp;C2866)&gt;1,"⚠️ пересечение",""))</f>
        <v/>
      </c>
      <c r="M2866" s="54">
        <f>IF(F2866="","",IF(J2866="✅ Сделано","✔ ",IF(J2866="❌ Пропущено","✖ ","⏰ "))&amp;IF(C2866="","",RIGHT("0"&amp;HOUR(C2866),2)&amp;":"&amp;RIGHT("0"&amp;MINUTE(C2866),2)&amp;IF(D2866="","","–"&amp;RIGHT("0"&amp;HOUR(D2866),2)&amp;":"&amp;RIGHT("0"&amp;MINUTE(D2866),2))&amp;" ")&amp;F2866)</f>
        <v/>
      </c>
      <c r="N2866" s="54">
        <f>IF(OR(A2866="",F2866=""),"",A2866&amp;"#"&amp;(COUNTIFS($A$5:$A$3004,A2866,$F$5:$F$3004,"?*",$O$5:$O$3004,"&lt;"&amp;O2866)+COUNTIFS($A$5:A2866,A2866,$F$5:F2866,"?*",$O$5:O2866,O2866)))</f>
        <v/>
      </c>
      <c r="O2866" s="54">
        <f>IF(A2866="","",IF(C2866="",0,C2866))</f>
        <v/>
      </c>
    </row>
    <row r="2867">
      <c r="A2867" s="58" t="n"/>
      <c r="B2867" s="49">
        <f>IF(A2867="","",CHOOSE(WEEKDAY(A2867,2),"Пн","Вт","Ср","Чт","Пт","Сб","Вс"))</f>
        <v/>
      </c>
      <c r="C2867" s="59" t="n"/>
      <c r="D2867" s="59" t="n"/>
      <c r="E2867" s="60">
        <f>IF(OR(C2867="",D2867=""),"",MOD(D2867-C2867,1)*24)</f>
        <v/>
      </c>
      <c r="F2867" s="50" t="n"/>
      <c r="G2867" s="51" t="n"/>
      <c r="H2867" s="51" t="n"/>
      <c r="I2867" s="51" t="n"/>
      <c r="J2867" s="51" t="n"/>
      <c r="K2867" s="51" t="n"/>
      <c r="L2867" s="54">
        <f>IF(OR(A2867="",C2867="",D2867=""),"",IF(COUNTIFS($A$5:$A$3004,A2867,$C$5:$C$3004,"&lt;"&amp;D2867,$D$5:$D$3004,"&gt;"&amp;C2867)&gt;1,"⚠️ пересечение",""))</f>
        <v/>
      </c>
      <c r="M2867" s="54">
        <f>IF(F2867="","",IF(J2867="✅ Сделано","✔ ",IF(J2867="❌ Пропущено","✖ ","⏰ "))&amp;IF(C2867="","",RIGHT("0"&amp;HOUR(C2867),2)&amp;":"&amp;RIGHT("0"&amp;MINUTE(C2867),2)&amp;IF(D2867="","","–"&amp;RIGHT("0"&amp;HOUR(D2867),2)&amp;":"&amp;RIGHT("0"&amp;MINUTE(D2867),2))&amp;" ")&amp;F2867)</f>
        <v/>
      </c>
      <c r="N2867" s="54">
        <f>IF(OR(A2867="",F2867=""),"",A2867&amp;"#"&amp;(COUNTIFS($A$5:$A$3004,A2867,$F$5:$F$3004,"?*",$O$5:$O$3004,"&lt;"&amp;O2867)+COUNTIFS($A$5:A2867,A2867,$F$5:F2867,"?*",$O$5:O2867,O2867)))</f>
        <v/>
      </c>
      <c r="O2867" s="54">
        <f>IF(A2867="","",IF(C2867="",0,C2867))</f>
        <v/>
      </c>
    </row>
    <row r="2868">
      <c r="A2868" s="58" t="n"/>
      <c r="B2868" s="49">
        <f>IF(A2868="","",CHOOSE(WEEKDAY(A2868,2),"Пн","Вт","Ср","Чт","Пт","Сб","Вс"))</f>
        <v/>
      </c>
      <c r="C2868" s="59" t="n"/>
      <c r="D2868" s="59" t="n"/>
      <c r="E2868" s="60">
        <f>IF(OR(C2868="",D2868=""),"",MOD(D2868-C2868,1)*24)</f>
        <v/>
      </c>
      <c r="F2868" s="50" t="n"/>
      <c r="G2868" s="51" t="n"/>
      <c r="H2868" s="51" t="n"/>
      <c r="I2868" s="51" t="n"/>
      <c r="J2868" s="51" t="n"/>
      <c r="K2868" s="51" t="n"/>
      <c r="L2868" s="54">
        <f>IF(OR(A2868="",C2868="",D2868=""),"",IF(COUNTIFS($A$5:$A$3004,A2868,$C$5:$C$3004,"&lt;"&amp;D2868,$D$5:$D$3004,"&gt;"&amp;C2868)&gt;1,"⚠️ пересечение",""))</f>
        <v/>
      </c>
      <c r="M2868" s="54">
        <f>IF(F2868="","",IF(J2868="✅ Сделано","✔ ",IF(J2868="❌ Пропущено","✖ ","⏰ "))&amp;IF(C2868="","",RIGHT("0"&amp;HOUR(C2868),2)&amp;":"&amp;RIGHT("0"&amp;MINUTE(C2868),2)&amp;IF(D2868="","","–"&amp;RIGHT("0"&amp;HOUR(D2868),2)&amp;":"&amp;RIGHT("0"&amp;MINUTE(D2868),2))&amp;" ")&amp;F2868)</f>
        <v/>
      </c>
      <c r="N2868" s="54">
        <f>IF(OR(A2868="",F2868=""),"",A2868&amp;"#"&amp;(COUNTIFS($A$5:$A$3004,A2868,$F$5:$F$3004,"?*",$O$5:$O$3004,"&lt;"&amp;O2868)+COUNTIFS($A$5:A2868,A2868,$F$5:F2868,"?*",$O$5:O2868,O2868)))</f>
        <v/>
      </c>
      <c r="O2868" s="54">
        <f>IF(A2868="","",IF(C2868="",0,C2868))</f>
        <v/>
      </c>
    </row>
    <row r="2869">
      <c r="A2869" s="58" t="n"/>
      <c r="B2869" s="49">
        <f>IF(A2869="","",CHOOSE(WEEKDAY(A2869,2),"Пн","Вт","Ср","Чт","Пт","Сб","Вс"))</f>
        <v/>
      </c>
      <c r="C2869" s="59" t="n"/>
      <c r="D2869" s="59" t="n"/>
      <c r="E2869" s="60">
        <f>IF(OR(C2869="",D2869=""),"",MOD(D2869-C2869,1)*24)</f>
        <v/>
      </c>
      <c r="F2869" s="50" t="n"/>
      <c r="G2869" s="51" t="n"/>
      <c r="H2869" s="51" t="n"/>
      <c r="I2869" s="51" t="n"/>
      <c r="J2869" s="51" t="n"/>
      <c r="K2869" s="51" t="n"/>
      <c r="L2869" s="54">
        <f>IF(OR(A2869="",C2869="",D2869=""),"",IF(COUNTIFS($A$5:$A$3004,A2869,$C$5:$C$3004,"&lt;"&amp;D2869,$D$5:$D$3004,"&gt;"&amp;C2869)&gt;1,"⚠️ пересечение",""))</f>
        <v/>
      </c>
      <c r="M2869" s="54">
        <f>IF(F2869="","",IF(J2869="✅ Сделано","✔ ",IF(J2869="❌ Пропущено","✖ ","⏰ "))&amp;IF(C2869="","",RIGHT("0"&amp;HOUR(C2869),2)&amp;":"&amp;RIGHT("0"&amp;MINUTE(C2869),2)&amp;IF(D2869="","","–"&amp;RIGHT("0"&amp;HOUR(D2869),2)&amp;":"&amp;RIGHT("0"&amp;MINUTE(D2869),2))&amp;" ")&amp;F2869)</f>
        <v/>
      </c>
      <c r="N2869" s="54">
        <f>IF(OR(A2869="",F2869=""),"",A2869&amp;"#"&amp;(COUNTIFS($A$5:$A$3004,A2869,$F$5:$F$3004,"?*",$O$5:$O$3004,"&lt;"&amp;O2869)+COUNTIFS($A$5:A2869,A2869,$F$5:F2869,"?*",$O$5:O2869,O2869)))</f>
        <v/>
      </c>
      <c r="O2869" s="54">
        <f>IF(A2869="","",IF(C2869="",0,C2869))</f>
        <v/>
      </c>
    </row>
    <row r="2870">
      <c r="A2870" s="58" t="n"/>
      <c r="B2870" s="49">
        <f>IF(A2870="","",CHOOSE(WEEKDAY(A2870,2),"Пн","Вт","Ср","Чт","Пт","Сб","Вс"))</f>
        <v/>
      </c>
      <c r="C2870" s="59" t="n"/>
      <c r="D2870" s="59" t="n"/>
      <c r="E2870" s="60">
        <f>IF(OR(C2870="",D2870=""),"",MOD(D2870-C2870,1)*24)</f>
        <v/>
      </c>
      <c r="F2870" s="50" t="n"/>
      <c r="G2870" s="51" t="n"/>
      <c r="H2870" s="51" t="n"/>
      <c r="I2870" s="51" t="n"/>
      <c r="J2870" s="51" t="n"/>
      <c r="K2870" s="51" t="n"/>
      <c r="L2870" s="54">
        <f>IF(OR(A2870="",C2870="",D2870=""),"",IF(COUNTIFS($A$5:$A$3004,A2870,$C$5:$C$3004,"&lt;"&amp;D2870,$D$5:$D$3004,"&gt;"&amp;C2870)&gt;1,"⚠️ пересечение",""))</f>
        <v/>
      </c>
      <c r="M2870" s="54">
        <f>IF(F2870="","",IF(J2870="✅ Сделано","✔ ",IF(J2870="❌ Пропущено","✖ ","⏰ "))&amp;IF(C2870="","",RIGHT("0"&amp;HOUR(C2870),2)&amp;":"&amp;RIGHT("0"&amp;MINUTE(C2870),2)&amp;IF(D2870="","","–"&amp;RIGHT("0"&amp;HOUR(D2870),2)&amp;":"&amp;RIGHT("0"&amp;MINUTE(D2870),2))&amp;" ")&amp;F2870)</f>
        <v/>
      </c>
      <c r="N2870" s="54">
        <f>IF(OR(A2870="",F2870=""),"",A2870&amp;"#"&amp;(COUNTIFS($A$5:$A$3004,A2870,$F$5:$F$3004,"?*",$O$5:$O$3004,"&lt;"&amp;O2870)+COUNTIFS($A$5:A2870,A2870,$F$5:F2870,"?*",$O$5:O2870,O2870)))</f>
        <v/>
      </c>
      <c r="O2870" s="54">
        <f>IF(A2870="","",IF(C2870="",0,C2870))</f>
        <v/>
      </c>
    </row>
    <row r="2871">
      <c r="A2871" s="58" t="n"/>
      <c r="B2871" s="49">
        <f>IF(A2871="","",CHOOSE(WEEKDAY(A2871,2),"Пн","Вт","Ср","Чт","Пт","Сб","Вс"))</f>
        <v/>
      </c>
      <c r="C2871" s="59" t="n"/>
      <c r="D2871" s="59" t="n"/>
      <c r="E2871" s="60">
        <f>IF(OR(C2871="",D2871=""),"",MOD(D2871-C2871,1)*24)</f>
        <v/>
      </c>
      <c r="F2871" s="50" t="n"/>
      <c r="G2871" s="51" t="n"/>
      <c r="H2871" s="51" t="n"/>
      <c r="I2871" s="51" t="n"/>
      <c r="J2871" s="51" t="n"/>
      <c r="K2871" s="51" t="n"/>
      <c r="L2871" s="54">
        <f>IF(OR(A2871="",C2871="",D2871=""),"",IF(COUNTIFS($A$5:$A$3004,A2871,$C$5:$C$3004,"&lt;"&amp;D2871,$D$5:$D$3004,"&gt;"&amp;C2871)&gt;1,"⚠️ пересечение",""))</f>
        <v/>
      </c>
      <c r="M2871" s="54">
        <f>IF(F2871="","",IF(J2871="✅ Сделано","✔ ",IF(J2871="❌ Пропущено","✖ ","⏰ "))&amp;IF(C2871="","",RIGHT("0"&amp;HOUR(C2871),2)&amp;":"&amp;RIGHT("0"&amp;MINUTE(C2871),2)&amp;IF(D2871="","","–"&amp;RIGHT("0"&amp;HOUR(D2871),2)&amp;":"&amp;RIGHT("0"&amp;MINUTE(D2871),2))&amp;" ")&amp;F2871)</f>
        <v/>
      </c>
      <c r="N2871" s="54">
        <f>IF(OR(A2871="",F2871=""),"",A2871&amp;"#"&amp;(COUNTIFS($A$5:$A$3004,A2871,$F$5:$F$3004,"?*",$O$5:$O$3004,"&lt;"&amp;O2871)+COUNTIFS($A$5:A2871,A2871,$F$5:F2871,"?*",$O$5:O2871,O2871)))</f>
        <v/>
      </c>
      <c r="O2871" s="54">
        <f>IF(A2871="","",IF(C2871="",0,C2871))</f>
        <v/>
      </c>
    </row>
    <row r="2872">
      <c r="A2872" s="58" t="n"/>
      <c r="B2872" s="49">
        <f>IF(A2872="","",CHOOSE(WEEKDAY(A2872,2),"Пн","Вт","Ср","Чт","Пт","Сб","Вс"))</f>
        <v/>
      </c>
      <c r="C2872" s="59" t="n"/>
      <c r="D2872" s="59" t="n"/>
      <c r="E2872" s="60">
        <f>IF(OR(C2872="",D2872=""),"",MOD(D2872-C2872,1)*24)</f>
        <v/>
      </c>
      <c r="F2872" s="50" t="n"/>
      <c r="G2872" s="51" t="n"/>
      <c r="H2872" s="51" t="n"/>
      <c r="I2872" s="51" t="n"/>
      <c r="J2872" s="51" t="n"/>
      <c r="K2872" s="51" t="n"/>
      <c r="L2872" s="54">
        <f>IF(OR(A2872="",C2872="",D2872=""),"",IF(COUNTIFS($A$5:$A$3004,A2872,$C$5:$C$3004,"&lt;"&amp;D2872,$D$5:$D$3004,"&gt;"&amp;C2872)&gt;1,"⚠️ пересечение",""))</f>
        <v/>
      </c>
      <c r="M2872" s="54">
        <f>IF(F2872="","",IF(J2872="✅ Сделано","✔ ",IF(J2872="❌ Пропущено","✖ ","⏰ "))&amp;IF(C2872="","",RIGHT("0"&amp;HOUR(C2872),2)&amp;":"&amp;RIGHT("0"&amp;MINUTE(C2872),2)&amp;IF(D2872="","","–"&amp;RIGHT("0"&amp;HOUR(D2872),2)&amp;":"&amp;RIGHT("0"&amp;MINUTE(D2872),2))&amp;" ")&amp;F2872)</f>
        <v/>
      </c>
      <c r="N2872" s="54">
        <f>IF(OR(A2872="",F2872=""),"",A2872&amp;"#"&amp;(COUNTIFS($A$5:$A$3004,A2872,$F$5:$F$3004,"?*",$O$5:$O$3004,"&lt;"&amp;O2872)+COUNTIFS($A$5:A2872,A2872,$F$5:F2872,"?*",$O$5:O2872,O2872)))</f>
        <v/>
      </c>
      <c r="O2872" s="54">
        <f>IF(A2872="","",IF(C2872="",0,C2872))</f>
        <v/>
      </c>
    </row>
    <row r="2873">
      <c r="A2873" s="58" t="n"/>
      <c r="B2873" s="49">
        <f>IF(A2873="","",CHOOSE(WEEKDAY(A2873,2),"Пн","Вт","Ср","Чт","Пт","Сб","Вс"))</f>
        <v/>
      </c>
      <c r="C2873" s="59" t="n"/>
      <c r="D2873" s="59" t="n"/>
      <c r="E2873" s="60">
        <f>IF(OR(C2873="",D2873=""),"",MOD(D2873-C2873,1)*24)</f>
        <v/>
      </c>
      <c r="F2873" s="50" t="n"/>
      <c r="G2873" s="51" t="n"/>
      <c r="H2873" s="51" t="n"/>
      <c r="I2873" s="51" t="n"/>
      <c r="J2873" s="51" t="n"/>
      <c r="K2873" s="51" t="n"/>
      <c r="L2873" s="54">
        <f>IF(OR(A2873="",C2873="",D2873=""),"",IF(COUNTIFS($A$5:$A$3004,A2873,$C$5:$C$3004,"&lt;"&amp;D2873,$D$5:$D$3004,"&gt;"&amp;C2873)&gt;1,"⚠️ пересечение",""))</f>
        <v/>
      </c>
      <c r="M2873" s="54">
        <f>IF(F2873="","",IF(J2873="✅ Сделано","✔ ",IF(J2873="❌ Пропущено","✖ ","⏰ "))&amp;IF(C2873="","",RIGHT("0"&amp;HOUR(C2873),2)&amp;":"&amp;RIGHT("0"&amp;MINUTE(C2873),2)&amp;IF(D2873="","","–"&amp;RIGHT("0"&amp;HOUR(D2873),2)&amp;":"&amp;RIGHT("0"&amp;MINUTE(D2873),2))&amp;" ")&amp;F2873)</f>
        <v/>
      </c>
      <c r="N2873" s="54">
        <f>IF(OR(A2873="",F2873=""),"",A2873&amp;"#"&amp;(COUNTIFS($A$5:$A$3004,A2873,$F$5:$F$3004,"?*",$O$5:$O$3004,"&lt;"&amp;O2873)+COUNTIFS($A$5:A2873,A2873,$F$5:F2873,"?*",$O$5:O2873,O2873)))</f>
        <v/>
      </c>
      <c r="O2873" s="54">
        <f>IF(A2873="","",IF(C2873="",0,C2873))</f>
        <v/>
      </c>
    </row>
    <row r="2874">
      <c r="A2874" s="58" t="n"/>
      <c r="B2874" s="49">
        <f>IF(A2874="","",CHOOSE(WEEKDAY(A2874,2),"Пн","Вт","Ср","Чт","Пт","Сб","Вс"))</f>
        <v/>
      </c>
      <c r="C2874" s="59" t="n"/>
      <c r="D2874" s="59" t="n"/>
      <c r="E2874" s="60">
        <f>IF(OR(C2874="",D2874=""),"",MOD(D2874-C2874,1)*24)</f>
        <v/>
      </c>
      <c r="F2874" s="50" t="n"/>
      <c r="G2874" s="51" t="n"/>
      <c r="H2874" s="51" t="n"/>
      <c r="I2874" s="51" t="n"/>
      <c r="J2874" s="51" t="n"/>
      <c r="K2874" s="51" t="n"/>
      <c r="L2874" s="54">
        <f>IF(OR(A2874="",C2874="",D2874=""),"",IF(COUNTIFS($A$5:$A$3004,A2874,$C$5:$C$3004,"&lt;"&amp;D2874,$D$5:$D$3004,"&gt;"&amp;C2874)&gt;1,"⚠️ пересечение",""))</f>
        <v/>
      </c>
      <c r="M2874" s="54">
        <f>IF(F2874="","",IF(J2874="✅ Сделано","✔ ",IF(J2874="❌ Пропущено","✖ ","⏰ "))&amp;IF(C2874="","",RIGHT("0"&amp;HOUR(C2874),2)&amp;":"&amp;RIGHT("0"&amp;MINUTE(C2874),2)&amp;IF(D2874="","","–"&amp;RIGHT("0"&amp;HOUR(D2874),2)&amp;":"&amp;RIGHT("0"&amp;MINUTE(D2874),2))&amp;" ")&amp;F2874)</f>
        <v/>
      </c>
      <c r="N2874" s="54">
        <f>IF(OR(A2874="",F2874=""),"",A2874&amp;"#"&amp;(COUNTIFS($A$5:$A$3004,A2874,$F$5:$F$3004,"?*",$O$5:$O$3004,"&lt;"&amp;O2874)+COUNTIFS($A$5:A2874,A2874,$F$5:F2874,"?*",$O$5:O2874,O2874)))</f>
        <v/>
      </c>
      <c r="O2874" s="54">
        <f>IF(A2874="","",IF(C2874="",0,C2874))</f>
        <v/>
      </c>
    </row>
    <row r="2875">
      <c r="A2875" s="58" t="n"/>
      <c r="B2875" s="49">
        <f>IF(A2875="","",CHOOSE(WEEKDAY(A2875,2),"Пн","Вт","Ср","Чт","Пт","Сб","Вс"))</f>
        <v/>
      </c>
      <c r="C2875" s="59" t="n"/>
      <c r="D2875" s="59" t="n"/>
      <c r="E2875" s="60">
        <f>IF(OR(C2875="",D2875=""),"",MOD(D2875-C2875,1)*24)</f>
        <v/>
      </c>
      <c r="F2875" s="50" t="n"/>
      <c r="G2875" s="51" t="n"/>
      <c r="H2875" s="51" t="n"/>
      <c r="I2875" s="51" t="n"/>
      <c r="J2875" s="51" t="n"/>
      <c r="K2875" s="51" t="n"/>
      <c r="L2875" s="54">
        <f>IF(OR(A2875="",C2875="",D2875=""),"",IF(COUNTIFS($A$5:$A$3004,A2875,$C$5:$C$3004,"&lt;"&amp;D2875,$D$5:$D$3004,"&gt;"&amp;C2875)&gt;1,"⚠️ пересечение",""))</f>
        <v/>
      </c>
      <c r="M2875" s="54">
        <f>IF(F2875="","",IF(J2875="✅ Сделано","✔ ",IF(J2875="❌ Пропущено","✖ ","⏰ "))&amp;IF(C2875="","",RIGHT("0"&amp;HOUR(C2875),2)&amp;":"&amp;RIGHT("0"&amp;MINUTE(C2875),2)&amp;IF(D2875="","","–"&amp;RIGHT("0"&amp;HOUR(D2875),2)&amp;":"&amp;RIGHT("0"&amp;MINUTE(D2875),2))&amp;" ")&amp;F2875)</f>
        <v/>
      </c>
      <c r="N2875" s="54">
        <f>IF(OR(A2875="",F2875=""),"",A2875&amp;"#"&amp;(COUNTIFS($A$5:$A$3004,A2875,$F$5:$F$3004,"?*",$O$5:$O$3004,"&lt;"&amp;O2875)+COUNTIFS($A$5:A2875,A2875,$F$5:F2875,"?*",$O$5:O2875,O2875)))</f>
        <v/>
      </c>
      <c r="O2875" s="54">
        <f>IF(A2875="","",IF(C2875="",0,C2875))</f>
        <v/>
      </c>
    </row>
    <row r="2876">
      <c r="A2876" s="58" t="n"/>
      <c r="B2876" s="49">
        <f>IF(A2876="","",CHOOSE(WEEKDAY(A2876,2),"Пн","Вт","Ср","Чт","Пт","Сб","Вс"))</f>
        <v/>
      </c>
      <c r="C2876" s="59" t="n"/>
      <c r="D2876" s="59" t="n"/>
      <c r="E2876" s="60">
        <f>IF(OR(C2876="",D2876=""),"",MOD(D2876-C2876,1)*24)</f>
        <v/>
      </c>
      <c r="F2876" s="50" t="n"/>
      <c r="G2876" s="51" t="n"/>
      <c r="H2876" s="51" t="n"/>
      <c r="I2876" s="51" t="n"/>
      <c r="J2876" s="51" t="n"/>
      <c r="K2876" s="51" t="n"/>
      <c r="L2876" s="54">
        <f>IF(OR(A2876="",C2876="",D2876=""),"",IF(COUNTIFS($A$5:$A$3004,A2876,$C$5:$C$3004,"&lt;"&amp;D2876,$D$5:$D$3004,"&gt;"&amp;C2876)&gt;1,"⚠️ пересечение",""))</f>
        <v/>
      </c>
      <c r="M2876" s="54">
        <f>IF(F2876="","",IF(J2876="✅ Сделано","✔ ",IF(J2876="❌ Пропущено","✖ ","⏰ "))&amp;IF(C2876="","",RIGHT("0"&amp;HOUR(C2876),2)&amp;":"&amp;RIGHT("0"&amp;MINUTE(C2876),2)&amp;IF(D2876="","","–"&amp;RIGHT("0"&amp;HOUR(D2876),2)&amp;":"&amp;RIGHT("0"&amp;MINUTE(D2876),2))&amp;" ")&amp;F2876)</f>
        <v/>
      </c>
      <c r="N2876" s="54">
        <f>IF(OR(A2876="",F2876=""),"",A2876&amp;"#"&amp;(COUNTIFS($A$5:$A$3004,A2876,$F$5:$F$3004,"?*",$O$5:$O$3004,"&lt;"&amp;O2876)+COUNTIFS($A$5:A2876,A2876,$F$5:F2876,"?*",$O$5:O2876,O2876)))</f>
        <v/>
      </c>
      <c r="O2876" s="54">
        <f>IF(A2876="","",IF(C2876="",0,C2876))</f>
        <v/>
      </c>
    </row>
    <row r="2877">
      <c r="A2877" s="58" t="n"/>
      <c r="B2877" s="49">
        <f>IF(A2877="","",CHOOSE(WEEKDAY(A2877,2),"Пн","Вт","Ср","Чт","Пт","Сб","Вс"))</f>
        <v/>
      </c>
      <c r="C2877" s="59" t="n"/>
      <c r="D2877" s="59" t="n"/>
      <c r="E2877" s="60">
        <f>IF(OR(C2877="",D2877=""),"",MOD(D2877-C2877,1)*24)</f>
        <v/>
      </c>
      <c r="F2877" s="50" t="n"/>
      <c r="G2877" s="51" t="n"/>
      <c r="H2877" s="51" t="n"/>
      <c r="I2877" s="51" t="n"/>
      <c r="J2877" s="51" t="n"/>
      <c r="K2877" s="51" t="n"/>
      <c r="L2877" s="54">
        <f>IF(OR(A2877="",C2877="",D2877=""),"",IF(COUNTIFS($A$5:$A$3004,A2877,$C$5:$C$3004,"&lt;"&amp;D2877,$D$5:$D$3004,"&gt;"&amp;C2877)&gt;1,"⚠️ пересечение",""))</f>
        <v/>
      </c>
      <c r="M2877" s="54">
        <f>IF(F2877="","",IF(J2877="✅ Сделано","✔ ",IF(J2877="❌ Пропущено","✖ ","⏰ "))&amp;IF(C2877="","",RIGHT("0"&amp;HOUR(C2877),2)&amp;":"&amp;RIGHT("0"&amp;MINUTE(C2877),2)&amp;IF(D2877="","","–"&amp;RIGHT("0"&amp;HOUR(D2877),2)&amp;":"&amp;RIGHT("0"&amp;MINUTE(D2877),2))&amp;" ")&amp;F2877)</f>
        <v/>
      </c>
      <c r="N2877" s="54">
        <f>IF(OR(A2877="",F2877=""),"",A2877&amp;"#"&amp;(COUNTIFS($A$5:$A$3004,A2877,$F$5:$F$3004,"?*",$O$5:$O$3004,"&lt;"&amp;O2877)+COUNTIFS($A$5:A2877,A2877,$F$5:F2877,"?*",$O$5:O2877,O2877)))</f>
        <v/>
      </c>
      <c r="O2877" s="54">
        <f>IF(A2877="","",IF(C2877="",0,C2877))</f>
        <v/>
      </c>
    </row>
    <row r="2878">
      <c r="A2878" s="58" t="n"/>
      <c r="B2878" s="49">
        <f>IF(A2878="","",CHOOSE(WEEKDAY(A2878,2),"Пн","Вт","Ср","Чт","Пт","Сб","Вс"))</f>
        <v/>
      </c>
      <c r="C2878" s="59" t="n"/>
      <c r="D2878" s="59" t="n"/>
      <c r="E2878" s="60">
        <f>IF(OR(C2878="",D2878=""),"",MOD(D2878-C2878,1)*24)</f>
        <v/>
      </c>
      <c r="F2878" s="50" t="n"/>
      <c r="G2878" s="51" t="n"/>
      <c r="H2878" s="51" t="n"/>
      <c r="I2878" s="51" t="n"/>
      <c r="J2878" s="51" t="n"/>
      <c r="K2878" s="51" t="n"/>
      <c r="L2878" s="54">
        <f>IF(OR(A2878="",C2878="",D2878=""),"",IF(COUNTIFS($A$5:$A$3004,A2878,$C$5:$C$3004,"&lt;"&amp;D2878,$D$5:$D$3004,"&gt;"&amp;C2878)&gt;1,"⚠️ пересечение",""))</f>
        <v/>
      </c>
      <c r="M2878" s="54">
        <f>IF(F2878="","",IF(J2878="✅ Сделано","✔ ",IF(J2878="❌ Пропущено","✖ ","⏰ "))&amp;IF(C2878="","",RIGHT("0"&amp;HOUR(C2878),2)&amp;":"&amp;RIGHT("0"&amp;MINUTE(C2878),2)&amp;IF(D2878="","","–"&amp;RIGHT("0"&amp;HOUR(D2878),2)&amp;":"&amp;RIGHT("0"&amp;MINUTE(D2878),2))&amp;" ")&amp;F2878)</f>
        <v/>
      </c>
      <c r="N2878" s="54">
        <f>IF(OR(A2878="",F2878=""),"",A2878&amp;"#"&amp;(COUNTIFS($A$5:$A$3004,A2878,$F$5:$F$3004,"?*",$O$5:$O$3004,"&lt;"&amp;O2878)+COUNTIFS($A$5:A2878,A2878,$F$5:F2878,"?*",$O$5:O2878,O2878)))</f>
        <v/>
      </c>
      <c r="O2878" s="54">
        <f>IF(A2878="","",IF(C2878="",0,C2878))</f>
        <v/>
      </c>
    </row>
    <row r="2879">
      <c r="A2879" s="58" t="n"/>
      <c r="B2879" s="49">
        <f>IF(A2879="","",CHOOSE(WEEKDAY(A2879,2),"Пн","Вт","Ср","Чт","Пт","Сб","Вс"))</f>
        <v/>
      </c>
      <c r="C2879" s="59" t="n"/>
      <c r="D2879" s="59" t="n"/>
      <c r="E2879" s="60">
        <f>IF(OR(C2879="",D2879=""),"",MOD(D2879-C2879,1)*24)</f>
        <v/>
      </c>
      <c r="F2879" s="50" t="n"/>
      <c r="G2879" s="51" t="n"/>
      <c r="H2879" s="51" t="n"/>
      <c r="I2879" s="51" t="n"/>
      <c r="J2879" s="51" t="n"/>
      <c r="K2879" s="51" t="n"/>
      <c r="L2879" s="54">
        <f>IF(OR(A2879="",C2879="",D2879=""),"",IF(COUNTIFS($A$5:$A$3004,A2879,$C$5:$C$3004,"&lt;"&amp;D2879,$D$5:$D$3004,"&gt;"&amp;C2879)&gt;1,"⚠️ пересечение",""))</f>
        <v/>
      </c>
      <c r="M2879" s="54">
        <f>IF(F2879="","",IF(J2879="✅ Сделано","✔ ",IF(J2879="❌ Пропущено","✖ ","⏰ "))&amp;IF(C2879="","",RIGHT("0"&amp;HOUR(C2879),2)&amp;":"&amp;RIGHT("0"&amp;MINUTE(C2879),2)&amp;IF(D2879="","","–"&amp;RIGHT("0"&amp;HOUR(D2879),2)&amp;":"&amp;RIGHT("0"&amp;MINUTE(D2879),2))&amp;" ")&amp;F2879)</f>
        <v/>
      </c>
      <c r="N2879" s="54">
        <f>IF(OR(A2879="",F2879=""),"",A2879&amp;"#"&amp;(COUNTIFS($A$5:$A$3004,A2879,$F$5:$F$3004,"?*",$O$5:$O$3004,"&lt;"&amp;O2879)+COUNTIFS($A$5:A2879,A2879,$F$5:F2879,"?*",$O$5:O2879,O2879)))</f>
        <v/>
      </c>
      <c r="O2879" s="54">
        <f>IF(A2879="","",IF(C2879="",0,C2879))</f>
        <v/>
      </c>
    </row>
    <row r="2880">
      <c r="A2880" s="58" t="n"/>
      <c r="B2880" s="49">
        <f>IF(A2880="","",CHOOSE(WEEKDAY(A2880,2),"Пн","Вт","Ср","Чт","Пт","Сб","Вс"))</f>
        <v/>
      </c>
      <c r="C2880" s="59" t="n"/>
      <c r="D2880" s="59" t="n"/>
      <c r="E2880" s="60">
        <f>IF(OR(C2880="",D2880=""),"",MOD(D2880-C2880,1)*24)</f>
        <v/>
      </c>
      <c r="F2880" s="50" t="n"/>
      <c r="G2880" s="51" t="n"/>
      <c r="H2880" s="51" t="n"/>
      <c r="I2880" s="51" t="n"/>
      <c r="J2880" s="51" t="n"/>
      <c r="K2880" s="51" t="n"/>
      <c r="L2880" s="54">
        <f>IF(OR(A2880="",C2880="",D2880=""),"",IF(COUNTIFS($A$5:$A$3004,A2880,$C$5:$C$3004,"&lt;"&amp;D2880,$D$5:$D$3004,"&gt;"&amp;C2880)&gt;1,"⚠️ пересечение",""))</f>
        <v/>
      </c>
      <c r="M2880" s="54">
        <f>IF(F2880="","",IF(J2880="✅ Сделано","✔ ",IF(J2880="❌ Пропущено","✖ ","⏰ "))&amp;IF(C2880="","",RIGHT("0"&amp;HOUR(C2880),2)&amp;":"&amp;RIGHT("0"&amp;MINUTE(C2880),2)&amp;IF(D2880="","","–"&amp;RIGHT("0"&amp;HOUR(D2880),2)&amp;":"&amp;RIGHT("0"&amp;MINUTE(D2880),2))&amp;" ")&amp;F2880)</f>
        <v/>
      </c>
      <c r="N2880" s="54">
        <f>IF(OR(A2880="",F2880=""),"",A2880&amp;"#"&amp;(COUNTIFS($A$5:$A$3004,A2880,$F$5:$F$3004,"?*",$O$5:$O$3004,"&lt;"&amp;O2880)+COUNTIFS($A$5:A2880,A2880,$F$5:F2880,"?*",$O$5:O2880,O2880)))</f>
        <v/>
      </c>
      <c r="O2880" s="54">
        <f>IF(A2880="","",IF(C2880="",0,C2880))</f>
        <v/>
      </c>
    </row>
    <row r="2881">
      <c r="A2881" s="58" t="n"/>
      <c r="B2881" s="49">
        <f>IF(A2881="","",CHOOSE(WEEKDAY(A2881,2),"Пн","Вт","Ср","Чт","Пт","Сб","Вс"))</f>
        <v/>
      </c>
      <c r="C2881" s="59" t="n"/>
      <c r="D2881" s="59" t="n"/>
      <c r="E2881" s="60">
        <f>IF(OR(C2881="",D2881=""),"",MOD(D2881-C2881,1)*24)</f>
        <v/>
      </c>
      <c r="F2881" s="50" t="n"/>
      <c r="G2881" s="51" t="n"/>
      <c r="H2881" s="51" t="n"/>
      <c r="I2881" s="51" t="n"/>
      <c r="J2881" s="51" t="n"/>
      <c r="K2881" s="51" t="n"/>
      <c r="L2881" s="54">
        <f>IF(OR(A2881="",C2881="",D2881=""),"",IF(COUNTIFS($A$5:$A$3004,A2881,$C$5:$C$3004,"&lt;"&amp;D2881,$D$5:$D$3004,"&gt;"&amp;C2881)&gt;1,"⚠️ пересечение",""))</f>
        <v/>
      </c>
      <c r="M2881" s="54">
        <f>IF(F2881="","",IF(J2881="✅ Сделано","✔ ",IF(J2881="❌ Пропущено","✖ ","⏰ "))&amp;IF(C2881="","",RIGHT("0"&amp;HOUR(C2881),2)&amp;":"&amp;RIGHT("0"&amp;MINUTE(C2881),2)&amp;IF(D2881="","","–"&amp;RIGHT("0"&amp;HOUR(D2881),2)&amp;":"&amp;RIGHT("0"&amp;MINUTE(D2881),2))&amp;" ")&amp;F2881)</f>
        <v/>
      </c>
      <c r="N2881" s="54">
        <f>IF(OR(A2881="",F2881=""),"",A2881&amp;"#"&amp;(COUNTIFS($A$5:$A$3004,A2881,$F$5:$F$3004,"?*",$O$5:$O$3004,"&lt;"&amp;O2881)+COUNTIFS($A$5:A2881,A2881,$F$5:F2881,"?*",$O$5:O2881,O2881)))</f>
        <v/>
      </c>
      <c r="O2881" s="54">
        <f>IF(A2881="","",IF(C2881="",0,C2881))</f>
        <v/>
      </c>
    </row>
    <row r="2882">
      <c r="A2882" s="58" t="n"/>
      <c r="B2882" s="49">
        <f>IF(A2882="","",CHOOSE(WEEKDAY(A2882,2),"Пн","Вт","Ср","Чт","Пт","Сб","Вс"))</f>
        <v/>
      </c>
      <c r="C2882" s="59" t="n"/>
      <c r="D2882" s="59" t="n"/>
      <c r="E2882" s="60">
        <f>IF(OR(C2882="",D2882=""),"",MOD(D2882-C2882,1)*24)</f>
        <v/>
      </c>
      <c r="F2882" s="50" t="n"/>
      <c r="G2882" s="51" t="n"/>
      <c r="H2882" s="51" t="n"/>
      <c r="I2882" s="51" t="n"/>
      <c r="J2882" s="51" t="n"/>
      <c r="K2882" s="51" t="n"/>
      <c r="L2882" s="54">
        <f>IF(OR(A2882="",C2882="",D2882=""),"",IF(COUNTIFS($A$5:$A$3004,A2882,$C$5:$C$3004,"&lt;"&amp;D2882,$D$5:$D$3004,"&gt;"&amp;C2882)&gt;1,"⚠️ пересечение",""))</f>
        <v/>
      </c>
      <c r="M2882" s="54">
        <f>IF(F2882="","",IF(J2882="✅ Сделано","✔ ",IF(J2882="❌ Пропущено","✖ ","⏰ "))&amp;IF(C2882="","",RIGHT("0"&amp;HOUR(C2882),2)&amp;":"&amp;RIGHT("0"&amp;MINUTE(C2882),2)&amp;IF(D2882="","","–"&amp;RIGHT("0"&amp;HOUR(D2882),2)&amp;":"&amp;RIGHT("0"&amp;MINUTE(D2882),2))&amp;" ")&amp;F2882)</f>
        <v/>
      </c>
      <c r="N2882" s="54">
        <f>IF(OR(A2882="",F2882=""),"",A2882&amp;"#"&amp;(COUNTIFS($A$5:$A$3004,A2882,$F$5:$F$3004,"?*",$O$5:$O$3004,"&lt;"&amp;O2882)+COUNTIFS($A$5:A2882,A2882,$F$5:F2882,"?*",$O$5:O2882,O2882)))</f>
        <v/>
      </c>
      <c r="O2882" s="54">
        <f>IF(A2882="","",IF(C2882="",0,C2882))</f>
        <v/>
      </c>
    </row>
    <row r="2883">
      <c r="A2883" s="58" t="n"/>
      <c r="B2883" s="49">
        <f>IF(A2883="","",CHOOSE(WEEKDAY(A2883,2),"Пн","Вт","Ср","Чт","Пт","Сб","Вс"))</f>
        <v/>
      </c>
      <c r="C2883" s="59" t="n"/>
      <c r="D2883" s="59" t="n"/>
      <c r="E2883" s="60">
        <f>IF(OR(C2883="",D2883=""),"",MOD(D2883-C2883,1)*24)</f>
        <v/>
      </c>
      <c r="F2883" s="50" t="n"/>
      <c r="G2883" s="51" t="n"/>
      <c r="H2883" s="51" t="n"/>
      <c r="I2883" s="51" t="n"/>
      <c r="J2883" s="51" t="n"/>
      <c r="K2883" s="51" t="n"/>
      <c r="L2883" s="54">
        <f>IF(OR(A2883="",C2883="",D2883=""),"",IF(COUNTIFS($A$5:$A$3004,A2883,$C$5:$C$3004,"&lt;"&amp;D2883,$D$5:$D$3004,"&gt;"&amp;C2883)&gt;1,"⚠️ пересечение",""))</f>
        <v/>
      </c>
      <c r="M2883" s="54">
        <f>IF(F2883="","",IF(J2883="✅ Сделано","✔ ",IF(J2883="❌ Пропущено","✖ ","⏰ "))&amp;IF(C2883="","",RIGHT("0"&amp;HOUR(C2883),2)&amp;":"&amp;RIGHT("0"&amp;MINUTE(C2883),2)&amp;IF(D2883="","","–"&amp;RIGHT("0"&amp;HOUR(D2883),2)&amp;":"&amp;RIGHT("0"&amp;MINUTE(D2883),2))&amp;" ")&amp;F2883)</f>
        <v/>
      </c>
      <c r="N2883" s="54">
        <f>IF(OR(A2883="",F2883=""),"",A2883&amp;"#"&amp;(COUNTIFS($A$5:$A$3004,A2883,$F$5:$F$3004,"?*",$O$5:$O$3004,"&lt;"&amp;O2883)+COUNTIFS($A$5:A2883,A2883,$F$5:F2883,"?*",$O$5:O2883,O2883)))</f>
        <v/>
      </c>
      <c r="O2883" s="54">
        <f>IF(A2883="","",IF(C2883="",0,C2883))</f>
        <v/>
      </c>
    </row>
    <row r="2884">
      <c r="A2884" s="58" t="n"/>
      <c r="B2884" s="49">
        <f>IF(A2884="","",CHOOSE(WEEKDAY(A2884,2),"Пн","Вт","Ср","Чт","Пт","Сб","Вс"))</f>
        <v/>
      </c>
      <c r="C2884" s="59" t="n"/>
      <c r="D2884" s="59" t="n"/>
      <c r="E2884" s="60">
        <f>IF(OR(C2884="",D2884=""),"",MOD(D2884-C2884,1)*24)</f>
        <v/>
      </c>
      <c r="F2884" s="50" t="n"/>
      <c r="G2884" s="51" t="n"/>
      <c r="H2884" s="51" t="n"/>
      <c r="I2884" s="51" t="n"/>
      <c r="J2884" s="51" t="n"/>
      <c r="K2884" s="51" t="n"/>
      <c r="L2884" s="54">
        <f>IF(OR(A2884="",C2884="",D2884=""),"",IF(COUNTIFS($A$5:$A$3004,A2884,$C$5:$C$3004,"&lt;"&amp;D2884,$D$5:$D$3004,"&gt;"&amp;C2884)&gt;1,"⚠️ пересечение",""))</f>
        <v/>
      </c>
      <c r="M2884" s="54">
        <f>IF(F2884="","",IF(J2884="✅ Сделано","✔ ",IF(J2884="❌ Пропущено","✖ ","⏰ "))&amp;IF(C2884="","",RIGHT("0"&amp;HOUR(C2884),2)&amp;":"&amp;RIGHT("0"&amp;MINUTE(C2884),2)&amp;IF(D2884="","","–"&amp;RIGHT("0"&amp;HOUR(D2884),2)&amp;":"&amp;RIGHT("0"&amp;MINUTE(D2884),2))&amp;" ")&amp;F2884)</f>
        <v/>
      </c>
      <c r="N2884" s="54">
        <f>IF(OR(A2884="",F2884=""),"",A2884&amp;"#"&amp;(COUNTIFS($A$5:$A$3004,A2884,$F$5:$F$3004,"?*",$O$5:$O$3004,"&lt;"&amp;O2884)+COUNTIFS($A$5:A2884,A2884,$F$5:F2884,"?*",$O$5:O2884,O2884)))</f>
        <v/>
      </c>
      <c r="O2884" s="54">
        <f>IF(A2884="","",IF(C2884="",0,C2884))</f>
        <v/>
      </c>
    </row>
    <row r="2885">
      <c r="A2885" s="58" t="n"/>
      <c r="B2885" s="49">
        <f>IF(A2885="","",CHOOSE(WEEKDAY(A2885,2),"Пн","Вт","Ср","Чт","Пт","Сб","Вс"))</f>
        <v/>
      </c>
      <c r="C2885" s="59" t="n"/>
      <c r="D2885" s="59" t="n"/>
      <c r="E2885" s="60">
        <f>IF(OR(C2885="",D2885=""),"",MOD(D2885-C2885,1)*24)</f>
        <v/>
      </c>
      <c r="F2885" s="50" t="n"/>
      <c r="G2885" s="51" t="n"/>
      <c r="H2885" s="51" t="n"/>
      <c r="I2885" s="51" t="n"/>
      <c r="J2885" s="51" t="n"/>
      <c r="K2885" s="51" t="n"/>
      <c r="L2885" s="54">
        <f>IF(OR(A2885="",C2885="",D2885=""),"",IF(COUNTIFS($A$5:$A$3004,A2885,$C$5:$C$3004,"&lt;"&amp;D2885,$D$5:$D$3004,"&gt;"&amp;C2885)&gt;1,"⚠️ пересечение",""))</f>
        <v/>
      </c>
      <c r="M2885" s="54">
        <f>IF(F2885="","",IF(J2885="✅ Сделано","✔ ",IF(J2885="❌ Пропущено","✖ ","⏰ "))&amp;IF(C2885="","",RIGHT("0"&amp;HOUR(C2885),2)&amp;":"&amp;RIGHT("0"&amp;MINUTE(C2885),2)&amp;IF(D2885="","","–"&amp;RIGHT("0"&amp;HOUR(D2885),2)&amp;":"&amp;RIGHT("0"&amp;MINUTE(D2885),2))&amp;" ")&amp;F2885)</f>
        <v/>
      </c>
      <c r="N2885" s="54">
        <f>IF(OR(A2885="",F2885=""),"",A2885&amp;"#"&amp;(COUNTIFS($A$5:$A$3004,A2885,$F$5:$F$3004,"?*",$O$5:$O$3004,"&lt;"&amp;O2885)+COUNTIFS($A$5:A2885,A2885,$F$5:F2885,"?*",$O$5:O2885,O2885)))</f>
        <v/>
      </c>
      <c r="O2885" s="54">
        <f>IF(A2885="","",IF(C2885="",0,C2885))</f>
        <v/>
      </c>
    </row>
    <row r="2886">
      <c r="A2886" s="58" t="n"/>
      <c r="B2886" s="49">
        <f>IF(A2886="","",CHOOSE(WEEKDAY(A2886,2),"Пн","Вт","Ср","Чт","Пт","Сб","Вс"))</f>
        <v/>
      </c>
      <c r="C2886" s="59" t="n"/>
      <c r="D2886" s="59" t="n"/>
      <c r="E2886" s="60">
        <f>IF(OR(C2886="",D2886=""),"",MOD(D2886-C2886,1)*24)</f>
        <v/>
      </c>
      <c r="F2886" s="50" t="n"/>
      <c r="G2886" s="51" t="n"/>
      <c r="H2886" s="51" t="n"/>
      <c r="I2886" s="51" t="n"/>
      <c r="J2886" s="51" t="n"/>
      <c r="K2886" s="51" t="n"/>
      <c r="L2886" s="54">
        <f>IF(OR(A2886="",C2886="",D2886=""),"",IF(COUNTIFS($A$5:$A$3004,A2886,$C$5:$C$3004,"&lt;"&amp;D2886,$D$5:$D$3004,"&gt;"&amp;C2886)&gt;1,"⚠️ пересечение",""))</f>
        <v/>
      </c>
      <c r="M2886" s="54">
        <f>IF(F2886="","",IF(J2886="✅ Сделано","✔ ",IF(J2886="❌ Пропущено","✖ ","⏰ "))&amp;IF(C2886="","",RIGHT("0"&amp;HOUR(C2886),2)&amp;":"&amp;RIGHT("0"&amp;MINUTE(C2886),2)&amp;IF(D2886="","","–"&amp;RIGHT("0"&amp;HOUR(D2886),2)&amp;":"&amp;RIGHT("0"&amp;MINUTE(D2886),2))&amp;" ")&amp;F2886)</f>
        <v/>
      </c>
      <c r="N2886" s="54">
        <f>IF(OR(A2886="",F2886=""),"",A2886&amp;"#"&amp;(COUNTIFS($A$5:$A$3004,A2886,$F$5:$F$3004,"?*",$O$5:$O$3004,"&lt;"&amp;O2886)+COUNTIFS($A$5:A2886,A2886,$F$5:F2886,"?*",$O$5:O2886,O2886)))</f>
        <v/>
      </c>
      <c r="O2886" s="54">
        <f>IF(A2886="","",IF(C2886="",0,C2886))</f>
        <v/>
      </c>
    </row>
    <row r="2887">
      <c r="A2887" s="58" t="n"/>
      <c r="B2887" s="49">
        <f>IF(A2887="","",CHOOSE(WEEKDAY(A2887,2),"Пн","Вт","Ср","Чт","Пт","Сб","Вс"))</f>
        <v/>
      </c>
      <c r="C2887" s="59" t="n"/>
      <c r="D2887" s="59" t="n"/>
      <c r="E2887" s="60">
        <f>IF(OR(C2887="",D2887=""),"",MOD(D2887-C2887,1)*24)</f>
        <v/>
      </c>
      <c r="F2887" s="50" t="n"/>
      <c r="G2887" s="51" t="n"/>
      <c r="H2887" s="51" t="n"/>
      <c r="I2887" s="51" t="n"/>
      <c r="J2887" s="51" t="n"/>
      <c r="K2887" s="51" t="n"/>
      <c r="L2887" s="54">
        <f>IF(OR(A2887="",C2887="",D2887=""),"",IF(COUNTIFS($A$5:$A$3004,A2887,$C$5:$C$3004,"&lt;"&amp;D2887,$D$5:$D$3004,"&gt;"&amp;C2887)&gt;1,"⚠️ пересечение",""))</f>
        <v/>
      </c>
      <c r="M2887" s="54">
        <f>IF(F2887="","",IF(J2887="✅ Сделано","✔ ",IF(J2887="❌ Пропущено","✖ ","⏰ "))&amp;IF(C2887="","",RIGHT("0"&amp;HOUR(C2887),2)&amp;":"&amp;RIGHT("0"&amp;MINUTE(C2887),2)&amp;IF(D2887="","","–"&amp;RIGHT("0"&amp;HOUR(D2887),2)&amp;":"&amp;RIGHT("0"&amp;MINUTE(D2887),2))&amp;" ")&amp;F2887)</f>
        <v/>
      </c>
      <c r="N2887" s="54">
        <f>IF(OR(A2887="",F2887=""),"",A2887&amp;"#"&amp;(COUNTIFS($A$5:$A$3004,A2887,$F$5:$F$3004,"?*",$O$5:$O$3004,"&lt;"&amp;O2887)+COUNTIFS($A$5:A2887,A2887,$F$5:F2887,"?*",$O$5:O2887,O2887)))</f>
        <v/>
      </c>
      <c r="O2887" s="54">
        <f>IF(A2887="","",IF(C2887="",0,C2887))</f>
        <v/>
      </c>
    </row>
    <row r="2888">
      <c r="A2888" s="58" t="n"/>
      <c r="B2888" s="49">
        <f>IF(A2888="","",CHOOSE(WEEKDAY(A2888,2),"Пн","Вт","Ср","Чт","Пт","Сб","Вс"))</f>
        <v/>
      </c>
      <c r="C2888" s="59" t="n"/>
      <c r="D2888" s="59" t="n"/>
      <c r="E2888" s="60">
        <f>IF(OR(C2888="",D2888=""),"",MOD(D2888-C2888,1)*24)</f>
        <v/>
      </c>
      <c r="F2888" s="50" t="n"/>
      <c r="G2888" s="51" t="n"/>
      <c r="H2888" s="51" t="n"/>
      <c r="I2888" s="51" t="n"/>
      <c r="J2888" s="51" t="n"/>
      <c r="K2888" s="51" t="n"/>
      <c r="L2888" s="54">
        <f>IF(OR(A2888="",C2888="",D2888=""),"",IF(COUNTIFS($A$5:$A$3004,A2888,$C$5:$C$3004,"&lt;"&amp;D2888,$D$5:$D$3004,"&gt;"&amp;C2888)&gt;1,"⚠️ пересечение",""))</f>
        <v/>
      </c>
      <c r="M2888" s="54">
        <f>IF(F2888="","",IF(J2888="✅ Сделано","✔ ",IF(J2888="❌ Пропущено","✖ ","⏰ "))&amp;IF(C2888="","",RIGHT("0"&amp;HOUR(C2888),2)&amp;":"&amp;RIGHT("0"&amp;MINUTE(C2888),2)&amp;IF(D2888="","","–"&amp;RIGHT("0"&amp;HOUR(D2888),2)&amp;":"&amp;RIGHT("0"&amp;MINUTE(D2888),2))&amp;" ")&amp;F2888)</f>
        <v/>
      </c>
      <c r="N2888" s="54">
        <f>IF(OR(A2888="",F2888=""),"",A2888&amp;"#"&amp;(COUNTIFS($A$5:$A$3004,A2888,$F$5:$F$3004,"?*",$O$5:$O$3004,"&lt;"&amp;O2888)+COUNTIFS($A$5:A2888,A2888,$F$5:F2888,"?*",$O$5:O2888,O2888)))</f>
        <v/>
      </c>
      <c r="O2888" s="54">
        <f>IF(A2888="","",IF(C2888="",0,C2888))</f>
        <v/>
      </c>
    </row>
    <row r="2889">
      <c r="A2889" s="58" t="n"/>
      <c r="B2889" s="49">
        <f>IF(A2889="","",CHOOSE(WEEKDAY(A2889,2),"Пн","Вт","Ср","Чт","Пт","Сб","Вс"))</f>
        <v/>
      </c>
      <c r="C2889" s="59" t="n"/>
      <c r="D2889" s="59" t="n"/>
      <c r="E2889" s="60">
        <f>IF(OR(C2889="",D2889=""),"",MOD(D2889-C2889,1)*24)</f>
        <v/>
      </c>
      <c r="F2889" s="50" t="n"/>
      <c r="G2889" s="51" t="n"/>
      <c r="H2889" s="51" t="n"/>
      <c r="I2889" s="51" t="n"/>
      <c r="J2889" s="51" t="n"/>
      <c r="K2889" s="51" t="n"/>
      <c r="L2889" s="54">
        <f>IF(OR(A2889="",C2889="",D2889=""),"",IF(COUNTIFS($A$5:$A$3004,A2889,$C$5:$C$3004,"&lt;"&amp;D2889,$D$5:$D$3004,"&gt;"&amp;C2889)&gt;1,"⚠️ пересечение",""))</f>
        <v/>
      </c>
      <c r="M2889" s="54">
        <f>IF(F2889="","",IF(J2889="✅ Сделано","✔ ",IF(J2889="❌ Пропущено","✖ ","⏰ "))&amp;IF(C2889="","",RIGHT("0"&amp;HOUR(C2889),2)&amp;":"&amp;RIGHT("0"&amp;MINUTE(C2889),2)&amp;IF(D2889="","","–"&amp;RIGHT("0"&amp;HOUR(D2889),2)&amp;":"&amp;RIGHT("0"&amp;MINUTE(D2889),2))&amp;" ")&amp;F2889)</f>
        <v/>
      </c>
      <c r="N2889" s="54">
        <f>IF(OR(A2889="",F2889=""),"",A2889&amp;"#"&amp;(COUNTIFS($A$5:$A$3004,A2889,$F$5:$F$3004,"?*",$O$5:$O$3004,"&lt;"&amp;O2889)+COUNTIFS($A$5:A2889,A2889,$F$5:F2889,"?*",$O$5:O2889,O2889)))</f>
        <v/>
      </c>
      <c r="O2889" s="54">
        <f>IF(A2889="","",IF(C2889="",0,C2889))</f>
        <v/>
      </c>
    </row>
    <row r="2890">
      <c r="A2890" s="58" t="n"/>
      <c r="B2890" s="49">
        <f>IF(A2890="","",CHOOSE(WEEKDAY(A2890,2),"Пн","Вт","Ср","Чт","Пт","Сб","Вс"))</f>
        <v/>
      </c>
      <c r="C2890" s="59" t="n"/>
      <c r="D2890" s="59" t="n"/>
      <c r="E2890" s="60">
        <f>IF(OR(C2890="",D2890=""),"",MOD(D2890-C2890,1)*24)</f>
        <v/>
      </c>
      <c r="F2890" s="50" t="n"/>
      <c r="G2890" s="51" t="n"/>
      <c r="H2890" s="51" t="n"/>
      <c r="I2890" s="51" t="n"/>
      <c r="J2890" s="51" t="n"/>
      <c r="K2890" s="51" t="n"/>
      <c r="L2890" s="54">
        <f>IF(OR(A2890="",C2890="",D2890=""),"",IF(COUNTIFS($A$5:$A$3004,A2890,$C$5:$C$3004,"&lt;"&amp;D2890,$D$5:$D$3004,"&gt;"&amp;C2890)&gt;1,"⚠️ пересечение",""))</f>
        <v/>
      </c>
      <c r="M2890" s="54">
        <f>IF(F2890="","",IF(J2890="✅ Сделано","✔ ",IF(J2890="❌ Пропущено","✖ ","⏰ "))&amp;IF(C2890="","",RIGHT("0"&amp;HOUR(C2890),2)&amp;":"&amp;RIGHT("0"&amp;MINUTE(C2890),2)&amp;IF(D2890="","","–"&amp;RIGHT("0"&amp;HOUR(D2890),2)&amp;":"&amp;RIGHT("0"&amp;MINUTE(D2890),2))&amp;" ")&amp;F2890)</f>
        <v/>
      </c>
      <c r="N2890" s="54">
        <f>IF(OR(A2890="",F2890=""),"",A2890&amp;"#"&amp;(COUNTIFS($A$5:$A$3004,A2890,$F$5:$F$3004,"?*",$O$5:$O$3004,"&lt;"&amp;O2890)+COUNTIFS($A$5:A2890,A2890,$F$5:F2890,"?*",$O$5:O2890,O2890)))</f>
        <v/>
      </c>
      <c r="O2890" s="54">
        <f>IF(A2890="","",IF(C2890="",0,C2890))</f>
        <v/>
      </c>
    </row>
    <row r="2891">
      <c r="A2891" s="58" t="n"/>
      <c r="B2891" s="49">
        <f>IF(A2891="","",CHOOSE(WEEKDAY(A2891,2),"Пн","Вт","Ср","Чт","Пт","Сб","Вс"))</f>
        <v/>
      </c>
      <c r="C2891" s="59" t="n"/>
      <c r="D2891" s="59" t="n"/>
      <c r="E2891" s="60">
        <f>IF(OR(C2891="",D2891=""),"",MOD(D2891-C2891,1)*24)</f>
        <v/>
      </c>
      <c r="F2891" s="50" t="n"/>
      <c r="G2891" s="51" t="n"/>
      <c r="H2891" s="51" t="n"/>
      <c r="I2891" s="51" t="n"/>
      <c r="J2891" s="51" t="n"/>
      <c r="K2891" s="51" t="n"/>
      <c r="L2891" s="54">
        <f>IF(OR(A2891="",C2891="",D2891=""),"",IF(COUNTIFS($A$5:$A$3004,A2891,$C$5:$C$3004,"&lt;"&amp;D2891,$D$5:$D$3004,"&gt;"&amp;C2891)&gt;1,"⚠️ пересечение",""))</f>
        <v/>
      </c>
      <c r="M2891" s="54">
        <f>IF(F2891="","",IF(J2891="✅ Сделано","✔ ",IF(J2891="❌ Пропущено","✖ ","⏰ "))&amp;IF(C2891="","",RIGHT("0"&amp;HOUR(C2891),2)&amp;":"&amp;RIGHT("0"&amp;MINUTE(C2891),2)&amp;IF(D2891="","","–"&amp;RIGHT("0"&amp;HOUR(D2891),2)&amp;":"&amp;RIGHT("0"&amp;MINUTE(D2891),2))&amp;" ")&amp;F2891)</f>
        <v/>
      </c>
      <c r="N2891" s="54">
        <f>IF(OR(A2891="",F2891=""),"",A2891&amp;"#"&amp;(COUNTIFS($A$5:$A$3004,A2891,$F$5:$F$3004,"?*",$O$5:$O$3004,"&lt;"&amp;O2891)+COUNTIFS($A$5:A2891,A2891,$F$5:F2891,"?*",$O$5:O2891,O2891)))</f>
        <v/>
      </c>
      <c r="O2891" s="54">
        <f>IF(A2891="","",IF(C2891="",0,C2891))</f>
        <v/>
      </c>
    </row>
    <row r="2892">
      <c r="A2892" s="58" t="n"/>
      <c r="B2892" s="49">
        <f>IF(A2892="","",CHOOSE(WEEKDAY(A2892,2),"Пн","Вт","Ср","Чт","Пт","Сб","Вс"))</f>
        <v/>
      </c>
      <c r="C2892" s="59" t="n"/>
      <c r="D2892" s="59" t="n"/>
      <c r="E2892" s="60">
        <f>IF(OR(C2892="",D2892=""),"",MOD(D2892-C2892,1)*24)</f>
        <v/>
      </c>
      <c r="F2892" s="50" t="n"/>
      <c r="G2892" s="51" t="n"/>
      <c r="H2892" s="51" t="n"/>
      <c r="I2892" s="51" t="n"/>
      <c r="J2892" s="51" t="n"/>
      <c r="K2892" s="51" t="n"/>
      <c r="L2892" s="54">
        <f>IF(OR(A2892="",C2892="",D2892=""),"",IF(COUNTIFS($A$5:$A$3004,A2892,$C$5:$C$3004,"&lt;"&amp;D2892,$D$5:$D$3004,"&gt;"&amp;C2892)&gt;1,"⚠️ пересечение",""))</f>
        <v/>
      </c>
      <c r="M2892" s="54">
        <f>IF(F2892="","",IF(J2892="✅ Сделано","✔ ",IF(J2892="❌ Пропущено","✖ ","⏰ "))&amp;IF(C2892="","",RIGHT("0"&amp;HOUR(C2892),2)&amp;":"&amp;RIGHT("0"&amp;MINUTE(C2892),2)&amp;IF(D2892="","","–"&amp;RIGHT("0"&amp;HOUR(D2892),2)&amp;":"&amp;RIGHT("0"&amp;MINUTE(D2892),2))&amp;" ")&amp;F2892)</f>
        <v/>
      </c>
      <c r="N2892" s="54">
        <f>IF(OR(A2892="",F2892=""),"",A2892&amp;"#"&amp;(COUNTIFS($A$5:$A$3004,A2892,$F$5:$F$3004,"?*",$O$5:$O$3004,"&lt;"&amp;O2892)+COUNTIFS($A$5:A2892,A2892,$F$5:F2892,"?*",$O$5:O2892,O2892)))</f>
        <v/>
      </c>
      <c r="O2892" s="54">
        <f>IF(A2892="","",IF(C2892="",0,C2892))</f>
        <v/>
      </c>
    </row>
    <row r="2893">
      <c r="A2893" s="58" t="n"/>
      <c r="B2893" s="49">
        <f>IF(A2893="","",CHOOSE(WEEKDAY(A2893,2),"Пн","Вт","Ср","Чт","Пт","Сб","Вс"))</f>
        <v/>
      </c>
      <c r="C2893" s="59" t="n"/>
      <c r="D2893" s="59" t="n"/>
      <c r="E2893" s="60">
        <f>IF(OR(C2893="",D2893=""),"",MOD(D2893-C2893,1)*24)</f>
        <v/>
      </c>
      <c r="F2893" s="50" t="n"/>
      <c r="G2893" s="51" t="n"/>
      <c r="H2893" s="51" t="n"/>
      <c r="I2893" s="51" t="n"/>
      <c r="J2893" s="51" t="n"/>
      <c r="K2893" s="51" t="n"/>
      <c r="L2893" s="54">
        <f>IF(OR(A2893="",C2893="",D2893=""),"",IF(COUNTIFS($A$5:$A$3004,A2893,$C$5:$C$3004,"&lt;"&amp;D2893,$D$5:$D$3004,"&gt;"&amp;C2893)&gt;1,"⚠️ пересечение",""))</f>
        <v/>
      </c>
      <c r="M2893" s="54">
        <f>IF(F2893="","",IF(J2893="✅ Сделано","✔ ",IF(J2893="❌ Пропущено","✖ ","⏰ "))&amp;IF(C2893="","",RIGHT("0"&amp;HOUR(C2893),2)&amp;":"&amp;RIGHT("0"&amp;MINUTE(C2893),2)&amp;IF(D2893="","","–"&amp;RIGHT("0"&amp;HOUR(D2893),2)&amp;":"&amp;RIGHT("0"&amp;MINUTE(D2893),2))&amp;" ")&amp;F2893)</f>
        <v/>
      </c>
      <c r="N2893" s="54">
        <f>IF(OR(A2893="",F2893=""),"",A2893&amp;"#"&amp;(COUNTIFS($A$5:$A$3004,A2893,$F$5:$F$3004,"?*",$O$5:$O$3004,"&lt;"&amp;O2893)+COUNTIFS($A$5:A2893,A2893,$F$5:F2893,"?*",$O$5:O2893,O2893)))</f>
        <v/>
      </c>
      <c r="O2893" s="54">
        <f>IF(A2893="","",IF(C2893="",0,C2893))</f>
        <v/>
      </c>
    </row>
    <row r="2894">
      <c r="A2894" s="58" t="n"/>
      <c r="B2894" s="49">
        <f>IF(A2894="","",CHOOSE(WEEKDAY(A2894,2),"Пн","Вт","Ср","Чт","Пт","Сб","Вс"))</f>
        <v/>
      </c>
      <c r="C2894" s="59" t="n"/>
      <c r="D2894" s="59" t="n"/>
      <c r="E2894" s="60">
        <f>IF(OR(C2894="",D2894=""),"",MOD(D2894-C2894,1)*24)</f>
        <v/>
      </c>
      <c r="F2894" s="50" t="n"/>
      <c r="G2894" s="51" t="n"/>
      <c r="H2894" s="51" t="n"/>
      <c r="I2894" s="51" t="n"/>
      <c r="J2894" s="51" t="n"/>
      <c r="K2894" s="51" t="n"/>
      <c r="L2894" s="54">
        <f>IF(OR(A2894="",C2894="",D2894=""),"",IF(COUNTIFS($A$5:$A$3004,A2894,$C$5:$C$3004,"&lt;"&amp;D2894,$D$5:$D$3004,"&gt;"&amp;C2894)&gt;1,"⚠️ пересечение",""))</f>
        <v/>
      </c>
      <c r="M2894" s="54">
        <f>IF(F2894="","",IF(J2894="✅ Сделано","✔ ",IF(J2894="❌ Пропущено","✖ ","⏰ "))&amp;IF(C2894="","",RIGHT("0"&amp;HOUR(C2894),2)&amp;":"&amp;RIGHT("0"&amp;MINUTE(C2894),2)&amp;IF(D2894="","","–"&amp;RIGHT("0"&amp;HOUR(D2894),2)&amp;":"&amp;RIGHT("0"&amp;MINUTE(D2894),2))&amp;" ")&amp;F2894)</f>
        <v/>
      </c>
      <c r="N2894" s="54">
        <f>IF(OR(A2894="",F2894=""),"",A2894&amp;"#"&amp;(COUNTIFS($A$5:$A$3004,A2894,$F$5:$F$3004,"?*",$O$5:$O$3004,"&lt;"&amp;O2894)+COUNTIFS($A$5:A2894,A2894,$F$5:F2894,"?*",$O$5:O2894,O2894)))</f>
        <v/>
      </c>
      <c r="O2894" s="54">
        <f>IF(A2894="","",IF(C2894="",0,C2894))</f>
        <v/>
      </c>
    </row>
    <row r="2895">
      <c r="A2895" s="58" t="n"/>
      <c r="B2895" s="49">
        <f>IF(A2895="","",CHOOSE(WEEKDAY(A2895,2),"Пн","Вт","Ср","Чт","Пт","Сб","Вс"))</f>
        <v/>
      </c>
      <c r="C2895" s="59" t="n"/>
      <c r="D2895" s="59" t="n"/>
      <c r="E2895" s="60">
        <f>IF(OR(C2895="",D2895=""),"",MOD(D2895-C2895,1)*24)</f>
        <v/>
      </c>
      <c r="F2895" s="50" t="n"/>
      <c r="G2895" s="51" t="n"/>
      <c r="H2895" s="51" t="n"/>
      <c r="I2895" s="51" t="n"/>
      <c r="J2895" s="51" t="n"/>
      <c r="K2895" s="51" t="n"/>
      <c r="L2895" s="54">
        <f>IF(OR(A2895="",C2895="",D2895=""),"",IF(COUNTIFS($A$5:$A$3004,A2895,$C$5:$C$3004,"&lt;"&amp;D2895,$D$5:$D$3004,"&gt;"&amp;C2895)&gt;1,"⚠️ пересечение",""))</f>
        <v/>
      </c>
      <c r="M2895" s="54">
        <f>IF(F2895="","",IF(J2895="✅ Сделано","✔ ",IF(J2895="❌ Пропущено","✖ ","⏰ "))&amp;IF(C2895="","",RIGHT("0"&amp;HOUR(C2895),2)&amp;":"&amp;RIGHT("0"&amp;MINUTE(C2895),2)&amp;IF(D2895="","","–"&amp;RIGHT("0"&amp;HOUR(D2895),2)&amp;":"&amp;RIGHT("0"&amp;MINUTE(D2895),2))&amp;" ")&amp;F2895)</f>
        <v/>
      </c>
      <c r="N2895" s="54">
        <f>IF(OR(A2895="",F2895=""),"",A2895&amp;"#"&amp;(COUNTIFS($A$5:$A$3004,A2895,$F$5:$F$3004,"?*",$O$5:$O$3004,"&lt;"&amp;O2895)+COUNTIFS($A$5:A2895,A2895,$F$5:F2895,"?*",$O$5:O2895,O2895)))</f>
        <v/>
      </c>
      <c r="O2895" s="54">
        <f>IF(A2895="","",IF(C2895="",0,C2895))</f>
        <v/>
      </c>
    </row>
    <row r="2896">
      <c r="A2896" s="58" t="n"/>
      <c r="B2896" s="49">
        <f>IF(A2896="","",CHOOSE(WEEKDAY(A2896,2),"Пн","Вт","Ср","Чт","Пт","Сб","Вс"))</f>
        <v/>
      </c>
      <c r="C2896" s="59" t="n"/>
      <c r="D2896" s="59" t="n"/>
      <c r="E2896" s="60">
        <f>IF(OR(C2896="",D2896=""),"",MOD(D2896-C2896,1)*24)</f>
        <v/>
      </c>
      <c r="F2896" s="50" t="n"/>
      <c r="G2896" s="51" t="n"/>
      <c r="H2896" s="51" t="n"/>
      <c r="I2896" s="51" t="n"/>
      <c r="J2896" s="51" t="n"/>
      <c r="K2896" s="51" t="n"/>
      <c r="L2896" s="54">
        <f>IF(OR(A2896="",C2896="",D2896=""),"",IF(COUNTIFS($A$5:$A$3004,A2896,$C$5:$C$3004,"&lt;"&amp;D2896,$D$5:$D$3004,"&gt;"&amp;C2896)&gt;1,"⚠️ пересечение",""))</f>
        <v/>
      </c>
      <c r="M2896" s="54">
        <f>IF(F2896="","",IF(J2896="✅ Сделано","✔ ",IF(J2896="❌ Пропущено","✖ ","⏰ "))&amp;IF(C2896="","",RIGHT("0"&amp;HOUR(C2896),2)&amp;":"&amp;RIGHT("0"&amp;MINUTE(C2896),2)&amp;IF(D2896="","","–"&amp;RIGHT("0"&amp;HOUR(D2896),2)&amp;":"&amp;RIGHT("0"&amp;MINUTE(D2896),2))&amp;" ")&amp;F2896)</f>
        <v/>
      </c>
      <c r="N2896" s="54">
        <f>IF(OR(A2896="",F2896=""),"",A2896&amp;"#"&amp;(COUNTIFS($A$5:$A$3004,A2896,$F$5:$F$3004,"?*",$O$5:$O$3004,"&lt;"&amp;O2896)+COUNTIFS($A$5:A2896,A2896,$F$5:F2896,"?*",$O$5:O2896,O2896)))</f>
        <v/>
      </c>
      <c r="O2896" s="54">
        <f>IF(A2896="","",IF(C2896="",0,C2896))</f>
        <v/>
      </c>
    </row>
    <row r="2897">
      <c r="A2897" s="58" t="n"/>
      <c r="B2897" s="49">
        <f>IF(A2897="","",CHOOSE(WEEKDAY(A2897,2),"Пн","Вт","Ср","Чт","Пт","Сб","Вс"))</f>
        <v/>
      </c>
      <c r="C2897" s="59" t="n"/>
      <c r="D2897" s="59" t="n"/>
      <c r="E2897" s="60">
        <f>IF(OR(C2897="",D2897=""),"",MOD(D2897-C2897,1)*24)</f>
        <v/>
      </c>
      <c r="F2897" s="50" t="n"/>
      <c r="G2897" s="51" t="n"/>
      <c r="H2897" s="51" t="n"/>
      <c r="I2897" s="51" t="n"/>
      <c r="J2897" s="51" t="n"/>
      <c r="K2897" s="51" t="n"/>
      <c r="L2897" s="54">
        <f>IF(OR(A2897="",C2897="",D2897=""),"",IF(COUNTIFS($A$5:$A$3004,A2897,$C$5:$C$3004,"&lt;"&amp;D2897,$D$5:$D$3004,"&gt;"&amp;C2897)&gt;1,"⚠️ пересечение",""))</f>
        <v/>
      </c>
      <c r="M2897" s="54">
        <f>IF(F2897="","",IF(J2897="✅ Сделано","✔ ",IF(J2897="❌ Пропущено","✖ ","⏰ "))&amp;IF(C2897="","",RIGHT("0"&amp;HOUR(C2897),2)&amp;":"&amp;RIGHT("0"&amp;MINUTE(C2897),2)&amp;IF(D2897="","","–"&amp;RIGHT("0"&amp;HOUR(D2897),2)&amp;":"&amp;RIGHT("0"&amp;MINUTE(D2897),2))&amp;" ")&amp;F2897)</f>
        <v/>
      </c>
      <c r="N2897" s="54">
        <f>IF(OR(A2897="",F2897=""),"",A2897&amp;"#"&amp;(COUNTIFS($A$5:$A$3004,A2897,$F$5:$F$3004,"?*",$O$5:$O$3004,"&lt;"&amp;O2897)+COUNTIFS($A$5:A2897,A2897,$F$5:F2897,"?*",$O$5:O2897,O2897)))</f>
        <v/>
      </c>
      <c r="O2897" s="54">
        <f>IF(A2897="","",IF(C2897="",0,C2897))</f>
        <v/>
      </c>
    </row>
    <row r="2898">
      <c r="A2898" s="58" t="n"/>
      <c r="B2898" s="49">
        <f>IF(A2898="","",CHOOSE(WEEKDAY(A2898,2),"Пн","Вт","Ср","Чт","Пт","Сб","Вс"))</f>
        <v/>
      </c>
      <c r="C2898" s="59" t="n"/>
      <c r="D2898" s="59" t="n"/>
      <c r="E2898" s="60">
        <f>IF(OR(C2898="",D2898=""),"",MOD(D2898-C2898,1)*24)</f>
        <v/>
      </c>
      <c r="F2898" s="50" t="n"/>
      <c r="G2898" s="51" t="n"/>
      <c r="H2898" s="51" t="n"/>
      <c r="I2898" s="51" t="n"/>
      <c r="J2898" s="51" t="n"/>
      <c r="K2898" s="51" t="n"/>
      <c r="L2898" s="54">
        <f>IF(OR(A2898="",C2898="",D2898=""),"",IF(COUNTIFS($A$5:$A$3004,A2898,$C$5:$C$3004,"&lt;"&amp;D2898,$D$5:$D$3004,"&gt;"&amp;C2898)&gt;1,"⚠️ пересечение",""))</f>
        <v/>
      </c>
      <c r="M2898" s="54">
        <f>IF(F2898="","",IF(J2898="✅ Сделано","✔ ",IF(J2898="❌ Пропущено","✖ ","⏰ "))&amp;IF(C2898="","",RIGHT("0"&amp;HOUR(C2898),2)&amp;":"&amp;RIGHT("0"&amp;MINUTE(C2898),2)&amp;IF(D2898="","","–"&amp;RIGHT("0"&amp;HOUR(D2898),2)&amp;":"&amp;RIGHT("0"&amp;MINUTE(D2898),2))&amp;" ")&amp;F2898)</f>
        <v/>
      </c>
      <c r="N2898" s="54">
        <f>IF(OR(A2898="",F2898=""),"",A2898&amp;"#"&amp;(COUNTIFS($A$5:$A$3004,A2898,$F$5:$F$3004,"?*",$O$5:$O$3004,"&lt;"&amp;O2898)+COUNTIFS($A$5:A2898,A2898,$F$5:F2898,"?*",$O$5:O2898,O2898)))</f>
        <v/>
      </c>
      <c r="O2898" s="54">
        <f>IF(A2898="","",IF(C2898="",0,C2898))</f>
        <v/>
      </c>
    </row>
    <row r="2899">
      <c r="A2899" s="58" t="n"/>
      <c r="B2899" s="49">
        <f>IF(A2899="","",CHOOSE(WEEKDAY(A2899,2),"Пн","Вт","Ср","Чт","Пт","Сб","Вс"))</f>
        <v/>
      </c>
      <c r="C2899" s="59" t="n"/>
      <c r="D2899" s="59" t="n"/>
      <c r="E2899" s="60">
        <f>IF(OR(C2899="",D2899=""),"",MOD(D2899-C2899,1)*24)</f>
        <v/>
      </c>
      <c r="F2899" s="50" t="n"/>
      <c r="G2899" s="51" t="n"/>
      <c r="H2899" s="51" t="n"/>
      <c r="I2899" s="51" t="n"/>
      <c r="J2899" s="51" t="n"/>
      <c r="K2899" s="51" t="n"/>
      <c r="L2899" s="54">
        <f>IF(OR(A2899="",C2899="",D2899=""),"",IF(COUNTIFS($A$5:$A$3004,A2899,$C$5:$C$3004,"&lt;"&amp;D2899,$D$5:$D$3004,"&gt;"&amp;C2899)&gt;1,"⚠️ пересечение",""))</f>
        <v/>
      </c>
      <c r="M2899" s="54">
        <f>IF(F2899="","",IF(J2899="✅ Сделано","✔ ",IF(J2899="❌ Пропущено","✖ ","⏰ "))&amp;IF(C2899="","",RIGHT("0"&amp;HOUR(C2899),2)&amp;":"&amp;RIGHT("0"&amp;MINUTE(C2899),2)&amp;IF(D2899="","","–"&amp;RIGHT("0"&amp;HOUR(D2899),2)&amp;":"&amp;RIGHT("0"&amp;MINUTE(D2899),2))&amp;" ")&amp;F2899)</f>
        <v/>
      </c>
      <c r="N2899" s="54">
        <f>IF(OR(A2899="",F2899=""),"",A2899&amp;"#"&amp;(COUNTIFS($A$5:$A$3004,A2899,$F$5:$F$3004,"?*",$O$5:$O$3004,"&lt;"&amp;O2899)+COUNTIFS($A$5:A2899,A2899,$F$5:F2899,"?*",$O$5:O2899,O2899)))</f>
        <v/>
      </c>
      <c r="O2899" s="54">
        <f>IF(A2899="","",IF(C2899="",0,C2899))</f>
        <v/>
      </c>
    </row>
    <row r="2900">
      <c r="A2900" s="58" t="n"/>
      <c r="B2900" s="49">
        <f>IF(A2900="","",CHOOSE(WEEKDAY(A2900,2),"Пн","Вт","Ср","Чт","Пт","Сб","Вс"))</f>
        <v/>
      </c>
      <c r="C2900" s="59" t="n"/>
      <c r="D2900" s="59" t="n"/>
      <c r="E2900" s="60">
        <f>IF(OR(C2900="",D2900=""),"",MOD(D2900-C2900,1)*24)</f>
        <v/>
      </c>
      <c r="F2900" s="50" t="n"/>
      <c r="G2900" s="51" t="n"/>
      <c r="H2900" s="51" t="n"/>
      <c r="I2900" s="51" t="n"/>
      <c r="J2900" s="51" t="n"/>
      <c r="K2900" s="51" t="n"/>
      <c r="L2900" s="54">
        <f>IF(OR(A2900="",C2900="",D2900=""),"",IF(COUNTIFS($A$5:$A$3004,A2900,$C$5:$C$3004,"&lt;"&amp;D2900,$D$5:$D$3004,"&gt;"&amp;C2900)&gt;1,"⚠️ пересечение",""))</f>
        <v/>
      </c>
      <c r="M2900" s="54">
        <f>IF(F2900="","",IF(J2900="✅ Сделано","✔ ",IF(J2900="❌ Пропущено","✖ ","⏰ "))&amp;IF(C2900="","",RIGHT("0"&amp;HOUR(C2900),2)&amp;":"&amp;RIGHT("0"&amp;MINUTE(C2900),2)&amp;IF(D2900="","","–"&amp;RIGHT("0"&amp;HOUR(D2900),2)&amp;":"&amp;RIGHT("0"&amp;MINUTE(D2900),2))&amp;" ")&amp;F2900)</f>
        <v/>
      </c>
      <c r="N2900" s="54">
        <f>IF(OR(A2900="",F2900=""),"",A2900&amp;"#"&amp;(COUNTIFS($A$5:$A$3004,A2900,$F$5:$F$3004,"?*",$O$5:$O$3004,"&lt;"&amp;O2900)+COUNTIFS($A$5:A2900,A2900,$F$5:F2900,"?*",$O$5:O2900,O2900)))</f>
        <v/>
      </c>
      <c r="O2900" s="54">
        <f>IF(A2900="","",IF(C2900="",0,C2900))</f>
        <v/>
      </c>
    </row>
    <row r="2901">
      <c r="A2901" s="58" t="n"/>
      <c r="B2901" s="49">
        <f>IF(A2901="","",CHOOSE(WEEKDAY(A2901,2),"Пн","Вт","Ср","Чт","Пт","Сб","Вс"))</f>
        <v/>
      </c>
      <c r="C2901" s="59" t="n"/>
      <c r="D2901" s="59" t="n"/>
      <c r="E2901" s="60">
        <f>IF(OR(C2901="",D2901=""),"",MOD(D2901-C2901,1)*24)</f>
        <v/>
      </c>
      <c r="F2901" s="50" t="n"/>
      <c r="G2901" s="51" t="n"/>
      <c r="H2901" s="51" t="n"/>
      <c r="I2901" s="51" t="n"/>
      <c r="J2901" s="51" t="n"/>
      <c r="K2901" s="51" t="n"/>
      <c r="L2901" s="54">
        <f>IF(OR(A2901="",C2901="",D2901=""),"",IF(COUNTIFS($A$5:$A$3004,A2901,$C$5:$C$3004,"&lt;"&amp;D2901,$D$5:$D$3004,"&gt;"&amp;C2901)&gt;1,"⚠️ пересечение",""))</f>
        <v/>
      </c>
      <c r="M2901" s="54">
        <f>IF(F2901="","",IF(J2901="✅ Сделано","✔ ",IF(J2901="❌ Пропущено","✖ ","⏰ "))&amp;IF(C2901="","",RIGHT("0"&amp;HOUR(C2901),2)&amp;":"&amp;RIGHT("0"&amp;MINUTE(C2901),2)&amp;IF(D2901="","","–"&amp;RIGHT("0"&amp;HOUR(D2901),2)&amp;":"&amp;RIGHT("0"&amp;MINUTE(D2901),2))&amp;" ")&amp;F2901)</f>
        <v/>
      </c>
      <c r="N2901" s="54">
        <f>IF(OR(A2901="",F2901=""),"",A2901&amp;"#"&amp;(COUNTIFS($A$5:$A$3004,A2901,$F$5:$F$3004,"?*",$O$5:$O$3004,"&lt;"&amp;O2901)+COUNTIFS($A$5:A2901,A2901,$F$5:F2901,"?*",$O$5:O2901,O2901)))</f>
        <v/>
      </c>
      <c r="O2901" s="54">
        <f>IF(A2901="","",IF(C2901="",0,C2901))</f>
        <v/>
      </c>
    </row>
    <row r="2902">
      <c r="A2902" s="58" t="n"/>
      <c r="B2902" s="49">
        <f>IF(A2902="","",CHOOSE(WEEKDAY(A2902,2),"Пн","Вт","Ср","Чт","Пт","Сб","Вс"))</f>
        <v/>
      </c>
      <c r="C2902" s="59" t="n"/>
      <c r="D2902" s="59" t="n"/>
      <c r="E2902" s="60">
        <f>IF(OR(C2902="",D2902=""),"",MOD(D2902-C2902,1)*24)</f>
        <v/>
      </c>
      <c r="F2902" s="50" t="n"/>
      <c r="G2902" s="51" t="n"/>
      <c r="H2902" s="51" t="n"/>
      <c r="I2902" s="51" t="n"/>
      <c r="J2902" s="51" t="n"/>
      <c r="K2902" s="51" t="n"/>
      <c r="L2902" s="54">
        <f>IF(OR(A2902="",C2902="",D2902=""),"",IF(COUNTIFS($A$5:$A$3004,A2902,$C$5:$C$3004,"&lt;"&amp;D2902,$D$5:$D$3004,"&gt;"&amp;C2902)&gt;1,"⚠️ пересечение",""))</f>
        <v/>
      </c>
      <c r="M2902" s="54">
        <f>IF(F2902="","",IF(J2902="✅ Сделано","✔ ",IF(J2902="❌ Пропущено","✖ ","⏰ "))&amp;IF(C2902="","",RIGHT("0"&amp;HOUR(C2902),2)&amp;":"&amp;RIGHT("0"&amp;MINUTE(C2902),2)&amp;IF(D2902="","","–"&amp;RIGHT("0"&amp;HOUR(D2902),2)&amp;":"&amp;RIGHT("0"&amp;MINUTE(D2902),2))&amp;" ")&amp;F2902)</f>
        <v/>
      </c>
      <c r="N2902" s="54">
        <f>IF(OR(A2902="",F2902=""),"",A2902&amp;"#"&amp;(COUNTIFS($A$5:$A$3004,A2902,$F$5:$F$3004,"?*",$O$5:$O$3004,"&lt;"&amp;O2902)+COUNTIFS($A$5:A2902,A2902,$F$5:F2902,"?*",$O$5:O2902,O2902)))</f>
        <v/>
      </c>
      <c r="O2902" s="54">
        <f>IF(A2902="","",IF(C2902="",0,C2902))</f>
        <v/>
      </c>
    </row>
    <row r="2903">
      <c r="A2903" s="58" t="n"/>
      <c r="B2903" s="49">
        <f>IF(A2903="","",CHOOSE(WEEKDAY(A2903,2),"Пн","Вт","Ср","Чт","Пт","Сб","Вс"))</f>
        <v/>
      </c>
      <c r="C2903" s="59" t="n"/>
      <c r="D2903" s="59" t="n"/>
      <c r="E2903" s="60">
        <f>IF(OR(C2903="",D2903=""),"",MOD(D2903-C2903,1)*24)</f>
        <v/>
      </c>
      <c r="F2903" s="50" t="n"/>
      <c r="G2903" s="51" t="n"/>
      <c r="H2903" s="51" t="n"/>
      <c r="I2903" s="51" t="n"/>
      <c r="J2903" s="51" t="n"/>
      <c r="K2903" s="51" t="n"/>
      <c r="L2903" s="54">
        <f>IF(OR(A2903="",C2903="",D2903=""),"",IF(COUNTIFS($A$5:$A$3004,A2903,$C$5:$C$3004,"&lt;"&amp;D2903,$D$5:$D$3004,"&gt;"&amp;C2903)&gt;1,"⚠️ пересечение",""))</f>
        <v/>
      </c>
      <c r="M2903" s="54">
        <f>IF(F2903="","",IF(J2903="✅ Сделано","✔ ",IF(J2903="❌ Пропущено","✖ ","⏰ "))&amp;IF(C2903="","",RIGHT("0"&amp;HOUR(C2903),2)&amp;":"&amp;RIGHT("0"&amp;MINUTE(C2903),2)&amp;IF(D2903="","","–"&amp;RIGHT("0"&amp;HOUR(D2903),2)&amp;":"&amp;RIGHT("0"&amp;MINUTE(D2903),2))&amp;" ")&amp;F2903)</f>
        <v/>
      </c>
      <c r="N2903" s="54">
        <f>IF(OR(A2903="",F2903=""),"",A2903&amp;"#"&amp;(COUNTIFS($A$5:$A$3004,A2903,$F$5:$F$3004,"?*",$O$5:$O$3004,"&lt;"&amp;O2903)+COUNTIFS($A$5:A2903,A2903,$F$5:F2903,"?*",$O$5:O2903,O2903)))</f>
        <v/>
      </c>
      <c r="O2903" s="54">
        <f>IF(A2903="","",IF(C2903="",0,C2903))</f>
        <v/>
      </c>
    </row>
    <row r="2904">
      <c r="A2904" s="58" t="n"/>
      <c r="B2904" s="49">
        <f>IF(A2904="","",CHOOSE(WEEKDAY(A2904,2),"Пн","Вт","Ср","Чт","Пт","Сб","Вс"))</f>
        <v/>
      </c>
      <c r="C2904" s="59" t="n"/>
      <c r="D2904" s="59" t="n"/>
      <c r="E2904" s="60">
        <f>IF(OR(C2904="",D2904=""),"",MOD(D2904-C2904,1)*24)</f>
        <v/>
      </c>
      <c r="F2904" s="50" t="n"/>
      <c r="G2904" s="51" t="n"/>
      <c r="H2904" s="51" t="n"/>
      <c r="I2904" s="51" t="n"/>
      <c r="J2904" s="51" t="n"/>
      <c r="K2904" s="51" t="n"/>
      <c r="L2904" s="54">
        <f>IF(OR(A2904="",C2904="",D2904=""),"",IF(COUNTIFS($A$5:$A$3004,A2904,$C$5:$C$3004,"&lt;"&amp;D2904,$D$5:$D$3004,"&gt;"&amp;C2904)&gt;1,"⚠️ пересечение",""))</f>
        <v/>
      </c>
      <c r="M2904" s="54">
        <f>IF(F2904="","",IF(J2904="✅ Сделано","✔ ",IF(J2904="❌ Пропущено","✖ ","⏰ "))&amp;IF(C2904="","",RIGHT("0"&amp;HOUR(C2904),2)&amp;":"&amp;RIGHT("0"&amp;MINUTE(C2904),2)&amp;IF(D2904="","","–"&amp;RIGHT("0"&amp;HOUR(D2904),2)&amp;":"&amp;RIGHT("0"&amp;MINUTE(D2904),2))&amp;" ")&amp;F2904)</f>
        <v/>
      </c>
      <c r="N2904" s="54">
        <f>IF(OR(A2904="",F2904=""),"",A2904&amp;"#"&amp;(COUNTIFS($A$5:$A$3004,A2904,$F$5:$F$3004,"?*",$O$5:$O$3004,"&lt;"&amp;O2904)+COUNTIFS($A$5:A2904,A2904,$F$5:F2904,"?*",$O$5:O2904,O2904)))</f>
        <v/>
      </c>
      <c r="O2904" s="54">
        <f>IF(A2904="","",IF(C2904="",0,C2904))</f>
        <v/>
      </c>
    </row>
    <row r="2905">
      <c r="A2905" s="58" t="n"/>
      <c r="B2905" s="49">
        <f>IF(A2905="","",CHOOSE(WEEKDAY(A2905,2),"Пн","Вт","Ср","Чт","Пт","Сб","Вс"))</f>
        <v/>
      </c>
      <c r="C2905" s="59" t="n"/>
      <c r="D2905" s="59" t="n"/>
      <c r="E2905" s="60">
        <f>IF(OR(C2905="",D2905=""),"",MOD(D2905-C2905,1)*24)</f>
        <v/>
      </c>
      <c r="F2905" s="50" t="n"/>
      <c r="G2905" s="51" t="n"/>
      <c r="H2905" s="51" t="n"/>
      <c r="I2905" s="51" t="n"/>
      <c r="J2905" s="51" t="n"/>
      <c r="K2905" s="51" t="n"/>
      <c r="L2905" s="54">
        <f>IF(OR(A2905="",C2905="",D2905=""),"",IF(COUNTIFS($A$5:$A$3004,A2905,$C$5:$C$3004,"&lt;"&amp;D2905,$D$5:$D$3004,"&gt;"&amp;C2905)&gt;1,"⚠️ пересечение",""))</f>
        <v/>
      </c>
      <c r="M2905" s="54">
        <f>IF(F2905="","",IF(J2905="✅ Сделано","✔ ",IF(J2905="❌ Пропущено","✖ ","⏰ "))&amp;IF(C2905="","",RIGHT("0"&amp;HOUR(C2905),2)&amp;":"&amp;RIGHT("0"&amp;MINUTE(C2905),2)&amp;IF(D2905="","","–"&amp;RIGHT("0"&amp;HOUR(D2905),2)&amp;":"&amp;RIGHT("0"&amp;MINUTE(D2905),2))&amp;" ")&amp;F2905)</f>
        <v/>
      </c>
      <c r="N2905" s="54">
        <f>IF(OR(A2905="",F2905=""),"",A2905&amp;"#"&amp;(COUNTIFS($A$5:$A$3004,A2905,$F$5:$F$3004,"?*",$O$5:$O$3004,"&lt;"&amp;O2905)+COUNTIFS($A$5:A2905,A2905,$F$5:F2905,"?*",$O$5:O2905,O2905)))</f>
        <v/>
      </c>
      <c r="O2905" s="54">
        <f>IF(A2905="","",IF(C2905="",0,C2905))</f>
        <v/>
      </c>
    </row>
    <row r="2906">
      <c r="A2906" s="58" t="n"/>
      <c r="B2906" s="49">
        <f>IF(A2906="","",CHOOSE(WEEKDAY(A2906,2),"Пн","Вт","Ср","Чт","Пт","Сб","Вс"))</f>
        <v/>
      </c>
      <c r="C2906" s="59" t="n"/>
      <c r="D2906" s="59" t="n"/>
      <c r="E2906" s="60">
        <f>IF(OR(C2906="",D2906=""),"",MOD(D2906-C2906,1)*24)</f>
        <v/>
      </c>
      <c r="F2906" s="50" t="n"/>
      <c r="G2906" s="51" t="n"/>
      <c r="H2906" s="51" t="n"/>
      <c r="I2906" s="51" t="n"/>
      <c r="J2906" s="51" t="n"/>
      <c r="K2906" s="51" t="n"/>
      <c r="L2906" s="54">
        <f>IF(OR(A2906="",C2906="",D2906=""),"",IF(COUNTIFS($A$5:$A$3004,A2906,$C$5:$C$3004,"&lt;"&amp;D2906,$D$5:$D$3004,"&gt;"&amp;C2906)&gt;1,"⚠️ пересечение",""))</f>
        <v/>
      </c>
      <c r="M2906" s="54">
        <f>IF(F2906="","",IF(J2906="✅ Сделано","✔ ",IF(J2906="❌ Пропущено","✖ ","⏰ "))&amp;IF(C2906="","",RIGHT("0"&amp;HOUR(C2906),2)&amp;":"&amp;RIGHT("0"&amp;MINUTE(C2906),2)&amp;IF(D2906="","","–"&amp;RIGHT("0"&amp;HOUR(D2906),2)&amp;":"&amp;RIGHT("0"&amp;MINUTE(D2906),2))&amp;" ")&amp;F2906)</f>
        <v/>
      </c>
      <c r="N2906" s="54">
        <f>IF(OR(A2906="",F2906=""),"",A2906&amp;"#"&amp;(COUNTIFS($A$5:$A$3004,A2906,$F$5:$F$3004,"?*",$O$5:$O$3004,"&lt;"&amp;O2906)+COUNTIFS($A$5:A2906,A2906,$F$5:F2906,"?*",$O$5:O2906,O2906)))</f>
        <v/>
      </c>
      <c r="O2906" s="54">
        <f>IF(A2906="","",IF(C2906="",0,C2906))</f>
        <v/>
      </c>
    </row>
    <row r="2907">
      <c r="A2907" s="58" t="n"/>
      <c r="B2907" s="49">
        <f>IF(A2907="","",CHOOSE(WEEKDAY(A2907,2),"Пн","Вт","Ср","Чт","Пт","Сб","Вс"))</f>
        <v/>
      </c>
      <c r="C2907" s="59" t="n"/>
      <c r="D2907" s="59" t="n"/>
      <c r="E2907" s="60">
        <f>IF(OR(C2907="",D2907=""),"",MOD(D2907-C2907,1)*24)</f>
        <v/>
      </c>
      <c r="F2907" s="50" t="n"/>
      <c r="G2907" s="51" t="n"/>
      <c r="H2907" s="51" t="n"/>
      <c r="I2907" s="51" t="n"/>
      <c r="J2907" s="51" t="n"/>
      <c r="K2907" s="51" t="n"/>
      <c r="L2907" s="54">
        <f>IF(OR(A2907="",C2907="",D2907=""),"",IF(COUNTIFS($A$5:$A$3004,A2907,$C$5:$C$3004,"&lt;"&amp;D2907,$D$5:$D$3004,"&gt;"&amp;C2907)&gt;1,"⚠️ пересечение",""))</f>
        <v/>
      </c>
      <c r="M2907" s="54">
        <f>IF(F2907="","",IF(J2907="✅ Сделано","✔ ",IF(J2907="❌ Пропущено","✖ ","⏰ "))&amp;IF(C2907="","",RIGHT("0"&amp;HOUR(C2907),2)&amp;":"&amp;RIGHT("0"&amp;MINUTE(C2907),2)&amp;IF(D2907="","","–"&amp;RIGHT("0"&amp;HOUR(D2907),2)&amp;":"&amp;RIGHT("0"&amp;MINUTE(D2907),2))&amp;" ")&amp;F2907)</f>
        <v/>
      </c>
      <c r="N2907" s="54">
        <f>IF(OR(A2907="",F2907=""),"",A2907&amp;"#"&amp;(COUNTIFS($A$5:$A$3004,A2907,$F$5:$F$3004,"?*",$O$5:$O$3004,"&lt;"&amp;O2907)+COUNTIFS($A$5:A2907,A2907,$F$5:F2907,"?*",$O$5:O2907,O2907)))</f>
        <v/>
      </c>
      <c r="O2907" s="54">
        <f>IF(A2907="","",IF(C2907="",0,C2907))</f>
        <v/>
      </c>
    </row>
    <row r="2908">
      <c r="A2908" s="58" t="n"/>
      <c r="B2908" s="49">
        <f>IF(A2908="","",CHOOSE(WEEKDAY(A2908,2),"Пн","Вт","Ср","Чт","Пт","Сб","Вс"))</f>
        <v/>
      </c>
      <c r="C2908" s="59" t="n"/>
      <c r="D2908" s="59" t="n"/>
      <c r="E2908" s="60">
        <f>IF(OR(C2908="",D2908=""),"",MOD(D2908-C2908,1)*24)</f>
        <v/>
      </c>
      <c r="F2908" s="50" t="n"/>
      <c r="G2908" s="51" t="n"/>
      <c r="H2908" s="51" t="n"/>
      <c r="I2908" s="51" t="n"/>
      <c r="J2908" s="51" t="n"/>
      <c r="K2908" s="51" t="n"/>
      <c r="L2908" s="54">
        <f>IF(OR(A2908="",C2908="",D2908=""),"",IF(COUNTIFS($A$5:$A$3004,A2908,$C$5:$C$3004,"&lt;"&amp;D2908,$D$5:$D$3004,"&gt;"&amp;C2908)&gt;1,"⚠️ пересечение",""))</f>
        <v/>
      </c>
      <c r="M2908" s="54">
        <f>IF(F2908="","",IF(J2908="✅ Сделано","✔ ",IF(J2908="❌ Пропущено","✖ ","⏰ "))&amp;IF(C2908="","",RIGHT("0"&amp;HOUR(C2908),2)&amp;":"&amp;RIGHT("0"&amp;MINUTE(C2908),2)&amp;IF(D2908="","","–"&amp;RIGHT("0"&amp;HOUR(D2908),2)&amp;":"&amp;RIGHT("0"&amp;MINUTE(D2908),2))&amp;" ")&amp;F2908)</f>
        <v/>
      </c>
      <c r="N2908" s="54">
        <f>IF(OR(A2908="",F2908=""),"",A2908&amp;"#"&amp;(COUNTIFS($A$5:$A$3004,A2908,$F$5:$F$3004,"?*",$O$5:$O$3004,"&lt;"&amp;O2908)+COUNTIFS($A$5:A2908,A2908,$F$5:F2908,"?*",$O$5:O2908,O2908)))</f>
        <v/>
      </c>
      <c r="O2908" s="54">
        <f>IF(A2908="","",IF(C2908="",0,C2908))</f>
        <v/>
      </c>
    </row>
    <row r="2909">
      <c r="A2909" s="58" t="n"/>
      <c r="B2909" s="49">
        <f>IF(A2909="","",CHOOSE(WEEKDAY(A2909,2),"Пн","Вт","Ср","Чт","Пт","Сб","Вс"))</f>
        <v/>
      </c>
      <c r="C2909" s="59" t="n"/>
      <c r="D2909" s="59" t="n"/>
      <c r="E2909" s="60">
        <f>IF(OR(C2909="",D2909=""),"",MOD(D2909-C2909,1)*24)</f>
        <v/>
      </c>
      <c r="F2909" s="50" t="n"/>
      <c r="G2909" s="51" t="n"/>
      <c r="H2909" s="51" t="n"/>
      <c r="I2909" s="51" t="n"/>
      <c r="J2909" s="51" t="n"/>
      <c r="K2909" s="51" t="n"/>
      <c r="L2909" s="54">
        <f>IF(OR(A2909="",C2909="",D2909=""),"",IF(COUNTIFS($A$5:$A$3004,A2909,$C$5:$C$3004,"&lt;"&amp;D2909,$D$5:$D$3004,"&gt;"&amp;C2909)&gt;1,"⚠️ пересечение",""))</f>
        <v/>
      </c>
      <c r="M2909" s="54">
        <f>IF(F2909="","",IF(J2909="✅ Сделано","✔ ",IF(J2909="❌ Пропущено","✖ ","⏰ "))&amp;IF(C2909="","",RIGHT("0"&amp;HOUR(C2909),2)&amp;":"&amp;RIGHT("0"&amp;MINUTE(C2909),2)&amp;IF(D2909="","","–"&amp;RIGHT("0"&amp;HOUR(D2909),2)&amp;":"&amp;RIGHT("0"&amp;MINUTE(D2909),2))&amp;" ")&amp;F2909)</f>
        <v/>
      </c>
      <c r="N2909" s="54">
        <f>IF(OR(A2909="",F2909=""),"",A2909&amp;"#"&amp;(COUNTIFS($A$5:$A$3004,A2909,$F$5:$F$3004,"?*",$O$5:$O$3004,"&lt;"&amp;O2909)+COUNTIFS($A$5:A2909,A2909,$F$5:F2909,"?*",$O$5:O2909,O2909)))</f>
        <v/>
      </c>
      <c r="O2909" s="54">
        <f>IF(A2909="","",IF(C2909="",0,C2909))</f>
        <v/>
      </c>
    </row>
    <row r="2910">
      <c r="A2910" s="58" t="n"/>
      <c r="B2910" s="49">
        <f>IF(A2910="","",CHOOSE(WEEKDAY(A2910,2),"Пн","Вт","Ср","Чт","Пт","Сб","Вс"))</f>
        <v/>
      </c>
      <c r="C2910" s="59" t="n"/>
      <c r="D2910" s="59" t="n"/>
      <c r="E2910" s="60">
        <f>IF(OR(C2910="",D2910=""),"",MOD(D2910-C2910,1)*24)</f>
        <v/>
      </c>
      <c r="F2910" s="50" t="n"/>
      <c r="G2910" s="51" t="n"/>
      <c r="H2910" s="51" t="n"/>
      <c r="I2910" s="51" t="n"/>
      <c r="J2910" s="51" t="n"/>
      <c r="K2910" s="51" t="n"/>
      <c r="L2910" s="54">
        <f>IF(OR(A2910="",C2910="",D2910=""),"",IF(COUNTIFS($A$5:$A$3004,A2910,$C$5:$C$3004,"&lt;"&amp;D2910,$D$5:$D$3004,"&gt;"&amp;C2910)&gt;1,"⚠️ пересечение",""))</f>
        <v/>
      </c>
      <c r="M2910" s="54">
        <f>IF(F2910="","",IF(J2910="✅ Сделано","✔ ",IF(J2910="❌ Пропущено","✖ ","⏰ "))&amp;IF(C2910="","",RIGHT("0"&amp;HOUR(C2910),2)&amp;":"&amp;RIGHT("0"&amp;MINUTE(C2910),2)&amp;IF(D2910="","","–"&amp;RIGHT("0"&amp;HOUR(D2910),2)&amp;":"&amp;RIGHT("0"&amp;MINUTE(D2910),2))&amp;" ")&amp;F2910)</f>
        <v/>
      </c>
      <c r="N2910" s="54">
        <f>IF(OR(A2910="",F2910=""),"",A2910&amp;"#"&amp;(COUNTIFS($A$5:$A$3004,A2910,$F$5:$F$3004,"?*",$O$5:$O$3004,"&lt;"&amp;O2910)+COUNTIFS($A$5:A2910,A2910,$F$5:F2910,"?*",$O$5:O2910,O2910)))</f>
        <v/>
      </c>
      <c r="O2910" s="54">
        <f>IF(A2910="","",IF(C2910="",0,C2910))</f>
        <v/>
      </c>
    </row>
    <row r="2911">
      <c r="A2911" s="58" t="n"/>
      <c r="B2911" s="49">
        <f>IF(A2911="","",CHOOSE(WEEKDAY(A2911,2),"Пн","Вт","Ср","Чт","Пт","Сб","Вс"))</f>
        <v/>
      </c>
      <c r="C2911" s="59" t="n"/>
      <c r="D2911" s="59" t="n"/>
      <c r="E2911" s="60">
        <f>IF(OR(C2911="",D2911=""),"",MOD(D2911-C2911,1)*24)</f>
        <v/>
      </c>
      <c r="F2911" s="50" t="n"/>
      <c r="G2911" s="51" t="n"/>
      <c r="H2911" s="51" t="n"/>
      <c r="I2911" s="51" t="n"/>
      <c r="J2911" s="51" t="n"/>
      <c r="K2911" s="51" t="n"/>
      <c r="L2911" s="54">
        <f>IF(OR(A2911="",C2911="",D2911=""),"",IF(COUNTIFS($A$5:$A$3004,A2911,$C$5:$C$3004,"&lt;"&amp;D2911,$D$5:$D$3004,"&gt;"&amp;C2911)&gt;1,"⚠️ пересечение",""))</f>
        <v/>
      </c>
      <c r="M2911" s="54">
        <f>IF(F2911="","",IF(J2911="✅ Сделано","✔ ",IF(J2911="❌ Пропущено","✖ ","⏰ "))&amp;IF(C2911="","",RIGHT("0"&amp;HOUR(C2911),2)&amp;":"&amp;RIGHT("0"&amp;MINUTE(C2911),2)&amp;IF(D2911="","","–"&amp;RIGHT("0"&amp;HOUR(D2911),2)&amp;":"&amp;RIGHT("0"&amp;MINUTE(D2911),2))&amp;" ")&amp;F2911)</f>
        <v/>
      </c>
      <c r="N2911" s="54">
        <f>IF(OR(A2911="",F2911=""),"",A2911&amp;"#"&amp;(COUNTIFS($A$5:$A$3004,A2911,$F$5:$F$3004,"?*",$O$5:$O$3004,"&lt;"&amp;O2911)+COUNTIFS($A$5:A2911,A2911,$F$5:F2911,"?*",$O$5:O2911,O2911)))</f>
        <v/>
      </c>
      <c r="O2911" s="54">
        <f>IF(A2911="","",IF(C2911="",0,C2911))</f>
        <v/>
      </c>
    </row>
    <row r="2912">
      <c r="A2912" s="58" t="n"/>
      <c r="B2912" s="49">
        <f>IF(A2912="","",CHOOSE(WEEKDAY(A2912,2),"Пн","Вт","Ср","Чт","Пт","Сб","Вс"))</f>
        <v/>
      </c>
      <c r="C2912" s="59" t="n"/>
      <c r="D2912" s="59" t="n"/>
      <c r="E2912" s="60">
        <f>IF(OR(C2912="",D2912=""),"",MOD(D2912-C2912,1)*24)</f>
        <v/>
      </c>
      <c r="F2912" s="50" t="n"/>
      <c r="G2912" s="51" t="n"/>
      <c r="H2912" s="51" t="n"/>
      <c r="I2912" s="51" t="n"/>
      <c r="J2912" s="51" t="n"/>
      <c r="K2912" s="51" t="n"/>
      <c r="L2912" s="54">
        <f>IF(OR(A2912="",C2912="",D2912=""),"",IF(COUNTIFS($A$5:$A$3004,A2912,$C$5:$C$3004,"&lt;"&amp;D2912,$D$5:$D$3004,"&gt;"&amp;C2912)&gt;1,"⚠️ пересечение",""))</f>
        <v/>
      </c>
      <c r="M2912" s="54">
        <f>IF(F2912="","",IF(J2912="✅ Сделано","✔ ",IF(J2912="❌ Пропущено","✖ ","⏰ "))&amp;IF(C2912="","",RIGHT("0"&amp;HOUR(C2912),2)&amp;":"&amp;RIGHT("0"&amp;MINUTE(C2912),2)&amp;IF(D2912="","","–"&amp;RIGHT("0"&amp;HOUR(D2912),2)&amp;":"&amp;RIGHT("0"&amp;MINUTE(D2912),2))&amp;" ")&amp;F2912)</f>
        <v/>
      </c>
      <c r="N2912" s="54">
        <f>IF(OR(A2912="",F2912=""),"",A2912&amp;"#"&amp;(COUNTIFS($A$5:$A$3004,A2912,$F$5:$F$3004,"?*",$O$5:$O$3004,"&lt;"&amp;O2912)+COUNTIFS($A$5:A2912,A2912,$F$5:F2912,"?*",$O$5:O2912,O2912)))</f>
        <v/>
      </c>
      <c r="O2912" s="54">
        <f>IF(A2912="","",IF(C2912="",0,C2912))</f>
        <v/>
      </c>
    </row>
    <row r="2913">
      <c r="A2913" s="58" t="n"/>
      <c r="B2913" s="49">
        <f>IF(A2913="","",CHOOSE(WEEKDAY(A2913,2),"Пн","Вт","Ср","Чт","Пт","Сб","Вс"))</f>
        <v/>
      </c>
      <c r="C2913" s="59" t="n"/>
      <c r="D2913" s="59" t="n"/>
      <c r="E2913" s="60">
        <f>IF(OR(C2913="",D2913=""),"",MOD(D2913-C2913,1)*24)</f>
        <v/>
      </c>
      <c r="F2913" s="50" t="n"/>
      <c r="G2913" s="51" t="n"/>
      <c r="H2913" s="51" t="n"/>
      <c r="I2913" s="51" t="n"/>
      <c r="J2913" s="51" t="n"/>
      <c r="K2913" s="51" t="n"/>
      <c r="L2913" s="54">
        <f>IF(OR(A2913="",C2913="",D2913=""),"",IF(COUNTIFS($A$5:$A$3004,A2913,$C$5:$C$3004,"&lt;"&amp;D2913,$D$5:$D$3004,"&gt;"&amp;C2913)&gt;1,"⚠️ пересечение",""))</f>
        <v/>
      </c>
      <c r="M2913" s="54">
        <f>IF(F2913="","",IF(J2913="✅ Сделано","✔ ",IF(J2913="❌ Пропущено","✖ ","⏰ "))&amp;IF(C2913="","",RIGHT("0"&amp;HOUR(C2913),2)&amp;":"&amp;RIGHT("0"&amp;MINUTE(C2913),2)&amp;IF(D2913="","","–"&amp;RIGHT("0"&amp;HOUR(D2913),2)&amp;":"&amp;RIGHT("0"&amp;MINUTE(D2913),2))&amp;" ")&amp;F2913)</f>
        <v/>
      </c>
      <c r="N2913" s="54">
        <f>IF(OR(A2913="",F2913=""),"",A2913&amp;"#"&amp;(COUNTIFS($A$5:$A$3004,A2913,$F$5:$F$3004,"?*",$O$5:$O$3004,"&lt;"&amp;O2913)+COUNTIFS($A$5:A2913,A2913,$F$5:F2913,"?*",$O$5:O2913,O2913)))</f>
        <v/>
      </c>
      <c r="O2913" s="54">
        <f>IF(A2913="","",IF(C2913="",0,C2913))</f>
        <v/>
      </c>
    </row>
    <row r="2914">
      <c r="A2914" s="58" t="n"/>
      <c r="B2914" s="49">
        <f>IF(A2914="","",CHOOSE(WEEKDAY(A2914,2),"Пн","Вт","Ср","Чт","Пт","Сб","Вс"))</f>
        <v/>
      </c>
      <c r="C2914" s="59" t="n"/>
      <c r="D2914" s="59" t="n"/>
      <c r="E2914" s="60">
        <f>IF(OR(C2914="",D2914=""),"",MOD(D2914-C2914,1)*24)</f>
        <v/>
      </c>
      <c r="F2914" s="50" t="n"/>
      <c r="G2914" s="51" t="n"/>
      <c r="H2914" s="51" t="n"/>
      <c r="I2914" s="51" t="n"/>
      <c r="J2914" s="51" t="n"/>
      <c r="K2914" s="51" t="n"/>
      <c r="L2914" s="54">
        <f>IF(OR(A2914="",C2914="",D2914=""),"",IF(COUNTIFS($A$5:$A$3004,A2914,$C$5:$C$3004,"&lt;"&amp;D2914,$D$5:$D$3004,"&gt;"&amp;C2914)&gt;1,"⚠️ пересечение",""))</f>
        <v/>
      </c>
      <c r="M2914" s="54">
        <f>IF(F2914="","",IF(J2914="✅ Сделано","✔ ",IF(J2914="❌ Пропущено","✖ ","⏰ "))&amp;IF(C2914="","",RIGHT("0"&amp;HOUR(C2914),2)&amp;":"&amp;RIGHT("0"&amp;MINUTE(C2914),2)&amp;IF(D2914="","","–"&amp;RIGHT("0"&amp;HOUR(D2914),2)&amp;":"&amp;RIGHT("0"&amp;MINUTE(D2914),2))&amp;" ")&amp;F2914)</f>
        <v/>
      </c>
      <c r="N2914" s="54">
        <f>IF(OR(A2914="",F2914=""),"",A2914&amp;"#"&amp;(COUNTIFS($A$5:$A$3004,A2914,$F$5:$F$3004,"?*",$O$5:$O$3004,"&lt;"&amp;O2914)+COUNTIFS($A$5:A2914,A2914,$F$5:F2914,"?*",$O$5:O2914,O2914)))</f>
        <v/>
      </c>
      <c r="O2914" s="54">
        <f>IF(A2914="","",IF(C2914="",0,C2914))</f>
        <v/>
      </c>
    </row>
    <row r="2915">
      <c r="A2915" s="58" t="n"/>
      <c r="B2915" s="49">
        <f>IF(A2915="","",CHOOSE(WEEKDAY(A2915,2),"Пн","Вт","Ср","Чт","Пт","Сб","Вс"))</f>
        <v/>
      </c>
      <c r="C2915" s="59" t="n"/>
      <c r="D2915" s="59" t="n"/>
      <c r="E2915" s="60">
        <f>IF(OR(C2915="",D2915=""),"",MOD(D2915-C2915,1)*24)</f>
        <v/>
      </c>
      <c r="F2915" s="50" t="n"/>
      <c r="G2915" s="51" t="n"/>
      <c r="H2915" s="51" t="n"/>
      <c r="I2915" s="51" t="n"/>
      <c r="J2915" s="51" t="n"/>
      <c r="K2915" s="51" t="n"/>
      <c r="L2915" s="54">
        <f>IF(OR(A2915="",C2915="",D2915=""),"",IF(COUNTIFS($A$5:$A$3004,A2915,$C$5:$C$3004,"&lt;"&amp;D2915,$D$5:$D$3004,"&gt;"&amp;C2915)&gt;1,"⚠️ пересечение",""))</f>
        <v/>
      </c>
      <c r="M2915" s="54">
        <f>IF(F2915="","",IF(J2915="✅ Сделано","✔ ",IF(J2915="❌ Пропущено","✖ ","⏰ "))&amp;IF(C2915="","",RIGHT("0"&amp;HOUR(C2915),2)&amp;":"&amp;RIGHT("0"&amp;MINUTE(C2915),2)&amp;IF(D2915="","","–"&amp;RIGHT("0"&amp;HOUR(D2915),2)&amp;":"&amp;RIGHT("0"&amp;MINUTE(D2915),2))&amp;" ")&amp;F2915)</f>
        <v/>
      </c>
      <c r="N2915" s="54">
        <f>IF(OR(A2915="",F2915=""),"",A2915&amp;"#"&amp;(COUNTIFS($A$5:$A$3004,A2915,$F$5:$F$3004,"?*",$O$5:$O$3004,"&lt;"&amp;O2915)+COUNTIFS($A$5:A2915,A2915,$F$5:F2915,"?*",$O$5:O2915,O2915)))</f>
        <v/>
      </c>
      <c r="O2915" s="54">
        <f>IF(A2915="","",IF(C2915="",0,C2915))</f>
        <v/>
      </c>
    </row>
    <row r="2916">
      <c r="A2916" s="58" t="n"/>
      <c r="B2916" s="49">
        <f>IF(A2916="","",CHOOSE(WEEKDAY(A2916,2),"Пн","Вт","Ср","Чт","Пт","Сб","Вс"))</f>
        <v/>
      </c>
      <c r="C2916" s="59" t="n"/>
      <c r="D2916" s="59" t="n"/>
      <c r="E2916" s="60">
        <f>IF(OR(C2916="",D2916=""),"",MOD(D2916-C2916,1)*24)</f>
        <v/>
      </c>
      <c r="F2916" s="50" t="n"/>
      <c r="G2916" s="51" t="n"/>
      <c r="H2916" s="51" t="n"/>
      <c r="I2916" s="51" t="n"/>
      <c r="J2916" s="51" t="n"/>
      <c r="K2916" s="51" t="n"/>
      <c r="L2916" s="54">
        <f>IF(OR(A2916="",C2916="",D2916=""),"",IF(COUNTIFS($A$5:$A$3004,A2916,$C$5:$C$3004,"&lt;"&amp;D2916,$D$5:$D$3004,"&gt;"&amp;C2916)&gt;1,"⚠️ пересечение",""))</f>
        <v/>
      </c>
      <c r="M2916" s="54">
        <f>IF(F2916="","",IF(J2916="✅ Сделано","✔ ",IF(J2916="❌ Пропущено","✖ ","⏰ "))&amp;IF(C2916="","",RIGHT("0"&amp;HOUR(C2916),2)&amp;":"&amp;RIGHT("0"&amp;MINUTE(C2916),2)&amp;IF(D2916="","","–"&amp;RIGHT("0"&amp;HOUR(D2916),2)&amp;":"&amp;RIGHT("0"&amp;MINUTE(D2916),2))&amp;" ")&amp;F2916)</f>
        <v/>
      </c>
      <c r="N2916" s="54">
        <f>IF(OR(A2916="",F2916=""),"",A2916&amp;"#"&amp;(COUNTIFS($A$5:$A$3004,A2916,$F$5:$F$3004,"?*",$O$5:$O$3004,"&lt;"&amp;O2916)+COUNTIFS($A$5:A2916,A2916,$F$5:F2916,"?*",$O$5:O2916,O2916)))</f>
        <v/>
      </c>
      <c r="O2916" s="54">
        <f>IF(A2916="","",IF(C2916="",0,C2916))</f>
        <v/>
      </c>
    </row>
    <row r="2917">
      <c r="A2917" s="58" t="n"/>
      <c r="B2917" s="49">
        <f>IF(A2917="","",CHOOSE(WEEKDAY(A2917,2),"Пн","Вт","Ср","Чт","Пт","Сб","Вс"))</f>
        <v/>
      </c>
      <c r="C2917" s="59" t="n"/>
      <c r="D2917" s="59" t="n"/>
      <c r="E2917" s="60">
        <f>IF(OR(C2917="",D2917=""),"",MOD(D2917-C2917,1)*24)</f>
        <v/>
      </c>
      <c r="F2917" s="50" t="n"/>
      <c r="G2917" s="51" t="n"/>
      <c r="H2917" s="51" t="n"/>
      <c r="I2917" s="51" t="n"/>
      <c r="J2917" s="51" t="n"/>
      <c r="K2917" s="51" t="n"/>
      <c r="L2917" s="54">
        <f>IF(OR(A2917="",C2917="",D2917=""),"",IF(COUNTIFS($A$5:$A$3004,A2917,$C$5:$C$3004,"&lt;"&amp;D2917,$D$5:$D$3004,"&gt;"&amp;C2917)&gt;1,"⚠️ пересечение",""))</f>
        <v/>
      </c>
      <c r="M2917" s="54">
        <f>IF(F2917="","",IF(J2917="✅ Сделано","✔ ",IF(J2917="❌ Пропущено","✖ ","⏰ "))&amp;IF(C2917="","",RIGHT("0"&amp;HOUR(C2917),2)&amp;":"&amp;RIGHT("0"&amp;MINUTE(C2917),2)&amp;IF(D2917="","","–"&amp;RIGHT("0"&amp;HOUR(D2917),2)&amp;":"&amp;RIGHT("0"&amp;MINUTE(D2917),2))&amp;" ")&amp;F2917)</f>
        <v/>
      </c>
      <c r="N2917" s="54">
        <f>IF(OR(A2917="",F2917=""),"",A2917&amp;"#"&amp;(COUNTIFS($A$5:$A$3004,A2917,$F$5:$F$3004,"?*",$O$5:$O$3004,"&lt;"&amp;O2917)+COUNTIFS($A$5:A2917,A2917,$F$5:F2917,"?*",$O$5:O2917,O2917)))</f>
        <v/>
      </c>
      <c r="O2917" s="54">
        <f>IF(A2917="","",IF(C2917="",0,C2917))</f>
        <v/>
      </c>
    </row>
    <row r="2918">
      <c r="A2918" s="58" t="n"/>
      <c r="B2918" s="49">
        <f>IF(A2918="","",CHOOSE(WEEKDAY(A2918,2),"Пн","Вт","Ср","Чт","Пт","Сб","Вс"))</f>
        <v/>
      </c>
      <c r="C2918" s="59" t="n"/>
      <c r="D2918" s="59" t="n"/>
      <c r="E2918" s="60">
        <f>IF(OR(C2918="",D2918=""),"",MOD(D2918-C2918,1)*24)</f>
        <v/>
      </c>
      <c r="F2918" s="50" t="n"/>
      <c r="G2918" s="51" t="n"/>
      <c r="H2918" s="51" t="n"/>
      <c r="I2918" s="51" t="n"/>
      <c r="J2918" s="51" t="n"/>
      <c r="K2918" s="51" t="n"/>
      <c r="L2918" s="54">
        <f>IF(OR(A2918="",C2918="",D2918=""),"",IF(COUNTIFS($A$5:$A$3004,A2918,$C$5:$C$3004,"&lt;"&amp;D2918,$D$5:$D$3004,"&gt;"&amp;C2918)&gt;1,"⚠️ пересечение",""))</f>
        <v/>
      </c>
      <c r="M2918" s="54">
        <f>IF(F2918="","",IF(J2918="✅ Сделано","✔ ",IF(J2918="❌ Пропущено","✖ ","⏰ "))&amp;IF(C2918="","",RIGHT("0"&amp;HOUR(C2918),2)&amp;":"&amp;RIGHT("0"&amp;MINUTE(C2918),2)&amp;IF(D2918="","","–"&amp;RIGHT("0"&amp;HOUR(D2918),2)&amp;":"&amp;RIGHT("0"&amp;MINUTE(D2918),2))&amp;" ")&amp;F2918)</f>
        <v/>
      </c>
      <c r="N2918" s="54">
        <f>IF(OR(A2918="",F2918=""),"",A2918&amp;"#"&amp;(COUNTIFS($A$5:$A$3004,A2918,$F$5:$F$3004,"?*",$O$5:$O$3004,"&lt;"&amp;O2918)+COUNTIFS($A$5:A2918,A2918,$F$5:F2918,"?*",$O$5:O2918,O2918)))</f>
        <v/>
      </c>
      <c r="O2918" s="54">
        <f>IF(A2918="","",IF(C2918="",0,C2918))</f>
        <v/>
      </c>
    </row>
    <row r="2919">
      <c r="A2919" s="58" t="n"/>
      <c r="B2919" s="49">
        <f>IF(A2919="","",CHOOSE(WEEKDAY(A2919,2),"Пн","Вт","Ср","Чт","Пт","Сб","Вс"))</f>
        <v/>
      </c>
      <c r="C2919" s="59" t="n"/>
      <c r="D2919" s="59" t="n"/>
      <c r="E2919" s="60">
        <f>IF(OR(C2919="",D2919=""),"",MOD(D2919-C2919,1)*24)</f>
        <v/>
      </c>
      <c r="F2919" s="50" t="n"/>
      <c r="G2919" s="51" t="n"/>
      <c r="H2919" s="51" t="n"/>
      <c r="I2919" s="51" t="n"/>
      <c r="J2919" s="51" t="n"/>
      <c r="K2919" s="51" t="n"/>
      <c r="L2919" s="54">
        <f>IF(OR(A2919="",C2919="",D2919=""),"",IF(COUNTIFS($A$5:$A$3004,A2919,$C$5:$C$3004,"&lt;"&amp;D2919,$D$5:$D$3004,"&gt;"&amp;C2919)&gt;1,"⚠️ пересечение",""))</f>
        <v/>
      </c>
      <c r="M2919" s="54">
        <f>IF(F2919="","",IF(J2919="✅ Сделано","✔ ",IF(J2919="❌ Пропущено","✖ ","⏰ "))&amp;IF(C2919="","",RIGHT("0"&amp;HOUR(C2919),2)&amp;":"&amp;RIGHT("0"&amp;MINUTE(C2919),2)&amp;IF(D2919="","","–"&amp;RIGHT("0"&amp;HOUR(D2919),2)&amp;":"&amp;RIGHT("0"&amp;MINUTE(D2919),2))&amp;" ")&amp;F2919)</f>
        <v/>
      </c>
      <c r="N2919" s="54">
        <f>IF(OR(A2919="",F2919=""),"",A2919&amp;"#"&amp;(COUNTIFS($A$5:$A$3004,A2919,$F$5:$F$3004,"?*",$O$5:$O$3004,"&lt;"&amp;O2919)+COUNTIFS($A$5:A2919,A2919,$F$5:F2919,"?*",$O$5:O2919,O2919)))</f>
        <v/>
      </c>
      <c r="O2919" s="54">
        <f>IF(A2919="","",IF(C2919="",0,C2919))</f>
        <v/>
      </c>
    </row>
    <row r="2920">
      <c r="A2920" s="58" t="n"/>
      <c r="B2920" s="49">
        <f>IF(A2920="","",CHOOSE(WEEKDAY(A2920,2),"Пн","Вт","Ср","Чт","Пт","Сб","Вс"))</f>
        <v/>
      </c>
      <c r="C2920" s="59" t="n"/>
      <c r="D2920" s="59" t="n"/>
      <c r="E2920" s="60">
        <f>IF(OR(C2920="",D2920=""),"",MOD(D2920-C2920,1)*24)</f>
        <v/>
      </c>
      <c r="F2920" s="50" t="n"/>
      <c r="G2920" s="51" t="n"/>
      <c r="H2920" s="51" t="n"/>
      <c r="I2920" s="51" t="n"/>
      <c r="J2920" s="51" t="n"/>
      <c r="K2920" s="51" t="n"/>
      <c r="L2920" s="54">
        <f>IF(OR(A2920="",C2920="",D2920=""),"",IF(COUNTIFS($A$5:$A$3004,A2920,$C$5:$C$3004,"&lt;"&amp;D2920,$D$5:$D$3004,"&gt;"&amp;C2920)&gt;1,"⚠️ пересечение",""))</f>
        <v/>
      </c>
      <c r="M2920" s="54">
        <f>IF(F2920="","",IF(J2920="✅ Сделано","✔ ",IF(J2920="❌ Пропущено","✖ ","⏰ "))&amp;IF(C2920="","",RIGHT("0"&amp;HOUR(C2920),2)&amp;":"&amp;RIGHT("0"&amp;MINUTE(C2920),2)&amp;IF(D2920="","","–"&amp;RIGHT("0"&amp;HOUR(D2920),2)&amp;":"&amp;RIGHT("0"&amp;MINUTE(D2920),2))&amp;" ")&amp;F2920)</f>
        <v/>
      </c>
      <c r="N2920" s="54">
        <f>IF(OR(A2920="",F2920=""),"",A2920&amp;"#"&amp;(COUNTIFS($A$5:$A$3004,A2920,$F$5:$F$3004,"?*",$O$5:$O$3004,"&lt;"&amp;O2920)+COUNTIFS($A$5:A2920,A2920,$F$5:F2920,"?*",$O$5:O2920,O2920)))</f>
        <v/>
      </c>
      <c r="O2920" s="54">
        <f>IF(A2920="","",IF(C2920="",0,C2920))</f>
        <v/>
      </c>
    </row>
    <row r="2921">
      <c r="A2921" s="58" t="n"/>
      <c r="B2921" s="49">
        <f>IF(A2921="","",CHOOSE(WEEKDAY(A2921,2),"Пн","Вт","Ср","Чт","Пт","Сб","Вс"))</f>
        <v/>
      </c>
      <c r="C2921" s="59" t="n"/>
      <c r="D2921" s="59" t="n"/>
      <c r="E2921" s="60">
        <f>IF(OR(C2921="",D2921=""),"",MOD(D2921-C2921,1)*24)</f>
        <v/>
      </c>
      <c r="F2921" s="50" t="n"/>
      <c r="G2921" s="51" t="n"/>
      <c r="H2921" s="51" t="n"/>
      <c r="I2921" s="51" t="n"/>
      <c r="J2921" s="51" t="n"/>
      <c r="K2921" s="51" t="n"/>
      <c r="L2921" s="54">
        <f>IF(OR(A2921="",C2921="",D2921=""),"",IF(COUNTIFS($A$5:$A$3004,A2921,$C$5:$C$3004,"&lt;"&amp;D2921,$D$5:$D$3004,"&gt;"&amp;C2921)&gt;1,"⚠️ пересечение",""))</f>
        <v/>
      </c>
      <c r="M2921" s="54">
        <f>IF(F2921="","",IF(J2921="✅ Сделано","✔ ",IF(J2921="❌ Пропущено","✖ ","⏰ "))&amp;IF(C2921="","",RIGHT("0"&amp;HOUR(C2921),2)&amp;":"&amp;RIGHT("0"&amp;MINUTE(C2921),2)&amp;IF(D2921="","","–"&amp;RIGHT("0"&amp;HOUR(D2921),2)&amp;":"&amp;RIGHT("0"&amp;MINUTE(D2921),2))&amp;" ")&amp;F2921)</f>
        <v/>
      </c>
      <c r="N2921" s="54">
        <f>IF(OR(A2921="",F2921=""),"",A2921&amp;"#"&amp;(COUNTIFS($A$5:$A$3004,A2921,$F$5:$F$3004,"?*",$O$5:$O$3004,"&lt;"&amp;O2921)+COUNTIFS($A$5:A2921,A2921,$F$5:F2921,"?*",$O$5:O2921,O2921)))</f>
        <v/>
      </c>
      <c r="O2921" s="54">
        <f>IF(A2921="","",IF(C2921="",0,C2921))</f>
        <v/>
      </c>
    </row>
    <row r="2922">
      <c r="A2922" s="58" t="n"/>
      <c r="B2922" s="49">
        <f>IF(A2922="","",CHOOSE(WEEKDAY(A2922,2),"Пн","Вт","Ср","Чт","Пт","Сб","Вс"))</f>
        <v/>
      </c>
      <c r="C2922" s="59" t="n"/>
      <c r="D2922" s="59" t="n"/>
      <c r="E2922" s="60">
        <f>IF(OR(C2922="",D2922=""),"",MOD(D2922-C2922,1)*24)</f>
        <v/>
      </c>
      <c r="F2922" s="50" t="n"/>
      <c r="G2922" s="51" t="n"/>
      <c r="H2922" s="51" t="n"/>
      <c r="I2922" s="51" t="n"/>
      <c r="J2922" s="51" t="n"/>
      <c r="K2922" s="51" t="n"/>
      <c r="L2922" s="54">
        <f>IF(OR(A2922="",C2922="",D2922=""),"",IF(COUNTIFS($A$5:$A$3004,A2922,$C$5:$C$3004,"&lt;"&amp;D2922,$D$5:$D$3004,"&gt;"&amp;C2922)&gt;1,"⚠️ пересечение",""))</f>
        <v/>
      </c>
      <c r="M2922" s="54">
        <f>IF(F2922="","",IF(J2922="✅ Сделано","✔ ",IF(J2922="❌ Пропущено","✖ ","⏰ "))&amp;IF(C2922="","",RIGHT("0"&amp;HOUR(C2922),2)&amp;":"&amp;RIGHT("0"&amp;MINUTE(C2922),2)&amp;IF(D2922="","","–"&amp;RIGHT("0"&amp;HOUR(D2922),2)&amp;":"&amp;RIGHT("0"&amp;MINUTE(D2922),2))&amp;" ")&amp;F2922)</f>
        <v/>
      </c>
      <c r="N2922" s="54">
        <f>IF(OR(A2922="",F2922=""),"",A2922&amp;"#"&amp;(COUNTIFS($A$5:$A$3004,A2922,$F$5:$F$3004,"?*",$O$5:$O$3004,"&lt;"&amp;O2922)+COUNTIFS($A$5:A2922,A2922,$F$5:F2922,"?*",$O$5:O2922,O2922)))</f>
        <v/>
      </c>
      <c r="O2922" s="54">
        <f>IF(A2922="","",IF(C2922="",0,C2922))</f>
        <v/>
      </c>
    </row>
    <row r="2923">
      <c r="A2923" s="58" t="n"/>
      <c r="B2923" s="49">
        <f>IF(A2923="","",CHOOSE(WEEKDAY(A2923,2),"Пн","Вт","Ср","Чт","Пт","Сб","Вс"))</f>
        <v/>
      </c>
      <c r="C2923" s="59" t="n"/>
      <c r="D2923" s="59" t="n"/>
      <c r="E2923" s="60">
        <f>IF(OR(C2923="",D2923=""),"",MOD(D2923-C2923,1)*24)</f>
        <v/>
      </c>
      <c r="F2923" s="50" t="n"/>
      <c r="G2923" s="51" t="n"/>
      <c r="H2923" s="51" t="n"/>
      <c r="I2923" s="51" t="n"/>
      <c r="J2923" s="51" t="n"/>
      <c r="K2923" s="51" t="n"/>
      <c r="L2923" s="54">
        <f>IF(OR(A2923="",C2923="",D2923=""),"",IF(COUNTIFS($A$5:$A$3004,A2923,$C$5:$C$3004,"&lt;"&amp;D2923,$D$5:$D$3004,"&gt;"&amp;C2923)&gt;1,"⚠️ пересечение",""))</f>
        <v/>
      </c>
      <c r="M2923" s="54">
        <f>IF(F2923="","",IF(J2923="✅ Сделано","✔ ",IF(J2923="❌ Пропущено","✖ ","⏰ "))&amp;IF(C2923="","",RIGHT("0"&amp;HOUR(C2923),2)&amp;":"&amp;RIGHT("0"&amp;MINUTE(C2923),2)&amp;IF(D2923="","","–"&amp;RIGHT("0"&amp;HOUR(D2923),2)&amp;":"&amp;RIGHT("0"&amp;MINUTE(D2923),2))&amp;" ")&amp;F2923)</f>
        <v/>
      </c>
      <c r="N2923" s="54">
        <f>IF(OR(A2923="",F2923=""),"",A2923&amp;"#"&amp;(COUNTIFS($A$5:$A$3004,A2923,$F$5:$F$3004,"?*",$O$5:$O$3004,"&lt;"&amp;O2923)+COUNTIFS($A$5:A2923,A2923,$F$5:F2923,"?*",$O$5:O2923,O2923)))</f>
        <v/>
      </c>
      <c r="O2923" s="54">
        <f>IF(A2923="","",IF(C2923="",0,C2923))</f>
        <v/>
      </c>
    </row>
    <row r="2924">
      <c r="A2924" s="58" t="n"/>
      <c r="B2924" s="49">
        <f>IF(A2924="","",CHOOSE(WEEKDAY(A2924,2),"Пн","Вт","Ср","Чт","Пт","Сб","Вс"))</f>
        <v/>
      </c>
      <c r="C2924" s="59" t="n"/>
      <c r="D2924" s="59" t="n"/>
      <c r="E2924" s="60">
        <f>IF(OR(C2924="",D2924=""),"",MOD(D2924-C2924,1)*24)</f>
        <v/>
      </c>
      <c r="F2924" s="50" t="n"/>
      <c r="G2924" s="51" t="n"/>
      <c r="H2924" s="51" t="n"/>
      <c r="I2924" s="51" t="n"/>
      <c r="J2924" s="51" t="n"/>
      <c r="K2924" s="51" t="n"/>
      <c r="L2924" s="54">
        <f>IF(OR(A2924="",C2924="",D2924=""),"",IF(COUNTIFS($A$5:$A$3004,A2924,$C$5:$C$3004,"&lt;"&amp;D2924,$D$5:$D$3004,"&gt;"&amp;C2924)&gt;1,"⚠️ пересечение",""))</f>
        <v/>
      </c>
      <c r="M2924" s="54">
        <f>IF(F2924="","",IF(J2924="✅ Сделано","✔ ",IF(J2924="❌ Пропущено","✖ ","⏰ "))&amp;IF(C2924="","",RIGHT("0"&amp;HOUR(C2924),2)&amp;":"&amp;RIGHT("0"&amp;MINUTE(C2924),2)&amp;IF(D2924="","","–"&amp;RIGHT("0"&amp;HOUR(D2924),2)&amp;":"&amp;RIGHT("0"&amp;MINUTE(D2924),2))&amp;" ")&amp;F2924)</f>
        <v/>
      </c>
      <c r="N2924" s="54">
        <f>IF(OR(A2924="",F2924=""),"",A2924&amp;"#"&amp;(COUNTIFS($A$5:$A$3004,A2924,$F$5:$F$3004,"?*",$O$5:$O$3004,"&lt;"&amp;O2924)+COUNTIFS($A$5:A2924,A2924,$F$5:F2924,"?*",$O$5:O2924,O2924)))</f>
        <v/>
      </c>
      <c r="O2924" s="54">
        <f>IF(A2924="","",IF(C2924="",0,C2924))</f>
        <v/>
      </c>
    </row>
    <row r="2925">
      <c r="A2925" s="58" t="n"/>
      <c r="B2925" s="49">
        <f>IF(A2925="","",CHOOSE(WEEKDAY(A2925,2),"Пн","Вт","Ср","Чт","Пт","Сб","Вс"))</f>
        <v/>
      </c>
      <c r="C2925" s="59" t="n"/>
      <c r="D2925" s="59" t="n"/>
      <c r="E2925" s="60">
        <f>IF(OR(C2925="",D2925=""),"",MOD(D2925-C2925,1)*24)</f>
        <v/>
      </c>
      <c r="F2925" s="50" t="n"/>
      <c r="G2925" s="51" t="n"/>
      <c r="H2925" s="51" t="n"/>
      <c r="I2925" s="51" t="n"/>
      <c r="J2925" s="51" t="n"/>
      <c r="K2925" s="51" t="n"/>
      <c r="L2925" s="54">
        <f>IF(OR(A2925="",C2925="",D2925=""),"",IF(COUNTIFS($A$5:$A$3004,A2925,$C$5:$C$3004,"&lt;"&amp;D2925,$D$5:$D$3004,"&gt;"&amp;C2925)&gt;1,"⚠️ пересечение",""))</f>
        <v/>
      </c>
      <c r="M2925" s="54">
        <f>IF(F2925="","",IF(J2925="✅ Сделано","✔ ",IF(J2925="❌ Пропущено","✖ ","⏰ "))&amp;IF(C2925="","",RIGHT("0"&amp;HOUR(C2925),2)&amp;":"&amp;RIGHT("0"&amp;MINUTE(C2925),2)&amp;IF(D2925="","","–"&amp;RIGHT("0"&amp;HOUR(D2925),2)&amp;":"&amp;RIGHT("0"&amp;MINUTE(D2925),2))&amp;" ")&amp;F2925)</f>
        <v/>
      </c>
      <c r="N2925" s="54">
        <f>IF(OR(A2925="",F2925=""),"",A2925&amp;"#"&amp;(COUNTIFS($A$5:$A$3004,A2925,$F$5:$F$3004,"?*",$O$5:$O$3004,"&lt;"&amp;O2925)+COUNTIFS($A$5:A2925,A2925,$F$5:F2925,"?*",$O$5:O2925,O2925)))</f>
        <v/>
      </c>
      <c r="O2925" s="54">
        <f>IF(A2925="","",IF(C2925="",0,C2925))</f>
        <v/>
      </c>
    </row>
    <row r="2926">
      <c r="A2926" s="58" t="n"/>
      <c r="B2926" s="49">
        <f>IF(A2926="","",CHOOSE(WEEKDAY(A2926,2),"Пн","Вт","Ср","Чт","Пт","Сб","Вс"))</f>
        <v/>
      </c>
      <c r="C2926" s="59" t="n"/>
      <c r="D2926" s="59" t="n"/>
      <c r="E2926" s="60">
        <f>IF(OR(C2926="",D2926=""),"",MOD(D2926-C2926,1)*24)</f>
        <v/>
      </c>
      <c r="F2926" s="50" t="n"/>
      <c r="G2926" s="51" t="n"/>
      <c r="H2926" s="51" t="n"/>
      <c r="I2926" s="51" t="n"/>
      <c r="J2926" s="51" t="n"/>
      <c r="K2926" s="51" t="n"/>
      <c r="L2926" s="54">
        <f>IF(OR(A2926="",C2926="",D2926=""),"",IF(COUNTIFS($A$5:$A$3004,A2926,$C$5:$C$3004,"&lt;"&amp;D2926,$D$5:$D$3004,"&gt;"&amp;C2926)&gt;1,"⚠️ пересечение",""))</f>
        <v/>
      </c>
      <c r="M2926" s="54">
        <f>IF(F2926="","",IF(J2926="✅ Сделано","✔ ",IF(J2926="❌ Пропущено","✖ ","⏰ "))&amp;IF(C2926="","",RIGHT("0"&amp;HOUR(C2926),2)&amp;":"&amp;RIGHT("0"&amp;MINUTE(C2926),2)&amp;IF(D2926="","","–"&amp;RIGHT("0"&amp;HOUR(D2926),2)&amp;":"&amp;RIGHT("0"&amp;MINUTE(D2926),2))&amp;" ")&amp;F2926)</f>
        <v/>
      </c>
      <c r="N2926" s="54">
        <f>IF(OR(A2926="",F2926=""),"",A2926&amp;"#"&amp;(COUNTIFS($A$5:$A$3004,A2926,$F$5:$F$3004,"?*",$O$5:$O$3004,"&lt;"&amp;O2926)+COUNTIFS($A$5:A2926,A2926,$F$5:F2926,"?*",$O$5:O2926,O2926)))</f>
        <v/>
      </c>
      <c r="O2926" s="54">
        <f>IF(A2926="","",IF(C2926="",0,C2926))</f>
        <v/>
      </c>
    </row>
    <row r="2927">
      <c r="A2927" s="58" t="n"/>
      <c r="B2927" s="49">
        <f>IF(A2927="","",CHOOSE(WEEKDAY(A2927,2),"Пн","Вт","Ср","Чт","Пт","Сб","Вс"))</f>
        <v/>
      </c>
      <c r="C2927" s="59" t="n"/>
      <c r="D2927" s="59" t="n"/>
      <c r="E2927" s="60">
        <f>IF(OR(C2927="",D2927=""),"",MOD(D2927-C2927,1)*24)</f>
        <v/>
      </c>
      <c r="F2927" s="50" t="n"/>
      <c r="G2927" s="51" t="n"/>
      <c r="H2927" s="51" t="n"/>
      <c r="I2927" s="51" t="n"/>
      <c r="J2927" s="51" t="n"/>
      <c r="K2927" s="51" t="n"/>
      <c r="L2927" s="54">
        <f>IF(OR(A2927="",C2927="",D2927=""),"",IF(COUNTIFS($A$5:$A$3004,A2927,$C$5:$C$3004,"&lt;"&amp;D2927,$D$5:$D$3004,"&gt;"&amp;C2927)&gt;1,"⚠️ пересечение",""))</f>
        <v/>
      </c>
      <c r="M2927" s="54">
        <f>IF(F2927="","",IF(J2927="✅ Сделано","✔ ",IF(J2927="❌ Пропущено","✖ ","⏰ "))&amp;IF(C2927="","",RIGHT("0"&amp;HOUR(C2927),2)&amp;":"&amp;RIGHT("0"&amp;MINUTE(C2927),2)&amp;IF(D2927="","","–"&amp;RIGHT("0"&amp;HOUR(D2927),2)&amp;":"&amp;RIGHT("0"&amp;MINUTE(D2927),2))&amp;" ")&amp;F2927)</f>
        <v/>
      </c>
      <c r="N2927" s="54">
        <f>IF(OR(A2927="",F2927=""),"",A2927&amp;"#"&amp;(COUNTIFS($A$5:$A$3004,A2927,$F$5:$F$3004,"?*",$O$5:$O$3004,"&lt;"&amp;O2927)+COUNTIFS($A$5:A2927,A2927,$F$5:F2927,"?*",$O$5:O2927,O2927)))</f>
        <v/>
      </c>
      <c r="O2927" s="54">
        <f>IF(A2927="","",IF(C2927="",0,C2927))</f>
        <v/>
      </c>
    </row>
    <row r="2928">
      <c r="A2928" s="58" t="n"/>
      <c r="B2928" s="49">
        <f>IF(A2928="","",CHOOSE(WEEKDAY(A2928,2),"Пн","Вт","Ср","Чт","Пт","Сб","Вс"))</f>
        <v/>
      </c>
      <c r="C2928" s="59" t="n"/>
      <c r="D2928" s="59" t="n"/>
      <c r="E2928" s="60">
        <f>IF(OR(C2928="",D2928=""),"",MOD(D2928-C2928,1)*24)</f>
        <v/>
      </c>
      <c r="F2928" s="50" t="n"/>
      <c r="G2928" s="51" t="n"/>
      <c r="H2928" s="51" t="n"/>
      <c r="I2928" s="51" t="n"/>
      <c r="J2928" s="51" t="n"/>
      <c r="K2928" s="51" t="n"/>
      <c r="L2928" s="54">
        <f>IF(OR(A2928="",C2928="",D2928=""),"",IF(COUNTIFS($A$5:$A$3004,A2928,$C$5:$C$3004,"&lt;"&amp;D2928,$D$5:$D$3004,"&gt;"&amp;C2928)&gt;1,"⚠️ пересечение",""))</f>
        <v/>
      </c>
      <c r="M2928" s="54">
        <f>IF(F2928="","",IF(J2928="✅ Сделано","✔ ",IF(J2928="❌ Пропущено","✖ ","⏰ "))&amp;IF(C2928="","",RIGHT("0"&amp;HOUR(C2928),2)&amp;":"&amp;RIGHT("0"&amp;MINUTE(C2928),2)&amp;IF(D2928="","","–"&amp;RIGHT("0"&amp;HOUR(D2928),2)&amp;":"&amp;RIGHT("0"&amp;MINUTE(D2928),2))&amp;" ")&amp;F2928)</f>
        <v/>
      </c>
      <c r="N2928" s="54">
        <f>IF(OR(A2928="",F2928=""),"",A2928&amp;"#"&amp;(COUNTIFS($A$5:$A$3004,A2928,$F$5:$F$3004,"?*",$O$5:$O$3004,"&lt;"&amp;O2928)+COUNTIFS($A$5:A2928,A2928,$F$5:F2928,"?*",$O$5:O2928,O2928)))</f>
        <v/>
      </c>
      <c r="O2928" s="54">
        <f>IF(A2928="","",IF(C2928="",0,C2928))</f>
        <v/>
      </c>
    </row>
    <row r="2929">
      <c r="A2929" s="58" t="n"/>
      <c r="B2929" s="49">
        <f>IF(A2929="","",CHOOSE(WEEKDAY(A2929,2),"Пн","Вт","Ср","Чт","Пт","Сб","Вс"))</f>
        <v/>
      </c>
      <c r="C2929" s="59" t="n"/>
      <c r="D2929" s="59" t="n"/>
      <c r="E2929" s="60">
        <f>IF(OR(C2929="",D2929=""),"",MOD(D2929-C2929,1)*24)</f>
        <v/>
      </c>
      <c r="F2929" s="50" t="n"/>
      <c r="G2929" s="51" t="n"/>
      <c r="H2929" s="51" t="n"/>
      <c r="I2929" s="51" t="n"/>
      <c r="J2929" s="51" t="n"/>
      <c r="K2929" s="51" t="n"/>
      <c r="L2929" s="54">
        <f>IF(OR(A2929="",C2929="",D2929=""),"",IF(COUNTIFS($A$5:$A$3004,A2929,$C$5:$C$3004,"&lt;"&amp;D2929,$D$5:$D$3004,"&gt;"&amp;C2929)&gt;1,"⚠️ пересечение",""))</f>
        <v/>
      </c>
      <c r="M2929" s="54">
        <f>IF(F2929="","",IF(J2929="✅ Сделано","✔ ",IF(J2929="❌ Пропущено","✖ ","⏰ "))&amp;IF(C2929="","",RIGHT("0"&amp;HOUR(C2929),2)&amp;":"&amp;RIGHT("0"&amp;MINUTE(C2929),2)&amp;IF(D2929="","","–"&amp;RIGHT("0"&amp;HOUR(D2929),2)&amp;":"&amp;RIGHT("0"&amp;MINUTE(D2929),2))&amp;" ")&amp;F2929)</f>
        <v/>
      </c>
      <c r="N2929" s="54">
        <f>IF(OR(A2929="",F2929=""),"",A2929&amp;"#"&amp;(COUNTIFS($A$5:$A$3004,A2929,$F$5:$F$3004,"?*",$O$5:$O$3004,"&lt;"&amp;O2929)+COUNTIFS($A$5:A2929,A2929,$F$5:F2929,"?*",$O$5:O2929,O2929)))</f>
        <v/>
      </c>
      <c r="O2929" s="54">
        <f>IF(A2929="","",IF(C2929="",0,C2929))</f>
        <v/>
      </c>
    </row>
    <row r="2930">
      <c r="A2930" s="58" t="n"/>
      <c r="B2930" s="49">
        <f>IF(A2930="","",CHOOSE(WEEKDAY(A2930,2),"Пн","Вт","Ср","Чт","Пт","Сб","Вс"))</f>
        <v/>
      </c>
      <c r="C2930" s="59" t="n"/>
      <c r="D2930" s="59" t="n"/>
      <c r="E2930" s="60">
        <f>IF(OR(C2930="",D2930=""),"",MOD(D2930-C2930,1)*24)</f>
        <v/>
      </c>
      <c r="F2930" s="50" t="n"/>
      <c r="G2930" s="51" t="n"/>
      <c r="H2930" s="51" t="n"/>
      <c r="I2930" s="51" t="n"/>
      <c r="J2930" s="51" t="n"/>
      <c r="K2930" s="51" t="n"/>
      <c r="L2930" s="54">
        <f>IF(OR(A2930="",C2930="",D2930=""),"",IF(COUNTIFS($A$5:$A$3004,A2930,$C$5:$C$3004,"&lt;"&amp;D2930,$D$5:$D$3004,"&gt;"&amp;C2930)&gt;1,"⚠️ пересечение",""))</f>
        <v/>
      </c>
      <c r="M2930" s="54">
        <f>IF(F2930="","",IF(J2930="✅ Сделано","✔ ",IF(J2930="❌ Пропущено","✖ ","⏰ "))&amp;IF(C2930="","",RIGHT("0"&amp;HOUR(C2930),2)&amp;":"&amp;RIGHT("0"&amp;MINUTE(C2930),2)&amp;IF(D2930="","","–"&amp;RIGHT("0"&amp;HOUR(D2930),2)&amp;":"&amp;RIGHT("0"&amp;MINUTE(D2930),2))&amp;" ")&amp;F2930)</f>
        <v/>
      </c>
      <c r="N2930" s="54">
        <f>IF(OR(A2930="",F2930=""),"",A2930&amp;"#"&amp;(COUNTIFS($A$5:$A$3004,A2930,$F$5:$F$3004,"?*",$O$5:$O$3004,"&lt;"&amp;O2930)+COUNTIFS($A$5:A2930,A2930,$F$5:F2930,"?*",$O$5:O2930,O2930)))</f>
        <v/>
      </c>
      <c r="O2930" s="54">
        <f>IF(A2930="","",IF(C2930="",0,C2930))</f>
        <v/>
      </c>
    </row>
    <row r="2931">
      <c r="A2931" s="58" t="n"/>
      <c r="B2931" s="49">
        <f>IF(A2931="","",CHOOSE(WEEKDAY(A2931,2),"Пн","Вт","Ср","Чт","Пт","Сб","Вс"))</f>
        <v/>
      </c>
      <c r="C2931" s="59" t="n"/>
      <c r="D2931" s="59" t="n"/>
      <c r="E2931" s="60">
        <f>IF(OR(C2931="",D2931=""),"",MOD(D2931-C2931,1)*24)</f>
        <v/>
      </c>
      <c r="F2931" s="50" t="n"/>
      <c r="G2931" s="51" t="n"/>
      <c r="H2931" s="51" t="n"/>
      <c r="I2931" s="51" t="n"/>
      <c r="J2931" s="51" t="n"/>
      <c r="K2931" s="51" t="n"/>
      <c r="L2931" s="54">
        <f>IF(OR(A2931="",C2931="",D2931=""),"",IF(COUNTIFS($A$5:$A$3004,A2931,$C$5:$C$3004,"&lt;"&amp;D2931,$D$5:$D$3004,"&gt;"&amp;C2931)&gt;1,"⚠️ пересечение",""))</f>
        <v/>
      </c>
      <c r="M2931" s="54">
        <f>IF(F2931="","",IF(J2931="✅ Сделано","✔ ",IF(J2931="❌ Пропущено","✖ ","⏰ "))&amp;IF(C2931="","",RIGHT("0"&amp;HOUR(C2931),2)&amp;":"&amp;RIGHT("0"&amp;MINUTE(C2931),2)&amp;IF(D2931="","","–"&amp;RIGHT("0"&amp;HOUR(D2931),2)&amp;":"&amp;RIGHT("0"&amp;MINUTE(D2931),2))&amp;" ")&amp;F2931)</f>
        <v/>
      </c>
      <c r="N2931" s="54">
        <f>IF(OR(A2931="",F2931=""),"",A2931&amp;"#"&amp;(COUNTIFS($A$5:$A$3004,A2931,$F$5:$F$3004,"?*",$O$5:$O$3004,"&lt;"&amp;O2931)+COUNTIFS($A$5:A2931,A2931,$F$5:F2931,"?*",$O$5:O2931,O2931)))</f>
        <v/>
      </c>
      <c r="O2931" s="54">
        <f>IF(A2931="","",IF(C2931="",0,C2931))</f>
        <v/>
      </c>
    </row>
    <row r="2932">
      <c r="A2932" s="58" t="n"/>
      <c r="B2932" s="49">
        <f>IF(A2932="","",CHOOSE(WEEKDAY(A2932,2),"Пн","Вт","Ср","Чт","Пт","Сб","Вс"))</f>
        <v/>
      </c>
      <c r="C2932" s="59" t="n"/>
      <c r="D2932" s="59" t="n"/>
      <c r="E2932" s="60">
        <f>IF(OR(C2932="",D2932=""),"",MOD(D2932-C2932,1)*24)</f>
        <v/>
      </c>
      <c r="F2932" s="50" t="n"/>
      <c r="G2932" s="51" t="n"/>
      <c r="H2932" s="51" t="n"/>
      <c r="I2932" s="51" t="n"/>
      <c r="J2932" s="51" t="n"/>
      <c r="K2932" s="51" t="n"/>
      <c r="L2932" s="54">
        <f>IF(OR(A2932="",C2932="",D2932=""),"",IF(COUNTIFS($A$5:$A$3004,A2932,$C$5:$C$3004,"&lt;"&amp;D2932,$D$5:$D$3004,"&gt;"&amp;C2932)&gt;1,"⚠️ пересечение",""))</f>
        <v/>
      </c>
      <c r="M2932" s="54">
        <f>IF(F2932="","",IF(J2932="✅ Сделано","✔ ",IF(J2932="❌ Пропущено","✖ ","⏰ "))&amp;IF(C2932="","",RIGHT("0"&amp;HOUR(C2932),2)&amp;":"&amp;RIGHT("0"&amp;MINUTE(C2932),2)&amp;IF(D2932="","","–"&amp;RIGHT("0"&amp;HOUR(D2932),2)&amp;":"&amp;RIGHT("0"&amp;MINUTE(D2932),2))&amp;" ")&amp;F2932)</f>
        <v/>
      </c>
      <c r="N2932" s="54">
        <f>IF(OR(A2932="",F2932=""),"",A2932&amp;"#"&amp;(COUNTIFS($A$5:$A$3004,A2932,$F$5:$F$3004,"?*",$O$5:$O$3004,"&lt;"&amp;O2932)+COUNTIFS($A$5:A2932,A2932,$F$5:F2932,"?*",$O$5:O2932,O2932)))</f>
        <v/>
      </c>
      <c r="O2932" s="54">
        <f>IF(A2932="","",IF(C2932="",0,C2932))</f>
        <v/>
      </c>
    </row>
    <row r="2933">
      <c r="A2933" s="58" t="n"/>
      <c r="B2933" s="49">
        <f>IF(A2933="","",CHOOSE(WEEKDAY(A2933,2),"Пн","Вт","Ср","Чт","Пт","Сб","Вс"))</f>
        <v/>
      </c>
      <c r="C2933" s="59" t="n"/>
      <c r="D2933" s="59" t="n"/>
      <c r="E2933" s="60">
        <f>IF(OR(C2933="",D2933=""),"",MOD(D2933-C2933,1)*24)</f>
        <v/>
      </c>
      <c r="F2933" s="50" t="n"/>
      <c r="G2933" s="51" t="n"/>
      <c r="H2933" s="51" t="n"/>
      <c r="I2933" s="51" t="n"/>
      <c r="J2933" s="51" t="n"/>
      <c r="K2933" s="51" t="n"/>
      <c r="L2933" s="54">
        <f>IF(OR(A2933="",C2933="",D2933=""),"",IF(COUNTIFS($A$5:$A$3004,A2933,$C$5:$C$3004,"&lt;"&amp;D2933,$D$5:$D$3004,"&gt;"&amp;C2933)&gt;1,"⚠️ пересечение",""))</f>
        <v/>
      </c>
      <c r="M2933" s="54">
        <f>IF(F2933="","",IF(J2933="✅ Сделано","✔ ",IF(J2933="❌ Пропущено","✖ ","⏰ "))&amp;IF(C2933="","",RIGHT("0"&amp;HOUR(C2933),2)&amp;":"&amp;RIGHT("0"&amp;MINUTE(C2933),2)&amp;IF(D2933="","","–"&amp;RIGHT("0"&amp;HOUR(D2933),2)&amp;":"&amp;RIGHT("0"&amp;MINUTE(D2933),2))&amp;" ")&amp;F2933)</f>
        <v/>
      </c>
      <c r="N2933" s="54">
        <f>IF(OR(A2933="",F2933=""),"",A2933&amp;"#"&amp;(COUNTIFS($A$5:$A$3004,A2933,$F$5:$F$3004,"?*",$O$5:$O$3004,"&lt;"&amp;O2933)+COUNTIFS($A$5:A2933,A2933,$F$5:F2933,"?*",$O$5:O2933,O2933)))</f>
        <v/>
      </c>
      <c r="O2933" s="54">
        <f>IF(A2933="","",IF(C2933="",0,C2933))</f>
        <v/>
      </c>
    </row>
    <row r="2934">
      <c r="A2934" s="58" t="n"/>
      <c r="B2934" s="49">
        <f>IF(A2934="","",CHOOSE(WEEKDAY(A2934,2),"Пн","Вт","Ср","Чт","Пт","Сб","Вс"))</f>
        <v/>
      </c>
      <c r="C2934" s="59" t="n"/>
      <c r="D2934" s="59" t="n"/>
      <c r="E2934" s="60">
        <f>IF(OR(C2934="",D2934=""),"",MOD(D2934-C2934,1)*24)</f>
        <v/>
      </c>
      <c r="F2934" s="50" t="n"/>
      <c r="G2934" s="51" t="n"/>
      <c r="H2934" s="51" t="n"/>
      <c r="I2934" s="51" t="n"/>
      <c r="J2934" s="51" t="n"/>
      <c r="K2934" s="51" t="n"/>
      <c r="L2934" s="54">
        <f>IF(OR(A2934="",C2934="",D2934=""),"",IF(COUNTIFS($A$5:$A$3004,A2934,$C$5:$C$3004,"&lt;"&amp;D2934,$D$5:$D$3004,"&gt;"&amp;C2934)&gt;1,"⚠️ пересечение",""))</f>
        <v/>
      </c>
      <c r="M2934" s="54">
        <f>IF(F2934="","",IF(J2934="✅ Сделано","✔ ",IF(J2934="❌ Пропущено","✖ ","⏰ "))&amp;IF(C2934="","",RIGHT("0"&amp;HOUR(C2934),2)&amp;":"&amp;RIGHT("0"&amp;MINUTE(C2934),2)&amp;IF(D2934="","","–"&amp;RIGHT("0"&amp;HOUR(D2934),2)&amp;":"&amp;RIGHT("0"&amp;MINUTE(D2934),2))&amp;" ")&amp;F2934)</f>
        <v/>
      </c>
      <c r="N2934" s="54">
        <f>IF(OR(A2934="",F2934=""),"",A2934&amp;"#"&amp;(COUNTIFS($A$5:$A$3004,A2934,$F$5:$F$3004,"?*",$O$5:$O$3004,"&lt;"&amp;O2934)+COUNTIFS($A$5:A2934,A2934,$F$5:F2934,"?*",$O$5:O2934,O2934)))</f>
        <v/>
      </c>
      <c r="O2934" s="54">
        <f>IF(A2934="","",IF(C2934="",0,C2934))</f>
        <v/>
      </c>
    </row>
    <row r="2935">
      <c r="A2935" s="58" t="n"/>
      <c r="B2935" s="49">
        <f>IF(A2935="","",CHOOSE(WEEKDAY(A2935,2),"Пн","Вт","Ср","Чт","Пт","Сб","Вс"))</f>
        <v/>
      </c>
      <c r="C2935" s="59" t="n"/>
      <c r="D2935" s="59" t="n"/>
      <c r="E2935" s="60">
        <f>IF(OR(C2935="",D2935=""),"",MOD(D2935-C2935,1)*24)</f>
        <v/>
      </c>
      <c r="F2935" s="50" t="n"/>
      <c r="G2935" s="51" t="n"/>
      <c r="H2935" s="51" t="n"/>
      <c r="I2935" s="51" t="n"/>
      <c r="J2935" s="51" t="n"/>
      <c r="K2935" s="51" t="n"/>
      <c r="L2935" s="54">
        <f>IF(OR(A2935="",C2935="",D2935=""),"",IF(COUNTIFS($A$5:$A$3004,A2935,$C$5:$C$3004,"&lt;"&amp;D2935,$D$5:$D$3004,"&gt;"&amp;C2935)&gt;1,"⚠️ пересечение",""))</f>
        <v/>
      </c>
      <c r="M2935" s="54">
        <f>IF(F2935="","",IF(J2935="✅ Сделано","✔ ",IF(J2935="❌ Пропущено","✖ ","⏰ "))&amp;IF(C2935="","",RIGHT("0"&amp;HOUR(C2935),2)&amp;":"&amp;RIGHT("0"&amp;MINUTE(C2935),2)&amp;IF(D2935="","","–"&amp;RIGHT("0"&amp;HOUR(D2935),2)&amp;":"&amp;RIGHT("0"&amp;MINUTE(D2935),2))&amp;" ")&amp;F2935)</f>
        <v/>
      </c>
      <c r="N2935" s="54">
        <f>IF(OR(A2935="",F2935=""),"",A2935&amp;"#"&amp;(COUNTIFS($A$5:$A$3004,A2935,$F$5:$F$3004,"?*",$O$5:$O$3004,"&lt;"&amp;O2935)+COUNTIFS($A$5:A2935,A2935,$F$5:F2935,"?*",$O$5:O2935,O2935)))</f>
        <v/>
      </c>
      <c r="O2935" s="54">
        <f>IF(A2935="","",IF(C2935="",0,C2935))</f>
        <v/>
      </c>
    </row>
    <row r="2936">
      <c r="A2936" s="58" t="n"/>
      <c r="B2936" s="49">
        <f>IF(A2936="","",CHOOSE(WEEKDAY(A2936,2),"Пн","Вт","Ср","Чт","Пт","Сб","Вс"))</f>
        <v/>
      </c>
      <c r="C2936" s="59" t="n"/>
      <c r="D2936" s="59" t="n"/>
      <c r="E2936" s="60">
        <f>IF(OR(C2936="",D2936=""),"",MOD(D2936-C2936,1)*24)</f>
        <v/>
      </c>
      <c r="F2936" s="50" t="n"/>
      <c r="G2936" s="51" t="n"/>
      <c r="H2936" s="51" t="n"/>
      <c r="I2936" s="51" t="n"/>
      <c r="J2936" s="51" t="n"/>
      <c r="K2936" s="51" t="n"/>
      <c r="L2936" s="54">
        <f>IF(OR(A2936="",C2936="",D2936=""),"",IF(COUNTIFS($A$5:$A$3004,A2936,$C$5:$C$3004,"&lt;"&amp;D2936,$D$5:$D$3004,"&gt;"&amp;C2936)&gt;1,"⚠️ пересечение",""))</f>
        <v/>
      </c>
      <c r="M2936" s="54">
        <f>IF(F2936="","",IF(J2936="✅ Сделано","✔ ",IF(J2936="❌ Пропущено","✖ ","⏰ "))&amp;IF(C2936="","",RIGHT("0"&amp;HOUR(C2936),2)&amp;":"&amp;RIGHT("0"&amp;MINUTE(C2936),2)&amp;IF(D2936="","","–"&amp;RIGHT("0"&amp;HOUR(D2936),2)&amp;":"&amp;RIGHT("0"&amp;MINUTE(D2936),2))&amp;" ")&amp;F2936)</f>
        <v/>
      </c>
      <c r="N2936" s="54">
        <f>IF(OR(A2936="",F2936=""),"",A2936&amp;"#"&amp;(COUNTIFS($A$5:$A$3004,A2936,$F$5:$F$3004,"?*",$O$5:$O$3004,"&lt;"&amp;O2936)+COUNTIFS($A$5:A2936,A2936,$F$5:F2936,"?*",$O$5:O2936,O2936)))</f>
        <v/>
      </c>
      <c r="O2936" s="54">
        <f>IF(A2936="","",IF(C2936="",0,C2936))</f>
        <v/>
      </c>
    </row>
    <row r="2937">
      <c r="A2937" s="58" t="n"/>
      <c r="B2937" s="49">
        <f>IF(A2937="","",CHOOSE(WEEKDAY(A2937,2),"Пн","Вт","Ср","Чт","Пт","Сб","Вс"))</f>
        <v/>
      </c>
      <c r="C2937" s="59" t="n"/>
      <c r="D2937" s="59" t="n"/>
      <c r="E2937" s="60">
        <f>IF(OR(C2937="",D2937=""),"",MOD(D2937-C2937,1)*24)</f>
        <v/>
      </c>
      <c r="F2937" s="50" t="n"/>
      <c r="G2937" s="51" t="n"/>
      <c r="H2937" s="51" t="n"/>
      <c r="I2937" s="51" t="n"/>
      <c r="J2937" s="51" t="n"/>
      <c r="K2937" s="51" t="n"/>
      <c r="L2937" s="54">
        <f>IF(OR(A2937="",C2937="",D2937=""),"",IF(COUNTIFS($A$5:$A$3004,A2937,$C$5:$C$3004,"&lt;"&amp;D2937,$D$5:$D$3004,"&gt;"&amp;C2937)&gt;1,"⚠️ пересечение",""))</f>
        <v/>
      </c>
      <c r="M2937" s="54">
        <f>IF(F2937="","",IF(J2937="✅ Сделано","✔ ",IF(J2937="❌ Пропущено","✖ ","⏰ "))&amp;IF(C2937="","",RIGHT("0"&amp;HOUR(C2937),2)&amp;":"&amp;RIGHT("0"&amp;MINUTE(C2937),2)&amp;IF(D2937="","","–"&amp;RIGHT("0"&amp;HOUR(D2937),2)&amp;":"&amp;RIGHT("0"&amp;MINUTE(D2937),2))&amp;" ")&amp;F2937)</f>
        <v/>
      </c>
      <c r="N2937" s="54">
        <f>IF(OR(A2937="",F2937=""),"",A2937&amp;"#"&amp;(COUNTIFS($A$5:$A$3004,A2937,$F$5:$F$3004,"?*",$O$5:$O$3004,"&lt;"&amp;O2937)+COUNTIFS($A$5:A2937,A2937,$F$5:F2937,"?*",$O$5:O2937,O2937)))</f>
        <v/>
      </c>
      <c r="O2937" s="54">
        <f>IF(A2937="","",IF(C2937="",0,C2937))</f>
        <v/>
      </c>
    </row>
    <row r="2938">
      <c r="A2938" s="58" t="n"/>
      <c r="B2938" s="49">
        <f>IF(A2938="","",CHOOSE(WEEKDAY(A2938,2),"Пн","Вт","Ср","Чт","Пт","Сб","Вс"))</f>
        <v/>
      </c>
      <c r="C2938" s="59" t="n"/>
      <c r="D2938" s="59" t="n"/>
      <c r="E2938" s="60">
        <f>IF(OR(C2938="",D2938=""),"",MOD(D2938-C2938,1)*24)</f>
        <v/>
      </c>
      <c r="F2938" s="50" t="n"/>
      <c r="G2938" s="51" t="n"/>
      <c r="H2938" s="51" t="n"/>
      <c r="I2938" s="51" t="n"/>
      <c r="J2938" s="51" t="n"/>
      <c r="K2938" s="51" t="n"/>
      <c r="L2938" s="54">
        <f>IF(OR(A2938="",C2938="",D2938=""),"",IF(COUNTIFS($A$5:$A$3004,A2938,$C$5:$C$3004,"&lt;"&amp;D2938,$D$5:$D$3004,"&gt;"&amp;C2938)&gt;1,"⚠️ пересечение",""))</f>
        <v/>
      </c>
      <c r="M2938" s="54">
        <f>IF(F2938="","",IF(J2938="✅ Сделано","✔ ",IF(J2938="❌ Пропущено","✖ ","⏰ "))&amp;IF(C2938="","",RIGHT("0"&amp;HOUR(C2938),2)&amp;":"&amp;RIGHT("0"&amp;MINUTE(C2938),2)&amp;IF(D2938="","","–"&amp;RIGHT("0"&amp;HOUR(D2938),2)&amp;":"&amp;RIGHT("0"&amp;MINUTE(D2938),2))&amp;" ")&amp;F2938)</f>
        <v/>
      </c>
      <c r="N2938" s="54">
        <f>IF(OR(A2938="",F2938=""),"",A2938&amp;"#"&amp;(COUNTIFS($A$5:$A$3004,A2938,$F$5:$F$3004,"?*",$O$5:$O$3004,"&lt;"&amp;O2938)+COUNTIFS($A$5:A2938,A2938,$F$5:F2938,"?*",$O$5:O2938,O2938)))</f>
        <v/>
      </c>
      <c r="O2938" s="54">
        <f>IF(A2938="","",IF(C2938="",0,C2938))</f>
        <v/>
      </c>
    </row>
    <row r="2939">
      <c r="A2939" s="58" t="n"/>
      <c r="B2939" s="49">
        <f>IF(A2939="","",CHOOSE(WEEKDAY(A2939,2),"Пн","Вт","Ср","Чт","Пт","Сб","Вс"))</f>
        <v/>
      </c>
      <c r="C2939" s="59" t="n"/>
      <c r="D2939" s="59" t="n"/>
      <c r="E2939" s="60">
        <f>IF(OR(C2939="",D2939=""),"",MOD(D2939-C2939,1)*24)</f>
        <v/>
      </c>
      <c r="F2939" s="50" t="n"/>
      <c r="G2939" s="51" t="n"/>
      <c r="H2939" s="51" t="n"/>
      <c r="I2939" s="51" t="n"/>
      <c r="J2939" s="51" t="n"/>
      <c r="K2939" s="51" t="n"/>
      <c r="L2939" s="54">
        <f>IF(OR(A2939="",C2939="",D2939=""),"",IF(COUNTIFS($A$5:$A$3004,A2939,$C$5:$C$3004,"&lt;"&amp;D2939,$D$5:$D$3004,"&gt;"&amp;C2939)&gt;1,"⚠️ пересечение",""))</f>
        <v/>
      </c>
      <c r="M2939" s="54">
        <f>IF(F2939="","",IF(J2939="✅ Сделано","✔ ",IF(J2939="❌ Пропущено","✖ ","⏰ "))&amp;IF(C2939="","",RIGHT("0"&amp;HOUR(C2939),2)&amp;":"&amp;RIGHT("0"&amp;MINUTE(C2939),2)&amp;IF(D2939="","","–"&amp;RIGHT("0"&amp;HOUR(D2939),2)&amp;":"&amp;RIGHT("0"&amp;MINUTE(D2939),2))&amp;" ")&amp;F2939)</f>
        <v/>
      </c>
      <c r="N2939" s="54">
        <f>IF(OR(A2939="",F2939=""),"",A2939&amp;"#"&amp;(COUNTIFS($A$5:$A$3004,A2939,$F$5:$F$3004,"?*",$O$5:$O$3004,"&lt;"&amp;O2939)+COUNTIFS($A$5:A2939,A2939,$F$5:F2939,"?*",$O$5:O2939,O2939)))</f>
        <v/>
      </c>
      <c r="O2939" s="54">
        <f>IF(A2939="","",IF(C2939="",0,C2939))</f>
        <v/>
      </c>
    </row>
    <row r="2940">
      <c r="A2940" s="58" t="n"/>
      <c r="B2940" s="49">
        <f>IF(A2940="","",CHOOSE(WEEKDAY(A2940,2),"Пн","Вт","Ср","Чт","Пт","Сб","Вс"))</f>
        <v/>
      </c>
      <c r="C2940" s="59" t="n"/>
      <c r="D2940" s="59" t="n"/>
      <c r="E2940" s="60">
        <f>IF(OR(C2940="",D2940=""),"",MOD(D2940-C2940,1)*24)</f>
        <v/>
      </c>
      <c r="F2940" s="50" t="n"/>
      <c r="G2940" s="51" t="n"/>
      <c r="H2940" s="51" t="n"/>
      <c r="I2940" s="51" t="n"/>
      <c r="J2940" s="51" t="n"/>
      <c r="K2940" s="51" t="n"/>
      <c r="L2940" s="54">
        <f>IF(OR(A2940="",C2940="",D2940=""),"",IF(COUNTIFS($A$5:$A$3004,A2940,$C$5:$C$3004,"&lt;"&amp;D2940,$D$5:$D$3004,"&gt;"&amp;C2940)&gt;1,"⚠️ пересечение",""))</f>
        <v/>
      </c>
      <c r="M2940" s="54">
        <f>IF(F2940="","",IF(J2940="✅ Сделано","✔ ",IF(J2940="❌ Пропущено","✖ ","⏰ "))&amp;IF(C2940="","",RIGHT("0"&amp;HOUR(C2940),2)&amp;":"&amp;RIGHT("0"&amp;MINUTE(C2940),2)&amp;IF(D2940="","","–"&amp;RIGHT("0"&amp;HOUR(D2940),2)&amp;":"&amp;RIGHT("0"&amp;MINUTE(D2940),2))&amp;" ")&amp;F2940)</f>
        <v/>
      </c>
      <c r="N2940" s="54">
        <f>IF(OR(A2940="",F2940=""),"",A2940&amp;"#"&amp;(COUNTIFS($A$5:$A$3004,A2940,$F$5:$F$3004,"?*",$O$5:$O$3004,"&lt;"&amp;O2940)+COUNTIFS($A$5:A2940,A2940,$F$5:F2940,"?*",$O$5:O2940,O2940)))</f>
        <v/>
      </c>
      <c r="O2940" s="54">
        <f>IF(A2940="","",IF(C2940="",0,C2940))</f>
        <v/>
      </c>
    </row>
    <row r="2941">
      <c r="A2941" s="58" t="n"/>
      <c r="B2941" s="49">
        <f>IF(A2941="","",CHOOSE(WEEKDAY(A2941,2),"Пн","Вт","Ср","Чт","Пт","Сб","Вс"))</f>
        <v/>
      </c>
      <c r="C2941" s="59" t="n"/>
      <c r="D2941" s="59" t="n"/>
      <c r="E2941" s="60">
        <f>IF(OR(C2941="",D2941=""),"",MOD(D2941-C2941,1)*24)</f>
        <v/>
      </c>
      <c r="F2941" s="50" t="n"/>
      <c r="G2941" s="51" t="n"/>
      <c r="H2941" s="51" t="n"/>
      <c r="I2941" s="51" t="n"/>
      <c r="J2941" s="51" t="n"/>
      <c r="K2941" s="51" t="n"/>
      <c r="L2941" s="54">
        <f>IF(OR(A2941="",C2941="",D2941=""),"",IF(COUNTIFS($A$5:$A$3004,A2941,$C$5:$C$3004,"&lt;"&amp;D2941,$D$5:$D$3004,"&gt;"&amp;C2941)&gt;1,"⚠️ пересечение",""))</f>
        <v/>
      </c>
      <c r="M2941" s="54">
        <f>IF(F2941="","",IF(J2941="✅ Сделано","✔ ",IF(J2941="❌ Пропущено","✖ ","⏰ "))&amp;IF(C2941="","",RIGHT("0"&amp;HOUR(C2941),2)&amp;":"&amp;RIGHT("0"&amp;MINUTE(C2941),2)&amp;IF(D2941="","","–"&amp;RIGHT("0"&amp;HOUR(D2941),2)&amp;":"&amp;RIGHT("0"&amp;MINUTE(D2941),2))&amp;" ")&amp;F2941)</f>
        <v/>
      </c>
      <c r="N2941" s="54">
        <f>IF(OR(A2941="",F2941=""),"",A2941&amp;"#"&amp;(COUNTIFS($A$5:$A$3004,A2941,$F$5:$F$3004,"?*",$O$5:$O$3004,"&lt;"&amp;O2941)+COUNTIFS($A$5:A2941,A2941,$F$5:F2941,"?*",$O$5:O2941,O2941)))</f>
        <v/>
      </c>
      <c r="O2941" s="54">
        <f>IF(A2941="","",IF(C2941="",0,C2941))</f>
        <v/>
      </c>
    </row>
    <row r="2942">
      <c r="A2942" s="58" t="n"/>
      <c r="B2942" s="49">
        <f>IF(A2942="","",CHOOSE(WEEKDAY(A2942,2),"Пн","Вт","Ср","Чт","Пт","Сб","Вс"))</f>
        <v/>
      </c>
      <c r="C2942" s="59" t="n"/>
      <c r="D2942" s="59" t="n"/>
      <c r="E2942" s="60">
        <f>IF(OR(C2942="",D2942=""),"",MOD(D2942-C2942,1)*24)</f>
        <v/>
      </c>
      <c r="F2942" s="50" t="n"/>
      <c r="G2942" s="51" t="n"/>
      <c r="H2942" s="51" t="n"/>
      <c r="I2942" s="51" t="n"/>
      <c r="J2942" s="51" t="n"/>
      <c r="K2942" s="51" t="n"/>
      <c r="L2942" s="54">
        <f>IF(OR(A2942="",C2942="",D2942=""),"",IF(COUNTIFS($A$5:$A$3004,A2942,$C$5:$C$3004,"&lt;"&amp;D2942,$D$5:$D$3004,"&gt;"&amp;C2942)&gt;1,"⚠️ пересечение",""))</f>
        <v/>
      </c>
      <c r="M2942" s="54">
        <f>IF(F2942="","",IF(J2942="✅ Сделано","✔ ",IF(J2942="❌ Пропущено","✖ ","⏰ "))&amp;IF(C2942="","",RIGHT("0"&amp;HOUR(C2942),2)&amp;":"&amp;RIGHT("0"&amp;MINUTE(C2942),2)&amp;IF(D2942="","","–"&amp;RIGHT("0"&amp;HOUR(D2942),2)&amp;":"&amp;RIGHT("0"&amp;MINUTE(D2942),2))&amp;" ")&amp;F2942)</f>
        <v/>
      </c>
      <c r="N2942" s="54">
        <f>IF(OR(A2942="",F2942=""),"",A2942&amp;"#"&amp;(COUNTIFS($A$5:$A$3004,A2942,$F$5:$F$3004,"?*",$O$5:$O$3004,"&lt;"&amp;O2942)+COUNTIFS($A$5:A2942,A2942,$F$5:F2942,"?*",$O$5:O2942,O2942)))</f>
        <v/>
      </c>
      <c r="O2942" s="54">
        <f>IF(A2942="","",IF(C2942="",0,C2942))</f>
        <v/>
      </c>
    </row>
    <row r="2943">
      <c r="A2943" s="58" t="n"/>
      <c r="B2943" s="49">
        <f>IF(A2943="","",CHOOSE(WEEKDAY(A2943,2),"Пн","Вт","Ср","Чт","Пт","Сб","Вс"))</f>
        <v/>
      </c>
      <c r="C2943" s="59" t="n"/>
      <c r="D2943" s="59" t="n"/>
      <c r="E2943" s="60">
        <f>IF(OR(C2943="",D2943=""),"",MOD(D2943-C2943,1)*24)</f>
        <v/>
      </c>
      <c r="F2943" s="50" t="n"/>
      <c r="G2943" s="51" t="n"/>
      <c r="H2943" s="51" t="n"/>
      <c r="I2943" s="51" t="n"/>
      <c r="J2943" s="51" t="n"/>
      <c r="K2943" s="51" t="n"/>
      <c r="L2943" s="54">
        <f>IF(OR(A2943="",C2943="",D2943=""),"",IF(COUNTIFS($A$5:$A$3004,A2943,$C$5:$C$3004,"&lt;"&amp;D2943,$D$5:$D$3004,"&gt;"&amp;C2943)&gt;1,"⚠️ пересечение",""))</f>
        <v/>
      </c>
      <c r="M2943" s="54">
        <f>IF(F2943="","",IF(J2943="✅ Сделано","✔ ",IF(J2943="❌ Пропущено","✖ ","⏰ "))&amp;IF(C2943="","",RIGHT("0"&amp;HOUR(C2943),2)&amp;":"&amp;RIGHT("0"&amp;MINUTE(C2943),2)&amp;IF(D2943="","","–"&amp;RIGHT("0"&amp;HOUR(D2943),2)&amp;":"&amp;RIGHT("0"&amp;MINUTE(D2943),2))&amp;" ")&amp;F2943)</f>
        <v/>
      </c>
      <c r="N2943" s="54">
        <f>IF(OR(A2943="",F2943=""),"",A2943&amp;"#"&amp;(COUNTIFS($A$5:$A$3004,A2943,$F$5:$F$3004,"?*",$O$5:$O$3004,"&lt;"&amp;O2943)+COUNTIFS($A$5:A2943,A2943,$F$5:F2943,"?*",$O$5:O2943,O2943)))</f>
        <v/>
      </c>
      <c r="O2943" s="54">
        <f>IF(A2943="","",IF(C2943="",0,C2943))</f>
        <v/>
      </c>
    </row>
    <row r="2944">
      <c r="A2944" s="58" t="n"/>
      <c r="B2944" s="49">
        <f>IF(A2944="","",CHOOSE(WEEKDAY(A2944,2),"Пн","Вт","Ср","Чт","Пт","Сб","Вс"))</f>
        <v/>
      </c>
      <c r="C2944" s="59" t="n"/>
      <c r="D2944" s="59" t="n"/>
      <c r="E2944" s="60">
        <f>IF(OR(C2944="",D2944=""),"",MOD(D2944-C2944,1)*24)</f>
        <v/>
      </c>
      <c r="F2944" s="50" t="n"/>
      <c r="G2944" s="51" t="n"/>
      <c r="H2944" s="51" t="n"/>
      <c r="I2944" s="51" t="n"/>
      <c r="J2944" s="51" t="n"/>
      <c r="K2944" s="51" t="n"/>
      <c r="L2944" s="54">
        <f>IF(OR(A2944="",C2944="",D2944=""),"",IF(COUNTIFS($A$5:$A$3004,A2944,$C$5:$C$3004,"&lt;"&amp;D2944,$D$5:$D$3004,"&gt;"&amp;C2944)&gt;1,"⚠️ пересечение",""))</f>
        <v/>
      </c>
      <c r="M2944" s="54">
        <f>IF(F2944="","",IF(J2944="✅ Сделано","✔ ",IF(J2944="❌ Пропущено","✖ ","⏰ "))&amp;IF(C2944="","",RIGHT("0"&amp;HOUR(C2944),2)&amp;":"&amp;RIGHT("0"&amp;MINUTE(C2944),2)&amp;IF(D2944="","","–"&amp;RIGHT("0"&amp;HOUR(D2944),2)&amp;":"&amp;RIGHT("0"&amp;MINUTE(D2944),2))&amp;" ")&amp;F2944)</f>
        <v/>
      </c>
      <c r="N2944" s="54">
        <f>IF(OR(A2944="",F2944=""),"",A2944&amp;"#"&amp;(COUNTIFS($A$5:$A$3004,A2944,$F$5:$F$3004,"?*",$O$5:$O$3004,"&lt;"&amp;O2944)+COUNTIFS($A$5:A2944,A2944,$F$5:F2944,"?*",$O$5:O2944,O2944)))</f>
        <v/>
      </c>
      <c r="O2944" s="54">
        <f>IF(A2944="","",IF(C2944="",0,C2944))</f>
        <v/>
      </c>
    </row>
    <row r="2945">
      <c r="A2945" s="58" t="n"/>
      <c r="B2945" s="49">
        <f>IF(A2945="","",CHOOSE(WEEKDAY(A2945,2),"Пн","Вт","Ср","Чт","Пт","Сб","Вс"))</f>
        <v/>
      </c>
      <c r="C2945" s="59" t="n"/>
      <c r="D2945" s="59" t="n"/>
      <c r="E2945" s="60">
        <f>IF(OR(C2945="",D2945=""),"",MOD(D2945-C2945,1)*24)</f>
        <v/>
      </c>
      <c r="F2945" s="50" t="n"/>
      <c r="G2945" s="51" t="n"/>
      <c r="H2945" s="51" t="n"/>
      <c r="I2945" s="51" t="n"/>
      <c r="J2945" s="51" t="n"/>
      <c r="K2945" s="51" t="n"/>
      <c r="L2945" s="54">
        <f>IF(OR(A2945="",C2945="",D2945=""),"",IF(COUNTIFS($A$5:$A$3004,A2945,$C$5:$C$3004,"&lt;"&amp;D2945,$D$5:$D$3004,"&gt;"&amp;C2945)&gt;1,"⚠️ пересечение",""))</f>
        <v/>
      </c>
      <c r="M2945" s="54">
        <f>IF(F2945="","",IF(J2945="✅ Сделано","✔ ",IF(J2945="❌ Пропущено","✖ ","⏰ "))&amp;IF(C2945="","",RIGHT("0"&amp;HOUR(C2945),2)&amp;":"&amp;RIGHT("0"&amp;MINUTE(C2945),2)&amp;IF(D2945="","","–"&amp;RIGHT("0"&amp;HOUR(D2945),2)&amp;":"&amp;RIGHT("0"&amp;MINUTE(D2945),2))&amp;" ")&amp;F2945)</f>
        <v/>
      </c>
      <c r="N2945" s="54">
        <f>IF(OR(A2945="",F2945=""),"",A2945&amp;"#"&amp;(COUNTIFS($A$5:$A$3004,A2945,$F$5:$F$3004,"?*",$O$5:$O$3004,"&lt;"&amp;O2945)+COUNTIFS($A$5:A2945,A2945,$F$5:F2945,"?*",$O$5:O2945,O2945)))</f>
        <v/>
      </c>
      <c r="O2945" s="54">
        <f>IF(A2945="","",IF(C2945="",0,C2945))</f>
        <v/>
      </c>
    </row>
    <row r="2946">
      <c r="A2946" s="58" t="n"/>
      <c r="B2946" s="49">
        <f>IF(A2946="","",CHOOSE(WEEKDAY(A2946,2),"Пн","Вт","Ср","Чт","Пт","Сб","Вс"))</f>
        <v/>
      </c>
      <c r="C2946" s="59" t="n"/>
      <c r="D2946" s="59" t="n"/>
      <c r="E2946" s="60">
        <f>IF(OR(C2946="",D2946=""),"",MOD(D2946-C2946,1)*24)</f>
        <v/>
      </c>
      <c r="F2946" s="50" t="n"/>
      <c r="G2946" s="51" t="n"/>
      <c r="H2946" s="51" t="n"/>
      <c r="I2946" s="51" t="n"/>
      <c r="J2946" s="51" t="n"/>
      <c r="K2946" s="51" t="n"/>
      <c r="L2946" s="54">
        <f>IF(OR(A2946="",C2946="",D2946=""),"",IF(COUNTIFS($A$5:$A$3004,A2946,$C$5:$C$3004,"&lt;"&amp;D2946,$D$5:$D$3004,"&gt;"&amp;C2946)&gt;1,"⚠️ пересечение",""))</f>
        <v/>
      </c>
      <c r="M2946" s="54">
        <f>IF(F2946="","",IF(J2946="✅ Сделано","✔ ",IF(J2946="❌ Пропущено","✖ ","⏰ "))&amp;IF(C2946="","",RIGHT("0"&amp;HOUR(C2946),2)&amp;":"&amp;RIGHT("0"&amp;MINUTE(C2946),2)&amp;IF(D2946="","","–"&amp;RIGHT("0"&amp;HOUR(D2946),2)&amp;":"&amp;RIGHT("0"&amp;MINUTE(D2946),2))&amp;" ")&amp;F2946)</f>
        <v/>
      </c>
      <c r="N2946" s="54">
        <f>IF(OR(A2946="",F2946=""),"",A2946&amp;"#"&amp;(COUNTIFS($A$5:$A$3004,A2946,$F$5:$F$3004,"?*",$O$5:$O$3004,"&lt;"&amp;O2946)+COUNTIFS($A$5:A2946,A2946,$F$5:F2946,"?*",$O$5:O2946,O2946)))</f>
        <v/>
      </c>
      <c r="O2946" s="54">
        <f>IF(A2946="","",IF(C2946="",0,C2946))</f>
        <v/>
      </c>
    </row>
    <row r="2947">
      <c r="A2947" s="58" t="n"/>
      <c r="B2947" s="49">
        <f>IF(A2947="","",CHOOSE(WEEKDAY(A2947,2),"Пн","Вт","Ср","Чт","Пт","Сб","Вс"))</f>
        <v/>
      </c>
      <c r="C2947" s="59" t="n"/>
      <c r="D2947" s="59" t="n"/>
      <c r="E2947" s="60">
        <f>IF(OR(C2947="",D2947=""),"",MOD(D2947-C2947,1)*24)</f>
        <v/>
      </c>
      <c r="F2947" s="50" t="n"/>
      <c r="G2947" s="51" t="n"/>
      <c r="H2947" s="51" t="n"/>
      <c r="I2947" s="51" t="n"/>
      <c r="J2947" s="51" t="n"/>
      <c r="K2947" s="51" t="n"/>
      <c r="L2947" s="54">
        <f>IF(OR(A2947="",C2947="",D2947=""),"",IF(COUNTIFS($A$5:$A$3004,A2947,$C$5:$C$3004,"&lt;"&amp;D2947,$D$5:$D$3004,"&gt;"&amp;C2947)&gt;1,"⚠️ пересечение",""))</f>
        <v/>
      </c>
      <c r="M2947" s="54">
        <f>IF(F2947="","",IF(J2947="✅ Сделано","✔ ",IF(J2947="❌ Пропущено","✖ ","⏰ "))&amp;IF(C2947="","",RIGHT("0"&amp;HOUR(C2947),2)&amp;":"&amp;RIGHT("0"&amp;MINUTE(C2947),2)&amp;IF(D2947="","","–"&amp;RIGHT("0"&amp;HOUR(D2947),2)&amp;":"&amp;RIGHT("0"&amp;MINUTE(D2947),2))&amp;" ")&amp;F2947)</f>
        <v/>
      </c>
      <c r="N2947" s="54">
        <f>IF(OR(A2947="",F2947=""),"",A2947&amp;"#"&amp;(COUNTIFS($A$5:$A$3004,A2947,$F$5:$F$3004,"?*",$O$5:$O$3004,"&lt;"&amp;O2947)+COUNTIFS($A$5:A2947,A2947,$F$5:F2947,"?*",$O$5:O2947,O2947)))</f>
        <v/>
      </c>
      <c r="O2947" s="54">
        <f>IF(A2947="","",IF(C2947="",0,C2947))</f>
        <v/>
      </c>
    </row>
    <row r="2948">
      <c r="A2948" s="58" t="n"/>
      <c r="B2948" s="49">
        <f>IF(A2948="","",CHOOSE(WEEKDAY(A2948,2),"Пн","Вт","Ср","Чт","Пт","Сб","Вс"))</f>
        <v/>
      </c>
      <c r="C2948" s="59" t="n"/>
      <c r="D2948" s="59" t="n"/>
      <c r="E2948" s="60">
        <f>IF(OR(C2948="",D2948=""),"",MOD(D2948-C2948,1)*24)</f>
        <v/>
      </c>
      <c r="F2948" s="50" t="n"/>
      <c r="G2948" s="51" t="n"/>
      <c r="H2948" s="51" t="n"/>
      <c r="I2948" s="51" t="n"/>
      <c r="J2948" s="51" t="n"/>
      <c r="K2948" s="51" t="n"/>
      <c r="L2948" s="54">
        <f>IF(OR(A2948="",C2948="",D2948=""),"",IF(COUNTIFS($A$5:$A$3004,A2948,$C$5:$C$3004,"&lt;"&amp;D2948,$D$5:$D$3004,"&gt;"&amp;C2948)&gt;1,"⚠️ пересечение",""))</f>
        <v/>
      </c>
      <c r="M2948" s="54">
        <f>IF(F2948="","",IF(J2948="✅ Сделано","✔ ",IF(J2948="❌ Пропущено","✖ ","⏰ "))&amp;IF(C2948="","",RIGHT("0"&amp;HOUR(C2948),2)&amp;":"&amp;RIGHT("0"&amp;MINUTE(C2948),2)&amp;IF(D2948="","","–"&amp;RIGHT("0"&amp;HOUR(D2948),2)&amp;":"&amp;RIGHT("0"&amp;MINUTE(D2948),2))&amp;" ")&amp;F2948)</f>
        <v/>
      </c>
      <c r="N2948" s="54">
        <f>IF(OR(A2948="",F2948=""),"",A2948&amp;"#"&amp;(COUNTIFS($A$5:$A$3004,A2948,$F$5:$F$3004,"?*",$O$5:$O$3004,"&lt;"&amp;O2948)+COUNTIFS($A$5:A2948,A2948,$F$5:F2948,"?*",$O$5:O2948,O2948)))</f>
        <v/>
      </c>
      <c r="O2948" s="54">
        <f>IF(A2948="","",IF(C2948="",0,C2948))</f>
        <v/>
      </c>
    </row>
    <row r="2949">
      <c r="A2949" s="58" t="n"/>
      <c r="B2949" s="49">
        <f>IF(A2949="","",CHOOSE(WEEKDAY(A2949,2),"Пн","Вт","Ср","Чт","Пт","Сб","Вс"))</f>
        <v/>
      </c>
      <c r="C2949" s="59" t="n"/>
      <c r="D2949" s="59" t="n"/>
      <c r="E2949" s="60">
        <f>IF(OR(C2949="",D2949=""),"",MOD(D2949-C2949,1)*24)</f>
        <v/>
      </c>
      <c r="F2949" s="50" t="n"/>
      <c r="G2949" s="51" t="n"/>
      <c r="H2949" s="51" t="n"/>
      <c r="I2949" s="51" t="n"/>
      <c r="J2949" s="51" t="n"/>
      <c r="K2949" s="51" t="n"/>
      <c r="L2949" s="54">
        <f>IF(OR(A2949="",C2949="",D2949=""),"",IF(COUNTIFS($A$5:$A$3004,A2949,$C$5:$C$3004,"&lt;"&amp;D2949,$D$5:$D$3004,"&gt;"&amp;C2949)&gt;1,"⚠️ пересечение",""))</f>
        <v/>
      </c>
      <c r="M2949" s="54">
        <f>IF(F2949="","",IF(J2949="✅ Сделано","✔ ",IF(J2949="❌ Пропущено","✖ ","⏰ "))&amp;IF(C2949="","",RIGHT("0"&amp;HOUR(C2949),2)&amp;":"&amp;RIGHT("0"&amp;MINUTE(C2949),2)&amp;IF(D2949="","","–"&amp;RIGHT("0"&amp;HOUR(D2949),2)&amp;":"&amp;RIGHT("0"&amp;MINUTE(D2949),2))&amp;" ")&amp;F2949)</f>
        <v/>
      </c>
      <c r="N2949" s="54">
        <f>IF(OR(A2949="",F2949=""),"",A2949&amp;"#"&amp;(COUNTIFS($A$5:$A$3004,A2949,$F$5:$F$3004,"?*",$O$5:$O$3004,"&lt;"&amp;O2949)+COUNTIFS($A$5:A2949,A2949,$F$5:F2949,"?*",$O$5:O2949,O2949)))</f>
        <v/>
      </c>
      <c r="O2949" s="54">
        <f>IF(A2949="","",IF(C2949="",0,C2949))</f>
        <v/>
      </c>
    </row>
    <row r="2950">
      <c r="A2950" s="58" t="n"/>
      <c r="B2950" s="49">
        <f>IF(A2950="","",CHOOSE(WEEKDAY(A2950,2),"Пн","Вт","Ср","Чт","Пт","Сб","Вс"))</f>
        <v/>
      </c>
      <c r="C2950" s="59" t="n"/>
      <c r="D2950" s="59" t="n"/>
      <c r="E2950" s="60">
        <f>IF(OR(C2950="",D2950=""),"",MOD(D2950-C2950,1)*24)</f>
        <v/>
      </c>
      <c r="F2950" s="50" t="n"/>
      <c r="G2950" s="51" t="n"/>
      <c r="H2950" s="51" t="n"/>
      <c r="I2950" s="51" t="n"/>
      <c r="J2950" s="51" t="n"/>
      <c r="K2950" s="51" t="n"/>
      <c r="L2950" s="54">
        <f>IF(OR(A2950="",C2950="",D2950=""),"",IF(COUNTIFS($A$5:$A$3004,A2950,$C$5:$C$3004,"&lt;"&amp;D2950,$D$5:$D$3004,"&gt;"&amp;C2950)&gt;1,"⚠️ пересечение",""))</f>
        <v/>
      </c>
      <c r="M2950" s="54">
        <f>IF(F2950="","",IF(J2950="✅ Сделано","✔ ",IF(J2950="❌ Пропущено","✖ ","⏰ "))&amp;IF(C2950="","",RIGHT("0"&amp;HOUR(C2950),2)&amp;":"&amp;RIGHT("0"&amp;MINUTE(C2950),2)&amp;IF(D2950="","","–"&amp;RIGHT("0"&amp;HOUR(D2950),2)&amp;":"&amp;RIGHT("0"&amp;MINUTE(D2950),2))&amp;" ")&amp;F2950)</f>
        <v/>
      </c>
      <c r="N2950" s="54">
        <f>IF(OR(A2950="",F2950=""),"",A2950&amp;"#"&amp;(COUNTIFS($A$5:$A$3004,A2950,$F$5:$F$3004,"?*",$O$5:$O$3004,"&lt;"&amp;O2950)+COUNTIFS($A$5:A2950,A2950,$F$5:F2950,"?*",$O$5:O2950,O2950)))</f>
        <v/>
      </c>
      <c r="O2950" s="54">
        <f>IF(A2950="","",IF(C2950="",0,C2950))</f>
        <v/>
      </c>
    </row>
    <row r="2951">
      <c r="A2951" s="58" t="n"/>
      <c r="B2951" s="49">
        <f>IF(A2951="","",CHOOSE(WEEKDAY(A2951,2),"Пн","Вт","Ср","Чт","Пт","Сб","Вс"))</f>
        <v/>
      </c>
      <c r="C2951" s="59" t="n"/>
      <c r="D2951" s="59" t="n"/>
      <c r="E2951" s="60">
        <f>IF(OR(C2951="",D2951=""),"",MOD(D2951-C2951,1)*24)</f>
        <v/>
      </c>
      <c r="F2951" s="50" t="n"/>
      <c r="G2951" s="51" t="n"/>
      <c r="H2951" s="51" t="n"/>
      <c r="I2951" s="51" t="n"/>
      <c r="J2951" s="51" t="n"/>
      <c r="K2951" s="51" t="n"/>
      <c r="L2951" s="54">
        <f>IF(OR(A2951="",C2951="",D2951=""),"",IF(COUNTIFS($A$5:$A$3004,A2951,$C$5:$C$3004,"&lt;"&amp;D2951,$D$5:$D$3004,"&gt;"&amp;C2951)&gt;1,"⚠️ пересечение",""))</f>
        <v/>
      </c>
      <c r="M2951" s="54">
        <f>IF(F2951="","",IF(J2951="✅ Сделано","✔ ",IF(J2951="❌ Пропущено","✖ ","⏰ "))&amp;IF(C2951="","",RIGHT("0"&amp;HOUR(C2951),2)&amp;":"&amp;RIGHT("0"&amp;MINUTE(C2951),2)&amp;IF(D2951="","","–"&amp;RIGHT("0"&amp;HOUR(D2951),2)&amp;":"&amp;RIGHT("0"&amp;MINUTE(D2951),2))&amp;" ")&amp;F2951)</f>
        <v/>
      </c>
      <c r="N2951" s="54">
        <f>IF(OR(A2951="",F2951=""),"",A2951&amp;"#"&amp;(COUNTIFS($A$5:$A$3004,A2951,$F$5:$F$3004,"?*",$O$5:$O$3004,"&lt;"&amp;O2951)+COUNTIFS($A$5:A2951,A2951,$F$5:F2951,"?*",$O$5:O2951,O2951)))</f>
        <v/>
      </c>
      <c r="O2951" s="54">
        <f>IF(A2951="","",IF(C2951="",0,C2951))</f>
        <v/>
      </c>
    </row>
    <row r="2952">
      <c r="A2952" s="58" t="n"/>
      <c r="B2952" s="49">
        <f>IF(A2952="","",CHOOSE(WEEKDAY(A2952,2),"Пн","Вт","Ср","Чт","Пт","Сб","Вс"))</f>
        <v/>
      </c>
      <c r="C2952" s="59" t="n"/>
      <c r="D2952" s="59" t="n"/>
      <c r="E2952" s="60">
        <f>IF(OR(C2952="",D2952=""),"",MOD(D2952-C2952,1)*24)</f>
        <v/>
      </c>
      <c r="F2952" s="50" t="n"/>
      <c r="G2952" s="51" t="n"/>
      <c r="H2952" s="51" t="n"/>
      <c r="I2952" s="51" t="n"/>
      <c r="J2952" s="51" t="n"/>
      <c r="K2952" s="51" t="n"/>
      <c r="L2952" s="54">
        <f>IF(OR(A2952="",C2952="",D2952=""),"",IF(COUNTIFS($A$5:$A$3004,A2952,$C$5:$C$3004,"&lt;"&amp;D2952,$D$5:$D$3004,"&gt;"&amp;C2952)&gt;1,"⚠️ пересечение",""))</f>
        <v/>
      </c>
      <c r="M2952" s="54">
        <f>IF(F2952="","",IF(J2952="✅ Сделано","✔ ",IF(J2952="❌ Пропущено","✖ ","⏰ "))&amp;IF(C2952="","",RIGHT("0"&amp;HOUR(C2952),2)&amp;":"&amp;RIGHT("0"&amp;MINUTE(C2952),2)&amp;IF(D2952="","","–"&amp;RIGHT("0"&amp;HOUR(D2952),2)&amp;":"&amp;RIGHT("0"&amp;MINUTE(D2952),2))&amp;" ")&amp;F2952)</f>
        <v/>
      </c>
      <c r="N2952" s="54">
        <f>IF(OR(A2952="",F2952=""),"",A2952&amp;"#"&amp;(COUNTIFS($A$5:$A$3004,A2952,$F$5:$F$3004,"?*",$O$5:$O$3004,"&lt;"&amp;O2952)+COUNTIFS($A$5:A2952,A2952,$F$5:F2952,"?*",$O$5:O2952,O2952)))</f>
        <v/>
      </c>
      <c r="O2952" s="54">
        <f>IF(A2952="","",IF(C2952="",0,C2952))</f>
        <v/>
      </c>
    </row>
    <row r="2953">
      <c r="A2953" s="58" t="n"/>
      <c r="B2953" s="49">
        <f>IF(A2953="","",CHOOSE(WEEKDAY(A2953,2),"Пн","Вт","Ср","Чт","Пт","Сб","Вс"))</f>
        <v/>
      </c>
      <c r="C2953" s="59" t="n"/>
      <c r="D2953" s="59" t="n"/>
      <c r="E2953" s="60">
        <f>IF(OR(C2953="",D2953=""),"",MOD(D2953-C2953,1)*24)</f>
        <v/>
      </c>
      <c r="F2953" s="50" t="n"/>
      <c r="G2953" s="51" t="n"/>
      <c r="H2953" s="51" t="n"/>
      <c r="I2953" s="51" t="n"/>
      <c r="J2953" s="51" t="n"/>
      <c r="K2953" s="51" t="n"/>
      <c r="L2953" s="54">
        <f>IF(OR(A2953="",C2953="",D2953=""),"",IF(COUNTIFS($A$5:$A$3004,A2953,$C$5:$C$3004,"&lt;"&amp;D2953,$D$5:$D$3004,"&gt;"&amp;C2953)&gt;1,"⚠️ пересечение",""))</f>
        <v/>
      </c>
      <c r="M2953" s="54">
        <f>IF(F2953="","",IF(J2953="✅ Сделано","✔ ",IF(J2953="❌ Пропущено","✖ ","⏰ "))&amp;IF(C2953="","",RIGHT("0"&amp;HOUR(C2953),2)&amp;":"&amp;RIGHT("0"&amp;MINUTE(C2953),2)&amp;IF(D2953="","","–"&amp;RIGHT("0"&amp;HOUR(D2953),2)&amp;":"&amp;RIGHT("0"&amp;MINUTE(D2953),2))&amp;" ")&amp;F2953)</f>
        <v/>
      </c>
      <c r="N2953" s="54">
        <f>IF(OR(A2953="",F2953=""),"",A2953&amp;"#"&amp;(COUNTIFS($A$5:$A$3004,A2953,$F$5:$F$3004,"?*",$O$5:$O$3004,"&lt;"&amp;O2953)+COUNTIFS($A$5:A2953,A2953,$F$5:F2953,"?*",$O$5:O2953,O2953)))</f>
        <v/>
      </c>
      <c r="O2953" s="54">
        <f>IF(A2953="","",IF(C2953="",0,C2953))</f>
        <v/>
      </c>
    </row>
    <row r="2954">
      <c r="A2954" s="58" t="n"/>
      <c r="B2954" s="49">
        <f>IF(A2954="","",CHOOSE(WEEKDAY(A2954,2),"Пн","Вт","Ср","Чт","Пт","Сб","Вс"))</f>
        <v/>
      </c>
      <c r="C2954" s="59" t="n"/>
      <c r="D2954" s="59" t="n"/>
      <c r="E2954" s="60">
        <f>IF(OR(C2954="",D2954=""),"",MOD(D2954-C2954,1)*24)</f>
        <v/>
      </c>
      <c r="F2954" s="50" t="n"/>
      <c r="G2954" s="51" t="n"/>
      <c r="H2954" s="51" t="n"/>
      <c r="I2954" s="51" t="n"/>
      <c r="J2954" s="51" t="n"/>
      <c r="K2954" s="51" t="n"/>
      <c r="L2954" s="54">
        <f>IF(OR(A2954="",C2954="",D2954=""),"",IF(COUNTIFS($A$5:$A$3004,A2954,$C$5:$C$3004,"&lt;"&amp;D2954,$D$5:$D$3004,"&gt;"&amp;C2954)&gt;1,"⚠️ пересечение",""))</f>
        <v/>
      </c>
      <c r="M2954" s="54">
        <f>IF(F2954="","",IF(J2954="✅ Сделано","✔ ",IF(J2954="❌ Пропущено","✖ ","⏰ "))&amp;IF(C2954="","",RIGHT("0"&amp;HOUR(C2954),2)&amp;":"&amp;RIGHT("0"&amp;MINUTE(C2954),2)&amp;IF(D2954="","","–"&amp;RIGHT("0"&amp;HOUR(D2954),2)&amp;":"&amp;RIGHT("0"&amp;MINUTE(D2954),2))&amp;" ")&amp;F2954)</f>
        <v/>
      </c>
      <c r="N2954" s="54">
        <f>IF(OR(A2954="",F2954=""),"",A2954&amp;"#"&amp;(COUNTIFS($A$5:$A$3004,A2954,$F$5:$F$3004,"?*",$O$5:$O$3004,"&lt;"&amp;O2954)+COUNTIFS($A$5:A2954,A2954,$F$5:F2954,"?*",$O$5:O2954,O2954)))</f>
        <v/>
      </c>
      <c r="O2954" s="54">
        <f>IF(A2954="","",IF(C2954="",0,C2954))</f>
        <v/>
      </c>
    </row>
    <row r="2955">
      <c r="A2955" s="58" t="n"/>
      <c r="B2955" s="49">
        <f>IF(A2955="","",CHOOSE(WEEKDAY(A2955,2),"Пн","Вт","Ср","Чт","Пт","Сб","Вс"))</f>
        <v/>
      </c>
      <c r="C2955" s="59" t="n"/>
      <c r="D2955" s="59" t="n"/>
      <c r="E2955" s="60">
        <f>IF(OR(C2955="",D2955=""),"",MOD(D2955-C2955,1)*24)</f>
        <v/>
      </c>
      <c r="F2955" s="50" t="n"/>
      <c r="G2955" s="51" t="n"/>
      <c r="H2955" s="51" t="n"/>
      <c r="I2955" s="51" t="n"/>
      <c r="J2955" s="51" t="n"/>
      <c r="K2955" s="51" t="n"/>
      <c r="L2955" s="54">
        <f>IF(OR(A2955="",C2955="",D2955=""),"",IF(COUNTIFS($A$5:$A$3004,A2955,$C$5:$C$3004,"&lt;"&amp;D2955,$D$5:$D$3004,"&gt;"&amp;C2955)&gt;1,"⚠️ пересечение",""))</f>
        <v/>
      </c>
      <c r="M2955" s="54">
        <f>IF(F2955="","",IF(J2955="✅ Сделано","✔ ",IF(J2955="❌ Пропущено","✖ ","⏰ "))&amp;IF(C2955="","",RIGHT("0"&amp;HOUR(C2955),2)&amp;":"&amp;RIGHT("0"&amp;MINUTE(C2955),2)&amp;IF(D2955="","","–"&amp;RIGHT("0"&amp;HOUR(D2955),2)&amp;":"&amp;RIGHT("0"&amp;MINUTE(D2955),2))&amp;" ")&amp;F2955)</f>
        <v/>
      </c>
      <c r="N2955" s="54">
        <f>IF(OR(A2955="",F2955=""),"",A2955&amp;"#"&amp;(COUNTIFS($A$5:$A$3004,A2955,$F$5:$F$3004,"?*",$O$5:$O$3004,"&lt;"&amp;O2955)+COUNTIFS($A$5:A2955,A2955,$F$5:F2955,"?*",$O$5:O2955,O2955)))</f>
        <v/>
      </c>
      <c r="O2955" s="54">
        <f>IF(A2955="","",IF(C2955="",0,C2955))</f>
        <v/>
      </c>
    </row>
    <row r="2956">
      <c r="A2956" s="58" t="n"/>
      <c r="B2956" s="49">
        <f>IF(A2956="","",CHOOSE(WEEKDAY(A2956,2),"Пн","Вт","Ср","Чт","Пт","Сб","Вс"))</f>
        <v/>
      </c>
      <c r="C2956" s="59" t="n"/>
      <c r="D2956" s="59" t="n"/>
      <c r="E2956" s="60">
        <f>IF(OR(C2956="",D2956=""),"",MOD(D2956-C2956,1)*24)</f>
        <v/>
      </c>
      <c r="F2956" s="50" t="n"/>
      <c r="G2956" s="51" t="n"/>
      <c r="H2956" s="51" t="n"/>
      <c r="I2956" s="51" t="n"/>
      <c r="J2956" s="51" t="n"/>
      <c r="K2956" s="51" t="n"/>
      <c r="L2956" s="54">
        <f>IF(OR(A2956="",C2956="",D2956=""),"",IF(COUNTIFS($A$5:$A$3004,A2956,$C$5:$C$3004,"&lt;"&amp;D2956,$D$5:$D$3004,"&gt;"&amp;C2956)&gt;1,"⚠️ пересечение",""))</f>
        <v/>
      </c>
      <c r="M2956" s="54">
        <f>IF(F2956="","",IF(J2956="✅ Сделано","✔ ",IF(J2956="❌ Пропущено","✖ ","⏰ "))&amp;IF(C2956="","",RIGHT("0"&amp;HOUR(C2956),2)&amp;":"&amp;RIGHT("0"&amp;MINUTE(C2956),2)&amp;IF(D2956="","","–"&amp;RIGHT("0"&amp;HOUR(D2956),2)&amp;":"&amp;RIGHT("0"&amp;MINUTE(D2956),2))&amp;" ")&amp;F2956)</f>
        <v/>
      </c>
      <c r="N2956" s="54">
        <f>IF(OR(A2956="",F2956=""),"",A2956&amp;"#"&amp;(COUNTIFS($A$5:$A$3004,A2956,$F$5:$F$3004,"?*",$O$5:$O$3004,"&lt;"&amp;O2956)+COUNTIFS($A$5:A2956,A2956,$F$5:F2956,"?*",$O$5:O2956,O2956)))</f>
        <v/>
      </c>
      <c r="O2956" s="54">
        <f>IF(A2956="","",IF(C2956="",0,C2956))</f>
        <v/>
      </c>
    </row>
    <row r="2957">
      <c r="A2957" s="58" t="n"/>
      <c r="B2957" s="49">
        <f>IF(A2957="","",CHOOSE(WEEKDAY(A2957,2),"Пн","Вт","Ср","Чт","Пт","Сб","Вс"))</f>
        <v/>
      </c>
      <c r="C2957" s="59" t="n"/>
      <c r="D2957" s="59" t="n"/>
      <c r="E2957" s="60">
        <f>IF(OR(C2957="",D2957=""),"",MOD(D2957-C2957,1)*24)</f>
        <v/>
      </c>
      <c r="F2957" s="50" t="n"/>
      <c r="G2957" s="51" t="n"/>
      <c r="H2957" s="51" t="n"/>
      <c r="I2957" s="51" t="n"/>
      <c r="J2957" s="51" t="n"/>
      <c r="K2957" s="51" t="n"/>
      <c r="L2957" s="54">
        <f>IF(OR(A2957="",C2957="",D2957=""),"",IF(COUNTIFS($A$5:$A$3004,A2957,$C$5:$C$3004,"&lt;"&amp;D2957,$D$5:$D$3004,"&gt;"&amp;C2957)&gt;1,"⚠️ пересечение",""))</f>
        <v/>
      </c>
      <c r="M2957" s="54">
        <f>IF(F2957="","",IF(J2957="✅ Сделано","✔ ",IF(J2957="❌ Пропущено","✖ ","⏰ "))&amp;IF(C2957="","",RIGHT("0"&amp;HOUR(C2957),2)&amp;":"&amp;RIGHT("0"&amp;MINUTE(C2957),2)&amp;IF(D2957="","","–"&amp;RIGHT("0"&amp;HOUR(D2957),2)&amp;":"&amp;RIGHT("0"&amp;MINUTE(D2957),2))&amp;" ")&amp;F2957)</f>
        <v/>
      </c>
      <c r="N2957" s="54">
        <f>IF(OR(A2957="",F2957=""),"",A2957&amp;"#"&amp;(COUNTIFS($A$5:$A$3004,A2957,$F$5:$F$3004,"?*",$O$5:$O$3004,"&lt;"&amp;O2957)+COUNTIFS($A$5:A2957,A2957,$F$5:F2957,"?*",$O$5:O2957,O2957)))</f>
        <v/>
      </c>
      <c r="O2957" s="54">
        <f>IF(A2957="","",IF(C2957="",0,C2957))</f>
        <v/>
      </c>
    </row>
    <row r="2958">
      <c r="A2958" s="58" t="n"/>
      <c r="B2958" s="49">
        <f>IF(A2958="","",CHOOSE(WEEKDAY(A2958,2),"Пн","Вт","Ср","Чт","Пт","Сб","Вс"))</f>
        <v/>
      </c>
      <c r="C2958" s="59" t="n"/>
      <c r="D2958" s="59" t="n"/>
      <c r="E2958" s="60">
        <f>IF(OR(C2958="",D2958=""),"",MOD(D2958-C2958,1)*24)</f>
        <v/>
      </c>
      <c r="F2958" s="50" t="n"/>
      <c r="G2958" s="51" t="n"/>
      <c r="H2958" s="51" t="n"/>
      <c r="I2958" s="51" t="n"/>
      <c r="J2958" s="51" t="n"/>
      <c r="K2958" s="51" t="n"/>
      <c r="L2958" s="54">
        <f>IF(OR(A2958="",C2958="",D2958=""),"",IF(COUNTIFS($A$5:$A$3004,A2958,$C$5:$C$3004,"&lt;"&amp;D2958,$D$5:$D$3004,"&gt;"&amp;C2958)&gt;1,"⚠️ пересечение",""))</f>
        <v/>
      </c>
      <c r="M2958" s="54">
        <f>IF(F2958="","",IF(J2958="✅ Сделано","✔ ",IF(J2958="❌ Пропущено","✖ ","⏰ "))&amp;IF(C2958="","",RIGHT("0"&amp;HOUR(C2958),2)&amp;":"&amp;RIGHT("0"&amp;MINUTE(C2958),2)&amp;IF(D2958="","","–"&amp;RIGHT("0"&amp;HOUR(D2958),2)&amp;":"&amp;RIGHT("0"&amp;MINUTE(D2958),2))&amp;" ")&amp;F2958)</f>
        <v/>
      </c>
      <c r="N2958" s="54">
        <f>IF(OR(A2958="",F2958=""),"",A2958&amp;"#"&amp;(COUNTIFS($A$5:$A$3004,A2958,$F$5:$F$3004,"?*",$O$5:$O$3004,"&lt;"&amp;O2958)+COUNTIFS($A$5:A2958,A2958,$F$5:F2958,"?*",$O$5:O2958,O2958)))</f>
        <v/>
      </c>
      <c r="O2958" s="54">
        <f>IF(A2958="","",IF(C2958="",0,C2958))</f>
        <v/>
      </c>
    </row>
    <row r="2959">
      <c r="A2959" s="58" t="n"/>
      <c r="B2959" s="49">
        <f>IF(A2959="","",CHOOSE(WEEKDAY(A2959,2),"Пн","Вт","Ср","Чт","Пт","Сб","Вс"))</f>
        <v/>
      </c>
      <c r="C2959" s="59" t="n"/>
      <c r="D2959" s="59" t="n"/>
      <c r="E2959" s="60">
        <f>IF(OR(C2959="",D2959=""),"",MOD(D2959-C2959,1)*24)</f>
        <v/>
      </c>
      <c r="F2959" s="50" t="n"/>
      <c r="G2959" s="51" t="n"/>
      <c r="H2959" s="51" t="n"/>
      <c r="I2959" s="51" t="n"/>
      <c r="J2959" s="51" t="n"/>
      <c r="K2959" s="51" t="n"/>
      <c r="L2959" s="54">
        <f>IF(OR(A2959="",C2959="",D2959=""),"",IF(COUNTIFS($A$5:$A$3004,A2959,$C$5:$C$3004,"&lt;"&amp;D2959,$D$5:$D$3004,"&gt;"&amp;C2959)&gt;1,"⚠️ пересечение",""))</f>
        <v/>
      </c>
      <c r="M2959" s="54">
        <f>IF(F2959="","",IF(J2959="✅ Сделано","✔ ",IF(J2959="❌ Пропущено","✖ ","⏰ "))&amp;IF(C2959="","",RIGHT("0"&amp;HOUR(C2959),2)&amp;":"&amp;RIGHT("0"&amp;MINUTE(C2959),2)&amp;IF(D2959="","","–"&amp;RIGHT("0"&amp;HOUR(D2959),2)&amp;":"&amp;RIGHT("0"&amp;MINUTE(D2959),2))&amp;" ")&amp;F2959)</f>
        <v/>
      </c>
      <c r="N2959" s="54">
        <f>IF(OR(A2959="",F2959=""),"",A2959&amp;"#"&amp;(COUNTIFS($A$5:$A$3004,A2959,$F$5:$F$3004,"?*",$O$5:$O$3004,"&lt;"&amp;O2959)+COUNTIFS($A$5:A2959,A2959,$F$5:F2959,"?*",$O$5:O2959,O2959)))</f>
        <v/>
      </c>
      <c r="O2959" s="54">
        <f>IF(A2959="","",IF(C2959="",0,C2959))</f>
        <v/>
      </c>
    </row>
    <row r="2960">
      <c r="A2960" s="58" t="n"/>
      <c r="B2960" s="49">
        <f>IF(A2960="","",CHOOSE(WEEKDAY(A2960,2),"Пн","Вт","Ср","Чт","Пт","Сб","Вс"))</f>
        <v/>
      </c>
      <c r="C2960" s="59" t="n"/>
      <c r="D2960" s="59" t="n"/>
      <c r="E2960" s="60">
        <f>IF(OR(C2960="",D2960=""),"",MOD(D2960-C2960,1)*24)</f>
        <v/>
      </c>
      <c r="F2960" s="50" t="n"/>
      <c r="G2960" s="51" t="n"/>
      <c r="H2960" s="51" t="n"/>
      <c r="I2960" s="51" t="n"/>
      <c r="J2960" s="51" t="n"/>
      <c r="K2960" s="51" t="n"/>
      <c r="L2960" s="54">
        <f>IF(OR(A2960="",C2960="",D2960=""),"",IF(COUNTIFS($A$5:$A$3004,A2960,$C$5:$C$3004,"&lt;"&amp;D2960,$D$5:$D$3004,"&gt;"&amp;C2960)&gt;1,"⚠️ пересечение",""))</f>
        <v/>
      </c>
      <c r="M2960" s="54">
        <f>IF(F2960="","",IF(J2960="✅ Сделано","✔ ",IF(J2960="❌ Пропущено","✖ ","⏰ "))&amp;IF(C2960="","",RIGHT("0"&amp;HOUR(C2960),2)&amp;":"&amp;RIGHT("0"&amp;MINUTE(C2960),2)&amp;IF(D2960="","","–"&amp;RIGHT("0"&amp;HOUR(D2960),2)&amp;":"&amp;RIGHT("0"&amp;MINUTE(D2960),2))&amp;" ")&amp;F2960)</f>
        <v/>
      </c>
      <c r="N2960" s="54">
        <f>IF(OR(A2960="",F2960=""),"",A2960&amp;"#"&amp;(COUNTIFS($A$5:$A$3004,A2960,$F$5:$F$3004,"?*",$O$5:$O$3004,"&lt;"&amp;O2960)+COUNTIFS($A$5:A2960,A2960,$F$5:F2960,"?*",$O$5:O2960,O2960)))</f>
        <v/>
      </c>
      <c r="O2960" s="54">
        <f>IF(A2960="","",IF(C2960="",0,C2960))</f>
        <v/>
      </c>
    </row>
    <row r="2961">
      <c r="A2961" s="58" t="n"/>
      <c r="B2961" s="49">
        <f>IF(A2961="","",CHOOSE(WEEKDAY(A2961,2),"Пн","Вт","Ср","Чт","Пт","Сб","Вс"))</f>
        <v/>
      </c>
      <c r="C2961" s="59" t="n"/>
      <c r="D2961" s="59" t="n"/>
      <c r="E2961" s="60">
        <f>IF(OR(C2961="",D2961=""),"",MOD(D2961-C2961,1)*24)</f>
        <v/>
      </c>
      <c r="F2961" s="50" t="n"/>
      <c r="G2961" s="51" t="n"/>
      <c r="H2961" s="51" t="n"/>
      <c r="I2961" s="51" t="n"/>
      <c r="J2961" s="51" t="n"/>
      <c r="K2961" s="51" t="n"/>
      <c r="L2961" s="54">
        <f>IF(OR(A2961="",C2961="",D2961=""),"",IF(COUNTIFS($A$5:$A$3004,A2961,$C$5:$C$3004,"&lt;"&amp;D2961,$D$5:$D$3004,"&gt;"&amp;C2961)&gt;1,"⚠️ пересечение",""))</f>
        <v/>
      </c>
      <c r="M2961" s="54">
        <f>IF(F2961="","",IF(J2961="✅ Сделано","✔ ",IF(J2961="❌ Пропущено","✖ ","⏰ "))&amp;IF(C2961="","",RIGHT("0"&amp;HOUR(C2961),2)&amp;":"&amp;RIGHT("0"&amp;MINUTE(C2961),2)&amp;IF(D2961="","","–"&amp;RIGHT("0"&amp;HOUR(D2961),2)&amp;":"&amp;RIGHT("0"&amp;MINUTE(D2961),2))&amp;" ")&amp;F2961)</f>
        <v/>
      </c>
      <c r="N2961" s="54">
        <f>IF(OR(A2961="",F2961=""),"",A2961&amp;"#"&amp;(COUNTIFS($A$5:$A$3004,A2961,$F$5:$F$3004,"?*",$O$5:$O$3004,"&lt;"&amp;O2961)+COUNTIFS($A$5:A2961,A2961,$F$5:F2961,"?*",$O$5:O2961,O2961)))</f>
        <v/>
      </c>
      <c r="O2961" s="54">
        <f>IF(A2961="","",IF(C2961="",0,C2961))</f>
        <v/>
      </c>
    </row>
    <row r="2962">
      <c r="A2962" s="58" t="n"/>
      <c r="B2962" s="49">
        <f>IF(A2962="","",CHOOSE(WEEKDAY(A2962,2),"Пн","Вт","Ср","Чт","Пт","Сб","Вс"))</f>
        <v/>
      </c>
      <c r="C2962" s="59" t="n"/>
      <c r="D2962" s="59" t="n"/>
      <c r="E2962" s="60">
        <f>IF(OR(C2962="",D2962=""),"",MOD(D2962-C2962,1)*24)</f>
        <v/>
      </c>
      <c r="F2962" s="50" t="n"/>
      <c r="G2962" s="51" t="n"/>
      <c r="H2962" s="51" t="n"/>
      <c r="I2962" s="51" t="n"/>
      <c r="J2962" s="51" t="n"/>
      <c r="K2962" s="51" t="n"/>
      <c r="L2962" s="54">
        <f>IF(OR(A2962="",C2962="",D2962=""),"",IF(COUNTIFS($A$5:$A$3004,A2962,$C$5:$C$3004,"&lt;"&amp;D2962,$D$5:$D$3004,"&gt;"&amp;C2962)&gt;1,"⚠️ пересечение",""))</f>
        <v/>
      </c>
      <c r="M2962" s="54">
        <f>IF(F2962="","",IF(J2962="✅ Сделано","✔ ",IF(J2962="❌ Пропущено","✖ ","⏰ "))&amp;IF(C2962="","",RIGHT("0"&amp;HOUR(C2962),2)&amp;":"&amp;RIGHT("0"&amp;MINUTE(C2962),2)&amp;IF(D2962="","","–"&amp;RIGHT("0"&amp;HOUR(D2962),2)&amp;":"&amp;RIGHT("0"&amp;MINUTE(D2962),2))&amp;" ")&amp;F2962)</f>
        <v/>
      </c>
      <c r="N2962" s="54">
        <f>IF(OR(A2962="",F2962=""),"",A2962&amp;"#"&amp;(COUNTIFS($A$5:$A$3004,A2962,$F$5:$F$3004,"?*",$O$5:$O$3004,"&lt;"&amp;O2962)+COUNTIFS($A$5:A2962,A2962,$F$5:F2962,"?*",$O$5:O2962,O2962)))</f>
        <v/>
      </c>
      <c r="O2962" s="54">
        <f>IF(A2962="","",IF(C2962="",0,C2962))</f>
        <v/>
      </c>
    </row>
    <row r="2963">
      <c r="A2963" s="58" t="n"/>
      <c r="B2963" s="49">
        <f>IF(A2963="","",CHOOSE(WEEKDAY(A2963,2),"Пн","Вт","Ср","Чт","Пт","Сб","Вс"))</f>
        <v/>
      </c>
      <c r="C2963" s="59" t="n"/>
      <c r="D2963" s="59" t="n"/>
      <c r="E2963" s="60">
        <f>IF(OR(C2963="",D2963=""),"",MOD(D2963-C2963,1)*24)</f>
        <v/>
      </c>
      <c r="F2963" s="50" t="n"/>
      <c r="G2963" s="51" t="n"/>
      <c r="H2963" s="51" t="n"/>
      <c r="I2963" s="51" t="n"/>
      <c r="J2963" s="51" t="n"/>
      <c r="K2963" s="51" t="n"/>
      <c r="L2963" s="54">
        <f>IF(OR(A2963="",C2963="",D2963=""),"",IF(COUNTIFS($A$5:$A$3004,A2963,$C$5:$C$3004,"&lt;"&amp;D2963,$D$5:$D$3004,"&gt;"&amp;C2963)&gt;1,"⚠️ пересечение",""))</f>
        <v/>
      </c>
      <c r="M2963" s="54">
        <f>IF(F2963="","",IF(J2963="✅ Сделано","✔ ",IF(J2963="❌ Пропущено","✖ ","⏰ "))&amp;IF(C2963="","",RIGHT("0"&amp;HOUR(C2963),2)&amp;":"&amp;RIGHT("0"&amp;MINUTE(C2963),2)&amp;IF(D2963="","","–"&amp;RIGHT("0"&amp;HOUR(D2963),2)&amp;":"&amp;RIGHT("0"&amp;MINUTE(D2963),2))&amp;" ")&amp;F2963)</f>
        <v/>
      </c>
      <c r="N2963" s="54">
        <f>IF(OR(A2963="",F2963=""),"",A2963&amp;"#"&amp;(COUNTIFS($A$5:$A$3004,A2963,$F$5:$F$3004,"?*",$O$5:$O$3004,"&lt;"&amp;O2963)+COUNTIFS($A$5:A2963,A2963,$F$5:F2963,"?*",$O$5:O2963,O2963)))</f>
        <v/>
      </c>
      <c r="O2963" s="54">
        <f>IF(A2963="","",IF(C2963="",0,C2963))</f>
        <v/>
      </c>
    </row>
    <row r="2964">
      <c r="A2964" s="58" t="n"/>
      <c r="B2964" s="49">
        <f>IF(A2964="","",CHOOSE(WEEKDAY(A2964,2),"Пн","Вт","Ср","Чт","Пт","Сб","Вс"))</f>
        <v/>
      </c>
      <c r="C2964" s="59" t="n"/>
      <c r="D2964" s="59" t="n"/>
      <c r="E2964" s="60">
        <f>IF(OR(C2964="",D2964=""),"",MOD(D2964-C2964,1)*24)</f>
        <v/>
      </c>
      <c r="F2964" s="50" t="n"/>
      <c r="G2964" s="51" t="n"/>
      <c r="H2964" s="51" t="n"/>
      <c r="I2964" s="51" t="n"/>
      <c r="J2964" s="51" t="n"/>
      <c r="K2964" s="51" t="n"/>
      <c r="L2964" s="54">
        <f>IF(OR(A2964="",C2964="",D2964=""),"",IF(COUNTIFS($A$5:$A$3004,A2964,$C$5:$C$3004,"&lt;"&amp;D2964,$D$5:$D$3004,"&gt;"&amp;C2964)&gt;1,"⚠️ пересечение",""))</f>
        <v/>
      </c>
      <c r="M2964" s="54">
        <f>IF(F2964="","",IF(J2964="✅ Сделано","✔ ",IF(J2964="❌ Пропущено","✖ ","⏰ "))&amp;IF(C2964="","",RIGHT("0"&amp;HOUR(C2964),2)&amp;":"&amp;RIGHT("0"&amp;MINUTE(C2964),2)&amp;IF(D2964="","","–"&amp;RIGHT("0"&amp;HOUR(D2964),2)&amp;":"&amp;RIGHT("0"&amp;MINUTE(D2964),2))&amp;" ")&amp;F2964)</f>
        <v/>
      </c>
      <c r="N2964" s="54">
        <f>IF(OR(A2964="",F2964=""),"",A2964&amp;"#"&amp;(COUNTIFS($A$5:$A$3004,A2964,$F$5:$F$3004,"?*",$O$5:$O$3004,"&lt;"&amp;O2964)+COUNTIFS($A$5:A2964,A2964,$F$5:F2964,"?*",$O$5:O2964,O2964)))</f>
        <v/>
      </c>
      <c r="O2964" s="54">
        <f>IF(A2964="","",IF(C2964="",0,C2964))</f>
        <v/>
      </c>
    </row>
    <row r="2965">
      <c r="A2965" s="58" t="n"/>
      <c r="B2965" s="49">
        <f>IF(A2965="","",CHOOSE(WEEKDAY(A2965,2),"Пн","Вт","Ср","Чт","Пт","Сб","Вс"))</f>
        <v/>
      </c>
      <c r="C2965" s="59" t="n"/>
      <c r="D2965" s="59" t="n"/>
      <c r="E2965" s="60">
        <f>IF(OR(C2965="",D2965=""),"",MOD(D2965-C2965,1)*24)</f>
        <v/>
      </c>
      <c r="F2965" s="50" t="n"/>
      <c r="G2965" s="51" t="n"/>
      <c r="H2965" s="51" t="n"/>
      <c r="I2965" s="51" t="n"/>
      <c r="J2965" s="51" t="n"/>
      <c r="K2965" s="51" t="n"/>
      <c r="L2965" s="54">
        <f>IF(OR(A2965="",C2965="",D2965=""),"",IF(COUNTIFS($A$5:$A$3004,A2965,$C$5:$C$3004,"&lt;"&amp;D2965,$D$5:$D$3004,"&gt;"&amp;C2965)&gt;1,"⚠️ пересечение",""))</f>
        <v/>
      </c>
      <c r="M2965" s="54">
        <f>IF(F2965="","",IF(J2965="✅ Сделано","✔ ",IF(J2965="❌ Пропущено","✖ ","⏰ "))&amp;IF(C2965="","",RIGHT("0"&amp;HOUR(C2965),2)&amp;":"&amp;RIGHT("0"&amp;MINUTE(C2965),2)&amp;IF(D2965="","","–"&amp;RIGHT("0"&amp;HOUR(D2965),2)&amp;":"&amp;RIGHT("0"&amp;MINUTE(D2965),2))&amp;" ")&amp;F2965)</f>
        <v/>
      </c>
      <c r="N2965" s="54">
        <f>IF(OR(A2965="",F2965=""),"",A2965&amp;"#"&amp;(COUNTIFS($A$5:$A$3004,A2965,$F$5:$F$3004,"?*",$O$5:$O$3004,"&lt;"&amp;O2965)+COUNTIFS($A$5:A2965,A2965,$F$5:F2965,"?*",$O$5:O2965,O2965)))</f>
        <v/>
      </c>
      <c r="O2965" s="54">
        <f>IF(A2965="","",IF(C2965="",0,C2965))</f>
        <v/>
      </c>
    </row>
    <row r="2966">
      <c r="A2966" s="58" t="n"/>
      <c r="B2966" s="49">
        <f>IF(A2966="","",CHOOSE(WEEKDAY(A2966,2),"Пн","Вт","Ср","Чт","Пт","Сб","Вс"))</f>
        <v/>
      </c>
      <c r="C2966" s="59" t="n"/>
      <c r="D2966" s="59" t="n"/>
      <c r="E2966" s="60">
        <f>IF(OR(C2966="",D2966=""),"",MOD(D2966-C2966,1)*24)</f>
        <v/>
      </c>
      <c r="F2966" s="50" t="n"/>
      <c r="G2966" s="51" t="n"/>
      <c r="H2966" s="51" t="n"/>
      <c r="I2966" s="51" t="n"/>
      <c r="J2966" s="51" t="n"/>
      <c r="K2966" s="51" t="n"/>
      <c r="L2966" s="54">
        <f>IF(OR(A2966="",C2966="",D2966=""),"",IF(COUNTIFS($A$5:$A$3004,A2966,$C$5:$C$3004,"&lt;"&amp;D2966,$D$5:$D$3004,"&gt;"&amp;C2966)&gt;1,"⚠️ пересечение",""))</f>
        <v/>
      </c>
      <c r="M2966" s="54">
        <f>IF(F2966="","",IF(J2966="✅ Сделано","✔ ",IF(J2966="❌ Пропущено","✖ ","⏰ "))&amp;IF(C2966="","",RIGHT("0"&amp;HOUR(C2966),2)&amp;":"&amp;RIGHT("0"&amp;MINUTE(C2966),2)&amp;IF(D2966="","","–"&amp;RIGHT("0"&amp;HOUR(D2966),2)&amp;":"&amp;RIGHT("0"&amp;MINUTE(D2966),2))&amp;" ")&amp;F2966)</f>
        <v/>
      </c>
      <c r="N2966" s="54">
        <f>IF(OR(A2966="",F2966=""),"",A2966&amp;"#"&amp;(COUNTIFS($A$5:$A$3004,A2966,$F$5:$F$3004,"?*",$O$5:$O$3004,"&lt;"&amp;O2966)+COUNTIFS($A$5:A2966,A2966,$F$5:F2966,"?*",$O$5:O2966,O2966)))</f>
        <v/>
      </c>
      <c r="O2966" s="54">
        <f>IF(A2966="","",IF(C2966="",0,C2966))</f>
        <v/>
      </c>
    </row>
    <row r="2967">
      <c r="A2967" s="58" t="n"/>
      <c r="B2967" s="49">
        <f>IF(A2967="","",CHOOSE(WEEKDAY(A2967,2),"Пн","Вт","Ср","Чт","Пт","Сб","Вс"))</f>
        <v/>
      </c>
      <c r="C2967" s="59" t="n"/>
      <c r="D2967" s="59" t="n"/>
      <c r="E2967" s="60">
        <f>IF(OR(C2967="",D2967=""),"",MOD(D2967-C2967,1)*24)</f>
        <v/>
      </c>
      <c r="F2967" s="50" t="n"/>
      <c r="G2967" s="51" t="n"/>
      <c r="H2967" s="51" t="n"/>
      <c r="I2967" s="51" t="n"/>
      <c r="J2967" s="51" t="n"/>
      <c r="K2967" s="51" t="n"/>
      <c r="L2967" s="54">
        <f>IF(OR(A2967="",C2967="",D2967=""),"",IF(COUNTIFS($A$5:$A$3004,A2967,$C$5:$C$3004,"&lt;"&amp;D2967,$D$5:$D$3004,"&gt;"&amp;C2967)&gt;1,"⚠️ пересечение",""))</f>
        <v/>
      </c>
      <c r="M2967" s="54">
        <f>IF(F2967="","",IF(J2967="✅ Сделано","✔ ",IF(J2967="❌ Пропущено","✖ ","⏰ "))&amp;IF(C2967="","",RIGHT("0"&amp;HOUR(C2967),2)&amp;":"&amp;RIGHT("0"&amp;MINUTE(C2967),2)&amp;IF(D2967="","","–"&amp;RIGHT("0"&amp;HOUR(D2967),2)&amp;":"&amp;RIGHT("0"&amp;MINUTE(D2967),2))&amp;" ")&amp;F2967)</f>
        <v/>
      </c>
      <c r="N2967" s="54">
        <f>IF(OR(A2967="",F2967=""),"",A2967&amp;"#"&amp;(COUNTIFS($A$5:$A$3004,A2967,$F$5:$F$3004,"?*",$O$5:$O$3004,"&lt;"&amp;O2967)+COUNTIFS($A$5:A2967,A2967,$F$5:F2967,"?*",$O$5:O2967,O2967)))</f>
        <v/>
      </c>
      <c r="O2967" s="54">
        <f>IF(A2967="","",IF(C2967="",0,C2967))</f>
        <v/>
      </c>
    </row>
    <row r="2968">
      <c r="A2968" s="58" t="n"/>
      <c r="B2968" s="49">
        <f>IF(A2968="","",CHOOSE(WEEKDAY(A2968,2),"Пн","Вт","Ср","Чт","Пт","Сб","Вс"))</f>
        <v/>
      </c>
      <c r="C2968" s="59" t="n"/>
      <c r="D2968" s="59" t="n"/>
      <c r="E2968" s="60">
        <f>IF(OR(C2968="",D2968=""),"",MOD(D2968-C2968,1)*24)</f>
        <v/>
      </c>
      <c r="F2968" s="50" t="n"/>
      <c r="G2968" s="51" t="n"/>
      <c r="H2968" s="51" t="n"/>
      <c r="I2968" s="51" t="n"/>
      <c r="J2968" s="51" t="n"/>
      <c r="K2968" s="51" t="n"/>
      <c r="L2968" s="54">
        <f>IF(OR(A2968="",C2968="",D2968=""),"",IF(COUNTIFS($A$5:$A$3004,A2968,$C$5:$C$3004,"&lt;"&amp;D2968,$D$5:$D$3004,"&gt;"&amp;C2968)&gt;1,"⚠️ пересечение",""))</f>
        <v/>
      </c>
      <c r="M2968" s="54">
        <f>IF(F2968="","",IF(J2968="✅ Сделано","✔ ",IF(J2968="❌ Пропущено","✖ ","⏰ "))&amp;IF(C2968="","",RIGHT("0"&amp;HOUR(C2968),2)&amp;":"&amp;RIGHT("0"&amp;MINUTE(C2968),2)&amp;IF(D2968="","","–"&amp;RIGHT("0"&amp;HOUR(D2968),2)&amp;":"&amp;RIGHT("0"&amp;MINUTE(D2968),2))&amp;" ")&amp;F2968)</f>
        <v/>
      </c>
      <c r="N2968" s="54">
        <f>IF(OR(A2968="",F2968=""),"",A2968&amp;"#"&amp;(COUNTIFS($A$5:$A$3004,A2968,$F$5:$F$3004,"?*",$O$5:$O$3004,"&lt;"&amp;O2968)+COUNTIFS($A$5:A2968,A2968,$F$5:F2968,"?*",$O$5:O2968,O2968)))</f>
        <v/>
      </c>
      <c r="O2968" s="54">
        <f>IF(A2968="","",IF(C2968="",0,C2968))</f>
        <v/>
      </c>
    </row>
    <row r="2969">
      <c r="A2969" s="58" t="n"/>
      <c r="B2969" s="49">
        <f>IF(A2969="","",CHOOSE(WEEKDAY(A2969,2),"Пн","Вт","Ср","Чт","Пт","Сб","Вс"))</f>
        <v/>
      </c>
      <c r="C2969" s="59" t="n"/>
      <c r="D2969" s="59" t="n"/>
      <c r="E2969" s="60">
        <f>IF(OR(C2969="",D2969=""),"",MOD(D2969-C2969,1)*24)</f>
        <v/>
      </c>
      <c r="F2969" s="50" t="n"/>
      <c r="G2969" s="51" t="n"/>
      <c r="H2969" s="51" t="n"/>
      <c r="I2969" s="51" t="n"/>
      <c r="J2969" s="51" t="n"/>
      <c r="K2969" s="51" t="n"/>
      <c r="L2969" s="54">
        <f>IF(OR(A2969="",C2969="",D2969=""),"",IF(COUNTIFS($A$5:$A$3004,A2969,$C$5:$C$3004,"&lt;"&amp;D2969,$D$5:$D$3004,"&gt;"&amp;C2969)&gt;1,"⚠️ пересечение",""))</f>
        <v/>
      </c>
      <c r="M2969" s="54">
        <f>IF(F2969="","",IF(J2969="✅ Сделано","✔ ",IF(J2969="❌ Пропущено","✖ ","⏰ "))&amp;IF(C2969="","",RIGHT("0"&amp;HOUR(C2969),2)&amp;":"&amp;RIGHT("0"&amp;MINUTE(C2969),2)&amp;IF(D2969="","","–"&amp;RIGHT("0"&amp;HOUR(D2969),2)&amp;":"&amp;RIGHT("0"&amp;MINUTE(D2969),2))&amp;" ")&amp;F2969)</f>
        <v/>
      </c>
      <c r="N2969" s="54">
        <f>IF(OR(A2969="",F2969=""),"",A2969&amp;"#"&amp;(COUNTIFS($A$5:$A$3004,A2969,$F$5:$F$3004,"?*",$O$5:$O$3004,"&lt;"&amp;O2969)+COUNTIFS($A$5:A2969,A2969,$F$5:F2969,"?*",$O$5:O2969,O2969)))</f>
        <v/>
      </c>
      <c r="O2969" s="54">
        <f>IF(A2969="","",IF(C2969="",0,C2969))</f>
        <v/>
      </c>
    </row>
    <row r="2970">
      <c r="A2970" s="58" t="n"/>
      <c r="B2970" s="49">
        <f>IF(A2970="","",CHOOSE(WEEKDAY(A2970,2),"Пн","Вт","Ср","Чт","Пт","Сб","Вс"))</f>
        <v/>
      </c>
      <c r="C2970" s="59" t="n"/>
      <c r="D2970" s="59" t="n"/>
      <c r="E2970" s="60">
        <f>IF(OR(C2970="",D2970=""),"",MOD(D2970-C2970,1)*24)</f>
        <v/>
      </c>
      <c r="F2970" s="50" t="n"/>
      <c r="G2970" s="51" t="n"/>
      <c r="H2970" s="51" t="n"/>
      <c r="I2970" s="51" t="n"/>
      <c r="J2970" s="51" t="n"/>
      <c r="K2970" s="51" t="n"/>
      <c r="L2970" s="54">
        <f>IF(OR(A2970="",C2970="",D2970=""),"",IF(COUNTIFS($A$5:$A$3004,A2970,$C$5:$C$3004,"&lt;"&amp;D2970,$D$5:$D$3004,"&gt;"&amp;C2970)&gt;1,"⚠️ пересечение",""))</f>
        <v/>
      </c>
      <c r="M2970" s="54">
        <f>IF(F2970="","",IF(J2970="✅ Сделано","✔ ",IF(J2970="❌ Пропущено","✖ ","⏰ "))&amp;IF(C2970="","",RIGHT("0"&amp;HOUR(C2970),2)&amp;":"&amp;RIGHT("0"&amp;MINUTE(C2970),2)&amp;IF(D2970="","","–"&amp;RIGHT("0"&amp;HOUR(D2970),2)&amp;":"&amp;RIGHT("0"&amp;MINUTE(D2970),2))&amp;" ")&amp;F2970)</f>
        <v/>
      </c>
      <c r="N2970" s="54">
        <f>IF(OR(A2970="",F2970=""),"",A2970&amp;"#"&amp;(COUNTIFS($A$5:$A$3004,A2970,$F$5:$F$3004,"?*",$O$5:$O$3004,"&lt;"&amp;O2970)+COUNTIFS($A$5:A2970,A2970,$F$5:F2970,"?*",$O$5:O2970,O2970)))</f>
        <v/>
      </c>
      <c r="O2970" s="54">
        <f>IF(A2970="","",IF(C2970="",0,C2970))</f>
        <v/>
      </c>
    </row>
    <row r="2971">
      <c r="A2971" s="58" t="n"/>
      <c r="B2971" s="49">
        <f>IF(A2971="","",CHOOSE(WEEKDAY(A2971,2),"Пн","Вт","Ср","Чт","Пт","Сб","Вс"))</f>
        <v/>
      </c>
      <c r="C2971" s="59" t="n"/>
      <c r="D2971" s="59" t="n"/>
      <c r="E2971" s="60">
        <f>IF(OR(C2971="",D2971=""),"",MOD(D2971-C2971,1)*24)</f>
        <v/>
      </c>
      <c r="F2971" s="50" t="n"/>
      <c r="G2971" s="51" t="n"/>
      <c r="H2971" s="51" t="n"/>
      <c r="I2971" s="51" t="n"/>
      <c r="J2971" s="51" t="n"/>
      <c r="K2971" s="51" t="n"/>
      <c r="L2971" s="54">
        <f>IF(OR(A2971="",C2971="",D2971=""),"",IF(COUNTIFS($A$5:$A$3004,A2971,$C$5:$C$3004,"&lt;"&amp;D2971,$D$5:$D$3004,"&gt;"&amp;C2971)&gt;1,"⚠️ пересечение",""))</f>
        <v/>
      </c>
      <c r="M2971" s="54">
        <f>IF(F2971="","",IF(J2971="✅ Сделано","✔ ",IF(J2971="❌ Пропущено","✖ ","⏰ "))&amp;IF(C2971="","",RIGHT("0"&amp;HOUR(C2971),2)&amp;":"&amp;RIGHT("0"&amp;MINUTE(C2971),2)&amp;IF(D2971="","","–"&amp;RIGHT("0"&amp;HOUR(D2971),2)&amp;":"&amp;RIGHT("0"&amp;MINUTE(D2971),2))&amp;" ")&amp;F2971)</f>
        <v/>
      </c>
      <c r="N2971" s="54">
        <f>IF(OR(A2971="",F2971=""),"",A2971&amp;"#"&amp;(COUNTIFS($A$5:$A$3004,A2971,$F$5:$F$3004,"?*",$O$5:$O$3004,"&lt;"&amp;O2971)+COUNTIFS($A$5:A2971,A2971,$F$5:F2971,"?*",$O$5:O2971,O2971)))</f>
        <v/>
      </c>
      <c r="O2971" s="54">
        <f>IF(A2971="","",IF(C2971="",0,C2971))</f>
        <v/>
      </c>
    </row>
    <row r="2972">
      <c r="A2972" s="58" t="n"/>
      <c r="B2972" s="49">
        <f>IF(A2972="","",CHOOSE(WEEKDAY(A2972,2),"Пн","Вт","Ср","Чт","Пт","Сб","Вс"))</f>
        <v/>
      </c>
      <c r="C2972" s="59" t="n"/>
      <c r="D2972" s="59" t="n"/>
      <c r="E2972" s="60">
        <f>IF(OR(C2972="",D2972=""),"",MOD(D2972-C2972,1)*24)</f>
        <v/>
      </c>
      <c r="F2972" s="50" t="n"/>
      <c r="G2972" s="51" t="n"/>
      <c r="H2972" s="51" t="n"/>
      <c r="I2972" s="51" t="n"/>
      <c r="J2972" s="51" t="n"/>
      <c r="K2972" s="51" t="n"/>
      <c r="L2972" s="54">
        <f>IF(OR(A2972="",C2972="",D2972=""),"",IF(COUNTIFS($A$5:$A$3004,A2972,$C$5:$C$3004,"&lt;"&amp;D2972,$D$5:$D$3004,"&gt;"&amp;C2972)&gt;1,"⚠️ пересечение",""))</f>
        <v/>
      </c>
      <c r="M2972" s="54">
        <f>IF(F2972="","",IF(J2972="✅ Сделано","✔ ",IF(J2972="❌ Пропущено","✖ ","⏰ "))&amp;IF(C2972="","",RIGHT("0"&amp;HOUR(C2972),2)&amp;":"&amp;RIGHT("0"&amp;MINUTE(C2972),2)&amp;IF(D2972="","","–"&amp;RIGHT("0"&amp;HOUR(D2972),2)&amp;":"&amp;RIGHT("0"&amp;MINUTE(D2972),2))&amp;" ")&amp;F2972)</f>
        <v/>
      </c>
      <c r="N2972" s="54">
        <f>IF(OR(A2972="",F2972=""),"",A2972&amp;"#"&amp;(COUNTIFS($A$5:$A$3004,A2972,$F$5:$F$3004,"?*",$O$5:$O$3004,"&lt;"&amp;O2972)+COUNTIFS($A$5:A2972,A2972,$F$5:F2972,"?*",$O$5:O2972,O2972)))</f>
        <v/>
      </c>
      <c r="O2972" s="54">
        <f>IF(A2972="","",IF(C2972="",0,C2972))</f>
        <v/>
      </c>
    </row>
    <row r="2973">
      <c r="A2973" s="58" t="n"/>
      <c r="B2973" s="49">
        <f>IF(A2973="","",CHOOSE(WEEKDAY(A2973,2),"Пн","Вт","Ср","Чт","Пт","Сб","Вс"))</f>
        <v/>
      </c>
      <c r="C2973" s="59" t="n"/>
      <c r="D2973" s="59" t="n"/>
      <c r="E2973" s="60">
        <f>IF(OR(C2973="",D2973=""),"",MOD(D2973-C2973,1)*24)</f>
        <v/>
      </c>
      <c r="F2973" s="50" t="n"/>
      <c r="G2973" s="51" t="n"/>
      <c r="H2973" s="51" t="n"/>
      <c r="I2973" s="51" t="n"/>
      <c r="J2973" s="51" t="n"/>
      <c r="K2973" s="51" t="n"/>
      <c r="L2973" s="54">
        <f>IF(OR(A2973="",C2973="",D2973=""),"",IF(COUNTIFS($A$5:$A$3004,A2973,$C$5:$C$3004,"&lt;"&amp;D2973,$D$5:$D$3004,"&gt;"&amp;C2973)&gt;1,"⚠️ пересечение",""))</f>
        <v/>
      </c>
      <c r="M2973" s="54">
        <f>IF(F2973="","",IF(J2973="✅ Сделано","✔ ",IF(J2973="❌ Пропущено","✖ ","⏰ "))&amp;IF(C2973="","",RIGHT("0"&amp;HOUR(C2973),2)&amp;":"&amp;RIGHT("0"&amp;MINUTE(C2973),2)&amp;IF(D2973="","","–"&amp;RIGHT("0"&amp;HOUR(D2973),2)&amp;":"&amp;RIGHT("0"&amp;MINUTE(D2973),2))&amp;" ")&amp;F2973)</f>
        <v/>
      </c>
      <c r="N2973" s="54">
        <f>IF(OR(A2973="",F2973=""),"",A2973&amp;"#"&amp;(COUNTIFS($A$5:$A$3004,A2973,$F$5:$F$3004,"?*",$O$5:$O$3004,"&lt;"&amp;O2973)+COUNTIFS($A$5:A2973,A2973,$F$5:F2973,"?*",$O$5:O2973,O2973)))</f>
        <v/>
      </c>
      <c r="O2973" s="54">
        <f>IF(A2973="","",IF(C2973="",0,C2973))</f>
        <v/>
      </c>
    </row>
    <row r="2974">
      <c r="A2974" s="58" t="n"/>
      <c r="B2974" s="49">
        <f>IF(A2974="","",CHOOSE(WEEKDAY(A2974,2),"Пн","Вт","Ср","Чт","Пт","Сб","Вс"))</f>
        <v/>
      </c>
      <c r="C2974" s="59" t="n"/>
      <c r="D2974" s="59" t="n"/>
      <c r="E2974" s="60">
        <f>IF(OR(C2974="",D2974=""),"",MOD(D2974-C2974,1)*24)</f>
        <v/>
      </c>
      <c r="F2974" s="50" t="n"/>
      <c r="G2974" s="51" t="n"/>
      <c r="H2974" s="51" t="n"/>
      <c r="I2974" s="51" t="n"/>
      <c r="J2974" s="51" t="n"/>
      <c r="K2974" s="51" t="n"/>
      <c r="L2974" s="54">
        <f>IF(OR(A2974="",C2974="",D2974=""),"",IF(COUNTIFS($A$5:$A$3004,A2974,$C$5:$C$3004,"&lt;"&amp;D2974,$D$5:$D$3004,"&gt;"&amp;C2974)&gt;1,"⚠️ пересечение",""))</f>
        <v/>
      </c>
      <c r="M2974" s="54">
        <f>IF(F2974="","",IF(J2974="✅ Сделано","✔ ",IF(J2974="❌ Пропущено","✖ ","⏰ "))&amp;IF(C2974="","",RIGHT("0"&amp;HOUR(C2974),2)&amp;":"&amp;RIGHT("0"&amp;MINUTE(C2974),2)&amp;IF(D2974="","","–"&amp;RIGHT("0"&amp;HOUR(D2974),2)&amp;":"&amp;RIGHT("0"&amp;MINUTE(D2974),2))&amp;" ")&amp;F2974)</f>
        <v/>
      </c>
      <c r="N2974" s="54">
        <f>IF(OR(A2974="",F2974=""),"",A2974&amp;"#"&amp;(COUNTIFS($A$5:$A$3004,A2974,$F$5:$F$3004,"?*",$O$5:$O$3004,"&lt;"&amp;O2974)+COUNTIFS($A$5:A2974,A2974,$F$5:F2974,"?*",$O$5:O2974,O2974)))</f>
        <v/>
      </c>
      <c r="O2974" s="54">
        <f>IF(A2974="","",IF(C2974="",0,C2974))</f>
        <v/>
      </c>
    </row>
    <row r="2975">
      <c r="A2975" s="58" t="n"/>
      <c r="B2975" s="49">
        <f>IF(A2975="","",CHOOSE(WEEKDAY(A2975,2),"Пн","Вт","Ср","Чт","Пт","Сб","Вс"))</f>
        <v/>
      </c>
      <c r="C2975" s="59" t="n"/>
      <c r="D2975" s="59" t="n"/>
      <c r="E2975" s="60">
        <f>IF(OR(C2975="",D2975=""),"",MOD(D2975-C2975,1)*24)</f>
        <v/>
      </c>
      <c r="F2975" s="50" t="n"/>
      <c r="G2975" s="51" t="n"/>
      <c r="H2975" s="51" t="n"/>
      <c r="I2975" s="51" t="n"/>
      <c r="J2975" s="51" t="n"/>
      <c r="K2975" s="51" t="n"/>
      <c r="L2975" s="54">
        <f>IF(OR(A2975="",C2975="",D2975=""),"",IF(COUNTIFS($A$5:$A$3004,A2975,$C$5:$C$3004,"&lt;"&amp;D2975,$D$5:$D$3004,"&gt;"&amp;C2975)&gt;1,"⚠️ пересечение",""))</f>
        <v/>
      </c>
      <c r="M2975" s="54">
        <f>IF(F2975="","",IF(J2975="✅ Сделано","✔ ",IF(J2975="❌ Пропущено","✖ ","⏰ "))&amp;IF(C2975="","",RIGHT("0"&amp;HOUR(C2975),2)&amp;":"&amp;RIGHT("0"&amp;MINUTE(C2975),2)&amp;IF(D2975="","","–"&amp;RIGHT("0"&amp;HOUR(D2975),2)&amp;":"&amp;RIGHT("0"&amp;MINUTE(D2975),2))&amp;" ")&amp;F2975)</f>
        <v/>
      </c>
      <c r="N2975" s="54">
        <f>IF(OR(A2975="",F2975=""),"",A2975&amp;"#"&amp;(COUNTIFS($A$5:$A$3004,A2975,$F$5:$F$3004,"?*",$O$5:$O$3004,"&lt;"&amp;O2975)+COUNTIFS($A$5:A2975,A2975,$F$5:F2975,"?*",$O$5:O2975,O2975)))</f>
        <v/>
      </c>
      <c r="O2975" s="54">
        <f>IF(A2975="","",IF(C2975="",0,C2975))</f>
        <v/>
      </c>
    </row>
    <row r="2976">
      <c r="A2976" s="58" t="n"/>
      <c r="B2976" s="49">
        <f>IF(A2976="","",CHOOSE(WEEKDAY(A2976,2),"Пн","Вт","Ср","Чт","Пт","Сб","Вс"))</f>
        <v/>
      </c>
      <c r="C2976" s="59" t="n"/>
      <c r="D2976" s="59" t="n"/>
      <c r="E2976" s="60">
        <f>IF(OR(C2976="",D2976=""),"",MOD(D2976-C2976,1)*24)</f>
        <v/>
      </c>
      <c r="F2976" s="50" t="n"/>
      <c r="G2976" s="51" t="n"/>
      <c r="H2976" s="51" t="n"/>
      <c r="I2976" s="51" t="n"/>
      <c r="J2976" s="51" t="n"/>
      <c r="K2976" s="51" t="n"/>
      <c r="L2976" s="54">
        <f>IF(OR(A2976="",C2976="",D2976=""),"",IF(COUNTIFS($A$5:$A$3004,A2976,$C$5:$C$3004,"&lt;"&amp;D2976,$D$5:$D$3004,"&gt;"&amp;C2976)&gt;1,"⚠️ пересечение",""))</f>
        <v/>
      </c>
      <c r="M2976" s="54">
        <f>IF(F2976="","",IF(J2976="✅ Сделано","✔ ",IF(J2976="❌ Пропущено","✖ ","⏰ "))&amp;IF(C2976="","",RIGHT("0"&amp;HOUR(C2976),2)&amp;":"&amp;RIGHT("0"&amp;MINUTE(C2976),2)&amp;IF(D2976="","","–"&amp;RIGHT("0"&amp;HOUR(D2976),2)&amp;":"&amp;RIGHT("0"&amp;MINUTE(D2976),2))&amp;" ")&amp;F2976)</f>
        <v/>
      </c>
      <c r="N2976" s="54">
        <f>IF(OR(A2976="",F2976=""),"",A2976&amp;"#"&amp;(COUNTIFS($A$5:$A$3004,A2976,$F$5:$F$3004,"?*",$O$5:$O$3004,"&lt;"&amp;O2976)+COUNTIFS($A$5:A2976,A2976,$F$5:F2976,"?*",$O$5:O2976,O2976)))</f>
        <v/>
      </c>
      <c r="O2976" s="54">
        <f>IF(A2976="","",IF(C2976="",0,C2976))</f>
        <v/>
      </c>
    </row>
    <row r="2977">
      <c r="A2977" s="58" t="n"/>
      <c r="B2977" s="49">
        <f>IF(A2977="","",CHOOSE(WEEKDAY(A2977,2),"Пн","Вт","Ср","Чт","Пт","Сб","Вс"))</f>
        <v/>
      </c>
      <c r="C2977" s="59" t="n"/>
      <c r="D2977" s="59" t="n"/>
      <c r="E2977" s="60">
        <f>IF(OR(C2977="",D2977=""),"",MOD(D2977-C2977,1)*24)</f>
        <v/>
      </c>
      <c r="F2977" s="50" t="n"/>
      <c r="G2977" s="51" t="n"/>
      <c r="H2977" s="51" t="n"/>
      <c r="I2977" s="51" t="n"/>
      <c r="J2977" s="51" t="n"/>
      <c r="K2977" s="51" t="n"/>
      <c r="L2977" s="54">
        <f>IF(OR(A2977="",C2977="",D2977=""),"",IF(COUNTIFS($A$5:$A$3004,A2977,$C$5:$C$3004,"&lt;"&amp;D2977,$D$5:$D$3004,"&gt;"&amp;C2977)&gt;1,"⚠️ пересечение",""))</f>
        <v/>
      </c>
      <c r="M2977" s="54">
        <f>IF(F2977="","",IF(J2977="✅ Сделано","✔ ",IF(J2977="❌ Пропущено","✖ ","⏰ "))&amp;IF(C2977="","",RIGHT("0"&amp;HOUR(C2977),2)&amp;":"&amp;RIGHT("0"&amp;MINUTE(C2977),2)&amp;IF(D2977="","","–"&amp;RIGHT("0"&amp;HOUR(D2977),2)&amp;":"&amp;RIGHT("0"&amp;MINUTE(D2977),2))&amp;" ")&amp;F2977)</f>
        <v/>
      </c>
      <c r="N2977" s="54">
        <f>IF(OR(A2977="",F2977=""),"",A2977&amp;"#"&amp;(COUNTIFS($A$5:$A$3004,A2977,$F$5:$F$3004,"?*",$O$5:$O$3004,"&lt;"&amp;O2977)+COUNTIFS($A$5:A2977,A2977,$F$5:F2977,"?*",$O$5:O2977,O2977)))</f>
        <v/>
      </c>
      <c r="O2977" s="54">
        <f>IF(A2977="","",IF(C2977="",0,C2977))</f>
        <v/>
      </c>
    </row>
    <row r="2978">
      <c r="A2978" s="58" t="n"/>
      <c r="B2978" s="49">
        <f>IF(A2978="","",CHOOSE(WEEKDAY(A2978,2),"Пн","Вт","Ср","Чт","Пт","Сб","Вс"))</f>
        <v/>
      </c>
      <c r="C2978" s="59" t="n"/>
      <c r="D2978" s="59" t="n"/>
      <c r="E2978" s="60">
        <f>IF(OR(C2978="",D2978=""),"",MOD(D2978-C2978,1)*24)</f>
        <v/>
      </c>
      <c r="F2978" s="50" t="n"/>
      <c r="G2978" s="51" t="n"/>
      <c r="H2978" s="51" t="n"/>
      <c r="I2978" s="51" t="n"/>
      <c r="J2978" s="51" t="n"/>
      <c r="K2978" s="51" t="n"/>
      <c r="L2978" s="54">
        <f>IF(OR(A2978="",C2978="",D2978=""),"",IF(COUNTIFS($A$5:$A$3004,A2978,$C$5:$C$3004,"&lt;"&amp;D2978,$D$5:$D$3004,"&gt;"&amp;C2978)&gt;1,"⚠️ пересечение",""))</f>
        <v/>
      </c>
      <c r="M2978" s="54">
        <f>IF(F2978="","",IF(J2978="✅ Сделано","✔ ",IF(J2978="❌ Пропущено","✖ ","⏰ "))&amp;IF(C2978="","",RIGHT("0"&amp;HOUR(C2978),2)&amp;":"&amp;RIGHT("0"&amp;MINUTE(C2978),2)&amp;IF(D2978="","","–"&amp;RIGHT("0"&amp;HOUR(D2978),2)&amp;":"&amp;RIGHT("0"&amp;MINUTE(D2978),2))&amp;" ")&amp;F2978)</f>
        <v/>
      </c>
      <c r="N2978" s="54">
        <f>IF(OR(A2978="",F2978=""),"",A2978&amp;"#"&amp;(COUNTIFS($A$5:$A$3004,A2978,$F$5:$F$3004,"?*",$O$5:$O$3004,"&lt;"&amp;O2978)+COUNTIFS($A$5:A2978,A2978,$F$5:F2978,"?*",$O$5:O2978,O2978)))</f>
        <v/>
      </c>
      <c r="O2978" s="54">
        <f>IF(A2978="","",IF(C2978="",0,C2978))</f>
        <v/>
      </c>
    </row>
    <row r="2979">
      <c r="A2979" s="58" t="n"/>
      <c r="B2979" s="49">
        <f>IF(A2979="","",CHOOSE(WEEKDAY(A2979,2),"Пн","Вт","Ср","Чт","Пт","Сб","Вс"))</f>
        <v/>
      </c>
      <c r="C2979" s="59" t="n"/>
      <c r="D2979" s="59" t="n"/>
      <c r="E2979" s="60">
        <f>IF(OR(C2979="",D2979=""),"",MOD(D2979-C2979,1)*24)</f>
        <v/>
      </c>
      <c r="F2979" s="50" t="n"/>
      <c r="G2979" s="51" t="n"/>
      <c r="H2979" s="51" t="n"/>
      <c r="I2979" s="51" t="n"/>
      <c r="J2979" s="51" t="n"/>
      <c r="K2979" s="51" t="n"/>
      <c r="L2979" s="54">
        <f>IF(OR(A2979="",C2979="",D2979=""),"",IF(COUNTIFS($A$5:$A$3004,A2979,$C$5:$C$3004,"&lt;"&amp;D2979,$D$5:$D$3004,"&gt;"&amp;C2979)&gt;1,"⚠️ пересечение",""))</f>
        <v/>
      </c>
      <c r="M2979" s="54">
        <f>IF(F2979="","",IF(J2979="✅ Сделано","✔ ",IF(J2979="❌ Пропущено","✖ ","⏰ "))&amp;IF(C2979="","",RIGHT("0"&amp;HOUR(C2979),2)&amp;":"&amp;RIGHT("0"&amp;MINUTE(C2979),2)&amp;IF(D2979="","","–"&amp;RIGHT("0"&amp;HOUR(D2979),2)&amp;":"&amp;RIGHT("0"&amp;MINUTE(D2979),2))&amp;" ")&amp;F2979)</f>
        <v/>
      </c>
      <c r="N2979" s="54">
        <f>IF(OR(A2979="",F2979=""),"",A2979&amp;"#"&amp;(COUNTIFS($A$5:$A$3004,A2979,$F$5:$F$3004,"?*",$O$5:$O$3004,"&lt;"&amp;O2979)+COUNTIFS($A$5:A2979,A2979,$F$5:F2979,"?*",$O$5:O2979,O2979)))</f>
        <v/>
      </c>
      <c r="O2979" s="54">
        <f>IF(A2979="","",IF(C2979="",0,C2979))</f>
        <v/>
      </c>
    </row>
    <row r="2980">
      <c r="A2980" s="58" t="n"/>
      <c r="B2980" s="49">
        <f>IF(A2980="","",CHOOSE(WEEKDAY(A2980,2),"Пн","Вт","Ср","Чт","Пт","Сб","Вс"))</f>
        <v/>
      </c>
      <c r="C2980" s="59" t="n"/>
      <c r="D2980" s="59" t="n"/>
      <c r="E2980" s="60">
        <f>IF(OR(C2980="",D2980=""),"",MOD(D2980-C2980,1)*24)</f>
        <v/>
      </c>
      <c r="F2980" s="50" t="n"/>
      <c r="G2980" s="51" t="n"/>
      <c r="H2980" s="51" t="n"/>
      <c r="I2980" s="51" t="n"/>
      <c r="J2980" s="51" t="n"/>
      <c r="K2980" s="51" t="n"/>
      <c r="L2980" s="54">
        <f>IF(OR(A2980="",C2980="",D2980=""),"",IF(COUNTIFS($A$5:$A$3004,A2980,$C$5:$C$3004,"&lt;"&amp;D2980,$D$5:$D$3004,"&gt;"&amp;C2980)&gt;1,"⚠️ пересечение",""))</f>
        <v/>
      </c>
      <c r="M2980" s="54">
        <f>IF(F2980="","",IF(J2980="✅ Сделано","✔ ",IF(J2980="❌ Пропущено","✖ ","⏰ "))&amp;IF(C2980="","",RIGHT("0"&amp;HOUR(C2980),2)&amp;":"&amp;RIGHT("0"&amp;MINUTE(C2980),2)&amp;IF(D2980="","","–"&amp;RIGHT("0"&amp;HOUR(D2980),2)&amp;":"&amp;RIGHT("0"&amp;MINUTE(D2980),2))&amp;" ")&amp;F2980)</f>
        <v/>
      </c>
      <c r="N2980" s="54">
        <f>IF(OR(A2980="",F2980=""),"",A2980&amp;"#"&amp;(COUNTIFS($A$5:$A$3004,A2980,$F$5:$F$3004,"?*",$O$5:$O$3004,"&lt;"&amp;O2980)+COUNTIFS($A$5:A2980,A2980,$F$5:F2980,"?*",$O$5:O2980,O2980)))</f>
        <v/>
      </c>
      <c r="O2980" s="54">
        <f>IF(A2980="","",IF(C2980="",0,C2980))</f>
        <v/>
      </c>
    </row>
    <row r="2981">
      <c r="A2981" s="58" t="n"/>
      <c r="B2981" s="49">
        <f>IF(A2981="","",CHOOSE(WEEKDAY(A2981,2),"Пн","Вт","Ср","Чт","Пт","Сб","Вс"))</f>
        <v/>
      </c>
      <c r="C2981" s="59" t="n"/>
      <c r="D2981" s="59" t="n"/>
      <c r="E2981" s="60">
        <f>IF(OR(C2981="",D2981=""),"",MOD(D2981-C2981,1)*24)</f>
        <v/>
      </c>
      <c r="F2981" s="50" t="n"/>
      <c r="G2981" s="51" t="n"/>
      <c r="H2981" s="51" t="n"/>
      <c r="I2981" s="51" t="n"/>
      <c r="J2981" s="51" t="n"/>
      <c r="K2981" s="51" t="n"/>
      <c r="L2981" s="54">
        <f>IF(OR(A2981="",C2981="",D2981=""),"",IF(COUNTIFS($A$5:$A$3004,A2981,$C$5:$C$3004,"&lt;"&amp;D2981,$D$5:$D$3004,"&gt;"&amp;C2981)&gt;1,"⚠️ пересечение",""))</f>
        <v/>
      </c>
      <c r="M2981" s="54">
        <f>IF(F2981="","",IF(J2981="✅ Сделано","✔ ",IF(J2981="❌ Пропущено","✖ ","⏰ "))&amp;IF(C2981="","",RIGHT("0"&amp;HOUR(C2981),2)&amp;":"&amp;RIGHT("0"&amp;MINUTE(C2981),2)&amp;IF(D2981="","","–"&amp;RIGHT("0"&amp;HOUR(D2981),2)&amp;":"&amp;RIGHT("0"&amp;MINUTE(D2981),2))&amp;" ")&amp;F2981)</f>
        <v/>
      </c>
      <c r="N2981" s="54">
        <f>IF(OR(A2981="",F2981=""),"",A2981&amp;"#"&amp;(COUNTIFS($A$5:$A$3004,A2981,$F$5:$F$3004,"?*",$O$5:$O$3004,"&lt;"&amp;O2981)+COUNTIFS($A$5:A2981,A2981,$F$5:F2981,"?*",$O$5:O2981,O2981)))</f>
        <v/>
      </c>
      <c r="O2981" s="54">
        <f>IF(A2981="","",IF(C2981="",0,C2981))</f>
        <v/>
      </c>
    </row>
    <row r="2982">
      <c r="A2982" s="58" t="n"/>
      <c r="B2982" s="49">
        <f>IF(A2982="","",CHOOSE(WEEKDAY(A2982,2),"Пн","Вт","Ср","Чт","Пт","Сб","Вс"))</f>
        <v/>
      </c>
      <c r="C2982" s="59" t="n"/>
      <c r="D2982" s="59" t="n"/>
      <c r="E2982" s="60">
        <f>IF(OR(C2982="",D2982=""),"",MOD(D2982-C2982,1)*24)</f>
        <v/>
      </c>
      <c r="F2982" s="50" t="n"/>
      <c r="G2982" s="51" t="n"/>
      <c r="H2982" s="51" t="n"/>
      <c r="I2982" s="51" t="n"/>
      <c r="J2982" s="51" t="n"/>
      <c r="K2982" s="51" t="n"/>
      <c r="L2982" s="54">
        <f>IF(OR(A2982="",C2982="",D2982=""),"",IF(COUNTIFS($A$5:$A$3004,A2982,$C$5:$C$3004,"&lt;"&amp;D2982,$D$5:$D$3004,"&gt;"&amp;C2982)&gt;1,"⚠️ пересечение",""))</f>
        <v/>
      </c>
      <c r="M2982" s="54">
        <f>IF(F2982="","",IF(J2982="✅ Сделано","✔ ",IF(J2982="❌ Пропущено","✖ ","⏰ "))&amp;IF(C2982="","",RIGHT("0"&amp;HOUR(C2982),2)&amp;":"&amp;RIGHT("0"&amp;MINUTE(C2982),2)&amp;IF(D2982="","","–"&amp;RIGHT("0"&amp;HOUR(D2982),2)&amp;":"&amp;RIGHT("0"&amp;MINUTE(D2982),2))&amp;" ")&amp;F2982)</f>
        <v/>
      </c>
      <c r="N2982" s="54">
        <f>IF(OR(A2982="",F2982=""),"",A2982&amp;"#"&amp;(COUNTIFS($A$5:$A$3004,A2982,$F$5:$F$3004,"?*",$O$5:$O$3004,"&lt;"&amp;O2982)+COUNTIFS($A$5:A2982,A2982,$F$5:F2982,"?*",$O$5:O2982,O2982)))</f>
        <v/>
      </c>
      <c r="O2982" s="54">
        <f>IF(A2982="","",IF(C2982="",0,C2982))</f>
        <v/>
      </c>
    </row>
    <row r="2983">
      <c r="A2983" s="58" t="n"/>
      <c r="B2983" s="49">
        <f>IF(A2983="","",CHOOSE(WEEKDAY(A2983,2),"Пн","Вт","Ср","Чт","Пт","Сб","Вс"))</f>
        <v/>
      </c>
      <c r="C2983" s="59" t="n"/>
      <c r="D2983" s="59" t="n"/>
      <c r="E2983" s="60">
        <f>IF(OR(C2983="",D2983=""),"",MOD(D2983-C2983,1)*24)</f>
        <v/>
      </c>
      <c r="F2983" s="50" t="n"/>
      <c r="G2983" s="51" t="n"/>
      <c r="H2983" s="51" t="n"/>
      <c r="I2983" s="51" t="n"/>
      <c r="J2983" s="51" t="n"/>
      <c r="K2983" s="51" t="n"/>
      <c r="L2983" s="54">
        <f>IF(OR(A2983="",C2983="",D2983=""),"",IF(COUNTIFS($A$5:$A$3004,A2983,$C$5:$C$3004,"&lt;"&amp;D2983,$D$5:$D$3004,"&gt;"&amp;C2983)&gt;1,"⚠️ пересечение",""))</f>
        <v/>
      </c>
      <c r="M2983" s="54">
        <f>IF(F2983="","",IF(J2983="✅ Сделано","✔ ",IF(J2983="❌ Пропущено","✖ ","⏰ "))&amp;IF(C2983="","",RIGHT("0"&amp;HOUR(C2983),2)&amp;":"&amp;RIGHT("0"&amp;MINUTE(C2983),2)&amp;IF(D2983="","","–"&amp;RIGHT("0"&amp;HOUR(D2983),2)&amp;":"&amp;RIGHT("0"&amp;MINUTE(D2983),2))&amp;" ")&amp;F2983)</f>
        <v/>
      </c>
      <c r="N2983" s="54">
        <f>IF(OR(A2983="",F2983=""),"",A2983&amp;"#"&amp;(COUNTIFS($A$5:$A$3004,A2983,$F$5:$F$3004,"?*",$O$5:$O$3004,"&lt;"&amp;O2983)+COUNTIFS($A$5:A2983,A2983,$F$5:F2983,"?*",$O$5:O2983,O2983)))</f>
        <v/>
      </c>
      <c r="O2983" s="54">
        <f>IF(A2983="","",IF(C2983="",0,C2983))</f>
        <v/>
      </c>
    </row>
    <row r="2984">
      <c r="A2984" s="58" t="n"/>
      <c r="B2984" s="49">
        <f>IF(A2984="","",CHOOSE(WEEKDAY(A2984,2),"Пн","Вт","Ср","Чт","Пт","Сб","Вс"))</f>
        <v/>
      </c>
      <c r="C2984" s="59" t="n"/>
      <c r="D2984" s="59" t="n"/>
      <c r="E2984" s="60">
        <f>IF(OR(C2984="",D2984=""),"",MOD(D2984-C2984,1)*24)</f>
        <v/>
      </c>
      <c r="F2984" s="50" t="n"/>
      <c r="G2984" s="51" t="n"/>
      <c r="H2984" s="51" t="n"/>
      <c r="I2984" s="51" t="n"/>
      <c r="J2984" s="51" t="n"/>
      <c r="K2984" s="51" t="n"/>
      <c r="L2984" s="54">
        <f>IF(OR(A2984="",C2984="",D2984=""),"",IF(COUNTIFS($A$5:$A$3004,A2984,$C$5:$C$3004,"&lt;"&amp;D2984,$D$5:$D$3004,"&gt;"&amp;C2984)&gt;1,"⚠️ пересечение",""))</f>
        <v/>
      </c>
      <c r="M2984" s="54">
        <f>IF(F2984="","",IF(J2984="✅ Сделано","✔ ",IF(J2984="❌ Пропущено","✖ ","⏰ "))&amp;IF(C2984="","",RIGHT("0"&amp;HOUR(C2984),2)&amp;":"&amp;RIGHT("0"&amp;MINUTE(C2984),2)&amp;IF(D2984="","","–"&amp;RIGHT("0"&amp;HOUR(D2984),2)&amp;":"&amp;RIGHT("0"&amp;MINUTE(D2984),2))&amp;" ")&amp;F2984)</f>
        <v/>
      </c>
      <c r="N2984" s="54">
        <f>IF(OR(A2984="",F2984=""),"",A2984&amp;"#"&amp;(COUNTIFS($A$5:$A$3004,A2984,$F$5:$F$3004,"?*",$O$5:$O$3004,"&lt;"&amp;O2984)+COUNTIFS($A$5:A2984,A2984,$F$5:F2984,"?*",$O$5:O2984,O2984)))</f>
        <v/>
      </c>
      <c r="O2984" s="54">
        <f>IF(A2984="","",IF(C2984="",0,C2984))</f>
        <v/>
      </c>
    </row>
    <row r="2985">
      <c r="A2985" s="58" t="n"/>
      <c r="B2985" s="49">
        <f>IF(A2985="","",CHOOSE(WEEKDAY(A2985,2),"Пн","Вт","Ср","Чт","Пт","Сб","Вс"))</f>
        <v/>
      </c>
      <c r="C2985" s="59" t="n"/>
      <c r="D2985" s="59" t="n"/>
      <c r="E2985" s="60">
        <f>IF(OR(C2985="",D2985=""),"",MOD(D2985-C2985,1)*24)</f>
        <v/>
      </c>
      <c r="F2985" s="50" t="n"/>
      <c r="G2985" s="51" t="n"/>
      <c r="H2985" s="51" t="n"/>
      <c r="I2985" s="51" t="n"/>
      <c r="J2985" s="51" t="n"/>
      <c r="K2985" s="51" t="n"/>
      <c r="L2985" s="54">
        <f>IF(OR(A2985="",C2985="",D2985=""),"",IF(COUNTIFS($A$5:$A$3004,A2985,$C$5:$C$3004,"&lt;"&amp;D2985,$D$5:$D$3004,"&gt;"&amp;C2985)&gt;1,"⚠️ пересечение",""))</f>
        <v/>
      </c>
      <c r="M2985" s="54">
        <f>IF(F2985="","",IF(J2985="✅ Сделано","✔ ",IF(J2985="❌ Пропущено","✖ ","⏰ "))&amp;IF(C2985="","",RIGHT("0"&amp;HOUR(C2985),2)&amp;":"&amp;RIGHT("0"&amp;MINUTE(C2985),2)&amp;IF(D2985="","","–"&amp;RIGHT("0"&amp;HOUR(D2985),2)&amp;":"&amp;RIGHT("0"&amp;MINUTE(D2985),2))&amp;" ")&amp;F2985)</f>
        <v/>
      </c>
      <c r="N2985" s="54">
        <f>IF(OR(A2985="",F2985=""),"",A2985&amp;"#"&amp;(COUNTIFS($A$5:$A$3004,A2985,$F$5:$F$3004,"?*",$O$5:$O$3004,"&lt;"&amp;O2985)+COUNTIFS($A$5:A2985,A2985,$F$5:F2985,"?*",$O$5:O2985,O2985)))</f>
        <v/>
      </c>
      <c r="O2985" s="54">
        <f>IF(A2985="","",IF(C2985="",0,C2985))</f>
        <v/>
      </c>
    </row>
    <row r="2986">
      <c r="A2986" s="58" t="n"/>
      <c r="B2986" s="49">
        <f>IF(A2986="","",CHOOSE(WEEKDAY(A2986,2),"Пн","Вт","Ср","Чт","Пт","Сб","Вс"))</f>
        <v/>
      </c>
      <c r="C2986" s="59" t="n"/>
      <c r="D2986" s="59" t="n"/>
      <c r="E2986" s="60">
        <f>IF(OR(C2986="",D2986=""),"",MOD(D2986-C2986,1)*24)</f>
        <v/>
      </c>
      <c r="F2986" s="50" t="n"/>
      <c r="G2986" s="51" t="n"/>
      <c r="H2986" s="51" t="n"/>
      <c r="I2986" s="51" t="n"/>
      <c r="J2986" s="51" t="n"/>
      <c r="K2986" s="51" t="n"/>
      <c r="L2986" s="54">
        <f>IF(OR(A2986="",C2986="",D2986=""),"",IF(COUNTIFS($A$5:$A$3004,A2986,$C$5:$C$3004,"&lt;"&amp;D2986,$D$5:$D$3004,"&gt;"&amp;C2986)&gt;1,"⚠️ пересечение",""))</f>
        <v/>
      </c>
      <c r="M2986" s="54">
        <f>IF(F2986="","",IF(J2986="✅ Сделано","✔ ",IF(J2986="❌ Пропущено","✖ ","⏰ "))&amp;IF(C2986="","",RIGHT("0"&amp;HOUR(C2986),2)&amp;":"&amp;RIGHT("0"&amp;MINUTE(C2986),2)&amp;IF(D2986="","","–"&amp;RIGHT("0"&amp;HOUR(D2986),2)&amp;":"&amp;RIGHT("0"&amp;MINUTE(D2986),2))&amp;" ")&amp;F2986)</f>
        <v/>
      </c>
      <c r="N2986" s="54">
        <f>IF(OR(A2986="",F2986=""),"",A2986&amp;"#"&amp;(COUNTIFS($A$5:$A$3004,A2986,$F$5:$F$3004,"?*",$O$5:$O$3004,"&lt;"&amp;O2986)+COUNTIFS($A$5:A2986,A2986,$F$5:F2986,"?*",$O$5:O2986,O2986)))</f>
        <v/>
      </c>
      <c r="O2986" s="54">
        <f>IF(A2986="","",IF(C2986="",0,C2986))</f>
        <v/>
      </c>
    </row>
    <row r="2987">
      <c r="A2987" s="58" t="n"/>
      <c r="B2987" s="49">
        <f>IF(A2987="","",CHOOSE(WEEKDAY(A2987,2),"Пн","Вт","Ср","Чт","Пт","Сб","Вс"))</f>
        <v/>
      </c>
      <c r="C2987" s="59" t="n"/>
      <c r="D2987" s="59" t="n"/>
      <c r="E2987" s="60">
        <f>IF(OR(C2987="",D2987=""),"",MOD(D2987-C2987,1)*24)</f>
        <v/>
      </c>
      <c r="F2987" s="50" t="n"/>
      <c r="G2987" s="51" t="n"/>
      <c r="H2987" s="51" t="n"/>
      <c r="I2987" s="51" t="n"/>
      <c r="J2987" s="51" t="n"/>
      <c r="K2987" s="51" t="n"/>
      <c r="L2987" s="54">
        <f>IF(OR(A2987="",C2987="",D2987=""),"",IF(COUNTIFS($A$5:$A$3004,A2987,$C$5:$C$3004,"&lt;"&amp;D2987,$D$5:$D$3004,"&gt;"&amp;C2987)&gt;1,"⚠️ пересечение",""))</f>
        <v/>
      </c>
      <c r="M2987" s="54">
        <f>IF(F2987="","",IF(J2987="✅ Сделано","✔ ",IF(J2987="❌ Пропущено","✖ ","⏰ "))&amp;IF(C2987="","",RIGHT("0"&amp;HOUR(C2987),2)&amp;":"&amp;RIGHT("0"&amp;MINUTE(C2987),2)&amp;IF(D2987="","","–"&amp;RIGHT("0"&amp;HOUR(D2987),2)&amp;":"&amp;RIGHT("0"&amp;MINUTE(D2987),2))&amp;" ")&amp;F2987)</f>
        <v/>
      </c>
      <c r="N2987" s="54">
        <f>IF(OR(A2987="",F2987=""),"",A2987&amp;"#"&amp;(COUNTIFS($A$5:$A$3004,A2987,$F$5:$F$3004,"?*",$O$5:$O$3004,"&lt;"&amp;O2987)+COUNTIFS($A$5:A2987,A2987,$F$5:F2987,"?*",$O$5:O2987,O2987)))</f>
        <v/>
      </c>
      <c r="O2987" s="54">
        <f>IF(A2987="","",IF(C2987="",0,C2987))</f>
        <v/>
      </c>
    </row>
    <row r="2988">
      <c r="A2988" s="58" t="n"/>
      <c r="B2988" s="49">
        <f>IF(A2988="","",CHOOSE(WEEKDAY(A2988,2),"Пн","Вт","Ср","Чт","Пт","Сб","Вс"))</f>
        <v/>
      </c>
      <c r="C2988" s="59" t="n"/>
      <c r="D2988" s="59" t="n"/>
      <c r="E2988" s="60">
        <f>IF(OR(C2988="",D2988=""),"",MOD(D2988-C2988,1)*24)</f>
        <v/>
      </c>
      <c r="F2988" s="50" t="n"/>
      <c r="G2988" s="51" t="n"/>
      <c r="H2988" s="51" t="n"/>
      <c r="I2988" s="51" t="n"/>
      <c r="J2988" s="51" t="n"/>
      <c r="K2988" s="51" t="n"/>
      <c r="L2988" s="54">
        <f>IF(OR(A2988="",C2988="",D2988=""),"",IF(COUNTIFS($A$5:$A$3004,A2988,$C$5:$C$3004,"&lt;"&amp;D2988,$D$5:$D$3004,"&gt;"&amp;C2988)&gt;1,"⚠️ пересечение",""))</f>
        <v/>
      </c>
      <c r="M2988" s="54">
        <f>IF(F2988="","",IF(J2988="✅ Сделано","✔ ",IF(J2988="❌ Пропущено","✖ ","⏰ "))&amp;IF(C2988="","",RIGHT("0"&amp;HOUR(C2988),2)&amp;":"&amp;RIGHT("0"&amp;MINUTE(C2988),2)&amp;IF(D2988="","","–"&amp;RIGHT("0"&amp;HOUR(D2988),2)&amp;":"&amp;RIGHT("0"&amp;MINUTE(D2988),2))&amp;" ")&amp;F2988)</f>
        <v/>
      </c>
      <c r="N2988" s="54">
        <f>IF(OR(A2988="",F2988=""),"",A2988&amp;"#"&amp;(COUNTIFS($A$5:$A$3004,A2988,$F$5:$F$3004,"?*",$O$5:$O$3004,"&lt;"&amp;O2988)+COUNTIFS($A$5:A2988,A2988,$F$5:F2988,"?*",$O$5:O2988,O2988)))</f>
        <v/>
      </c>
      <c r="O2988" s="54">
        <f>IF(A2988="","",IF(C2988="",0,C2988))</f>
        <v/>
      </c>
    </row>
    <row r="2989">
      <c r="A2989" s="58" t="n"/>
      <c r="B2989" s="49">
        <f>IF(A2989="","",CHOOSE(WEEKDAY(A2989,2),"Пн","Вт","Ср","Чт","Пт","Сб","Вс"))</f>
        <v/>
      </c>
      <c r="C2989" s="59" t="n"/>
      <c r="D2989" s="59" t="n"/>
      <c r="E2989" s="60">
        <f>IF(OR(C2989="",D2989=""),"",MOD(D2989-C2989,1)*24)</f>
        <v/>
      </c>
      <c r="F2989" s="50" t="n"/>
      <c r="G2989" s="51" t="n"/>
      <c r="H2989" s="51" t="n"/>
      <c r="I2989" s="51" t="n"/>
      <c r="J2989" s="51" t="n"/>
      <c r="K2989" s="51" t="n"/>
      <c r="L2989" s="54">
        <f>IF(OR(A2989="",C2989="",D2989=""),"",IF(COUNTIFS($A$5:$A$3004,A2989,$C$5:$C$3004,"&lt;"&amp;D2989,$D$5:$D$3004,"&gt;"&amp;C2989)&gt;1,"⚠️ пересечение",""))</f>
        <v/>
      </c>
      <c r="M2989" s="54">
        <f>IF(F2989="","",IF(J2989="✅ Сделано","✔ ",IF(J2989="❌ Пропущено","✖ ","⏰ "))&amp;IF(C2989="","",RIGHT("0"&amp;HOUR(C2989),2)&amp;":"&amp;RIGHT("0"&amp;MINUTE(C2989),2)&amp;IF(D2989="","","–"&amp;RIGHT("0"&amp;HOUR(D2989),2)&amp;":"&amp;RIGHT("0"&amp;MINUTE(D2989),2))&amp;" ")&amp;F2989)</f>
        <v/>
      </c>
      <c r="N2989" s="54">
        <f>IF(OR(A2989="",F2989=""),"",A2989&amp;"#"&amp;(COUNTIFS($A$5:$A$3004,A2989,$F$5:$F$3004,"?*",$O$5:$O$3004,"&lt;"&amp;O2989)+COUNTIFS($A$5:A2989,A2989,$F$5:F2989,"?*",$O$5:O2989,O2989)))</f>
        <v/>
      </c>
      <c r="O2989" s="54">
        <f>IF(A2989="","",IF(C2989="",0,C2989))</f>
        <v/>
      </c>
    </row>
    <row r="2990">
      <c r="A2990" s="58" t="n"/>
      <c r="B2990" s="49">
        <f>IF(A2990="","",CHOOSE(WEEKDAY(A2990,2),"Пн","Вт","Ср","Чт","Пт","Сб","Вс"))</f>
        <v/>
      </c>
      <c r="C2990" s="59" t="n"/>
      <c r="D2990" s="59" t="n"/>
      <c r="E2990" s="60">
        <f>IF(OR(C2990="",D2990=""),"",MOD(D2990-C2990,1)*24)</f>
        <v/>
      </c>
      <c r="F2990" s="50" t="n"/>
      <c r="G2990" s="51" t="n"/>
      <c r="H2990" s="51" t="n"/>
      <c r="I2990" s="51" t="n"/>
      <c r="J2990" s="51" t="n"/>
      <c r="K2990" s="51" t="n"/>
      <c r="L2990" s="54">
        <f>IF(OR(A2990="",C2990="",D2990=""),"",IF(COUNTIFS($A$5:$A$3004,A2990,$C$5:$C$3004,"&lt;"&amp;D2990,$D$5:$D$3004,"&gt;"&amp;C2990)&gt;1,"⚠️ пересечение",""))</f>
        <v/>
      </c>
      <c r="M2990" s="54">
        <f>IF(F2990="","",IF(J2990="✅ Сделано","✔ ",IF(J2990="❌ Пропущено","✖ ","⏰ "))&amp;IF(C2990="","",RIGHT("0"&amp;HOUR(C2990),2)&amp;":"&amp;RIGHT("0"&amp;MINUTE(C2990),2)&amp;IF(D2990="","","–"&amp;RIGHT("0"&amp;HOUR(D2990),2)&amp;":"&amp;RIGHT("0"&amp;MINUTE(D2990),2))&amp;" ")&amp;F2990)</f>
        <v/>
      </c>
      <c r="N2990" s="54">
        <f>IF(OR(A2990="",F2990=""),"",A2990&amp;"#"&amp;(COUNTIFS($A$5:$A$3004,A2990,$F$5:$F$3004,"?*",$O$5:$O$3004,"&lt;"&amp;O2990)+COUNTIFS($A$5:A2990,A2990,$F$5:F2990,"?*",$O$5:O2990,O2990)))</f>
        <v/>
      </c>
      <c r="O2990" s="54">
        <f>IF(A2990="","",IF(C2990="",0,C2990))</f>
        <v/>
      </c>
    </row>
    <row r="2991">
      <c r="A2991" s="58" t="n"/>
      <c r="B2991" s="49">
        <f>IF(A2991="","",CHOOSE(WEEKDAY(A2991,2),"Пн","Вт","Ср","Чт","Пт","Сб","Вс"))</f>
        <v/>
      </c>
      <c r="C2991" s="59" t="n"/>
      <c r="D2991" s="59" t="n"/>
      <c r="E2991" s="60">
        <f>IF(OR(C2991="",D2991=""),"",MOD(D2991-C2991,1)*24)</f>
        <v/>
      </c>
      <c r="F2991" s="50" t="n"/>
      <c r="G2991" s="51" t="n"/>
      <c r="H2991" s="51" t="n"/>
      <c r="I2991" s="51" t="n"/>
      <c r="J2991" s="51" t="n"/>
      <c r="K2991" s="51" t="n"/>
      <c r="L2991" s="54">
        <f>IF(OR(A2991="",C2991="",D2991=""),"",IF(COUNTIFS($A$5:$A$3004,A2991,$C$5:$C$3004,"&lt;"&amp;D2991,$D$5:$D$3004,"&gt;"&amp;C2991)&gt;1,"⚠️ пересечение",""))</f>
        <v/>
      </c>
      <c r="M2991" s="54">
        <f>IF(F2991="","",IF(J2991="✅ Сделано","✔ ",IF(J2991="❌ Пропущено","✖ ","⏰ "))&amp;IF(C2991="","",RIGHT("0"&amp;HOUR(C2991),2)&amp;":"&amp;RIGHT("0"&amp;MINUTE(C2991),2)&amp;IF(D2991="","","–"&amp;RIGHT("0"&amp;HOUR(D2991),2)&amp;":"&amp;RIGHT("0"&amp;MINUTE(D2991),2))&amp;" ")&amp;F2991)</f>
        <v/>
      </c>
      <c r="N2991" s="54">
        <f>IF(OR(A2991="",F2991=""),"",A2991&amp;"#"&amp;(COUNTIFS($A$5:$A$3004,A2991,$F$5:$F$3004,"?*",$O$5:$O$3004,"&lt;"&amp;O2991)+COUNTIFS($A$5:A2991,A2991,$F$5:F2991,"?*",$O$5:O2991,O2991)))</f>
        <v/>
      </c>
      <c r="O2991" s="54">
        <f>IF(A2991="","",IF(C2991="",0,C2991))</f>
        <v/>
      </c>
    </row>
    <row r="2992">
      <c r="A2992" s="58" t="n"/>
      <c r="B2992" s="49">
        <f>IF(A2992="","",CHOOSE(WEEKDAY(A2992,2),"Пн","Вт","Ср","Чт","Пт","Сб","Вс"))</f>
        <v/>
      </c>
      <c r="C2992" s="59" t="n"/>
      <c r="D2992" s="59" t="n"/>
      <c r="E2992" s="60">
        <f>IF(OR(C2992="",D2992=""),"",MOD(D2992-C2992,1)*24)</f>
        <v/>
      </c>
      <c r="F2992" s="50" t="n"/>
      <c r="G2992" s="51" t="n"/>
      <c r="H2992" s="51" t="n"/>
      <c r="I2992" s="51" t="n"/>
      <c r="J2992" s="51" t="n"/>
      <c r="K2992" s="51" t="n"/>
      <c r="L2992" s="54">
        <f>IF(OR(A2992="",C2992="",D2992=""),"",IF(COUNTIFS($A$5:$A$3004,A2992,$C$5:$C$3004,"&lt;"&amp;D2992,$D$5:$D$3004,"&gt;"&amp;C2992)&gt;1,"⚠️ пересечение",""))</f>
        <v/>
      </c>
      <c r="M2992" s="54">
        <f>IF(F2992="","",IF(J2992="✅ Сделано","✔ ",IF(J2992="❌ Пропущено","✖ ","⏰ "))&amp;IF(C2992="","",RIGHT("0"&amp;HOUR(C2992),2)&amp;":"&amp;RIGHT("0"&amp;MINUTE(C2992),2)&amp;IF(D2992="","","–"&amp;RIGHT("0"&amp;HOUR(D2992),2)&amp;":"&amp;RIGHT("0"&amp;MINUTE(D2992),2))&amp;" ")&amp;F2992)</f>
        <v/>
      </c>
      <c r="N2992" s="54">
        <f>IF(OR(A2992="",F2992=""),"",A2992&amp;"#"&amp;(COUNTIFS($A$5:$A$3004,A2992,$F$5:$F$3004,"?*",$O$5:$O$3004,"&lt;"&amp;O2992)+COUNTIFS($A$5:A2992,A2992,$F$5:F2992,"?*",$O$5:O2992,O2992)))</f>
        <v/>
      </c>
      <c r="O2992" s="54">
        <f>IF(A2992="","",IF(C2992="",0,C2992))</f>
        <v/>
      </c>
    </row>
    <row r="2993">
      <c r="A2993" s="58" t="n"/>
      <c r="B2993" s="49">
        <f>IF(A2993="","",CHOOSE(WEEKDAY(A2993,2),"Пн","Вт","Ср","Чт","Пт","Сб","Вс"))</f>
        <v/>
      </c>
      <c r="C2993" s="59" t="n"/>
      <c r="D2993" s="59" t="n"/>
      <c r="E2993" s="60">
        <f>IF(OR(C2993="",D2993=""),"",MOD(D2993-C2993,1)*24)</f>
        <v/>
      </c>
      <c r="F2993" s="50" t="n"/>
      <c r="G2993" s="51" t="n"/>
      <c r="H2993" s="51" t="n"/>
      <c r="I2993" s="51" t="n"/>
      <c r="J2993" s="51" t="n"/>
      <c r="K2993" s="51" t="n"/>
      <c r="L2993" s="54">
        <f>IF(OR(A2993="",C2993="",D2993=""),"",IF(COUNTIFS($A$5:$A$3004,A2993,$C$5:$C$3004,"&lt;"&amp;D2993,$D$5:$D$3004,"&gt;"&amp;C2993)&gt;1,"⚠️ пересечение",""))</f>
        <v/>
      </c>
      <c r="M2993" s="54">
        <f>IF(F2993="","",IF(J2993="✅ Сделано","✔ ",IF(J2993="❌ Пропущено","✖ ","⏰ "))&amp;IF(C2993="","",RIGHT("0"&amp;HOUR(C2993),2)&amp;":"&amp;RIGHT("0"&amp;MINUTE(C2993),2)&amp;IF(D2993="","","–"&amp;RIGHT("0"&amp;HOUR(D2993),2)&amp;":"&amp;RIGHT("0"&amp;MINUTE(D2993),2))&amp;" ")&amp;F2993)</f>
        <v/>
      </c>
      <c r="N2993" s="54">
        <f>IF(OR(A2993="",F2993=""),"",A2993&amp;"#"&amp;(COUNTIFS($A$5:$A$3004,A2993,$F$5:$F$3004,"?*",$O$5:$O$3004,"&lt;"&amp;O2993)+COUNTIFS($A$5:A2993,A2993,$F$5:F2993,"?*",$O$5:O2993,O2993)))</f>
        <v/>
      </c>
      <c r="O2993" s="54">
        <f>IF(A2993="","",IF(C2993="",0,C2993))</f>
        <v/>
      </c>
    </row>
    <row r="2994">
      <c r="A2994" s="58" t="n"/>
      <c r="B2994" s="49">
        <f>IF(A2994="","",CHOOSE(WEEKDAY(A2994,2),"Пн","Вт","Ср","Чт","Пт","Сб","Вс"))</f>
        <v/>
      </c>
      <c r="C2994" s="59" t="n"/>
      <c r="D2994" s="59" t="n"/>
      <c r="E2994" s="60">
        <f>IF(OR(C2994="",D2994=""),"",MOD(D2994-C2994,1)*24)</f>
        <v/>
      </c>
      <c r="F2994" s="50" t="n"/>
      <c r="G2994" s="51" t="n"/>
      <c r="H2994" s="51" t="n"/>
      <c r="I2994" s="51" t="n"/>
      <c r="J2994" s="51" t="n"/>
      <c r="K2994" s="51" t="n"/>
      <c r="L2994" s="54">
        <f>IF(OR(A2994="",C2994="",D2994=""),"",IF(COUNTIFS($A$5:$A$3004,A2994,$C$5:$C$3004,"&lt;"&amp;D2994,$D$5:$D$3004,"&gt;"&amp;C2994)&gt;1,"⚠️ пересечение",""))</f>
        <v/>
      </c>
      <c r="M2994" s="54">
        <f>IF(F2994="","",IF(J2994="✅ Сделано","✔ ",IF(J2994="❌ Пропущено","✖ ","⏰ "))&amp;IF(C2994="","",RIGHT("0"&amp;HOUR(C2994),2)&amp;":"&amp;RIGHT("0"&amp;MINUTE(C2994),2)&amp;IF(D2994="","","–"&amp;RIGHT("0"&amp;HOUR(D2994),2)&amp;":"&amp;RIGHT("0"&amp;MINUTE(D2994),2))&amp;" ")&amp;F2994)</f>
        <v/>
      </c>
      <c r="N2994" s="54">
        <f>IF(OR(A2994="",F2994=""),"",A2994&amp;"#"&amp;(COUNTIFS($A$5:$A$3004,A2994,$F$5:$F$3004,"?*",$O$5:$O$3004,"&lt;"&amp;O2994)+COUNTIFS($A$5:A2994,A2994,$F$5:F2994,"?*",$O$5:O2994,O2994)))</f>
        <v/>
      </c>
      <c r="O2994" s="54">
        <f>IF(A2994="","",IF(C2994="",0,C2994))</f>
        <v/>
      </c>
    </row>
    <row r="2995">
      <c r="A2995" s="58" t="n"/>
      <c r="B2995" s="49">
        <f>IF(A2995="","",CHOOSE(WEEKDAY(A2995,2),"Пн","Вт","Ср","Чт","Пт","Сб","Вс"))</f>
        <v/>
      </c>
      <c r="C2995" s="59" t="n"/>
      <c r="D2995" s="59" t="n"/>
      <c r="E2995" s="60">
        <f>IF(OR(C2995="",D2995=""),"",MOD(D2995-C2995,1)*24)</f>
        <v/>
      </c>
      <c r="F2995" s="50" t="n"/>
      <c r="G2995" s="51" t="n"/>
      <c r="H2995" s="51" t="n"/>
      <c r="I2995" s="51" t="n"/>
      <c r="J2995" s="51" t="n"/>
      <c r="K2995" s="51" t="n"/>
      <c r="L2995" s="54">
        <f>IF(OR(A2995="",C2995="",D2995=""),"",IF(COUNTIFS($A$5:$A$3004,A2995,$C$5:$C$3004,"&lt;"&amp;D2995,$D$5:$D$3004,"&gt;"&amp;C2995)&gt;1,"⚠️ пересечение",""))</f>
        <v/>
      </c>
      <c r="M2995" s="54">
        <f>IF(F2995="","",IF(J2995="✅ Сделано","✔ ",IF(J2995="❌ Пропущено","✖ ","⏰ "))&amp;IF(C2995="","",RIGHT("0"&amp;HOUR(C2995),2)&amp;":"&amp;RIGHT("0"&amp;MINUTE(C2995),2)&amp;IF(D2995="","","–"&amp;RIGHT("0"&amp;HOUR(D2995),2)&amp;":"&amp;RIGHT("0"&amp;MINUTE(D2995),2))&amp;" ")&amp;F2995)</f>
        <v/>
      </c>
      <c r="N2995" s="54">
        <f>IF(OR(A2995="",F2995=""),"",A2995&amp;"#"&amp;(COUNTIFS($A$5:$A$3004,A2995,$F$5:$F$3004,"?*",$O$5:$O$3004,"&lt;"&amp;O2995)+COUNTIFS($A$5:A2995,A2995,$F$5:F2995,"?*",$O$5:O2995,O2995)))</f>
        <v/>
      </c>
      <c r="O2995" s="54">
        <f>IF(A2995="","",IF(C2995="",0,C2995))</f>
        <v/>
      </c>
    </row>
    <row r="2996">
      <c r="A2996" s="58" t="n"/>
      <c r="B2996" s="49">
        <f>IF(A2996="","",CHOOSE(WEEKDAY(A2996,2),"Пн","Вт","Ср","Чт","Пт","Сб","Вс"))</f>
        <v/>
      </c>
      <c r="C2996" s="59" t="n"/>
      <c r="D2996" s="59" t="n"/>
      <c r="E2996" s="60">
        <f>IF(OR(C2996="",D2996=""),"",MOD(D2996-C2996,1)*24)</f>
        <v/>
      </c>
      <c r="F2996" s="50" t="n"/>
      <c r="G2996" s="51" t="n"/>
      <c r="H2996" s="51" t="n"/>
      <c r="I2996" s="51" t="n"/>
      <c r="J2996" s="51" t="n"/>
      <c r="K2996" s="51" t="n"/>
      <c r="L2996" s="54">
        <f>IF(OR(A2996="",C2996="",D2996=""),"",IF(COUNTIFS($A$5:$A$3004,A2996,$C$5:$C$3004,"&lt;"&amp;D2996,$D$5:$D$3004,"&gt;"&amp;C2996)&gt;1,"⚠️ пересечение",""))</f>
        <v/>
      </c>
      <c r="M2996" s="54">
        <f>IF(F2996="","",IF(J2996="✅ Сделано","✔ ",IF(J2996="❌ Пропущено","✖ ","⏰ "))&amp;IF(C2996="","",RIGHT("0"&amp;HOUR(C2996),2)&amp;":"&amp;RIGHT("0"&amp;MINUTE(C2996),2)&amp;IF(D2996="","","–"&amp;RIGHT("0"&amp;HOUR(D2996),2)&amp;":"&amp;RIGHT("0"&amp;MINUTE(D2996),2))&amp;" ")&amp;F2996)</f>
        <v/>
      </c>
      <c r="N2996" s="54">
        <f>IF(OR(A2996="",F2996=""),"",A2996&amp;"#"&amp;(COUNTIFS($A$5:$A$3004,A2996,$F$5:$F$3004,"?*",$O$5:$O$3004,"&lt;"&amp;O2996)+COUNTIFS($A$5:A2996,A2996,$F$5:F2996,"?*",$O$5:O2996,O2996)))</f>
        <v/>
      </c>
      <c r="O2996" s="54">
        <f>IF(A2996="","",IF(C2996="",0,C2996))</f>
        <v/>
      </c>
    </row>
    <row r="2997">
      <c r="A2997" s="58" t="n"/>
      <c r="B2997" s="49">
        <f>IF(A2997="","",CHOOSE(WEEKDAY(A2997,2),"Пн","Вт","Ср","Чт","Пт","Сб","Вс"))</f>
        <v/>
      </c>
      <c r="C2997" s="59" t="n"/>
      <c r="D2997" s="59" t="n"/>
      <c r="E2997" s="60">
        <f>IF(OR(C2997="",D2997=""),"",MOD(D2997-C2997,1)*24)</f>
        <v/>
      </c>
      <c r="F2997" s="50" t="n"/>
      <c r="G2997" s="51" t="n"/>
      <c r="H2997" s="51" t="n"/>
      <c r="I2997" s="51" t="n"/>
      <c r="J2997" s="51" t="n"/>
      <c r="K2997" s="51" t="n"/>
      <c r="L2997" s="54">
        <f>IF(OR(A2997="",C2997="",D2997=""),"",IF(COUNTIFS($A$5:$A$3004,A2997,$C$5:$C$3004,"&lt;"&amp;D2997,$D$5:$D$3004,"&gt;"&amp;C2997)&gt;1,"⚠️ пересечение",""))</f>
        <v/>
      </c>
      <c r="M2997" s="54">
        <f>IF(F2997="","",IF(J2997="✅ Сделано","✔ ",IF(J2997="❌ Пропущено","✖ ","⏰ "))&amp;IF(C2997="","",RIGHT("0"&amp;HOUR(C2997),2)&amp;":"&amp;RIGHT("0"&amp;MINUTE(C2997),2)&amp;IF(D2997="","","–"&amp;RIGHT("0"&amp;HOUR(D2997),2)&amp;":"&amp;RIGHT("0"&amp;MINUTE(D2997),2))&amp;" ")&amp;F2997)</f>
        <v/>
      </c>
      <c r="N2997" s="54">
        <f>IF(OR(A2997="",F2997=""),"",A2997&amp;"#"&amp;(COUNTIFS($A$5:$A$3004,A2997,$F$5:$F$3004,"?*",$O$5:$O$3004,"&lt;"&amp;O2997)+COUNTIFS($A$5:A2997,A2997,$F$5:F2997,"?*",$O$5:O2997,O2997)))</f>
        <v/>
      </c>
      <c r="O2997" s="54">
        <f>IF(A2997="","",IF(C2997="",0,C2997))</f>
        <v/>
      </c>
    </row>
    <row r="2998">
      <c r="A2998" s="58" t="n"/>
      <c r="B2998" s="49">
        <f>IF(A2998="","",CHOOSE(WEEKDAY(A2998,2),"Пн","Вт","Ср","Чт","Пт","Сб","Вс"))</f>
        <v/>
      </c>
      <c r="C2998" s="59" t="n"/>
      <c r="D2998" s="59" t="n"/>
      <c r="E2998" s="60">
        <f>IF(OR(C2998="",D2998=""),"",MOD(D2998-C2998,1)*24)</f>
        <v/>
      </c>
      <c r="F2998" s="50" t="n"/>
      <c r="G2998" s="51" t="n"/>
      <c r="H2998" s="51" t="n"/>
      <c r="I2998" s="51" t="n"/>
      <c r="J2998" s="51" t="n"/>
      <c r="K2998" s="51" t="n"/>
      <c r="L2998" s="54">
        <f>IF(OR(A2998="",C2998="",D2998=""),"",IF(COUNTIFS($A$5:$A$3004,A2998,$C$5:$C$3004,"&lt;"&amp;D2998,$D$5:$D$3004,"&gt;"&amp;C2998)&gt;1,"⚠️ пересечение",""))</f>
        <v/>
      </c>
      <c r="M2998" s="54">
        <f>IF(F2998="","",IF(J2998="✅ Сделано","✔ ",IF(J2998="❌ Пропущено","✖ ","⏰ "))&amp;IF(C2998="","",RIGHT("0"&amp;HOUR(C2998),2)&amp;":"&amp;RIGHT("0"&amp;MINUTE(C2998),2)&amp;IF(D2998="","","–"&amp;RIGHT("0"&amp;HOUR(D2998),2)&amp;":"&amp;RIGHT("0"&amp;MINUTE(D2998),2))&amp;" ")&amp;F2998)</f>
        <v/>
      </c>
      <c r="N2998" s="54">
        <f>IF(OR(A2998="",F2998=""),"",A2998&amp;"#"&amp;(COUNTIFS($A$5:$A$3004,A2998,$F$5:$F$3004,"?*",$O$5:$O$3004,"&lt;"&amp;O2998)+COUNTIFS($A$5:A2998,A2998,$F$5:F2998,"?*",$O$5:O2998,O2998)))</f>
        <v/>
      </c>
      <c r="O2998" s="54">
        <f>IF(A2998="","",IF(C2998="",0,C2998))</f>
        <v/>
      </c>
    </row>
    <row r="2999">
      <c r="A2999" s="58" t="n"/>
      <c r="B2999" s="49">
        <f>IF(A2999="","",CHOOSE(WEEKDAY(A2999,2),"Пн","Вт","Ср","Чт","Пт","Сб","Вс"))</f>
        <v/>
      </c>
      <c r="C2999" s="59" t="n"/>
      <c r="D2999" s="59" t="n"/>
      <c r="E2999" s="60">
        <f>IF(OR(C2999="",D2999=""),"",MOD(D2999-C2999,1)*24)</f>
        <v/>
      </c>
      <c r="F2999" s="50" t="n"/>
      <c r="G2999" s="51" t="n"/>
      <c r="H2999" s="51" t="n"/>
      <c r="I2999" s="51" t="n"/>
      <c r="J2999" s="51" t="n"/>
      <c r="K2999" s="51" t="n"/>
      <c r="L2999" s="54">
        <f>IF(OR(A2999="",C2999="",D2999=""),"",IF(COUNTIFS($A$5:$A$3004,A2999,$C$5:$C$3004,"&lt;"&amp;D2999,$D$5:$D$3004,"&gt;"&amp;C2999)&gt;1,"⚠️ пересечение",""))</f>
        <v/>
      </c>
      <c r="M2999" s="54">
        <f>IF(F2999="","",IF(J2999="✅ Сделано","✔ ",IF(J2999="❌ Пропущено","✖ ","⏰ "))&amp;IF(C2999="","",RIGHT("0"&amp;HOUR(C2999),2)&amp;":"&amp;RIGHT("0"&amp;MINUTE(C2999),2)&amp;IF(D2999="","","–"&amp;RIGHT("0"&amp;HOUR(D2999),2)&amp;":"&amp;RIGHT("0"&amp;MINUTE(D2999),2))&amp;" ")&amp;F2999)</f>
        <v/>
      </c>
      <c r="N2999" s="54">
        <f>IF(OR(A2999="",F2999=""),"",A2999&amp;"#"&amp;(COUNTIFS($A$5:$A$3004,A2999,$F$5:$F$3004,"?*",$O$5:$O$3004,"&lt;"&amp;O2999)+COUNTIFS($A$5:A2999,A2999,$F$5:F2999,"?*",$O$5:O2999,O2999)))</f>
        <v/>
      </c>
      <c r="O2999" s="54">
        <f>IF(A2999="","",IF(C2999="",0,C2999))</f>
        <v/>
      </c>
    </row>
    <row r="3000">
      <c r="A3000" s="58" t="n"/>
      <c r="B3000" s="49">
        <f>IF(A3000="","",CHOOSE(WEEKDAY(A3000,2),"Пн","Вт","Ср","Чт","Пт","Сб","Вс"))</f>
        <v/>
      </c>
      <c r="C3000" s="59" t="n"/>
      <c r="D3000" s="59" t="n"/>
      <c r="E3000" s="60">
        <f>IF(OR(C3000="",D3000=""),"",MOD(D3000-C3000,1)*24)</f>
        <v/>
      </c>
      <c r="F3000" s="50" t="n"/>
      <c r="G3000" s="51" t="n"/>
      <c r="H3000" s="51" t="n"/>
      <c r="I3000" s="51" t="n"/>
      <c r="J3000" s="51" t="n"/>
      <c r="K3000" s="51" t="n"/>
      <c r="L3000" s="54">
        <f>IF(OR(A3000="",C3000="",D3000=""),"",IF(COUNTIFS($A$5:$A$3004,A3000,$C$5:$C$3004,"&lt;"&amp;D3000,$D$5:$D$3004,"&gt;"&amp;C3000)&gt;1,"⚠️ пересечение",""))</f>
        <v/>
      </c>
      <c r="M3000" s="54">
        <f>IF(F3000="","",IF(J3000="✅ Сделано","✔ ",IF(J3000="❌ Пропущено","✖ ","⏰ "))&amp;IF(C3000="","",RIGHT("0"&amp;HOUR(C3000),2)&amp;":"&amp;RIGHT("0"&amp;MINUTE(C3000),2)&amp;IF(D3000="","","–"&amp;RIGHT("0"&amp;HOUR(D3000),2)&amp;":"&amp;RIGHT("0"&amp;MINUTE(D3000),2))&amp;" ")&amp;F3000)</f>
        <v/>
      </c>
      <c r="N3000" s="54">
        <f>IF(OR(A3000="",F3000=""),"",A3000&amp;"#"&amp;(COUNTIFS($A$5:$A$3004,A3000,$F$5:$F$3004,"?*",$O$5:$O$3004,"&lt;"&amp;O3000)+COUNTIFS($A$5:A3000,A3000,$F$5:F3000,"?*",$O$5:O3000,O3000)))</f>
        <v/>
      </c>
      <c r="O3000" s="54">
        <f>IF(A3000="","",IF(C3000="",0,C3000))</f>
        <v/>
      </c>
    </row>
    <row r="3001">
      <c r="A3001" s="58" t="n"/>
      <c r="B3001" s="49">
        <f>IF(A3001="","",CHOOSE(WEEKDAY(A3001,2),"Пн","Вт","Ср","Чт","Пт","Сб","Вс"))</f>
        <v/>
      </c>
      <c r="C3001" s="59" t="n"/>
      <c r="D3001" s="59" t="n"/>
      <c r="E3001" s="60">
        <f>IF(OR(C3001="",D3001=""),"",MOD(D3001-C3001,1)*24)</f>
        <v/>
      </c>
      <c r="F3001" s="50" t="n"/>
      <c r="G3001" s="51" t="n"/>
      <c r="H3001" s="51" t="n"/>
      <c r="I3001" s="51" t="n"/>
      <c r="J3001" s="51" t="n"/>
      <c r="K3001" s="51" t="n"/>
      <c r="L3001" s="54">
        <f>IF(OR(A3001="",C3001="",D3001=""),"",IF(COUNTIFS($A$5:$A$3004,A3001,$C$5:$C$3004,"&lt;"&amp;D3001,$D$5:$D$3004,"&gt;"&amp;C3001)&gt;1,"⚠️ пересечение",""))</f>
        <v/>
      </c>
      <c r="M3001" s="54">
        <f>IF(F3001="","",IF(J3001="✅ Сделано","✔ ",IF(J3001="❌ Пропущено","✖ ","⏰ "))&amp;IF(C3001="","",RIGHT("0"&amp;HOUR(C3001),2)&amp;":"&amp;RIGHT("0"&amp;MINUTE(C3001),2)&amp;IF(D3001="","","–"&amp;RIGHT("0"&amp;HOUR(D3001),2)&amp;":"&amp;RIGHT("0"&amp;MINUTE(D3001),2))&amp;" ")&amp;F3001)</f>
        <v/>
      </c>
      <c r="N3001" s="54">
        <f>IF(OR(A3001="",F3001=""),"",A3001&amp;"#"&amp;(COUNTIFS($A$5:$A$3004,A3001,$F$5:$F$3004,"?*",$O$5:$O$3004,"&lt;"&amp;O3001)+COUNTIFS($A$5:A3001,A3001,$F$5:F3001,"?*",$O$5:O3001,O3001)))</f>
        <v/>
      </c>
      <c r="O3001" s="54">
        <f>IF(A3001="","",IF(C3001="",0,C3001))</f>
        <v/>
      </c>
    </row>
    <row r="3002">
      <c r="A3002" s="58" t="n"/>
      <c r="B3002" s="49">
        <f>IF(A3002="","",CHOOSE(WEEKDAY(A3002,2),"Пн","Вт","Ср","Чт","Пт","Сб","Вс"))</f>
        <v/>
      </c>
      <c r="C3002" s="59" t="n"/>
      <c r="D3002" s="59" t="n"/>
      <c r="E3002" s="60">
        <f>IF(OR(C3002="",D3002=""),"",MOD(D3002-C3002,1)*24)</f>
        <v/>
      </c>
      <c r="F3002" s="50" t="n"/>
      <c r="G3002" s="51" t="n"/>
      <c r="H3002" s="51" t="n"/>
      <c r="I3002" s="51" t="n"/>
      <c r="J3002" s="51" t="n"/>
      <c r="K3002" s="51" t="n"/>
      <c r="L3002" s="54">
        <f>IF(OR(A3002="",C3002="",D3002=""),"",IF(COUNTIFS($A$5:$A$3004,A3002,$C$5:$C$3004,"&lt;"&amp;D3002,$D$5:$D$3004,"&gt;"&amp;C3002)&gt;1,"⚠️ пересечение",""))</f>
        <v/>
      </c>
      <c r="M3002" s="54">
        <f>IF(F3002="","",IF(J3002="✅ Сделано","✔ ",IF(J3002="❌ Пропущено","✖ ","⏰ "))&amp;IF(C3002="","",RIGHT("0"&amp;HOUR(C3002),2)&amp;":"&amp;RIGHT("0"&amp;MINUTE(C3002),2)&amp;IF(D3002="","","–"&amp;RIGHT("0"&amp;HOUR(D3002),2)&amp;":"&amp;RIGHT("0"&amp;MINUTE(D3002),2))&amp;" ")&amp;F3002)</f>
        <v/>
      </c>
      <c r="N3002" s="54">
        <f>IF(OR(A3002="",F3002=""),"",A3002&amp;"#"&amp;(COUNTIFS($A$5:$A$3004,A3002,$F$5:$F$3004,"?*",$O$5:$O$3004,"&lt;"&amp;O3002)+COUNTIFS($A$5:A3002,A3002,$F$5:F3002,"?*",$O$5:O3002,O3002)))</f>
        <v/>
      </c>
      <c r="O3002" s="54">
        <f>IF(A3002="","",IF(C3002="",0,C3002))</f>
        <v/>
      </c>
    </row>
    <row r="3003">
      <c r="A3003" s="58" t="n"/>
      <c r="B3003" s="49">
        <f>IF(A3003="","",CHOOSE(WEEKDAY(A3003,2),"Пн","Вт","Ср","Чт","Пт","Сб","Вс"))</f>
        <v/>
      </c>
      <c r="C3003" s="59" t="n"/>
      <c r="D3003" s="59" t="n"/>
      <c r="E3003" s="60">
        <f>IF(OR(C3003="",D3003=""),"",MOD(D3003-C3003,1)*24)</f>
        <v/>
      </c>
      <c r="F3003" s="50" t="n"/>
      <c r="G3003" s="51" t="n"/>
      <c r="H3003" s="51" t="n"/>
      <c r="I3003" s="51" t="n"/>
      <c r="J3003" s="51" t="n"/>
      <c r="K3003" s="51" t="n"/>
      <c r="L3003" s="54">
        <f>IF(OR(A3003="",C3003="",D3003=""),"",IF(COUNTIFS($A$5:$A$3004,A3003,$C$5:$C$3004,"&lt;"&amp;D3003,$D$5:$D$3004,"&gt;"&amp;C3003)&gt;1,"⚠️ пересечение",""))</f>
        <v/>
      </c>
      <c r="M3003" s="54">
        <f>IF(F3003="","",IF(J3003="✅ Сделано","✔ ",IF(J3003="❌ Пропущено","✖ ","⏰ "))&amp;IF(C3003="","",RIGHT("0"&amp;HOUR(C3003),2)&amp;":"&amp;RIGHT("0"&amp;MINUTE(C3003),2)&amp;IF(D3003="","","–"&amp;RIGHT("0"&amp;HOUR(D3003),2)&amp;":"&amp;RIGHT("0"&amp;MINUTE(D3003),2))&amp;" ")&amp;F3003)</f>
        <v/>
      </c>
      <c r="N3003" s="54">
        <f>IF(OR(A3003="",F3003=""),"",A3003&amp;"#"&amp;(COUNTIFS($A$5:$A$3004,A3003,$F$5:$F$3004,"?*",$O$5:$O$3004,"&lt;"&amp;O3003)+COUNTIFS($A$5:A3003,A3003,$F$5:F3003,"?*",$O$5:O3003,O3003)))</f>
        <v/>
      </c>
      <c r="O3003" s="54">
        <f>IF(A3003="","",IF(C3003="",0,C3003))</f>
        <v/>
      </c>
    </row>
    <row r="3004">
      <c r="A3004" s="58" t="n"/>
      <c r="B3004" s="49">
        <f>IF(A3004="","",CHOOSE(WEEKDAY(A3004,2),"Пн","Вт","Ср","Чт","Пт","Сб","Вс"))</f>
        <v/>
      </c>
      <c r="C3004" s="59" t="n"/>
      <c r="D3004" s="59" t="n"/>
      <c r="E3004" s="60">
        <f>IF(OR(C3004="",D3004=""),"",MOD(D3004-C3004,1)*24)</f>
        <v/>
      </c>
      <c r="F3004" s="50" t="n"/>
      <c r="G3004" s="51" t="n"/>
      <c r="H3004" s="51" t="n"/>
      <c r="I3004" s="51" t="n"/>
      <c r="J3004" s="51" t="n"/>
      <c r="K3004" s="51" t="n"/>
      <c r="L3004" s="54">
        <f>IF(OR(A3004="",C3004="",D3004=""),"",IF(COUNTIFS($A$5:$A$3004,A3004,$C$5:$C$3004,"&lt;"&amp;D3004,$D$5:$D$3004,"&gt;"&amp;C3004)&gt;1,"⚠️ пересечение",""))</f>
        <v/>
      </c>
      <c r="M3004" s="54">
        <f>IF(F3004="","",IF(J3004="✅ Сделано","✔ ",IF(J3004="❌ Пропущено","✖ ","⏰ "))&amp;IF(C3004="","",RIGHT("0"&amp;HOUR(C3004),2)&amp;":"&amp;RIGHT("0"&amp;MINUTE(C3004),2)&amp;IF(D3004="","","–"&amp;RIGHT("0"&amp;HOUR(D3004),2)&amp;":"&amp;RIGHT("0"&amp;MINUTE(D3004),2))&amp;" ")&amp;F3004)</f>
        <v/>
      </c>
      <c r="N3004" s="54">
        <f>IF(OR(A3004="",F3004=""),"",A3004&amp;"#"&amp;(COUNTIFS($A$5:$A$3004,A3004,$F$5:$F$3004,"?*",$O$5:$O$3004,"&lt;"&amp;O3004)+COUNTIFS($A$5:A3004,A3004,$F$5:F3004,"?*",$O$5:O3004,O3004)))</f>
        <v/>
      </c>
      <c r="O3004" s="54">
        <f>IF(A3004="","",IF(C3004="",0,C3004))</f>
        <v/>
      </c>
    </row>
  </sheetData>
  <autoFilter ref="A4:L3004"/>
  <mergeCells count="2">
    <mergeCell ref="A2:L2"/>
    <mergeCell ref="A1:L1"/>
  </mergeCells>
  <conditionalFormatting sqref="A5:L3004">
    <cfRule type="expression" priority="1" dxfId="9" stopIfTrue="1">
      <formula>$J5="✅ Сделано"</formula>
    </cfRule>
    <cfRule type="expression" priority="2" dxfId="2" stopIfTrue="1">
      <formula>$J5="❌ Пропущено"</formula>
    </cfRule>
    <cfRule type="expression" priority="3" dxfId="8">
      <formula>AND($A5=TODAY(),$F5&lt;&gt;"")</formula>
    </cfRule>
  </conditionalFormatting>
  <conditionalFormatting sqref="L5:L3004">
    <cfRule type="expression" priority="4" dxfId="12">
      <formula>$L5&lt;&gt;""</formula>
    </cfRule>
  </conditionalFormatting>
  <conditionalFormatting sqref="B5:B3004">
    <cfRule type="expression" priority="5" dxfId="3">
      <formula>OR($B5="Сб",$B5="Вс")</formula>
    </cfRule>
  </conditionalFormatting>
  <dataValidations count="7">
    <dataValidation sqref="A5:A3004" showDropDown="0" showInputMessage="1" showErrorMessage="1" allowBlank="1" errorTitle="Неверная дата" error="Введите дату, например 05.10.2026" prompt="Дата, например 05.10.2026 (Ctrl+; — сегодня)" type="date" operator="between">
      <formula1>DATE(2025,1,1)</formula1>
      <formula2>DATE(2035,12,31)</formula2>
    </dataValidation>
    <dataValidation sqref="C5:C3004" showDropDown="0" showInputMessage="1" showErrorMessage="1" allowBlank="1" errorTitle="Неверное время" error="Введите время, например 09:30" prompt="Время, например 09:30" type="time" operator="between">
      <formula1>0</formula1>
      <formula2>0.999988</formula2>
    </dataValidation>
    <dataValidation sqref="D5:D3004" showDropDown="0" showInputMessage="1" showErrorMessage="1" allowBlank="1" errorTitle="Неверное время" error="Введите время, например 09:30" prompt="Время, например 09:30" type="time" operator="between">
      <formula1>0</formula1>
      <formula2>0.999988</formula2>
    </dataValidation>
    <dataValidation sqref="G5:G30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'📚 Справочник'!$A$5:$A$24</formula1>
    </dataValidation>
    <dataValidation sqref="H5:H30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'📚 Справочник'!$C$5:$C$24</formula1>
    </dataValidation>
    <dataValidation sqref="I5:I3004" showDropDown="0" showInputMessage="1" showErrorMessage="1" allowBlank="1" errorTitle="Значение не из справочника" error="Выберите значение из списка (его можно дополнить в листе «📚 Справочник»)" prompt="Необязательно: к какой задаче относится дело" type="list">
      <formula1>'✅ Задачи'!$B$5:$B$1004</formula1>
    </dataValidation>
    <dataValidation sqref="J5:J3004" showDropDown="0" showInputMessage="0" showErrorMessage="1" allowBlank="1" errorTitle="Значение не из справочника" error="Выберите значение из списка (его можно дополнить в листе «📚 Справочник»)" type="list">
      <formula1>'📚 Справочник'!$I$5:$I$7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9E5B"/>
    <outlinePr summaryBelow="1" summaryRight="1"/>
    <pageSetUpPr/>
  </sheetPr>
  <dimension ref="A1:I5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</cols>
  <sheetData>
    <row r="1" ht="36" customHeight="1">
      <c r="A1" s="61" t="inlineStr">
        <is>
          <t>📊 Итоги по задачам и делам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</row>
    <row r="2" ht="30" customHeight="1">
      <c r="A2" s="3" t="inlineStr">
        <is>
          <t>Всё считается автоматически: статусы, группы занятий, категории и приоритеты. % выполнения считается без отменённых задач.</t>
        </is>
      </c>
    </row>
    <row r="3">
      <c r="A3" s="63" t="inlineStr">
        <is>
          <t>🚦 По статусам</t>
        </is>
      </c>
    </row>
    <row r="4" ht="34" customHeight="1">
      <c r="A4" s="64" t="inlineStr">
        <is>
          <t>Статус</t>
        </is>
      </c>
      <c r="B4" s="64" t="inlineStr">
        <is>
          <t>Задач</t>
        </is>
      </c>
      <c r="C4" s="64" t="inlineStr">
        <is>
          <t>Доля</t>
        </is>
      </c>
    </row>
    <row r="5">
      <c r="A5" s="65" t="inlineStr">
        <is>
          <t>⏳ Не начата</t>
        </is>
      </c>
      <c r="B5" s="66">
        <f>COUNTIFS(t_status,$A5,t_name,"?*")</f>
        <v/>
      </c>
      <c r="C5" s="67">
        <f>IF(B$9=0,"",B5/B$9)</f>
        <v/>
      </c>
    </row>
    <row r="6">
      <c r="A6" s="65" t="inlineStr">
        <is>
          <t>🔄 В работе</t>
        </is>
      </c>
      <c r="B6" s="66">
        <f>COUNTIFS(t_status,$A6,t_name,"?*")</f>
        <v/>
      </c>
      <c r="C6" s="67">
        <f>IF(B$9=0,"",B6/B$9)</f>
        <v/>
      </c>
    </row>
    <row r="7">
      <c r="A7" s="65" t="inlineStr">
        <is>
          <t>✅ Выполнена</t>
        </is>
      </c>
      <c r="B7" s="66">
        <f>COUNTIFS(t_status,$A7,t_name,"?*")</f>
        <v/>
      </c>
      <c r="C7" s="67">
        <f>IF(B$9=0,"",B7/B$9)</f>
        <v/>
      </c>
    </row>
    <row r="8">
      <c r="A8" s="65" t="inlineStr">
        <is>
          <t>❌ Отменена</t>
        </is>
      </c>
      <c r="B8" s="66">
        <f>COUNTIFS(t_status,$A8,t_name,"?*")</f>
        <v/>
      </c>
      <c r="C8" s="67">
        <f>IF(B$9=0,"",B8/B$9)</f>
        <v/>
      </c>
    </row>
    <row r="9">
      <c r="A9" s="65" t="inlineStr">
        <is>
          <t>Σ Всего задач</t>
        </is>
      </c>
      <c r="B9" s="68">
        <f>SUM(B5:B8)</f>
        <v/>
      </c>
    </row>
    <row r="10">
      <c r="A10" s="65" t="inlineStr">
        <is>
          <t>❗ Из них просрочено</t>
        </is>
      </c>
      <c r="B10" s="68">
        <f>COUNTIFS(t_od,"&gt;0")</f>
        <v/>
      </c>
    </row>
    <row r="11">
      <c r="A11" s="65" t="inlineStr">
        <is>
          <t>📭 Без срока</t>
        </is>
      </c>
      <c r="B11" s="68">
        <f>COUNTIFS(t_name,"?*")-COUNTIFS(t_name,"?*",t_date,"&gt;0")</f>
        <v/>
      </c>
    </row>
    <row r="14">
      <c r="A14" s="63" t="inlineStr">
        <is>
          <t>🗂 По группам занятий</t>
        </is>
      </c>
    </row>
    <row r="15" ht="34" customHeight="1">
      <c r="A15" s="64" t="inlineStr"/>
      <c r="B15" s="64" t="inlineStr">
        <is>
          <t>Задач</t>
        </is>
      </c>
      <c r="C15" s="64" t="inlineStr">
        <is>
          <t>✅ Выполнено</t>
        </is>
      </c>
      <c r="D15" s="64" t="inlineStr">
        <is>
          <t>🎯 %</t>
        </is>
      </c>
      <c r="E15" s="64" t="inlineStr">
        <is>
          <t>❗ Просрочено</t>
        </is>
      </c>
      <c r="F15" s="64" t="inlineStr">
        <is>
          <t>🕘 Дел</t>
        </is>
      </c>
      <c r="G15" s="64" t="inlineStr">
        <is>
          <t>⏱ Часов
план</t>
        </is>
      </c>
      <c r="H15" s="64" t="inlineStr">
        <is>
          <t>⏱ Часов
сделано</t>
        </is>
      </c>
    </row>
    <row r="16">
      <c r="A16" s="65">
        <f>IF('📚 Справочник'!A5="","",'📚 Справочник'!A5)</f>
        <v/>
      </c>
      <c r="B16" s="66">
        <f>IF($A16="","",COUNTIFS(t_group,$A16,t_status,"&lt;&gt;❌ Отменена",t_name,"?*"))</f>
        <v/>
      </c>
      <c r="C16" s="66">
        <f>IF($A16="","",COUNTIFS(t_group,$A16,t_status,"✅ Выполнена"))</f>
        <v/>
      </c>
      <c r="D16" s="67">
        <f>IF(OR($A16="",N(B16)=0),"",C16/B16)</f>
        <v/>
      </c>
      <c r="E16" s="66">
        <f>IF($A16="","",COUNTIFS(t_group,$A16,t_od,"&gt;0"))</f>
        <v/>
      </c>
      <c r="F16" s="66">
        <f>IF($A16="","",COUNTIFS(e_group,$A16,e_name,"?*"))</f>
        <v/>
      </c>
      <c r="G16" s="69">
        <f>IF($A16="","",SUMIFS(e_dur,e_group,$A16))</f>
        <v/>
      </c>
      <c r="H16" s="69">
        <f>IF($A16="","",SUMIFS(e_dur,e_group,$A16,e_status,"✅ Сделано"))</f>
        <v/>
      </c>
    </row>
    <row r="17">
      <c r="A17" s="65">
        <f>IF('📚 Справочник'!A6="","",'📚 Справочник'!A6)</f>
        <v/>
      </c>
      <c r="B17" s="66">
        <f>IF($A17="","",COUNTIFS(t_group,$A17,t_status,"&lt;&gt;❌ Отменена",t_name,"?*"))</f>
        <v/>
      </c>
      <c r="C17" s="66">
        <f>IF($A17="","",COUNTIFS(t_group,$A17,t_status,"✅ Выполнена"))</f>
        <v/>
      </c>
      <c r="D17" s="67">
        <f>IF(OR($A17="",N(B17)=0),"",C17/B17)</f>
        <v/>
      </c>
      <c r="E17" s="66">
        <f>IF($A17="","",COUNTIFS(t_group,$A17,t_od,"&gt;0"))</f>
        <v/>
      </c>
      <c r="F17" s="66">
        <f>IF($A17="","",COUNTIFS(e_group,$A17,e_name,"?*"))</f>
        <v/>
      </c>
      <c r="G17" s="69">
        <f>IF($A17="","",SUMIFS(e_dur,e_group,$A17))</f>
        <v/>
      </c>
      <c r="H17" s="69">
        <f>IF($A17="","",SUMIFS(e_dur,e_group,$A17,e_status,"✅ Сделано"))</f>
        <v/>
      </c>
    </row>
    <row r="18">
      <c r="A18" s="65">
        <f>IF('📚 Справочник'!A7="","",'📚 Справочник'!A7)</f>
        <v/>
      </c>
      <c r="B18" s="66">
        <f>IF($A18="","",COUNTIFS(t_group,$A18,t_status,"&lt;&gt;❌ Отменена",t_name,"?*"))</f>
        <v/>
      </c>
      <c r="C18" s="66">
        <f>IF($A18="","",COUNTIFS(t_group,$A18,t_status,"✅ Выполнена"))</f>
        <v/>
      </c>
      <c r="D18" s="67">
        <f>IF(OR($A18="",N(B18)=0),"",C18/B18)</f>
        <v/>
      </c>
      <c r="E18" s="66">
        <f>IF($A18="","",COUNTIFS(t_group,$A18,t_od,"&gt;0"))</f>
        <v/>
      </c>
      <c r="F18" s="66">
        <f>IF($A18="","",COUNTIFS(e_group,$A18,e_name,"?*"))</f>
        <v/>
      </c>
      <c r="G18" s="69">
        <f>IF($A18="","",SUMIFS(e_dur,e_group,$A18))</f>
        <v/>
      </c>
      <c r="H18" s="69">
        <f>IF($A18="","",SUMIFS(e_dur,e_group,$A18,e_status,"✅ Сделано"))</f>
        <v/>
      </c>
    </row>
    <row r="19">
      <c r="A19" s="65">
        <f>IF('📚 Справочник'!A8="","",'📚 Справочник'!A8)</f>
        <v/>
      </c>
      <c r="B19" s="66">
        <f>IF($A19="","",COUNTIFS(t_group,$A19,t_status,"&lt;&gt;❌ Отменена",t_name,"?*"))</f>
        <v/>
      </c>
      <c r="C19" s="66">
        <f>IF($A19="","",COUNTIFS(t_group,$A19,t_status,"✅ Выполнена"))</f>
        <v/>
      </c>
      <c r="D19" s="67">
        <f>IF(OR($A19="",N(B19)=0),"",C19/B19)</f>
        <v/>
      </c>
      <c r="E19" s="66">
        <f>IF($A19="","",COUNTIFS(t_group,$A19,t_od,"&gt;0"))</f>
        <v/>
      </c>
      <c r="F19" s="66">
        <f>IF($A19="","",COUNTIFS(e_group,$A19,e_name,"?*"))</f>
        <v/>
      </c>
      <c r="G19" s="69">
        <f>IF($A19="","",SUMIFS(e_dur,e_group,$A19))</f>
        <v/>
      </c>
      <c r="H19" s="69">
        <f>IF($A19="","",SUMIFS(e_dur,e_group,$A19,e_status,"✅ Сделано"))</f>
        <v/>
      </c>
    </row>
    <row r="20">
      <c r="A20" s="65">
        <f>IF('📚 Справочник'!A9="","",'📚 Справочник'!A9)</f>
        <v/>
      </c>
      <c r="B20" s="66">
        <f>IF($A20="","",COUNTIFS(t_group,$A20,t_status,"&lt;&gt;❌ Отменена",t_name,"?*"))</f>
        <v/>
      </c>
      <c r="C20" s="66">
        <f>IF($A20="","",COUNTIFS(t_group,$A20,t_status,"✅ Выполнена"))</f>
        <v/>
      </c>
      <c r="D20" s="67">
        <f>IF(OR($A20="",N(B20)=0),"",C20/B20)</f>
        <v/>
      </c>
      <c r="E20" s="66">
        <f>IF($A20="","",COUNTIFS(t_group,$A20,t_od,"&gt;0"))</f>
        <v/>
      </c>
      <c r="F20" s="66">
        <f>IF($A20="","",COUNTIFS(e_group,$A20,e_name,"?*"))</f>
        <v/>
      </c>
      <c r="G20" s="69">
        <f>IF($A20="","",SUMIFS(e_dur,e_group,$A20))</f>
        <v/>
      </c>
      <c r="H20" s="69">
        <f>IF($A20="","",SUMIFS(e_dur,e_group,$A20,e_status,"✅ Сделано"))</f>
        <v/>
      </c>
    </row>
    <row r="21">
      <c r="A21" s="65">
        <f>IF('📚 Справочник'!A10="","",'📚 Справочник'!A10)</f>
        <v/>
      </c>
      <c r="B21" s="66">
        <f>IF($A21="","",COUNTIFS(t_group,$A21,t_status,"&lt;&gt;❌ Отменена",t_name,"?*"))</f>
        <v/>
      </c>
      <c r="C21" s="66">
        <f>IF($A21="","",COUNTIFS(t_group,$A21,t_status,"✅ Выполнена"))</f>
        <v/>
      </c>
      <c r="D21" s="67">
        <f>IF(OR($A21="",N(B21)=0),"",C21/B21)</f>
        <v/>
      </c>
      <c r="E21" s="66">
        <f>IF($A21="","",COUNTIFS(t_group,$A21,t_od,"&gt;0"))</f>
        <v/>
      </c>
      <c r="F21" s="66">
        <f>IF($A21="","",COUNTIFS(e_group,$A21,e_name,"?*"))</f>
        <v/>
      </c>
      <c r="G21" s="69">
        <f>IF($A21="","",SUMIFS(e_dur,e_group,$A21))</f>
        <v/>
      </c>
      <c r="H21" s="69">
        <f>IF($A21="","",SUMIFS(e_dur,e_group,$A21,e_status,"✅ Сделано"))</f>
        <v/>
      </c>
    </row>
    <row r="22">
      <c r="A22" s="65">
        <f>IF('📚 Справочник'!A11="","",'📚 Справочник'!A11)</f>
        <v/>
      </c>
      <c r="B22" s="66">
        <f>IF($A22="","",COUNTIFS(t_group,$A22,t_status,"&lt;&gt;❌ Отменена",t_name,"?*"))</f>
        <v/>
      </c>
      <c r="C22" s="66">
        <f>IF($A22="","",COUNTIFS(t_group,$A22,t_status,"✅ Выполнена"))</f>
        <v/>
      </c>
      <c r="D22" s="67">
        <f>IF(OR($A22="",N(B22)=0),"",C22/B22)</f>
        <v/>
      </c>
      <c r="E22" s="66">
        <f>IF($A22="","",COUNTIFS(t_group,$A22,t_od,"&gt;0"))</f>
        <v/>
      </c>
      <c r="F22" s="66">
        <f>IF($A22="","",COUNTIFS(e_group,$A22,e_name,"?*"))</f>
        <v/>
      </c>
      <c r="G22" s="69">
        <f>IF($A22="","",SUMIFS(e_dur,e_group,$A22))</f>
        <v/>
      </c>
      <c r="H22" s="69">
        <f>IF($A22="","",SUMIFS(e_dur,e_group,$A22,e_status,"✅ Сделано"))</f>
        <v/>
      </c>
    </row>
    <row r="23">
      <c r="A23" s="65">
        <f>IF('📚 Справочник'!A12="","",'📚 Справочник'!A12)</f>
        <v/>
      </c>
      <c r="B23" s="66">
        <f>IF($A23="","",COUNTIFS(t_group,$A23,t_status,"&lt;&gt;❌ Отменена",t_name,"?*"))</f>
        <v/>
      </c>
      <c r="C23" s="66">
        <f>IF($A23="","",COUNTIFS(t_group,$A23,t_status,"✅ Выполнена"))</f>
        <v/>
      </c>
      <c r="D23" s="67">
        <f>IF(OR($A23="",N(B23)=0),"",C23/B23)</f>
        <v/>
      </c>
      <c r="E23" s="66">
        <f>IF($A23="","",COUNTIFS(t_group,$A23,t_od,"&gt;0"))</f>
        <v/>
      </c>
      <c r="F23" s="66">
        <f>IF($A23="","",COUNTIFS(e_group,$A23,e_name,"?*"))</f>
        <v/>
      </c>
      <c r="G23" s="69">
        <f>IF($A23="","",SUMIFS(e_dur,e_group,$A23))</f>
        <v/>
      </c>
      <c r="H23" s="69">
        <f>IF($A23="","",SUMIFS(e_dur,e_group,$A23,e_status,"✅ Сделано"))</f>
        <v/>
      </c>
    </row>
    <row r="24">
      <c r="A24" s="65">
        <f>IF('📚 Справочник'!A13="","",'📚 Справочник'!A13)</f>
        <v/>
      </c>
      <c r="B24" s="66">
        <f>IF($A24="","",COUNTIFS(t_group,$A24,t_status,"&lt;&gt;❌ Отменена",t_name,"?*"))</f>
        <v/>
      </c>
      <c r="C24" s="66">
        <f>IF($A24="","",COUNTIFS(t_group,$A24,t_status,"✅ Выполнена"))</f>
        <v/>
      </c>
      <c r="D24" s="67">
        <f>IF(OR($A24="",N(B24)=0),"",C24/B24)</f>
        <v/>
      </c>
      <c r="E24" s="66">
        <f>IF($A24="","",COUNTIFS(t_group,$A24,t_od,"&gt;0"))</f>
        <v/>
      </c>
      <c r="F24" s="66">
        <f>IF($A24="","",COUNTIFS(e_group,$A24,e_name,"?*"))</f>
        <v/>
      </c>
      <c r="G24" s="69">
        <f>IF($A24="","",SUMIFS(e_dur,e_group,$A24))</f>
        <v/>
      </c>
      <c r="H24" s="69">
        <f>IF($A24="","",SUMIFS(e_dur,e_group,$A24,e_status,"✅ Сделано"))</f>
        <v/>
      </c>
    </row>
    <row r="25">
      <c r="A25" s="65">
        <f>IF('📚 Справочник'!A14="","",'📚 Справочник'!A14)</f>
        <v/>
      </c>
      <c r="B25" s="66">
        <f>IF($A25="","",COUNTIFS(t_group,$A25,t_status,"&lt;&gt;❌ Отменена",t_name,"?*"))</f>
        <v/>
      </c>
      <c r="C25" s="66">
        <f>IF($A25="","",COUNTIFS(t_group,$A25,t_status,"✅ Выполнена"))</f>
        <v/>
      </c>
      <c r="D25" s="67">
        <f>IF(OR($A25="",N(B25)=0),"",C25/B25)</f>
        <v/>
      </c>
      <c r="E25" s="66">
        <f>IF($A25="","",COUNTIFS(t_group,$A25,t_od,"&gt;0"))</f>
        <v/>
      </c>
      <c r="F25" s="66">
        <f>IF($A25="","",COUNTIFS(e_group,$A25,e_name,"?*"))</f>
        <v/>
      </c>
      <c r="G25" s="69">
        <f>IF($A25="","",SUMIFS(e_dur,e_group,$A25))</f>
        <v/>
      </c>
      <c r="H25" s="69">
        <f>IF($A25="","",SUMIFS(e_dur,e_group,$A25,e_status,"✅ Сделано"))</f>
        <v/>
      </c>
    </row>
    <row r="26">
      <c r="A26" s="65">
        <f>IF('📚 Справочник'!A15="","",'📚 Справочник'!A15)</f>
        <v/>
      </c>
      <c r="B26" s="66">
        <f>IF($A26="","",COUNTIFS(t_group,$A26,t_status,"&lt;&gt;❌ Отменена",t_name,"?*"))</f>
        <v/>
      </c>
      <c r="C26" s="66">
        <f>IF($A26="","",COUNTIFS(t_group,$A26,t_status,"✅ Выполнена"))</f>
        <v/>
      </c>
      <c r="D26" s="67">
        <f>IF(OR($A26="",N(B26)=0),"",C26/B26)</f>
        <v/>
      </c>
      <c r="E26" s="66">
        <f>IF($A26="","",COUNTIFS(t_group,$A26,t_od,"&gt;0"))</f>
        <v/>
      </c>
      <c r="F26" s="66">
        <f>IF($A26="","",COUNTIFS(e_group,$A26,e_name,"?*"))</f>
        <v/>
      </c>
      <c r="G26" s="69">
        <f>IF($A26="","",SUMIFS(e_dur,e_group,$A26))</f>
        <v/>
      </c>
      <c r="H26" s="69">
        <f>IF($A26="","",SUMIFS(e_dur,e_group,$A26,e_status,"✅ Сделано"))</f>
        <v/>
      </c>
    </row>
    <row r="27">
      <c r="A27" s="65">
        <f>IF('📚 Справочник'!A16="","",'📚 Справочник'!A16)</f>
        <v/>
      </c>
      <c r="B27" s="66">
        <f>IF($A27="","",COUNTIFS(t_group,$A27,t_status,"&lt;&gt;❌ Отменена",t_name,"?*"))</f>
        <v/>
      </c>
      <c r="C27" s="66">
        <f>IF($A27="","",COUNTIFS(t_group,$A27,t_status,"✅ Выполнена"))</f>
        <v/>
      </c>
      <c r="D27" s="67">
        <f>IF(OR($A27="",N(B27)=0),"",C27/B27)</f>
        <v/>
      </c>
      <c r="E27" s="66">
        <f>IF($A27="","",COUNTIFS(t_group,$A27,t_od,"&gt;0"))</f>
        <v/>
      </c>
      <c r="F27" s="66">
        <f>IF($A27="","",COUNTIFS(e_group,$A27,e_name,"?*"))</f>
        <v/>
      </c>
      <c r="G27" s="69">
        <f>IF($A27="","",SUMIFS(e_dur,e_group,$A27))</f>
        <v/>
      </c>
      <c r="H27" s="69">
        <f>IF($A27="","",SUMIFS(e_dur,e_group,$A27,e_status,"✅ Сделано"))</f>
        <v/>
      </c>
    </row>
    <row r="28">
      <c r="A28" s="70" t="inlineStr">
        <is>
          <t>Σ Итого</t>
        </is>
      </c>
      <c r="B28" s="71">
        <f>SUM(B16:B27)</f>
        <v/>
      </c>
      <c r="C28" s="71">
        <f>SUM(C16:C27)</f>
        <v/>
      </c>
      <c r="D28" s="72">
        <f>IF(B28=0,"",C28/B28)</f>
        <v/>
      </c>
      <c r="E28" s="71">
        <f>SUM(E16:E27)</f>
        <v/>
      </c>
      <c r="F28" s="71">
        <f>SUM(F16:F27)</f>
        <v/>
      </c>
      <c r="G28" s="73">
        <f>SUM(G16:G27)</f>
        <v/>
      </c>
      <c r="H28" s="73">
        <f>SUM(H16:H27)</f>
        <v/>
      </c>
    </row>
    <row r="31">
      <c r="A31" s="74" t="inlineStr">
        <is>
          <t>🏷 По категориям</t>
        </is>
      </c>
    </row>
    <row r="32" ht="34" customHeight="1">
      <c r="A32" s="75" t="inlineStr"/>
      <c r="B32" s="75" t="inlineStr">
        <is>
          <t>Задач</t>
        </is>
      </c>
      <c r="C32" s="75" t="inlineStr">
        <is>
          <t>✅ Выполнено</t>
        </is>
      </c>
      <c r="D32" s="75" t="inlineStr">
        <is>
          <t>🎯 %</t>
        </is>
      </c>
      <c r="E32" s="75" t="inlineStr">
        <is>
          <t>❗ Просрочено</t>
        </is>
      </c>
      <c r="F32" s="75" t="inlineStr">
        <is>
          <t>🕘 Дел</t>
        </is>
      </c>
      <c r="G32" s="75" t="inlineStr">
        <is>
          <t>⏱ Часов
план</t>
        </is>
      </c>
      <c r="H32" s="75" t="inlineStr">
        <is>
          <t>⏱ Часов
сделано</t>
        </is>
      </c>
    </row>
    <row r="33">
      <c r="A33" s="65">
        <f>IF('📚 Справочник'!C5="","",'📚 Справочник'!C5)</f>
        <v/>
      </c>
      <c r="B33" s="66">
        <f>IF($A33="","",COUNTIFS(t_cat,$A33,t_status,"&lt;&gt;❌ Отменена",t_name,"?*"))</f>
        <v/>
      </c>
      <c r="C33" s="66">
        <f>IF($A33="","",COUNTIFS(t_cat,$A33,t_status,"✅ Выполнена"))</f>
        <v/>
      </c>
      <c r="D33" s="67">
        <f>IF(OR($A33="",N(B33)=0),"",C33/B33)</f>
        <v/>
      </c>
      <c r="E33" s="66">
        <f>IF($A33="","",COUNTIFS(t_cat,$A33,t_od,"&gt;0"))</f>
        <v/>
      </c>
      <c r="F33" s="66">
        <f>IF($A33="","",COUNTIFS(e_cat,$A33,e_name,"?*"))</f>
        <v/>
      </c>
      <c r="G33" s="69">
        <f>IF($A33="","",SUMIFS(e_dur,e_cat,$A33))</f>
        <v/>
      </c>
      <c r="H33" s="69">
        <f>IF($A33="","",SUMIFS(e_dur,e_cat,$A33,e_status,"✅ Сделано"))</f>
        <v/>
      </c>
    </row>
    <row r="34">
      <c r="A34" s="65">
        <f>IF('📚 Справочник'!C6="","",'📚 Справочник'!C6)</f>
        <v/>
      </c>
      <c r="B34" s="66">
        <f>IF($A34="","",COUNTIFS(t_cat,$A34,t_status,"&lt;&gt;❌ Отменена",t_name,"?*"))</f>
        <v/>
      </c>
      <c r="C34" s="66">
        <f>IF($A34="","",COUNTIFS(t_cat,$A34,t_status,"✅ Выполнена"))</f>
        <v/>
      </c>
      <c r="D34" s="67">
        <f>IF(OR($A34="",N(B34)=0),"",C34/B34)</f>
        <v/>
      </c>
      <c r="E34" s="66">
        <f>IF($A34="","",COUNTIFS(t_cat,$A34,t_od,"&gt;0"))</f>
        <v/>
      </c>
      <c r="F34" s="66">
        <f>IF($A34="","",COUNTIFS(e_cat,$A34,e_name,"?*"))</f>
        <v/>
      </c>
      <c r="G34" s="69">
        <f>IF($A34="","",SUMIFS(e_dur,e_cat,$A34))</f>
        <v/>
      </c>
      <c r="H34" s="69">
        <f>IF($A34="","",SUMIFS(e_dur,e_cat,$A34,e_status,"✅ Сделано"))</f>
        <v/>
      </c>
    </row>
    <row r="35">
      <c r="A35" s="65">
        <f>IF('📚 Справочник'!C7="","",'📚 Справочник'!C7)</f>
        <v/>
      </c>
      <c r="B35" s="66">
        <f>IF($A35="","",COUNTIFS(t_cat,$A35,t_status,"&lt;&gt;❌ Отменена",t_name,"?*"))</f>
        <v/>
      </c>
      <c r="C35" s="66">
        <f>IF($A35="","",COUNTIFS(t_cat,$A35,t_status,"✅ Выполнена"))</f>
        <v/>
      </c>
      <c r="D35" s="67">
        <f>IF(OR($A35="",N(B35)=0),"",C35/B35)</f>
        <v/>
      </c>
      <c r="E35" s="66">
        <f>IF($A35="","",COUNTIFS(t_cat,$A35,t_od,"&gt;0"))</f>
        <v/>
      </c>
      <c r="F35" s="66">
        <f>IF($A35="","",COUNTIFS(e_cat,$A35,e_name,"?*"))</f>
        <v/>
      </c>
      <c r="G35" s="69">
        <f>IF($A35="","",SUMIFS(e_dur,e_cat,$A35))</f>
        <v/>
      </c>
      <c r="H35" s="69">
        <f>IF($A35="","",SUMIFS(e_dur,e_cat,$A35,e_status,"✅ Сделано"))</f>
        <v/>
      </c>
    </row>
    <row r="36">
      <c r="A36" s="65">
        <f>IF('📚 Справочник'!C8="","",'📚 Справочник'!C8)</f>
        <v/>
      </c>
      <c r="B36" s="66">
        <f>IF($A36="","",COUNTIFS(t_cat,$A36,t_status,"&lt;&gt;❌ Отменена",t_name,"?*"))</f>
        <v/>
      </c>
      <c r="C36" s="66">
        <f>IF($A36="","",COUNTIFS(t_cat,$A36,t_status,"✅ Выполнена"))</f>
        <v/>
      </c>
      <c r="D36" s="67">
        <f>IF(OR($A36="",N(B36)=0),"",C36/B36)</f>
        <v/>
      </c>
      <c r="E36" s="66">
        <f>IF($A36="","",COUNTIFS(t_cat,$A36,t_od,"&gt;0"))</f>
        <v/>
      </c>
      <c r="F36" s="66">
        <f>IF($A36="","",COUNTIFS(e_cat,$A36,e_name,"?*"))</f>
        <v/>
      </c>
      <c r="G36" s="69">
        <f>IF($A36="","",SUMIFS(e_dur,e_cat,$A36))</f>
        <v/>
      </c>
      <c r="H36" s="69">
        <f>IF($A36="","",SUMIFS(e_dur,e_cat,$A36,e_status,"✅ Сделано"))</f>
        <v/>
      </c>
    </row>
    <row r="37">
      <c r="A37" s="65">
        <f>IF('📚 Справочник'!C9="","",'📚 Справочник'!C9)</f>
        <v/>
      </c>
      <c r="B37" s="66">
        <f>IF($A37="","",COUNTIFS(t_cat,$A37,t_status,"&lt;&gt;❌ Отменена",t_name,"?*"))</f>
        <v/>
      </c>
      <c r="C37" s="66">
        <f>IF($A37="","",COUNTIFS(t_cat,$A37,t_status,"✅ Выполнена"))</f>
        <v/>
      </c>
      <c r="D37" s="67">
        <f>IF(OR($A37="",N(B37)=0),"",C37/B37)</f>
        <v/>
      </c>
      <c r="E37" s="66">
        <f>IF($A37="","",COUNTIFS(t_cat,$A37,t_od,"&gt;0"))</f>
        <v/>
      </c>
      <c r="F37" s="66">
        <f>IF($A37="","",COUNTIFS(e_cat,$A37,e_name,"?*"))</f>
        <v/>
      </c>
      <c r="G37" s="69">
        <f>IF($A37="","",SUMIFS(e_dur,e_cat,$A37))</f>
        <v/>
      </c>
      <c r="H37" s="69">
        <f>IF($A37="","",SUMIFS(e_dur,e_cat,$A37,e_status,"✅ Сделано"))</f>
        <v/>
      </c>
    </row>
    <row r="38">
      <c r="A38" s="65">
        <f>IF('📚 Справочник'!C10="","",'📚 Справочник'!C10)</f>
        <v/>
      </c>
      <c r="B38" s="66">
        <f>IF($A38="","",COUNTIFS(t_cat,$A38,t_status,"&lt;&gt;❌ Отменена",t_name,"?*"))</f>
        <v/>
      </c>
      <c r="C38" s="66">
        <f>IF($A38="","",COUNTIFS(t_cat,$A38,t_status,"✅ Выполнена"))</f>
        <v/>
      </c>
      <c r="D38" s="67">
        <f>IF(OR($A38="",N(B38)=0),"",C38/B38)</f>
        <v/>
      </c>
      <c r="E38" s="66">
        <f>IF($A38="","",COUNTIFS(t_cat,$A38,t_od,"&gt;0"))</f>
        <v/>
      </c>
      <c r="F38" s="66">
        <f>IF($A38="","",COUNTIFS(e_cat,$A38,e_name,"?*"))</f>
        <v/>
      </c>
      <c r="G38" s="69">
        <f>IF($A38="","",SUMIFS(e_dur,e_cat,$A38))</f>
        <v/>
      </c>
      <c r="H38" s="69">
        <f>IF($A38="","",SUMIFS(e_dur,e_cat,$A38,e_status,"✅ Сделано"))</f>
        <v/>
      </c>
    </row>
    <row r="39">
      <c r="A39" s="65">
        <f>IF('📚 Справочник'!C11="","",'📚 Справочник'!C11)</f>
        <v/>
      </c>
      <c r="B39" s="66">
        <f>IF($A39="","",COUNTIFS(t_cat,$A39,t_status,"&lt;&gt;❌ Отменена",t_name,"?*"))</f>
        <v/>
      </c>
      <c r="C39" s="66">
        <f>IF($A39="","",COUNTIFS(t_cat,$A39,t_status,"✅ Выполнена"))</f>
        <v/>
      </c>
      <c r="D39" s="67">
        <f>IF(OR($A39="",N(B39)=0),"",C39/B39)</f>
        <v/>
      </c>
      <c r="E39" s="66">
        <f>IF($A39="","",COUNTIFS(t_cat,$A39,t_od,"&gt;0"))</f>
        <v/>
      </c>
      <c r="F39" s="66">
        <f>IF($A39="","",COUNTIFS(e_cat,$A39,e_name,"?*"))</f>
        <v/>
      </c>
      <c r="G39" s="69">
        <f>IF($A39="","",SUMIFS(e_dur,e_cat,$A39))</f>
        <v/>
      </c>
      <c r="H39" s="69">
        <f>IF($A39="","",SUMIFS(e_dur,e_cat,$A39,e_status,"✅ Сделано"))</f>
        <v/>
      </c>
    </row>
    <row r="40">
      <c r="A40" s="65">
        <f>IF('📚 Справочник'!C12="","",'📚 Справочник'!C12)</f>
        <v/>
      </c>
      <c r="B40" s="66">
        <f>IF($A40="","",COUNTIFS(t_cat,$A40,t_status,"&lt;&gt;❌ Отменена",t_name,"?*"))</f>
        <v/>
      </c>
      <c r="C40" s="66">
        <f>IF($A40="","",COUNTIFS(t_cat,$A40,t_status,"✅ Выполнена"))</f>
        <v/>
      </c>
      <c r="D40" s="67">
        <f>IF(OR($A40="",N(B40)=0),"",C40/B40)</f>
        <v/>
      </c>
      <c r="E40" s="66">
        <f>IF($A40="","",COUNTIFS(t_cat,$A40,t_od,"&gt;0"))</f>
        <v/>
      </c>
      <c r="F40" s="66">
        <f>IF($A40="","",COUNTIFS(e_cat,$A40,e_name,"?*"))</f>
        <v/>
      </c>
      <c r="G40" s="69">
        <f>IF($A40="","",SUMIFS(e_dur,e_cat,$A40))</f>
        <v/>
      </c>
      <c r="H40" s="69">
        <f>IF($A40="","",SUMIFS(e_dur,e_cat,$A40,e_status,"✅ Сделано"))</f>
        <v/>
      </c>
    </row>
    <row r="41">
      <c r="A41" s="65">
        <f>IF('📚 Справочник'!C13="","",'📚 Справочник'!C13)</f>
        <v/>
      </c>
      <c r="B41" s="66">
        <f>IF($A41="","",COUNTIFS(t_cat,$A41,t_status,"&lt;&gt;❌ Отменена",t_name,"?*"))</f>
        <v/>
      </c>
      <c r="C41" s="66">
        <f>IF($A41="","",COUNTIFS(t_cat,$A41,t_status,"✅ Выполнена"))</f>
        <v/>
      </c>
      <c r="D41" s="67">
        <f>IF(OR($A41="",N(B41)=0),"",C41/B41)</f>
        <v/>
      </c>
      <c r="E41" s="66">
        <f>IF($A41="","",COUNTIFS(t_cat,$A41,t_od,"&gt;0"))</f>
        <v/>
      </c>
      <c r="F41" s="66">
        <f>IF($A41="","",COUNTIFS(e_cat,$A41,e_name,"?*"))</f>
        <v/>
      </c>
      <c r="G41" s="69">
        <f>IF($A41="","",SUMIFS(e_dur,e_cat,$A41))</f>
        <v/>
      </c>
      <c r="H41" s="69">
        <f>IF($A41="","",SUMIFS(e_dur,e_cat,$A41,e_status,"✅ Сделано"))</f>
        <v/>
      </c>
    </row>
    <row r="42">
      <c r="A42" s="65">
        <f>IF('📚 Справочник'!C14="","",'📚 Справочник'!C14)</f>
        <v/>
      </c>
      <c r="B42" s="66">
        <f>IF($A42="","",COUNTIFS(t_cat,$A42,t_status,"&lt;&gt;❌ Отменена",t_name,"?*"))</f>
        <v/>
      </c>
      <c r="C42" s="66">
        <f>IF($A42="","",COUNTIFS(t_cat,$A42,t_status,"✅ Выполнена"))</f>
        <v/>
      </c>
      <c r="D42" s="67">
        <f>IF(OR($A42="",N(B42)=0),"",C42/B42)</f>
        <v/>
      </c>
      <c r="E42" s="66">
        <f>IF($A42="","",COUNTIFS(t_cat,$A42,t_od,"&gt;0"))</f>
        <v/>
      </c>
      <c r="F42" s="66">
        <f>IF($A42="","",COUNTIFS(e_cat,$A42,e_name,"?*"))</f>
        <v/>
      </c>
      <c r="G42" s="69">
        <f>IF($A42="","",SUMIFS(e_dur,e_cat,$A42))</f>
        <v/>
      </c>
      <c r="H42" s="69">
        <f>IF($A42="","",SUMIFS(e_dur,e_cat,$A42,e_status,"✅ Сделано"))</f>
        <v/>
      </c>
    </row>
    <row r="43">
      <c r="A43" s="65">
        <f>IF('📚 Справочник'!C15="","",'📚 Справочник'!C15)</f>
        <v/>
      </c>
      <c r="B43" s="66">
        <f>IF($A43="","",COUNTIFS(t_cat,$A43,t_status,"&lt;&gt;❌ Отменена",t_name,"?*"))</f>
        <v/>
      </c>
      <c r="C43" s="66">
        <f>IF($A43="","",COUNTIFS(t_cat,$A43,t_status,"✅ Выполнена"))</f>
        <v/>
      </c>
      <c r="D43" s="67">
        <f>IF(OR($A43="",N(B43)=0),"",C43/B43)</f>
        <v/>
      </c>
      <c r="E43" s="66">
        <f>IF($A43="","",COUNTIFS(t_cat,$A43,t_od,"&gt;0"))</f>
        <v/>
      </c>
      <c r="F43" s="66">
        <f>IF($A43="","",COUNTIFS(e_cat,$A43,e_name,"?*"))</f>
        <v/>
      </c>
      <c r="G43" s="69">
        <f>IF($A43="","",SUMIFS(e_dur,e_cat,$A43))</f>
        <v/>
      </c>
      <c r="H43" s="69">
        <f>IF($A43="","",SUMIFS(e_dur,e_cat,$A43,e_status,"✅ Сделано"))</f>
        <v/>
      </c>
    </row>
    <row r="44">
      <c r="A44" s="65">
        <f>IF('📚 Справочник'!C16="","",'📚 Справочник'!C16)</f>
        <v/>
      </c>
      <c r="B44" s="66">
        <f>IF($A44="","",COUNTIFS(t_cat,$A44,t_status,"&lt;&gt;❌ Отменена",t_name,"?*"))</f>
        <v/>
      </c>
      <c r="C44" s="66">
        <f>IF($A44="","",COUNTIFS(t_cat,$A44,t_status,"✅ Выполнена"))</f>
        <v/>
      </c>
      <c r="D44" s="67">
        <f>IF(OR($A44="",N(B44)=0),"",C44/B44)</f>
        <v/>
      </c>
      <c r="E44" s="66">
        <f>IF($A44="","",COUNTIFS(t_cat,$A44,t_od,"&gt;0"))</f>
        <v/>
      </c>
      <c r="F44" s="66">
        <f>IF($A44="","",COUNTIFS(e_cat,$A44,e_name,"?*"))</f>
        <v/>
      </c>
      <c r="G44" s="69">
        <f>IF($A44="","",SUMIFS(e_dur,e_cat,$A44))</f>
        <v/>
      </c>
      <c r="H44" s="69">
        <f>IF($A44="","",SUMIFS(e_dur,e_cat,$A44,e_status,"✅ Сделано"))</f>
        <v/>
      </c>
    </row>
    <row r="45">
      <c r="A45" s="70" t="inlineStr">
        <is>
          <t>Σ Итого</t>
        </is>
      </c>
      <c r="B45" s="71">
        <f>SUM(B33:B44)</f>
        <v/>
      </c>
      <c r="C45" s="71">
        <f>SUM(C33:C44)</f>
        <v/>
      </c>
      <c r="D45" s="72">
        <f>IF(B45=0,"",C45/B45)</f>
        <v/>
      </c>
      <c r="E45" s="71">
        <f>SUM(E33:E44)</f>
        <v/>
      </c>
      <c r="F45" s="71">
        <f>SUM(F33:F44)</f>
        <v/>
      </c>
      <c r="G45" s="73">
        <f>SUM(G33:G44)</f>
        <v/>
      </c>
      <c r="H45" s="73">
        <f>SUM(H33:H44)</f>
        <v/>
      </c>
    </row>
    <row r="48">
      <c r="A48" s="76" t="inlineStr">
        <is>
          <t>🎯 По приоритетам</t>
        </is>
      </c>
    </row>
    <row r="49" ht="34" customHeight="1">
      <c r="A49" s="48" t="inlineStr"/>
      <c r="B49" s="48" t="inlineStr">
        <is>
          <t>Задач</t>
        </is>
      </c>
      <c r="C49" s="48" t="inlineStr">
        <is>
          <t>✅ Выполнено</t>
        </is>
      </c>
      <c r="D49" s="48" t="inlineStr">
        <is>
          <t>🎯 %</t>
        </is>
      </c>
      <c r="E49" s="48" t="inlineStr">
        <is>
          <t>❗ Просрочено</t>
        </is>
      </c>
      <c r="F49" s="48" t="inlineStr">
        <is>
          <t>🕘 Дел</t>
        </is>
      </c>
      <c r="G49" s="48" t="inlineStr">
        <is>
          <t>⏱ Часов
план</t>
        </is>
      </c>
      <c r="H49" s="48" t="inlineStr">
        <is>
          <t>⏱ Часов
сделано</t>
        </is>
      </c>
    </row>
    <row r="50">
      <c r="A50" s="65" t="inlineStr">
        <is>
          <t>🔥 Высокий</t>
        </is>
      </c>
      <c r="B50" s="66">
        <f>IF($A50="","",COUNTIFS(t_prio,$A50,t_status,"&lt;&gt;❌ Отменена",t_name,"?*"))</f>
        <v/>
      </c>
      <c r="C50" s="66">
        <f>IF($A50="","",COUNTIFS(t_prio,$A50,t_status,"✅ Выполнена"))</f>
        <v/>
      </c>
      <c r="D50" s="67">
        <f>IF(OR($A50="",N(B50)=0),"",C50/B50)</f>
        <v/>
      </c>
      <c r="E50" s="66">
        <f>IF($A50="","",COUNTIFS(t_prio,$A50,t_od,"&gt;0"))</f>
        <v/>
      </c>
      <c r="F50" s="66" t="n"/>
      <c r="G50" s="69" t="n"/>
      <c r="H50" s="69" t="n"/>
    </row>
    <row r="51">
      <c r="A51" s="65" t="inlineStr">
        <is>
          <t>⭐ Средний</t>
        </is>
      </c>
      <c r="B51" s="66">
        <f>IF($A51="","",COUNTIFS(t_prio,$A51,t_status,"&lt;&gt;❌ Отменена",t_name,"?*"))</f>
        <v/>
      </c>
      <c r="C51" s="66">
        <f>IF($A51="","",COUNTIFS(t_prio,$A51,t_status,"✅ Выполнена"))</f>
        <v/>
      </c>
      <c r="D51" s="67">
        <f>IF(OR($A51="",N(B51)=0),"",C51/B51)</f>
        <v/>
      </c>
      <c r="E51" s="66">
        <f>IF($A51="","",COUNTIFS(t_prio,$A51,t_od,"&gt;0"))</f>
        <v/>
      </c>
      <c r="F51" s="66" t="n"/>
      <c r="G51" s="69" t="n"/>
      <c r="H51" s="69" t="n"/>
    </row>
    <row r="52">
      <c r="A52" s="65" t="inlineStr">
        <is>
          <t>💤 Низкий</t>
        </is>
      </c>
      <c r="B52" s="66">
        <f>IF($A52="","",COUNTIFS(t_prio,$A52,t_status,"&lt;&gt;❌ Отменена",t_name,"?*"))</f>
        <v/>
      </c>
      <c r="C52" s="66">
        <f>IF($A52="","",COUNTIFS(t_prio,$A52,t_status,"✅ Выполнена"))</f>
        <v/>
      </c>
      <c r="D52" s="67">
        <f>IF(OR($A52="",N(B52)=0),"",C52/B52)</f>
        <v/>
      </c>
      <c r="E52" s="66">
        <f>IF($A52="","",COUNTIFS(t_prio,$A52,t_od,"&gt;0"))</f>
        <v/>
      </c>
      <c r="F52" s="66" t="n"/>
      <c r="G52" s="69" t="n"/>
      <c r="H52" s="69" t="n"/>
    </row>
    <row r="53">
      <c r="A53" s="70" t="inlineStr">
        <is>
          <t>Σ Итого</t>
        </is>
      </c>
      <c r="B53" s="71">
        <f>SUM(B50:B52)</f>
        <v/>
      </c>
      <c r="C53" s="71">
        <f>SUM(C50:C52)</f>
        <v/>
      </c>
      <c r="D53" s="72">
        <f>IF(B53=0,"",C53/B53)</f>
        <v/>
      </c>
      <c r="E53" s="71">
        <f>SUM(E50:E52)</f>
        <v/>
      </c>
      <c r="F53" s="71">
        <f>SUM(F50:F52)</f>
        <v/>
      </c>
      <c r="G53" s="73">
        <f>SUM(G50:G52)</f>
        <v/>
      </c>
      <c r="H53" s="73">
        <f>SUM(H50:H52)</f>
        <v/>
      </c>
    </row>
  </sheetData>
  <mergeCells count="2">
    <mergeCell ref="A1:I1"/>
    <mergeCell ref="A2:I2"/>
  </mergeCells>
  <conditionalFormatting sqref="C5:C8">
    <cfRule type="dataBar" priority="1">
      <dataBar>
        <cfvo type="num" val="0"/>
        <cfvo type="num" val="1"/>
        <color rgb="008338EC"/>
      </dataBar>
    </cfRule>
  </conditionalFormatting>
  <conditionalFormatting sqref="B10">
    <cfRule type="cellIs" priority="2" operator="greaterThan" dxfId="3">
      <formula>0</formula>
    </cfRule>
  </conditionalFormatting>
  <conditionalFormatting sqref="D16:D28">
    <cfRule type="dataBar" priority="3">
      <dataBar>
        <cfvo type="num" val="0"/>
        <cfvo type="num" val="1"/>
        <color rgb="002E9E5B"/>
      </dataBar>
    </cfRule>
  </conditionalFormatting>
  <conditionalFormatting sqref="E16:E28">
    <cfRule type="cellIs" priority="4" operator="greaterThan" dxfId="0">
      <formula>0</formula>
    </cfRule>
  </conditionalFormatting>
  <conditionalFormatting sqref="G16:G27">
    <cfRule type="dataBar" priority="5">
      <dataBar>
        <cfvo type="num" val="0"/>
        <cfvo type="max"/>
        <color rgb="00F4A261"/>
      </dataBar>
    </cfRule>
  </conditionalFormatting>
  <conditionalFormatting sqref="D33:D45">
    <cfRule type="dataBar" priority="6">
      <dataBar>
        <cfvo type="num" val="0"/>
        <cfvo type="num" val="1"/>
        <color rgb="002E9E5B"/>
      </dataBar>
    </cfRule>
  </conditionalFormatting>
  <conditionalFormatting sqref="E33:E45">
    <cfRule type="cellIs" priority="7" operator="greaterThan" dxfId="0">
      <formula>0</formula>
    </cfRule>
  </conditionalFormatting>
  <conditionalFormatting sqref="G33:G44">
    <cfRule type="dataBar" priority="8">
      <dataBar>
        <cfvo type="num" val="0"/>
        <cfvo type="max"/>
        <color rgb="00F4A261"/>
      </dataBar>
    </cfRule>
  </conditionalFormatting>
  <conditionalFormatting sqref="D50:D53">
    <cfRule type="dataBar" priority="9">
      <dataBar>
        <cfvo type="num" val="0"/>
        <cfvo type="num" val="1"/>
        <color rgb="002E9E5B"/>
      </dataBar>
    </cfRule>
  </conditionalFormatting>
  <conditionalFormatting sqref="E50:E53">
    <cfRule type="cellIs" priority="10" operator="greaterThan" dxfId="0">
      <formula>0</formula>
    </cfRule>
  </conditionalFormatting>
  <conditionalFormatting sqref="G50:G52">
    <cfRule type="dataBar" priority="11">
      <dataBar>
        <cfvo type="num" val="0"/>
        <cfvo type="max"/>
        <color rgb="00F4A26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9E5B"/>
    <outlinePr summaryBelow="1" summaryRight="1"/>
    <pageSetUpPr/>
  </sheetPr>
  <dimension ref="A1:L6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hidden="1" width="11" customWidth="1" min="3" max="3"/>
    <col hidden="1" width="9" customWidth="1" min="4" max="4"/>
    <col width="12" customWidth="1" min="5" max="5"/>
    <col width="12" customWidth="1" min="6" max="6"/>
    <col width="9" customWidth="1" min="7" max="7"/>
    <col width="12" customWidth="1" min="8" max="8"/>
    <col width="12" customWidth="1" min="9" max="9"/>
    <col width="9" customWidth="1" min="10" max="10"/>
    <col width="11" customWidth="1" min="11" max="11"/>
    <col width="11" customWidth="1" min="12" max="12"/>
  </cols>
  <sheetData>
    <row r="1" ht="36" customHeight="1">
      <c r="A1" s="77" t="inlineStr">
        <is>
          <t>🗓 По месяцам: январь 2026 → декабрь 2030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</row>
    <row r="2" ht="30" customHeight="1">
      <c r="A2" s="3" t="inlineStr">
        <is>
          <t>Задачи считаются по месяцу срока, «Закрыто» — по дате выполнения. Дела и часы — из «🕘 План дня». Текущий месяц подсвечен жёлтым.</t>
        </is>
      </c>
    </row>
    <row r="4" ht="34" customHeight="1">
      <c r="A4" s="75" t="inlineStr">
        <is>
          <t>📆 Год</t>
        </is>
      </c>
      <c r="B4" s="75" t="inlineStr">
        <is>
          <t>🗓 Месяц</t>
        </is>
      </c>
      <c r="C4" s="75" t="inlineStr">
        <is>
          <t>начало</t>
        </is>
      </c>
      <c r="D4" s="75" t="inlineStr">
        <is>
          <t>Подпись</t>
        </is>
      </c>
      <c r="E4" s="75" t="inlineStr">
        <is>
          <t>📌 Задач
со сроком</t>
        </is>
      </c>
      <c r="F4" s="75" t="inlineStr">
        <is>
          <t>✅ Выполнено</t>
        </is>
      </c>
      <c r="G4" s="75" t="inlineStr">
        <is>
          <t>🎯 %</t>
        </is>
      </c>
      <c r="H4" s="75" t="inlineStr">
        <is>
          <t>❗ Просрочено</t>
        </is>
      </c>
      <c r="I4" s="75" t="inlineStr">
        <is>
          <t>🏁 Закрыто
в месяце</t>
        </is>
      </c>
      <c r="J4" s="75" t="inlineStr">
        <is>
          <t>🕘 Дел</t>
        </is>
      </c>
      <c r="K4" s="75" t="inlineStr">
        <is>
          <t>⏱ Часов
план</t>
        </is>
      </c>
      <c r="L4" s="75" t="inlineStr">
        <is>
          <t>⏱ Часов
сделано</t>
        </is>
      </c>
    </row>
    <row r="5">
      <c r="A5" s="79" t="n">
        <v>2026</v>
      </c>
      <c r="B5" s="79" t="inlineStr">
        <is>
          <t>Январь</t>
        </is>
      </c>
      <c r="C5" s="80" t="n">
        <v>46023</v>
      </c>
      <c r="D5" s="79">
        <f>LEFT(B5,3)&amp;" "&amp;RIGHT(A5,2)</f>
        <v/>
      </c>
      <c r="E5" s="66">
        <f>COUNTIFS(t_date,"&gt;="&amp;C5,t_date,"&lt;"&amp;EDATE(C5,1),t_name,"?*",t_status,"&lt;&gt;❌ Отменена")</f>
        <v/>
      </c>
      <c r="F5" s="66">
        <f>COUNTIFS(t_date,"&gt;="&amp;C5,t_date,"&lt;"&amp;EDATE(C5,1),t_status,"✅ Выполнена")</f>
        <v/>
      </c>
      <c r="G5" s="67">
        <f>IF(E5=0,"",F5/E5)</f>
        <v/>
      </c>
      <c r="H5" s="66">
        <f>COUNTIFS(t_date,"&gt;="&amp;C5,t_date,"&lt;"&amp;EDATE(C5,1),t_od,"&gt;0")</f>
        <v/>
      </c>
      <c r="I5" s="66">
        <f>COUNTIFS(t_done,"&gt;="&amp;C5,t_done,"&lt;"&amp;EDATE(C5,1))</f>
        <v/>
      </c>
      <c r="J5" s="66">
        <f>COUNTIFS(e_date,"&gt;="&amp;C5,e_date,"&lt;"&amp;EDATE(C5,1),e_name,"?*")</f>
        <v/>
      </c>
      <c r="K5" s="69">
        <f>SUMIFS(e_dur,e_date,"&gt;="&amp;C5,e_date,"&lt;"&amp;EDATE(C5,1))</f>
        <v/>
      </c>
      <c r="L5" s="69">
        <f>SUMIFS(e_dur,e_date,"&gt;="&amp;C5,e_date,"&lt;"&amp;EDATE(C5,1),e_status,"✅ Сделано")</f>
        <v/>
      </c>
    </row>
    <row r="6">
      <c r="A6" s="79" t="n">
        <v>2026</v>
      </c>
      <c r="B6" s="79" t="inlineStr">
        <is>
          <t>Февраль</t>
        </is>
      </c>
      <c r="C6" s="80" t="n">
        <v>46054</v>
      </c>
      <c r="D6" s="79">
        <f>LEFT(B6,3)&amp;" "&amp;RIGHT(A6,2)</f>
        <v/>
      </c>
      <c r="E6" s="66">
        <f>COUNTIFS(t_date,"&gt;="&amp;C6,t_date,"&lt;"&amp;EDATE(C6,1),t_name,"?*",t_status,"&lt;&gt;❌ Отменена")</f>
        <v/>
      </c>
      <c r="F6" s="66">
        <f>COUNTIFS(t_date,"&gt;="&amp;C6,t_date,"&lt;"&amp;EDATE(C6,1),t_status,"✅ Выполнена")</f>
        <v/>
      </c>
      <c r="G6" s="67">
        <f>IF(E6=0,"",F6/E6)</f>
        <v/>
      </c>
      <c r="H6" s="66">
        <f>COUNTIFS(t_date,"&gt;="&amp;C6,t_date,"&lt;"&amp;EDATE(C6,1),t_od,"&gt;0")</f>
        <v/>
      </c>
      <c r="I6" s="66">
        <f>COUNTIFS(t_done,"&gt;="&amp;C6,t_done,"&lt;"&amp;EDATE(C6,1))</f>
        <v/>
      </c>
      <c r="J6" s="66">
        <f>COUNTIFS(e_date,"&gt;="&amp;C6,e_date,"&lt;"&amp;EDATE(C6,1),e_name,"?*")</f>
        <v/>
      </c>
      <c r="K6" s="69">
        <f>SUMIFS(e_dur,e_date,"&gt;="&amp;C6,e_date,"&lt;"&amp;EDATE(C6,1))</f>
        <v/>
      </c>
      <c r="L6" s="69">
        <f>SUMIFS(e_dur,e_date,"&gt;="&amp;C6,e_date,"&lt;"&amp;EDATE(C6,1),e_status,"✅ Сделано")</f>
        <v/>
      </c>
    </row>
    <row r="7">
      <c r="A7" s="79" t="n">
        <v>2026</v>
      </c>
      <c r="B7" s="79" t="inlineStr">
        <is>
          <t>Март</t>
        </is>
      </c>
      <c r="C7" s="80" t="n">
        <v>46082</v>
      </c>
      <c r="D7" s="79">
        <f>LEFT(B7,3)&amp;" "&amp;RIGHT(A7,2)</f>
        <v/>
      </c>
      <c r="E7" s="66">
        <f>COUNTIFS(t_date,"&gt;="&amp;C7,t_date,"&lt;"&amp;EDATE(C7,1),t_name,"?*",t_status,"&lt;&gt;❌ Отменена")</f>
        <v/>
      </c>
      <c r="F7" s="66">
        <f>COUNTIFS(t_date,"&gt;="&amp;C7,t_date,"&lt;"&amp;EDATE(C7,1),t_status,"✅ Выполнена")</f>
        <v/>
      </c>
      <c r="G7" s="67">
        <f>IF(E7=0,"",F7/E7)</f>
        <v/>
      </c>
      <c r="H7" s="66">
        <f>COUNTIFS(t_date,"&gt;="&amp;C7,t_date,"&lt;"&amp;EDATE(C7,1),t_od,"&gt;0")</f>
        <v/>
      </c>
      <c r="I7" s="66">
        <f>COUNTIFS(t_done,"&gt;="&amp;C7,t_done,"&lt;"&amp;EDATE(C7,1))</f>
        <v/>
      </c>
      <c r="J7" s="66">
        <f>COUNTIFS(e_date,"&gt;="&amp;C7,e_date,"&lt;"&amp;EDATE(C7,1),e_name,"?*")</f>
        <v/>
      </c>
      <c r="K7" s="69">
        <f>SUMIFS(e_dur,e_date,"&gt;="&amp;C7,e_date,"&lt;"&amp;EDATE(C7,1))</f>
        <v/>
      </c>
      <c r="L7" s="69">
        <f>SUMIFS(e_dur,e_date,"&gt;="&amp;C7,e_date,"&lt;"&amp;EDATE(C7,1),e_status,"✅ Сделано")</f>
        <v/>
      </c>
    </row>
    <row r="8">
      <c r="A8" s="79" t="n">
        <v>2026</v>
      </c>
      <c r="B8" s="79" t="inlineStr">
        <is>
          <t>Апрель</t>
        </is>
      </c>
      <c r="C8" s="80" t="n">
        <v>46113</v>
      </c>
      <c r="D8" s="79">
        <f>LEFT(B8,3)&amp;" "&amp;RIGHT(A8,2)</f>
        <v/>
      </c>
      <c r="E8" s="66">
        <f>COUNTIFS(t_date,"&gt;="&amp;C8,t_date,"&lt;"&amp;EDATE(C8,1),t_name,"?*",t_status,"&lt;&gt;❌ Отменена")</f>
        <v/>
      </c>
      <c r="F8" s="66">
        <f>COUNTIFS(t_date,"&gt;="&amp;C8,t_date,"&lt;"&amp;EDATE(C8,1),t_status,"✅ Выполнена")</f>
        <v/>
      </c>
      <c r="G8" s="67">
        <f>IF(E8=0,"",F8/E8)</f>
        <v/>
      </c>
      <c r="H8" s="66">
        <f>COUNTIFS(t_date,"&gt;="&amp;C8,t_date,"&lt;"&amp;EDATE(C8,1),t_od,"&gt;0")</f>
        <v/>
      </c>
      <c r="I8" s="66">
        <f>COUNTIFS(t_done,"&gt;="&amp;C8,t_done,"&lt;"&amp;EDATE(C8,1))</f>
        <v/>
      </c>
      <c r="J8" s="66">
        <f>COUNTIFS(e_date,"&gt;="&amp;C8,e_date,"&lt;"&amp;EDATE(C8,1),e_name,"?*")</f>
        <v/>
      </c>
      <c r="K8" s="69">
        <f>SUMIFS(e_dur,e_date,"&gt;="&amp;C8,e_date,"&lt;"&amp;EDATE(C8,1))</f>
        <v/>
      </c>
      <c r="L8" s="69">
        <f>SUMIFS(e_dur,e_date,"&gt;="&amp;C8,e_date,"&lt;"&amp;EDATE(C8,1),e_status,"✅ Сделано")</f>
        <v/>
      </c>
    </row>
    <row r="9">
      <c r="A9" s="79" t="n">
        <v>2026</v>
      </c>
      <c r="B9" s="79" t="inlineStr">
        <is>
          <t>Май</t>
        </is>
      </c>
      <c r="C9" s="80" t="n">
        <v>46143</v>
      </c>
      <c r="D9" s="79">
        <f>LEFT(B9,3)&amp;" "&amp;RIGHT(A9,2)</f>
        <v/>
      </c>
      <c r="E9" s="66">
        <f>COUNTIFS(t_date,"&gt;="&amp;C9,t_date,"&lt;"&amp;EDATE(C9,1),t_name,"?*",t_status,"&lt;&gt;❌ Отменена")</f>
        <v/>
      </c>
      <c r="F9" s="66">
        <f>COUNTIFS(t_date,"&gt;="&amp;C9,t_date,"&lt;"&amp;EDATE(C9,1),t_status,"✅ Выполнена")</f>
        <v/>
      </c>
      <c r="G9" s="67">
        <f>IF(E9=0,"",F9/E9)</f>
        <v/>
      </c>
      <c r="H9" s="66">
        <f>COUNTIFS(t_date,"&gt;="&amp;C9,t_date,"&lt;"&amp;EDATE(C9,1),t_od,"&gt;0")</f>
        <v/>
      </c>
      <c r="I9" s="66">
        <f>COUNTIFS(t_done,"&gt;="&amp;C9,t_done,"&lt;"&amp;EDATE(C9,1))</f>
        <v/>
      </c>
      <c r="J9" s="66">
        <f>COUNTIFS(e_date,"&gt;="&amp;C9,e_date,"&lt;"&amp;EDATE(C9,1),e_name,"?*")</f>
        <v/>
      </c>
      <c r="K9" s="69">
        <f>SUMIFS(e_dur,e_date,"&gt;="&amp;C9,e_date,"&lt;"&amp;EDATE(C9,1))</f>
        <v/>
      </c>
      <c r="L9" s="69">
        <f>SUMIFS(e_dur,e_date,"&gt;="&amp;C9,e_date,"&lt;"&amp;EDATE(C9,1),e_status,"✅ Сделано")</f>
        <v/>
      </c>
    </row>
    <row r="10">
      <c r="A10" s="79" t="n">
        <v>2026</v>
      </c>
      <c r="B10" s="79" t="inlineStr">
        <is>
          <t>Июнь</t>
        </is>
      </c>
      <c r="C10" s="80" t="n">
        <v>46174</v>
      </c>
      <c r="D10" s="79">
        <f>LEFT(B10,3)&amp;" "&amp;RIGHT(A10,2)</f>
        <v/>
      </c>
      <c r="E10" s="66">
        <f>COUNTIFS(t_date,"&gt;="&amp;C10,t_date,"&lt;"&amp;EDATE(C10,1),t_name,"?*",t_status,"&lt;&gt;❌ Отменена")</f>
        <v/>
      </c>
      <c r="F10" s="66">
        <f>COUNTIFS(t_date,"&gt;="&amp;C10,t_date,"&lt;"&amp;EDATE(C10,1),t_status,"✅ Выполнена")</f>
        <v/>
      </c>
      <c r="G10" s="67">
        <f>IF(E10=0,"",F10/E10)</f>
        <v/>
      </c>
      <c r="H10" s="66">
        <f>COUNTIFS(t_date,"&gt;="&amp;C10,t_date,"&lt;"&amp;EDATE(C10,1),t_od,"&gt;0")</f>
        <v/>
      </c>
      <c r="I10" s="66">
        <f>COUNTIFS(t_done,"&gt;="&amp;C10,t_done,"&lt;"&amp;EDATE(C10,1))</f>
        <v/>
      </c>
      <c r="J10" s="66">
        <f>COUNTIFS(e_date,"&gt;="&amp;C10,e_date,"&lt;"&amp;EDATE(C10,1),e_name,"?*")</f>
        <v/>
      </c>
      <c r="K10" s="69">
        <f>SUMIFS(e_dur,e_date,"&gt;="&amp;C10,e_date,"&lt;"&amp;EDATE(C10,1))</f>
        <v/>
      </c>
      <c r="L10" s="69">
        <f>SUMIFS(e_dur,e_date,"&gt;="&amp;C10,e_date,"&lt;"&amp;EDATE(C10,1),e_status,"✅ Сделано")</f>
        <v/>
      </c>
    </row>
    <row r="11">
      <c r="A11" s="79" t="n">
        <v>2026</v>
      </c>
      <c r="B11" s="79" t="inlineStr">
        <is>
          <t>Июль</t>
        </is>
      </c>
      <c r="C11" s="80" t="n">
        <v>46204</v>
      </c>
      <c r="D11" s="79">
        <f>LEFT(B11,3)&amp;" "&amp;RIGHT(A11,2)</f>
        <v/>
      </c>
      <c r="E11" s="66">
        <f>COUNTIFS(t_date,"&gt;="&amp;C11,t_date,"&lt;"&amp;EDATE(C11,1),t_name,"?*",t_status,"&lt;&gt;❌ Отменена")</f>
        <v/>
      </c>
      <c r="F11" s="66">
        <f>COUNTIFS(t_date,"&gt;="&amp;C11,t_date,"&lt;"&amp;EDATE(C11,1),t_status,"✅ Выполнена")</f>
        <v/>
      </c>
      <c r="G11" s="67">
        <f>IF(E11=0,"",F11/E11)</f>
        <v/>
      </c>
      <c r="H11" s="66">
        <f>COUNTIFS(t_date,"&gt;="&amp;C11,t_date,"&lt;"&amp;EDATE(C11,1),t_od,"&gt;0")</f>
        <v/>
      </c>
      <c r="I11" s="66">
        <f>COUNTIFS(t_done,"&gt;="&amp;C11,t_done,"&lt;"&amp;EDATE(C11,1))</f>
        <v/>
      </c>
      <c r="J11" s="66">
        <f>COUNTIFS(e_date,"&gt;="&amp;C11,e_date,"&lt;"&amp;EDATE(C11,1),e_name,"?*")</f>
        <v/>
      </c>
      <c r="K11" s="69">
        <f>SUMIFS(e_dur,e_date,"&gt;="&amp;C11,e_date,"&lt;"&amp;EDATE(C11,1))</f>
        <v/>
      </c>
      <c r="L11" s="69">
        <f>SUMIFS(e_dur,e_date,"&gt;="&amp;C11,e_date,"&lt;"&amp;EDATE(C11,1),e_status,"✅ Сделано")</f>
        <v/>
      </c>
    </row>
    <row r="12">
      <c r="A12" s="79" t="n">
        <v>2026</v>
      </c>
      <c r="B12" s="79" t="inlineStr">
        <is>
          <t>Август</t>
        </is>
      </c>
      <c r="C12" s="80" t="n">
        <v>46235</v>
      </c>
      <c r="D12" s="79">
        <f>LEFT(B12,3)&amp;" "&amp;RIGHT(A12,2)</f>
        <v/>
      </c>
      <c r="E12" s="66">
        <f>COUNTIFS(t_date,"&gt;="&amp;C12,t_date,"&lt;"&amp;EDATE(C12,1),t_name,"?*",t_status,"&lt;&gt;❌ Отменена")</f>
        <v/>
      </c>
      <c r="F12" s="66">
        <f>COUNTIFS(t_date,"&gt;="&amp;C12,t_date,"&lt;"&amp;EDATE(C12,1),t_status,"✅ Выполнена")</f>
        <v/>
      </c>
      <c r="G12" s="67">
        <f>IF(E12=0,"",F12/E12)</f>
        <v/>
      </c>
      <c r="H12" s="66">
        <f>COUNTIFS(t_date,"&gt;="&amp;C12,t_date,"&lt;"&amp;EDATE(C12,1),t_od,"&gt;0")</f>
        <v/>
      </c>
      <c r="I12" s="66">
        <f>COUNTIFS(t_done,"&gt;="&amp;C12,t_done,"&lt;"&amp;EDATE(C12,1))</f>
        <v/>
      </c>
      <c r="J12" s="66">
        <f>COUNTIFS(e_date,"&gt;="&amp;C12,e_date,"&lt;"&amp;EDATE(C12,1),e_name,"?*")</f>
        <v/>
      </c>
      <c r="K12" s="69">
        <f>SUMIFS(e_dur,e_date,"&gt;="&amp;C12,e_date,"&lt;"&amp;EDATE(C12,1))</f>
        <v/>
      </c>
      <c r="L12" s="69">
        <f>SUMIFS(e_dur,e_date,"&gt;="&amp;C12,e_date,"&lt;"&amp;EDATE(C12,1),e_status,"✅ Сделано")</f>
        <v/>
      </c>
    </row>
    <row r="13">
      <c r="A13" s="79" t="n">
        <v>2026</v>
      </c>
      <c r="B13" s="79" t="inlineStr">
        <is>
          <t>Сентябрь</t>
        </is>
      </c>
      <c r="C13" s="80" t="n">
        <v>46266</v>
      </c>
      <c r="D13" s="79">
        <f>LEFT(B13,3)&amp;" "&amp;RIGHT(A13,2)</f>
        <v/>
      </c>
      <c r="E13" s="66">
        <f>COUNTIFS(t_date,"&gt;="&amp;C13,t_date,"&lt;"&amp;EDATE(C13,1),t_name,"?*",t_status,"&lt;&gt;❌ Отменена")</f>
        <v/>
      </c>
      <c r="F13" s="66">
        <f>COUNTIFS(t_date,"&gt;="&amp;C13,t_date,"&lt;"&amp;EDATE(C13,1),t_status,"✅ Выполнена")</f>
        <v/>
      </c>
      <c r="G13" s="67">
        <f>IF(E13=0,"",F13/E13)</f>
        <v/>
      </c>
      <c r="H13" s="66">
        <f>COUNTIFS(t_date,"&gt;="&amp;C13,t_date,"&lt;"&amp;EDATE(C13,1),t_od,"&gt;0")</f>
        <v/>
      </c>
      <c r="I13" s="66">
        <f>COUNTIFS(t_done,"&gt;="&amp;C13,t_done,"&lt;"&amp;EDATE(C13,1))</f>
        <v/>
      </c>
      <c r="J13" s="66">
        <f>COUNTIFS(e_date,"&gt;="&amp;C13,e_date,"&lt;"&amp;EDATE(C13,1),e_name,"?*")</f>
        <v/>
      </c>
      <c r="K13" s="69">
        <f>SUMIFS(e_dur,e_date,"&gt;="&amp;C13,e_date,"&lt;"&amp;EDATE(C13,1))</f>
        <v/>
      </c>
      <c r="L13" s="69">
        <f>SUMIFS(e_dur,e_date,"&gt;="&amp;C13,e_date,"&lt;"&amp;EDATE(C13,1),e_status,"✅ Сделано")</f>
        <v/>
      </c>
    </row>
    <row r="14">
      <c r="A14" s="79" t="n">
        <v>2026</v>
      </c>
      <c r="B14" s="79" t="inlineStr">
        <is>
          <t>Октябрь</t>
        </is>
      </c>
      <c r="C14" s="80" t="n">
        <v>46296</v>
      </c>
      <c r="D14" s="79">
        <f>LEFT(B14,3)&amp;" "&amp;RIGHT(A14,2)</f>
        <v/>
      </c>
      <c r="E14" s="66">
        <f>COUNTIFS(t_date,"&gt;="&amp;C14,t_date,"&lt;"&amp;EDATE(C14,1),t_name,"?*",t_status,"&lt;&gt;❌ Отменена")</f>
        <v/>
      </c>
      <c r="F14" s="66">
        <f>COUNTIFS(t_date,"&gt;="&amp;C14,t_date,"&lt;"&amp;EDATE(C14,1),t_status,"✅ Выполнена")</f>
        <v/>
      </c>
      <c r="G14" s="67">
        <f>IF(E14=0,"",F14/E14)</f>
        <v/>
      </c>
      <c r="H14" s="66">
        <f>COUNTIFS(t_date,"&gt;="&amp;C14,t_date,"&lt;"&amp;EDATE(C14,1),t_od,"&gt;0")</f>
        <v/>
      </c>
      <c r="I14" s="66">
        <f>COUNTIFS(t_done,"&gt;="&amp;C14,t_done,"&lt;"&amp;EDATE(C14,1))</f>
        <v/>
      </c>
      <c r="J14" s="66">
        <f>COUNTIFS(e_date,"&gt;="&amp;C14,e_date,"&lt;"&amp;EDATE(C14,1),e_name,"?*")</f>
        <v/>
      </c>
      <c r="K14" s="69">
        <f>SUMIFS(e_dur,e_date,"&gt;="&amp;C14,e_date,"&lt;"&amp;EDATE(C14,1))</f>
        <v/>
      </c>
      <c r="L14" s="69">
        <f>SUMIFS(e_dur,e_date,"&gt;="&amp;C14,e_date,"&lt;"&amp;EDATE(C14,1),e_status,"✅ Сделано")</f>
        <v/>
      </c>
    </row>
    <row r="15">
      <c r="A15" s="79" t="n">
        <v>2026</v>
      </c>
      <c r="B15" s="79" t="inlineStr">
        <is>
          <t>Ноябрь</t>
        </is>
      </c>
      <c r="C15" s="80" t="n">
        <v>46327</v>
      </c>
      <c r="D15" s="79">
        <f>LEFT(B15,3)&amp;" "&amp;RIGHT(A15,2)</f>
        <v/>
      </c>
      <c r="E15" s="66">
        <f>COUNTIFS(t_date,"&gt;="&amp;C15,t_date,"&lt;"&amp;EDATE(C15,1),t_name,"?*",t_status,"&lt;&gt;❌ Отменена")</f>
        <v/>
      </c>
      <c r="F15" s="66">
        <f>COUNTIFS(t_date,"&gt;="&amp;C15,t_date,"&lt;"&amp;EDATE(C15,1),t_status,"✅ Выполнена")</f>
        <v/>
      </c>
      <c r="G15" s="67">
        <f>IF(E15=0,"",F15/E15)</f>
        <v/>
      </c>
      <c r="H15" s="66">
        <f>COUNTIFS(t_date,"&gt;="&amp;C15,t_date,"&lt;"&amp;EDATE(C15,1),t_od,"&gt;0")</f>
        <v/>
      </c>
      <c r="I15" s="66">
        <f>COUNTIFS(t_done,"&gt;="&amp;C15,t_done,"&lt;"&amp;EDATE(C15,1))</f>
        <v/>
      </c>
      <c r="J15" s="66">
        <f>COUNTIFS(e_date,"&gt;="&amp;C15,e_date,"&lt;"&amp;EDATE(C15,1),e_name,"?*")</f>
        <v/>
      </c>
      <c r="K15" s="69">
        <f>SUMIFS(e_dur,e_date,"&gt;="&amp;C15,e_date,"&lt;"&amp;EDATE(C15,1))</f>
        <v/>
      </c>
      <c r="L15" s="69">
        <f>SUMIFS(e_dur,e_date,"&gt;="&amp;C15,e_date,"&lt;"&amp;EDATE(C15,1),e_status,"✅ Сделано")</f>
        <v/>
      </c>
    </row>
    <row r="16">
      <c r="A16" s="79" t="n">
        <v>2026</v>
      </c>
      <c r="B16" s="79" t="inlineStr">
        <is>
          <t>Декабрь</t>
        </is>
      </c>
      <c r="C16" s="80" t="n">
        <v>46357</v>
      </c>
      <c r="D16" s="79">
        <f>LEFT(B16,3)&amp;" "&amp;RIGHT(A16,2)</f>
        <v/>
      </c>
      <c r="E16" s="66">
        <f>COUNTIFS(t_date,"&gt;="&amp;C16,t_date,"&lt;"&amp;EDATE(C16,1),t_name,"?*",t_status,"&lt;&gt;❌ Отменена")</f>
        <v/>
      </c>
      <c r="F16" s="66">
        <f>COUNTIFS(t_date,"&gt;="&amp;C16,t_date,"&lt;"&amp;EDATE(C16,1),t_status,"✅ Выполнена")</f>
        <v/>
      </c>
      <c r="G16" s="67">
        <f>IF(E16=0,"",F16/E16)</f>
        <v/>
      </c>
      <c r="H16" s="66">
        <f>COUNTIFS(t_date,"&gt;="&amp;C16,t_date,"&lt;"&amp;EDATE(C16,1),t_od,"&gt;0")</f>
        <v/>
      </c>
      <c r="I16" s="66">
        <f>COUNTIFS(t_done,"&gt;="&amp;C16,t_done,"&lt;"&amp;EDATE(C16,1))</f>
        <v/>
      </c>
      <c r="J16" s="66">
        <f>COUNTIFS(e_date,"&gt;="&amp;C16,e_date,"&lt;"&amp;EDATE(C16,1),e_name,"?*")</f>
        <v/>
      </c>
      <c r="K16" s="69">
        <f>SUMIFS(e_dur,e_date,"&gt;="&amp;C16,e_date,"&lt;"&amp;EDATE(C16,1))</f>
        <v/>
      </c>
      <c r="L16" s="69">
        <f>SUMIFS(e_dur,e_date,"&gt;="&amp;C16,e_date,"&lt;"&amp;EDATE(C16,1),e_status,"✅ Сделано")</f>
        <v/>
      </c>
    </row>
    <row r="17">
      <c r="A17" s="81" t="n">
        <v>2027</v>
      </c>
      <c r="B17" s="81" t="inlineStr">
        <is>
          <t>Январь</t>
        </is>
      </c>
      <c r="C17" s="82" t="n">
        <v>46388</v>
      </c>
      <c r="D17" s="81">
        <f>LEFT(B17,3)&amp;" "&amp;RIGHT(A17,2)</f>
        <v/>
      </c>
      <c r="E17" s="83">
        <f>COUNTIFS(t_date,"&gt;="&amp;C17,t_date,"&lt;"&amp;EDATE(C17,1),t_name,"?*",t_status,"&lt;&gt;❌ Отменена")</f>
        <v/>
      </c>
      <c r="F17" s="83">
        <f>COUNTIFS(t_date,"&gt;="&amp;C17,t_date,"&lt;"&amp;EDATE(C17,1),t_status,"✅ Выполнена")</f>
        <v/>
      </c>
      <c r="G17" s="84">
        <f>IF(E17=0,"",F17/E17)</f>
        <v/>
      </c>
      <c r="H17" s="83">
        <f>COUNTIFS(t_date,"&gt;="&amp;C17,t_date,"&lt;"&amp;EDATE(C17,1),t_od,"&gt;0")</f>
        <v/>
      </c>
      <c r="I17" s="83">
        <f>COUNTIFS(t_done,"&gt;="&amp;C17,t_done,"&lt;"&amp;EDATE(C17,1))</f>
        <v/>
      </c>
      <c r="J17" s="83">
        <f>COUNTIFS(e_date,"&gt;="&amp;C17,e_date,"&lt;"&amp;EDATE(C17,1),e_name,"?*")</f>
        <v/>
      </c>
      <c r="K17" s="85">
        <f>SUMIFS(e_dur,e_date,"&gt;="&amp;C17,e_date,"&lt;"&amp;EDATE(C17,1))</f>
        <v/>
      </c>
      <c r="L17" s="85">
        <f>SUMIFS(e_dur,e_date,"&gt;="&amp;C17,e_date,"&lt;"&amp;EDATE(C17,1),e_status,"✅ Сделано")</f>
        <v/>
      </c>
    </row>
    <row r="18">
      <c r="A18" s="79" t="n">
        <v>2027</v>
      </c>
      <c r="B18" s="79" t="inlineStr">
        <is>
          <t>Февраль</t>
        </is>
      </c>
      <c r="C18" s="80" t="n">
        <v>46419</v>
      </c>
      <c r="D18" s="79">
        <f>LEFT(B18,3)&amp;" "&amp;RIGHT(A18,2)</f>
        <v/>
      </c>
      <c r="E18" s="66">
        <f>COUNTIFS(t_date,"&gt;="&amp;C18,t_date,"&lt;"&amp;EDATE(C18,1),t_name,"?*",t_status,"&lt;&gt;❌ Отменена")</f>
        <v/>
      </c>
      <c r="F18" s="66">
        <f>COUNTIFS(t_date,"&gt;="&amp;C18,t_date,"&lt;"&amp;EDATE(C18,1),t_status,"✅ Выполнена")</f>
        <v/>
      </c>
      <c r="G18" s="67">
        <f>IF(E18=0,"",F18/E18)</f>
        <v/>
      </c>
      <c r="H18" s="66">
        <f>COUNTIFS(t_date,"&gt;="&amp;C18,t_date,"&lt;"&amp;EDATE(C18,1),t_od,"&gt;0")</f>
        <v/>
      </c>
      <c r="I18" s="66">
        <f>COUNTIFS(t_done,"&gt;="&amp;C18,t_done,"&lt;"&amp;EDATE(C18,1))</f>
        <v/>
      </c>
      <c r="J18" s="66">
        <f>COUNTIFS(e_date,"&gt;="&amp;C18,e_date,"&lt;"&amp;EDATE(C18,1),e_name,"?*")</f>
        <v/>
      </c>
      <c r="K18" s="69">
        <f>SUMIFS(e_dur,e_date,"&gt;="&amp;C18,e_date,"&lt;"&amp;EDATE(C18,1))</f>
        <v/>
      </c>
      <c r="L18" s="69">
        <f>SUMIFS(e_dur,e_date,"&gt;="&amp;C18,e_date,"&lt;"&amp;EDATE(C18,1),e_status,"✅ Сделано")</f>
        <v/>
      </c>
    </row>
    <row r="19">
      <c r="A19" s="79" t="n">
        <v>2027</v>
      </c>
      <c r="B19" s="79" t="inlineStr">
        <is>
          <t>Март</t>
        </is>
      </c>
      <c r="C19" s="80" t="n">
        <v>46447</v>
      </c>
      <c r="D19" s="79">
        <f>LEFT(B19,3)&amp;" "&amp;RIGHT(A19,2)</f>
        <v/>
      </c>
      <c r="E19" s="66">
        <f>COUNTIFS(t_date,"&gt;="&amp;C19,t_date,"&lt;"&amp;EDATE(C19,1),t_name,"?*",t_status,"&lt;&gt;❌ Отменена")</f>
        <v/>
      </c>
      <c r="F19" s="66">
        <f>COUNTIFS(t_date,"&gt;="&amp;C19,t_date,"&lt;"&amp;EDATE(C19,1),t_status,"✅ Выполнена")</f>
        <v/>
      </c>
      <c r="G19" s="67">
        <f>IF(E19=0,"",F19/E19)</f>
        <v/>
      </c>
      <c r="H19" s="66">
        <f>COUNTIFS(t_date,"&gt;="&amp;C19,t_date,"&lt;"&amp;EDATE(C19,1),t_od,"&gt;0")</f>
        <v/>
      </c>
      <c r="I19" s="66">
        <f>COUNTIFS(t_done,"&gt;="&amp;C19,t_done,"&lt;"&amp;EDATE(C19,1))</f>
        <v/>
      </c>
      <c r="J19" s="66">
        <f>COUNTIFS(e_date,"&gt;="&amp;C19,e_date,"&lt;"&amp;EDATE(C19,1),e_name,"?*")</f>
        <v/>
      </c>
      <c r="K19" s="69">
        <f>SUMIFS(e_dur,e_date,"&gt;="&amp;C19,e_date,"&lt;"&amp;EDATE(C19,1))</f>
        <v/>
      </c>
      <c r="L19" s="69">
        <f>SUMIFS(e_dur,e_date,"&gt;="&amp;C19,e_date,"&lt;"&amp;EDATE(C19,1),e_status,"✅ Сделано")</f>
        <v/>
      </c>
    </row>
    <row r="20">
      <c r="A20" s="79" t="n">
        <v>2027</v>
      </c>
      <c r="B20" s="79" t="inlineStr">
        <is>
          <t>Апрель</t>
        </is>
      </c>
      <c r="C20" s="80" t="n">
        <v>46478</v>
      </c>
      <c r="D20" s="79">
        <f>LEFT(B20,3)&amp;" "&amp;RIGHT(A20,2)</f>
        <v/>
      </c>
      <c r="E20" s="66">
        <f>COUNTIFS(t_date,"&gt;="&amp;C20,t_date,"&lt;"&amp;EDATE(C20,1),t_name,"?*",t_status,"&lt;&gt;❌ Отменена")</f>
        <v/>
      </c>
      <c r="F20" s="66">
        <f>COUNTIFS(t_date,"&gt;="&amp;C20,t_date,"&lt;"&amp;EDATE(C20,1),t_status,"✅ Выполнена")</f>
        <v/>
      </c>
      <c r="G20" s="67">
        <f>IF(E20=0,"",F20/E20)</f>
        <v/>
      </c>
      <c r="H20" s="66">
        <f>COUNTIFS(t_date,"&gt;="&amp;C20,t_date,"&lt;"&amp;EDATE(C20,1),t_od,"&gt;0")</f>
        <v/>
      </c>
      <c r="I20" s="66">
        <f>COUNTIFS(t_done,"&gt;="&amp;C20,t_done,"&lt;"&amp;EDATE(C20,1))</f>
        <v/>
      </c>
      <c r="J20" s="66">
        <f>COUNTIFS(e_date,"&gt;="&amp;C20,e_date,"&lt;"&amp;EDATE(C20,1),e_name,"?*")</f>
        <v/>
      </c>
      <c r="K20" s="69">
        <f>SUMIFS(e_dur,e_date,"&gt;="&amp;C20,e_date,"&lt;"&amp;EDATE(C20,1))</f>
        <v/>
      </c>
      <c r="L20" s="69">
        <f>SUMIFS(e_dur,e_date,"&gt;="&amp;C20,e_date,"&lt;"&amp;EDATE(C20,1),e_status,"✅ Сделано")</f>
        <v/>
      </c>
    </row>
    <row r="21">
      <c r="A21" s="79" t="n">
        <v>2027</v>
      </c>
      <c r="B21" s="79" t="inlineStr">
        <is>
          <t>Май</t>
        </is>
      </c>
      <c r="C21" s="80" t="n">
        <v>46508</v>
      </c>
      <c r="D21" s="79">
        <f>LEFT(B21,3)&amp;" "&amp;RIGHT(A21,2)</f>
        <v/>
      </c>
      <c r="E21" s="66">
        <f>COUNTIFS(t_date,"&gt;="&amp;C21,t_date,"&lt;"&amp;EDATE(C21,1),t_name,"?*",t_status,"&lt;&gt;❌ Отменена")</f>
        <v/>
      </c>
      <c r="F21" s="66">
        <f>COUNTIFS(t_date,"&gt;="&amp;C21,t_date,"&lt;"&amp;EDATE(C21,1),t_status,"✅ Выполнена")</f>
        <v/>
      </c>
      <c r="G21" s="67">
        <f>IF(E21=0,"",F21/E21)</f>
        <v/>
      </c>
      <c r="H21" s="66">
        <f>COUNTIFS(t_date,"&gt;="&amp;C21,t_date,"&lt;"&amp;EDATE(C21,1),t_od,"&gt;0")</f>
        <v/>
      </c>
      <c r="I21" s="66">
        <f>COUNTIFS(t_done,"&gt;="&amp;C21,t_done,"&lt;"&amp;EDATE(C21,1))</f>
        <v/>
      </c>
      <c r="J21" s="66">
        <f>COUNTIFS(e_date,"&gt;="&amp;C21,e_date,"&lt;"&amp;EDATE(C21,1),e_name,"?*")</f>
        <v/>
      </c>
      <c r="K21" s="69">
        <f>SUMIFS(e_dur,e_date,"&gt;="&amp;C21,e_date,"&lt;"&amp;EDATE(C21,1))</f>
        <v/>
      </c>
      <c r="L21" s="69">
        <f>SUMIFS(e_dur,e_date,"&gt;="&amp;C21,e_date,"&lt;"&amp;EDATE(C21,1),e_status,"✅ Сделано")</f>
        <v/>
      </c>
    </row>
    <row r="22">
      <c r="A22" s="79" t="n">
        <v>2027</v>
      </c>
      <c r="B22" s="79" t="inlineStr">
        <is>
          <t>Июнь</t>
        </is>
      </c>
      <c r="C22" s="80" t="n">
        <v>46539</v>
      </c>
      <c r="D22" s="79">
        <f>LEFT(B22,3)&amp;" "&amp;RIGHT(A22,2)</f>
        <v/>
      </c>
      <c r="E22" s="66">
        <f>COUNTIFS(t_date,"&gt;="&amp;C22,t_date,"&lt;"&amp;EDATE(C22,1),t_name,"?*",t_status,"&lt;&gt;❌ Отменена")</f>
        <v/>
      </c>
      <c r="F22" s="66">
        <f>COUNTIFS(t_date,"&gt;="&amp;C22,t_date,"&lt;"&amp;EDATE(C22,1),t_status,"✅ Выполнена")</f>
        <v/>
      </c>
      <c r="G22" s="67">
        <f>IF(E22=0,"",F22/E22)</f>
        <v/>
      </c>
      <c r="H22" s="66">
        <f>COUNTIFS(t_date,"&gt;="&amp;C22,t_date,"&lt;"&amp;EDATE(C22,1),t_od,"&gt;0")</f>
        <v/>
      </c>
      <c r="I22" s="66">
        <f>COUNTIFS(t_done,"&gt;="&amp;C22,t_done,"&lt;"&amp;EDATE(C22,1))</f>
        <v/>
      </c>
      <c r="J22" s="66">
        <f>COUNTIFS(e_date,"&gt;="&amp;C22,e_date,"&lt;"&amp;EDATE(C22,1),e_name,"?*")</f>
        <v/>
      </c>
      <c r="K22" s="69">
        <f>SUMIFS(e_dur,e_date,"&gt;="&amp;C22,e_date,"&lt;"&amp;EDATE(C22,1))</f>
        <v/>
      </c>
      <c r="L22" s="69">
        <f>SUMIFS(e_dur,e_date,"&gt;="&amp;C22,e_date,"&lt;"&amp;EDATE(C22,1),e_status,"✅ Сделано")</f>
        <v/>
      </c>
    </row>
    <row r="23">
      <c r="A23" s="79" t="n">
        <v>2027</v>
      </c>
      <c r="B23" s="79" t="inlineStr">
        <is>
          <t>Июль</t>
        </is>
      </c>
      <c r="C23" s="80" t="n">
        <v>46569</v>
      </c>
      <c r="D23" s="79">
        <f>LEFT(B23,3)&amp;" "&amp;RIGHT(A23,2)</f>
        <v/>
      </c>
      <c r="E23" s="66">
        <f>COUNTIFS(t_date,"&gt;="&amp;C23,t_date,"&lt;"&amp;EDATE(C23,1),t_name,"?*",t_status,"&lt;&gt;❌ Отменена")</f>
        <v/>
      </c>
      <c r="F23" s="66">
        <f>COUNTIFS(t_date,"&gt;="&amp;C23,t_date,"&lt;"&amp;EDATE(C23,1),t_status,"✅ Выполнена")</f>
        <v/>
      </c>
      <c r="G23" s="67">
        <f>IF(E23=0,"",F23/E23)</f>
        <v/>
      </c>
      <c r="H23" s="66">
        <f>COUNTIFS(t_date,"&gt;="&amp;C23,t_date,"&lt;"&amp;EDATE(C23,1),t_od,"&gt;0")</f>
        <v/>
      </c>
      <c r="I23" s="66">
        <f>COUNTIFS(t_done,"&gt;="&amp;C23,t_done,"&lt;"&amp;EDATE(C23,1))</f>
        <v/>
      </c>
      <c r="J23" s="66">
        <f>COUNTIFS(e_date,"&gt;="&amp;C23,e_date,"&lt;"&amp;EDATE(C23,1),e_name,"?*")</f>
        <v/>
      </c>
      <c r="K23" s="69">
        <f>SUMIFS(e_dur,e_date,"&gt;="&amp;C23,e_date,"&lt;"&amp;EDATE(C23,1))</f>
        <v/>
      </c>
      <c r="L23" s="69">
        <f>SUMIFS(e_dur,e_date,"&gt;="&amp;C23,e_date,"&lt;"&amp;EDATE(C23,1),e_status,"✅ Сделано")</f>
        <v/>
      </c>
    </row>
    <row r="24">
      <c r="A24" s="79" t="n">
        <v>2027</v>
      </c>
      <c r="B24" s="79" t="inlineStr">
        <is>
          <t>Август</t>
        </is>
      </c>
      <c r="C24" s="80" t="n">
        <v>46600</v>
      </c>
      <c r="D24" s="79">
        <f>LEFT(B24,3)&amp;" "&amp;RIGHT(A24,2)</f>
        <v/>
      </c>
      <c r="E24" s="66">
        <f>COUNTIFS(t_date,"&gt;="&amp;C24,t_date,"&lt;"&amp;EDATE(C24,1),t_name,"?*",t_status,"&lt;&gt;❌ Отменена")</f>
        <v/>
      </c>
      <c r="F24" s="66">
        <f>COUNTIFS(t_date,"&gt;="&amp;C24,t_date,"&lt;"&amp;EDATE(C24,1),t_status,"✅ Выполнена")</f>
        <v/>
      </c>
      <c r="G24" s="67">
        <f>IF(E24=0,"",F24/E24)</f>
        <v/>
      </c>
      <c r="H24" s="66">
        <f>COUNTIFS(t_date,"&gt;="&amp;C24,t_date,"&lt;"&amp;EDATE(C24,1),t_od,"&gt;0")</f>
        <v/>
      </c>
      <c r="I24" s="66">
        <f>COUNTIFS(t_done,"&gt;="&amp;C24,t_done,"&lt;"&amp;EDATE(C24,1))</f>
        <v/>
      </c>
      <c r="J24" s="66">
        <f>COUNTIFS(e_date,"&gt;="&amp;C24,e_date,"&lt;"&amp;EDATE(C24,1),e_name,"?*")</f>
        <v/>
      </c>
      <c r="K24" s="69">
        <f>SUMIFS(e_dur,e_date,"&gt;="&amp;C24,e_date,"&lt;"&amp;EDATE(C24,1))</f>
        <v/>
      </c>
      <c r="L24" s="69">
        <f>SUMIFS(e_dur,e_date,"&gt;="&amp;C24,e_date,"&lt;"&amp;EDATE(C24,1),e_status,"✅ Сделано")</f>
        <v/>
      </c>
    </row>
    <row r="25">
      <c r="A25" s="79" t="n">
        <v>2027</v>
      </c>
      <c r="B25" s="79" t="inlineStr">
        <is>
          <t>Сентябрь</t>
        </is>
      </c>
      <c r="C25" s="80" t="n">
        <v>46631</v>
      </c>
      <c r="D25" s="79">
        <f>LEFT(B25,3)&amp;" "&amp;RIGHT(A25,2)</f>
        <v/>
      </c>
      <c r="E25" s="66">
        <f>COUNTIFS(t_date,"&gt;="&amp;C25,t_date,"&lt;"&amp;EDATE(C25,1),t_name,"?*",t_status,"&lt;&gt;❌ Отменена")</f>
        <v/>
      </c>
      <c r="F25" s="66">
        <f>COUNTIFS(t_date,"&gt;="&amp;C25,t_date,"&lt;"&amp;EDATE(C25,1),t_status,"✅ Выполнена")</f>
        <v/>
      </c>
      <c r="G25" s="67">
        <f>IF(E25=0,"",F25/E25)</f>
        <v/>
      </c>
      <c r="H25" s="66">
        <f>COUNTIFS(t_date,"&gt;="&amp;C25,t_date,"&lt;"&amp;EDATE(C25,1),t_od,"&gt;0")</f>
        <v/>
      </c>
      <c r="I25" s="66">
        <f>COUNTIFS(t_done,"&gt;="&amp;C25,t_done,"&lt;"&amp;EDATE(C25,1))</f>
        <v/>
      </c>
      <c r="J25" s="66">
        <f>COUNTIFS(e_date,"&gt;="&amp;C25,e_date,"&lt;"&amp;EDATE(C25,1),e_name,"?*")</f>
        <v/>
      </c>
      <c r="K25" s="69">
        <f>SUMIFS(e_dur,e_date,"&gt;="&amp;C25,e_date,"&lt;"&amp;EDATE(C25,1))</f>
        <v/>
      </c>
      <c r="L25" s="69">
        <f>SUMIFS(e_dur,e_date,"&gt;="&amp;C25,e_date,"&lt;"&amp;EDATE(C25,1),e_status,"✅ Сделано")</f>
        <v/>
      </c>
    </row>
    <row r="26">
      <c r="A26" s="79" t="n">
        <v>2027</v>
      </c>
      <c r="B26" s="79" t="inlineStr">
        <is>
          <t>Октябрь</t>
        </is>
      </c>
      <c r="C26" s="80" t="n">
        <v>46661</v>
      </c>
      <c r="D26" s="79">
        <f>LEFT(B26,3)&amp;" "&amp;RIGHT(A26,2)</f>
        <v/>
      </c>
      <c r="E26" s="66">
        <f>COUNTIFS(t_date,"&gt;="&amp;C26,t_date,"&lt;"&amp;EDATE(C26,1),t_name,"?*",t_status,"&lt;&gt;❌ Отменена")</f>
        <v/>
      </c>
      <c r="F26" s="66">
        <f>COUNTIFS(t_date,"&gt;="&amp;C26,t_date,"&lt;"&amp;EDATE(C26,1),t_status,"✅ Выполнена")</f>
        <v/>
      </c>
      <c r="G26" s="67">
        <f>IF(E26=0,"",F26/E26)</f>
        <v/>
      </c>
      <c r="H26" s="66">
        <f>COUNTIFS(t_date,"&gt;="&amp;C26,t_date,"&lt;"&amp;EDATE(C26,1),t_od,"&gt;0")</f>
        <v/>
      </c>
      <c r="I26" s="66">
        <f>COUNTIFS(t_done,"&gt;="&amp;C26,t_done,"&lt;"&amp;EDATE(C26,1))</f>
        <v/>
      </c>
      <c r="J26" s="66">
        <f>COUNTIFS(e_date,"&gt;="&amp;C26,e_date,"&lt;"&amp;EDATE(C26,1),e_name,"?*")</f>
        <v/>
      </c>
      <c r="K26" s="69">
        <f>SUMIFS(e_dur,e_date,"&gt;="&amp;C26,e_date,"&lt;"&amp;EDATE(C26,1))</f>
        <v/>
      </c>
      <c r="L26" s="69">
        <f>SUMIFS(e_dur,e_date,"&gt;="&amp;C26,e_date,"&lt;"&amp;EDATE(C26,1),e_status,"✅ Сделано")</f>
        <v/>
      </c>
    </row>
    <row r="27">
      <c r="A27" s="79" t="n">
        <v>2027</v>
      </c>
      <c r="B27" s="79" t="inlineStr">
        <is>
          <t>Ноябрь</t>
        </is>
      </c>
      <c r="C27" s="80" t="n">
        <v>46692</v>
      </c>
      <c r="D27" s="79">
        <f>LEFT(B27,3)&amp;" "&amp;RIGHT(A27,2)</f>
        <v/>
      </c>
      <c r="E27" s="66">
        <f>COUNTIFS(t_date,"&gt;="&amp;C27,t_date,"&lt;"&amp;EDATE(C27,1),t_name,"?*",t_status,"&lt;&gt;❌ Отменена")</f>
        <v/>
      </c>
      <c r="F27" s="66">
        <f>COUNTIFS(t_date,"&gt;="&amp;C27,t_date,"&lt;"&amp;EDATE(C27,1),t_status,"✅ Выполнена")</f>
        <v/>
      </c>
      <c r="G27" s="67">
        <f>IF(E27=0,"",F27/E27)</f>
        <v/>
      </c>
      <c r="H27" s="66">
        <f>COUNTIFS(t_date,"&gt;="&amp;C27,t_date,"&lt;"&amp;EDATE(C27,1),t_od,"&gt;0")</f>
        <v/>
      </c>
      <c r="I27" s="66">
        <f>COUNTIFS(t_done,"&gt;="&amp;C27,t_done,"&lt;"&amp;EDATE(C27,1))</f>
        <v/>
      </c>
      <c r="J27" s="66">
        <f>COUNTIFS(e_date,"&gt;="&amp;C27,e_date,"&lt;"&amp;EDATE(C27,1),e_name,"?*")</f>
        <v/>
      </c>
      <c r="K27" s="69">
        <f>SUMIFS(e_dur,e_date,"&gt;="&amp;C27,e_date,"&lt;"&amp;EDATE(C27,1))</f>
        <v/>
      </c>
      <c r="L27" s="69">
        <f>SUMIFS(e_dur,e_date,"&gt;="&amp;C27,e_date,"&lt;"&amp;EDATE(C27,1),e_status,"✅ Сделано")</f>
        <v/>
      </c>
    </row>
    <row r="28">
      <c r="A28" s="79" t="n">
        <v>2027</v>
      </c>
      <c r="B28" s="79" t="inlineStr">
        <is>
          <t>Декабрь</t>
        </is>
      </c>
      <c r="C28" s="80" t="n">
        <v>46722</v>
      </c>
      <c r="D28" s="79">
        <f>LEFT(B28,3)&amp;" "&amp;RIGHT(A28,2)</f>
        <v/>
      </c>
      <c r="E28" s="66">
        <f>COUNTIFS(t_date,"&gt;="&amp;C28,t_date,"&lt;"&amp;EDATE(C28,1),t_name,"?*",t_status,"&lt;&gt;❌ Отменена")</f>
        <v/>
      </c>
      <c r="F28" s="66">
        <f>COUNTIFS(t_date,"&gt;="&amp;C28,t_date,"&lt;"&amp;EDATE(C28,1),t_status,"✅ Выполнена")</f>
        <v/>
      </c>
      <c r="G28" s="67">
        <f>IF(E28=0,"",F28/E28)</f>
        <v/>
      </c>
      <c r="H28" s="66">
        <f>COUNTIFS(t_date,"&gt;="&amp;C28,t_date,"&lt;"&amp;EDATE(C28,1),t_od,"&gt;0")</f>
        <v/>
      </c>
      <c r="I28" s="66">
        <f>COUNTIFS(t_done,"&gt;="&amp;C28,t_done,"&lt;"&amp;EDATE(C28,1))</f>
        <v/>
      </c>
      <c r="J28" s="66">
        <f>COUNTIFS(e_date,"&gt;="&amp;C28,e_date,"&lt;"&amp;EDATE(C28,1),e_name,"?*")</f>
        <v/>
      </c>
      <c r="K28" s="69">
        <f>SUMIFS(e_dur,e_date,"&gt;="&amp;C28,e_date,"&lt;"&amp;EDATE(C28,1))</f>
        <v/>
      </c>
      <c r="L28" s="69">
        <f>SUMIFS(e_dur,e_date,"&gt;="&amp;C28,e_date,"&lt;"&amp;EDATE(C28,1),e_status,"✅ Сделано")</f>
        <v/>
      </c>
    </row>
    <row r="29">
      <c r="A29" s="81" t="n">
        <v>2028</v>
      </c>
      <c r="B29" s="81" t="inlineStr">
        <is>
          <t>Январь</t>
        </is>
      </c>
      <c r="C29" s="82" t="n">
        <v>46753</v>
      </c>
      <c r="D29" s="81">
        <f>LEFT(B29,3)&amp;" "&amp;RIGHT(A29,2)</f>
        <v/>
      </c>
      <c r="E29" s="83">
        <f>COUNTIFS(t_date,"&gt;="&amp;C29,t_date,"&lt;"&amp;EDATE(C29,1),t_name,"?*",t_status,"&lt;&gt;❌ Отменена")</f>
        <v/>
      </c>
      <c r="F29" s="83">
        <f>COUNTIFS(t_date,"&gt;="&amp;C29,t_date,"&lt;"&amp;EDATE(C29,1),t_status,"✅ Выполнена")</f>
        <v/>
      </c>
      <c r="G29" s="84">
        <f>IF(E29=0,"",F29/E29)</f>
        <v/>
      </c>
      <c r="H29" s="83">
        <f>COUNTIFS(t_date,"&gt;="&amp;C29,t_date,"&lt;"&amp;EDATE(C29,1),t_od,"&gt;0")</f>
        <v/>
      </c>
      <c r="I29" s="83">
        <f>COUNTIFS(t_done,"&gt;="&amp;C29,t_done,"&lt;"&amp;EDATE(C29,1))</f>
        <v/>
      </c>
      <c r="J29" s="83">
        <f>COUNTIFS(e_date,"&gt;="&amp;C29,e_date,"&lt;"&amp;EDATE(C29,1),e_name,"?*")</f>
        <v/>
      </c>
      <c r="K29" s="85">
        <f>SUMIFS(e_dur,e_date,"&gt;="&amp;C29,e_date,"&lt;"&amp;EDATE(C29,1))</f>
        <v/>
      </c>
      <c r="L29" s="85">
        <f>SUMIFS(e_dur,e_date,"&gt;="&amp;C29,e_date,"&lt;"&amp;EDATE(C29,1),e_status,"✅ Сделано")</f>
        <v/>
      </c>
    </row>
    <row r="30">
      <c r="A30" s="79" t="n">
        <v>2028</v>
      </c>
      <c r="B30" s="79" t="inlineStr">
        <is>
          <t>Февраль</t>
        </is>
      </c>
      <c r="C30" s="80" t="n">
        <v>46784</v>
      </c>
      <c r="D30" s="79">
        <f>LEFT(B30,3)&amp;" "&amp;RIGHT(A30,2)</f>
        <v/>
      </c>
      <c r="E30" s="66">
        <f>COUNTIFS(t_date,"&gt;="&amp;C30,t_date,"&lt;"&amp;EDATE(C30,1),t_name,"?*",t_status,"&lt;&gt;❌ Отменена")</f>
        <v/>
      </c>
      <c r="F30" s="66">
        <f>COUNTIFS(t_date,"&gt;="&amp;C30,t_date,"&lt;"&amp;EDATE(C30,1),t_status,"✅ Выполнена")</f>
        <v/>
      </c>
      <c r="G30" s="67">
        <f>IF(E30=0,"",F30/E30)</f>
        <v/>
      </c>
      <c r="H30" s="66">
        <f>COUNTIFS(t_date,"&gt;="&amp;C30,t_date,"&lt;"&amp;EDATE(C30,1),t_od,"&gt;0")</f>
        <v/>
      </c>
      <c r="I30" s="66">
        <f>COUNTIFS(t_done,"&gt;="&amp;C30,t_done,"&lt;"&amp;EDATE(C30,1))</f>
        <v/>
      </c>
      <c r="J30" s="66">
        <f>COUNTIFS(e_date,"&gt;="&amp;C30,e_date,"&lt;"&amp;EDATE(C30,1),e_name,"?*")</f>
        <v/>
      </c>
      <c r="K30" s="69">
        <f>SUMIFS(e_dur,e_date,"&gt;="&amp;C30,e_date,"&lt;"&amp;EDATE(C30,1))</f>
        <v/>
      </c>
      <c r="L30" s="69">
        <f>SUMIFS(e_dur,e_date,"&gt;="&amp;C30,e_date,"&lt;"&amp;EDATE(C30,1),e_status,"✅ Сделано")</f>
        <v/>
      </c>
    </row>
    <row r="31">
      <c r="A31" s="79" t="n">
        <v>2028</v>
      </c>
      <c r="B31" s="79" t="inlineStr">
        <is>
          <t>Март</t>
        </is>
      </c>
      <c r="C31" s="80" t="n">
        <v>46813</v>
      </c>
      <c r="D31" s="79">
        <f>LEFT(B31,3)&amp;" "&amp;RIGHT(A31,2)</f>
        <v/>
      </c>
      <c r="E31" s="66">
        <f>COUNTIFS(t_date,"&gt;="&amp;C31,t_date,"&lt;"&amp;EDATE(C31,1),t_name,"?*",t_status,"&lt;&gt;❌ Отменена")</f>
        <v/>
      </c>
      <c r="F31" s="66">
        <f>COUNTIFS(t_date,"&gt;="&amp;C31,t_date,"&lt;"&amp;EDATE(C31,1),t_status,"✅ Выполнена")</f>
        <v/>
      </c>
      <c r="G31" s="67">
        <f>IF(E31=0,"",F31/E31)</f>
        <v/>
      </c>
      <c r="H31" s="66">
        <f>COUNTIFS(t_date,"&gt;="&amp;C31,t_date,"&lt;"&amp;EDATE(C31,1),t_od,"&gt;0")</f>
        <v/>
      </c>
      <c r="I31" s="66">
        <f>COUNTIFS(t_done,"&gt;="&amp;C31,t_done,"&lt;"&amp;EDATE(C31,1))</f>
        <v/>
      </c>
      <c r="J31" s="66">
        <f>COUNTIFS(e_date,"&gt;="&amp;C31,e_date,"&lt;"&amp;EDATE(C31,1),e_name,"?*")</f>
        <v/>
      </c>
      <c r="K31" s="69">
        <f>SUMIFS(e_dur,e_date,"&gt;="&amp;C31,e_date,"&lt;"&amp;EDATE(C31,1))</f>
        <v/>
      </c>
      <c r="L31" s="69">
        <f>SUMIFS(e_dur,e_date,"&gt;="&amp;C31,e_date,"&lt;"&amp;EDATE(C31,1),e_status,"✅ Сделано")</f>
        <v/>
      </c>
    </row>
    <row r="32">
      <c r="A32" s="79" t="n">
        <v>2028</v>
      </c>
      <c r="B32" s="79" t="inlineStr">
        <is>
          <t>Апрель</t>
        </is>
      </c>
      <c r="C32" s="80" t="n">
        <v>46844</v>
      </c>
      <c r="D32" s="79">
        <f>LEFT(B32,3)&amp;" "&amp;RIGHT(A32,2)</f>
        <v/>
      </c>
      <c r="E32" s="66">
        <f>COUNTIFS(t_date,"&gt;="&amp;C32,t_date,"&lt;"&amp;EDATE(C32,1),t_name,"?*",t_status,"&lt;&gt;❌ Отменена")</f>
        <v/>
      </c>
      <c r="F32" s="66">
        <f>COUNTIFS(t_date,"&gt;="&amp;C32,t_date,"&lt;"&amp;EDATE(C32,1),t_status,"✅ Выполнена")</f>
        <v/>
      </c>
      <c r="G32" s="67">
        <f>IF(E32=0,"",F32/E32)</f>
        <v/>
      </c>
      <c r="H32" s="66">
        <f>COUNTIFS(t_date,"&gt;="&amp;C32,t_date,"&lt;"&amp;EDATE(C32,1),t_od,"&gt;0")</f>
        <v/>
      </c>
      <c r="I32" s="66">
        <f>COUNTIFS(t_done,"&gt;="&amp;C32,t_done,"&lt;"&amp;EDATE(C32,1))</f>
        <v/>
      </c>
      <c r="J32" s="66">
        <f>COUNTIFS(e_date,"&gt;="&amp;C32,e_date,"&lt;"&amp;EDATE(C32,1),e_name,"?*")</f>
        <v/>
      </c>
      <c r="K32" s="69">
        <f>SUMIFS(e_dur,e_date,"&gt;="&amp;C32,e_date,"&lt;"&amp;EDATE(C32,1))</f>
        <v/>
      </c>
      <c r="L32" s="69">
        <f>SUMIFS(e_dur,e_date,"&gt;="&amp;C32,e_date,"&lt;"&amp;EDATE(C32,1),e_status,"✅ Сделано")</f>
        <v/>
      </c>
    </row>
    <row r="33">
      <c r="A33" s="79" t="n">
        <v>2028</v>
      </c>
      <c r="B33" s="79" t="inlineStr">
        <is>
          <t>Май</t>
        </is>
      </c>
      <c r="C33" s="80" t="n">
        <v>46874</v>
      </c>
      <c r="D33" s="79">
        <f>LEFT(B33,3)&amp;" "&amp;RIGHT(A33,2)</f>
        <v/>
      </c>
      <c r="E33" s="66">
        <f>COUNTIFS(t_date,"&gt;="&amp;C33,t_date,"&lt;"&amp;EDATE(C33,1),t_name,"?*",t_status,"&lt;&gt;❌ Отменена")</f>
        <v/>
      </c>
      <c r="F33" s="66">
        <f>COUNTIFS(t_date,"&gt;="&amp;C33,t_date,"&lt;"&amp;EDATE(C33,1),t_status,"✅ Выполнена")</f>
        <v/>
      </c>
      <c r="G33" s="67">
        <f>IF(E33=0,"",F33/E33)</f>
        <v/>
      </c>
      <c r="H33" s="66">
        <f>COUNTIFS(t_date,"&gt;="&amp;C33,t_date,"&lt;"&amp;EDATE(C33,1),t_od,"&gt;0")</f>
        <v/>
      </c>
      <c r="I33" s="66">
        <f>COUNTIFS(t_done,"&gt;="&amp;C33,t_done,"&lt;"&amp;EDATE(C33,1))</f>
        <v/>
      </c>
      <c r="J33" s="66">
        <f>COUNTIFS(e_date,"&gt;="&amp;C33,e_date,"&lt;"&amp;EDATE(C33,1),e_name,"?*")</f>
        <v/>
      </c>
      <c r="K33" s="69">
        <f>SUMIFS(e_dur,e_date,"&gt;="&amp;C33,e_date,"&lt;"&amp;EDATE(C33,1))</f>
        <v/>
      </c>
      <c r="L33" s="69">
        <f>SUMIFS(e_dur,e_date,"&gt;="&amp;C33,e_date,"&lt;"&amp;EDATE(C33,1),e_status,"✅ Сделано")</f>
        <v/>
      </c>
    </row>
    <row r="34">
      <c r="A34" s="79" t="n">
        <v>2028</v>
      </c>
      <c r="B34" s="79" t="inlineStr">
        <is>
          <t>Июнь</t>
        </is>
      </c>
      <c r="C34" s="80" t="n">
        <v>46905</v>
      </c>
      <c r="D34" s="79">
        <f>LEFT(B34,3)&amp;" "&amp;RIGHT(A34,2)</f>
        <v/>
      </c>
      <c r="E34" s="66">
        <f>COUNTIFS(t_date,"&gt;="&amp;C34,t_date,"&lt;"&amp;EDATE(C34,1),t_name,"?*",t_status,"&lt;&gt;❌ Отменена")</f>
        <v/>
      </c>
      <c r="F34" s="66">
        <f>COUNTIFS(t_date,"&gt;="&amp;C34,t_date,"&lt;"&amp;EDATE(C34,1),t_status,"✅ Выполнена")</f>
        <v/>
      </c>
      <c r="G34" s="67">
        <f>IF(E34=0,"",F34/E34)</f>
        <v/>
      </c>
      <c r="H34" s="66">
        <f>COUNTIFS(t_date,"&gt;="&amp;C34,t_date,"&lt;"&amp;EDATE(C34,1),t_od,"&gt;0")</f>
        <v/>
      </c>
      <c r="I34" s="66">
        <f>COUNTIFS(t_done,"&gt;="&amp;C34,t_done,"&lt;"&amp;EDATE(C34,1))</f>
        <v/>
      </c>
      <c r="J34" s="66">
        <f>COUNTIFS(e_date,"&gt;="&amp;C34,e_date,"&lt;"&amp;EDATE(C34,1),e_name,"?*")</f>
        <v/>
      </c>
      <c r="K34" s="69">
        <f>SUMIFS(e_dur,e_date,"&gt;="&amp;C34,e_date,"&lt;"&amp;EDATE(C34,1))</f>
        <v/>
      </c>
      <c r="L34" s="69">
        <f>SUMIFS(e_dur,e_date,"&gt;="&amp;C34,e_date,"&lt;"&amp;EDATE(C34,1),e_status,"✅ Сделано")</f>
        <v/>
      </c>
    </row>
    <row r="35">
      <c r="A35" s="79" t="n">
        <v>2028</v>
      </c>
      <c r="B35" s="79" t="inlineStr">
        <is>
          <t>Июль</t>
        </is>
      </c>
      <c r="C35" s="80" t="n">
        <v>46935</v>
      </c>
      <c r="D35" s="79">
        <f>LEFT(B35,3)&amp;" "&amp;RIGHT(A35,2)</f>
        <v/>
      </c>
      <c r="E35" s="66">
        <f>COUNTIFS(t_date,"&gt;="&amp;C35,t_date,"&lt;"&amp;EDATE(C35,1),t_name,"?*",t_status,"&lt;&gt;❌ Отменена")</f>
        <v/>
      </c>
      <c r="F35" s="66">
        <f>COUNTIFS(t_date,"&gt;="&amp;C35,t_date,"&lt;"&amp;EDATE(C35,1),t_status,"✅ Выполнена")</f>
        <v/>
      </c>
      <c r="G35" s="67">
        <f>IF(E35=0,"",F35/E35)</f>
        <v/>
      </c>
      <c r="H35" s="66">
        <f>COUNTIFS(t_date,"&gt;="&amp;C35,t_date,"&lt;"&amp;EDATE(C35,1),t_od,"&gt;0")</f>
        <v/>
      </c>
      <c r="I35" s="66">
        <f>COUNTIFS(t_done,"&gt;="&amp;C35,t_done,"&lt;"&amp;EDATE(C35,1))</f>
        <v/>
      </c>
      <c r="J35" s="66">
        <f>COUNTIFS(e_date,"&gt;="&amp;C35,e_date,"&lt;"&amp;EDATE(C35,1),e_name,"?*")</f>
        <v/>
      </c>
      <c r="K35" s="69">
        <f>SUMIFS(e_dur,e_date,"&gt;="&amp;C35,e_date,"&lt;"&amp;EDATE(C35,1))</f>
        <v/>
      </c>
      <c r="L35" s="69">
        <f>SUMIFS(e_dur,e_date,"&gt;="&amp;C35,e_date,"&lt;"&amp;EDATE(C35,1),e_status,"✅ Сделано")</f>
        <v/>
      </c>
    </row>
    <row r="36">
      <c r="A36" s="79" t="n">
        <v>2028</v>
      </c>
      <c r="B36" s="79" t="inlineStr">
        <is>
          <t>Август</t>
        </is>
      </c>
      <c r="C36" s="80" t="n">
        <v>46966</v>
      </c>
      <c r="D36" s="79">
        <f>LEFT(B36,3)&amp;" "&amp;RIGHT(A36,2)</f>
        <v/>
      </c>
      <c r="E36" s="66">
        <f>COUNTIFS(t_date,"&gt;="&amp;C36,t_date,"&lt;"&amp;EDATE(C36,1),t_name,"?*",t_status,"&lt;&gt;❌ Отменена")</f>
        <v/>
      </c>
      <c r="F36" s="66">
        <f>COUNTIFS(t_date,"&gt;="&amp;C36,t_date,"&lt;"&amp;EDATE(C36,1),t_status,"✅ Выполнена")</f>
        <v/>
      </c>
      <c r="G36" s="67">
        <f>IF(E36=0,"",F36/E36)</f>
        <v/>
      </c>
      <c r="H36" s="66">
        <f>COUNTIFS(t_date,"&gt;="&amp;C36,t_date,"&lt;"&amp;EDATE(C36,1),t_od,"&gt;0")</f>
        <v/>
      </c>
      <c r="I36" s="66">
        <f>COUNTIFS(t_done,"&gt;="&amp;C36,t_done,"&lt;"&amp;EDATE(C36,1))</f>
        <v/>
      </c>
      <c r="J36" s="66">
        <f>COUNTIFS(e_date,"&gt;="&amp;C36,e_date,"&lt;"&amp;EDATE(C36,1),e_name,"?*")</f>
        <v/>
      </c>
      <c r="K36" s="69">
        <f>SUMIFS(e_dur,e_date,"&gt;="&amp;C36,e_date,"&lt;"&amp;EDATE(C36,1))</f>
        <v/>
      </c>
      <c r="L36" s="69">
        <f>SUMIFS(e_dur,e_date,"&gt;="&amp;C36,e_date,"&lt;"&amp;EDATE(C36,1),e_status,"✅ Сделано")</f>
        <v/>
      </c>
    </row>
    <row r="37">
      <c r="A37" s="79" t="n">
        <v>2028</v>
      </c>
      <c r="B37" s="79" t="inlineStr">
        <is>
          <t>Сентябрь</t>
        </is>
      </c>
      <c r="C37" s="80" t="n">
        <v>46997</v>
      </c>
      <c r="D37" s="79">
        <f>LEFT(B37,3)&amp;" "&amp;RIGHT(A37,2)</f>
        <v/>
      </c>
      <c r="E37" s="66">
        <f>COUNTIFS(t_date,"&gt;="&amp;C37,t_date,"&lt;"&amp;EDATE(C37,1),t_name,"?*",t_status,"&lt;&gt;❌ Отменена")</f>
        <v/>
      </c>
      <c r="F37" s="66">
        <f>COUNTIFS(t_date,"&gt;="&amp;C37,t_date,"&lt;"&amp;EDATE(C37,1),t_status,"✅ Выполнена")</f>
        <v/>
      </c>
      <c r="G37" s="67">
        <f>IF(E37=0,"",F37/E37)</f>
        <v/>
      </c>
      <c r="H37" s="66">
        <f>COUNTIFS(t_date,"&gt;="&amp;C37,t_date,"&lt;"&amp;EDATE(C37,1),t_od,"&gt;0")</f>
        <v/>
      </c>
      <c r="I37" s="66">
        <f>COUNTIFS(t_done,"&gt;="&amp;C37,t_done,"&lt;"&amp;EDATE(C37,1))</f>
        <v/>
      </c>
      <c r="J37" s="66">
        <f>COUNTIFS(e_date,"&gt;="&amp;C37,e_date,"&lt;"&amp;EDATE(C37,1),e_name,"?*")</f>
        <v/>
      </c>
      <c r="K37" s="69">
        <f>SUMIFS(e_dur,e_date,"&gt;="&amp;C37,e_date,"&lt;"&amp;EDATE(C37,1))</f>
        <v/>
      </c>
      <c r="L37" s="69">
        <f>SUMIFS(e_dur,e_date,"&gt;="&amp;C37,e_date,"&lt;"&amp;EDATE(C37,1),e_status,"✅ Сделано")</f>
        <v/>
      </c>
    </row>
    <row r="38">
      <c r="A38" s="79" t="n">
        <v>2028</v>
      </c>
      <c r="B38" s="79" t="inlineStr">
        <is>
          <t>Октябрь</t>
        </is>
      </c>
      <c r="C38" s="80" t="n">
        <v>47027</v>
      </c>
      <c r="D38" s="79">
        <f>LEFT(B38,3)&amp;" "&amp;RIGHT(A38,2)</f>
        <v/>
      </c>
      <c r="E38" s="66">
        <f>COUNTIFS(t_date,"&gt;="&amp;C38,t_date,"&lt;"&amp;EDATE(C38,1),t_name,"?*",t_status,"&lt;&gt;❌ Отменена")</f>
        <v/>
      </c>
      <c r="F38" s="66">
        <f>COUNTIFS(t_date,"&gt;="&amp;C38,t_date,"&lt;"&amp;EDATE(C38,1),t_status,"✅ Выполнена")</f>
        <v/>
      </c>
      <c r="G38" s="67">
        <f>IF(E38=0,"",F38/E38)</f>
        <v/>
      </c>
      <c r="H38" s="66">
        <f>COUNTIFS(t_date,"&gt;="&amp;C38,t_date,"&lt;"&amp;EDATE(C38,1),t_od,"&gt;0")</f>
        <v/>
      </c>
      <c r="I38" s="66">
        <f>COUNTIFS(t_done,"&gt;="&amp;C38,t_done,"&lt;"&amp;EDATE(C38,1))</f>
        <v/>
      </c>
      <c r="J38" s="66">
        <f>COUNTIFS(e_date,"&gt;="&amp;C38,e_date,"&lt;"&amp;EDATE(C38,1),e_name,"?*")</f>
        <v/>
      </c>
      <c r="K38" s="69">
        <f>SUMIFS(e_dur,e_date,"&gt;="&amp;C38,e_date,"&lt;"&amp;EDATE(C38,1))</f>
        <v/>
      </c>
      <c r="L38" s="69">
        <f>SUMIFS(e_dur,e_date,"&gt;="&amp;C38,e_date,"&lt;"&amp;EDATE(C38,1),e_status,"✅ Сделано")</f>
        <v/>
      </c>
    </row>
    <row r="39">
      <c r="A39" s="79" t="n">
        <v>2028</v>
      </c>
      <c r="B39" s="79" t="inlineStr">
        <is>
          <t>Ноябрь</t>
        </is>
      </c>
      <c r="C39" s="80" t="n">
        <v>47058</v>
      </c>
      <c r="D39" s="79">
        <f>LEFT(B39,3)&amp;" "&amp;RIGHT(A39,2)</f>
        <v/>
      </c>
      <c r="E39" s="66">
        <f>COUNTIFS(t_date,"&gt;="&amp;C39,t_date,"&lt;"&amp;EDATE(C39,1),t_name,"?*",t_status,"&lt;&gt;❌ Отменена")</f>
        <v/>
      </c>
      <c r="F39" s="66">
        <f>COUNTIFS(t_date,"&gt;="&amp;C39,t_date,"&lt;"&amp;EDATE(C39,1),t_status,"✅ Выполнена")</f>
        <v/>
      </c>
      <c r="G39" s="67">
        <f>IF(E39=0,"",F39/E39)</f>
        <v/>
      </c>
      <c r="H39" s="66">
        <f>COUNTIFS(t_date,"&gt;="&amp;C39,t_date,"&lt;"&amp;EDATE(C39,1),t_od,"&gt;0")</f>
        <v/>
      </c>
      <c r="I39" s="66">
        <f>COUNTIFS(t_done,"&gt;="&amp;C39,t_done,"&lt;"&amp;EDATE(C39,1))</f>
        <v/>
      </c>
      <c r="J39" s="66">
        <f>COUNTIFS(e_date,"&gt;="&amp;C39,e_date,"&lt;"&amp;EDATE(C39,1),e_name,"?*")</f>
        <v/>
      </c>
      <c r="K39" s="69">
        <f>SUMIFS(e_dur,e_date,"&gt;="&amp;C39,e_date,"&lt;"&amp;EDATE(C39,1))</f>
        <v/>
      </c>
      <c r="L39" s="69">
        <f>SUMIFS(e_dur,e_date,"&gt;="&amp;C39,e_date,"&lt;"&amp;EDATE(C39,1),e_status,"✅ Сделано")</f>
        <v/>
      </c>
    </row>
    <row r="40">
      <c r="A40" s="79" t="n">
        <v>2028</v>
      </c>
      <c r="B40" s="79" t="inlineStr">
        <is>
          <t>Декабрь</t>
        </is>
      </c>
      <c r="C40" s="80" t="n">
        <v>47088</v>
      </c>
      <c r="D40" s="79">
        <f>LEFT(B40,3)&amp;" "&amp;RIGHT(A40,2)</f>
        <v/>
      </c>
      <c r="E40" s="66">
        <f>COUNTIFS(t_date,"&gt;="&amp;C40,t_date,"&lt;"&amp;EDATE(C40,1),t_name,"?*",t_status,"&lt;&gt;❌ Отменена")</f>
        <v/>
      </c>
      <c r="F40" s="66">
        <f>COUNTIFS(t_date,"&gt;="&amp;C40,t_date,"&lt;"&amp;EDATE(C40,1),t_status,"✅ Выполнена")</f>
        <v/>
      </c>
      <c r="G40" s="67">
        <f>IF(E40=0,"",F40/E40)</f>
        <v/>
      </c>
      <c r="H40" s="66">
        <f>COUNTIFS(t_date,"&gt;="&amp;C40,t_date,"&lt;"&amp;EDATE(C40,1),t_od,"&gt;0")</f>
        <v/>
      </c>
      <c r="I40" s="66">
        <f>COUNTIFS(t_done,"&gt;="&amp;C40,t_done,"&lt;"&amp;EDATE(C40,1))</f>
        <v/>
      </c>
      <c r="J40" s="66">
        <f>COUNTIFS(e_date,"&gt;="&amp;C40,e_date,"&lt;"&amp;EDATE(C40,1),e_name,"?*")</f>
        <v/>
      </c>
      <c r="K40" s="69">
        <f>SUMIFS(e_dur,e_date,"&gt;="&amp;C40,e_date,"&lt;"&amp;EDATE(C40,1))</f>
        <v/>
      </c>
      <c r="L40" s="69">
        <f>SUMIFS(e_dur,e_date,"&gt;="&amp;C40,e_date,"&lt;"&amp;EDATE(C40,1),e_status,"✅ Сделано")</f>
        <v/>
      </c>
    </row>
    <row r="41">
      <c r="A41" s="81" t="n">
        <v>2029</v>
      </c>
      <c r="B41" s="81" t="inlineStr">
        <is>
          <t>Январь</t>
        </is>
      </c>
      <c r="C41" s="82" t="n">
        <v>47119</v>
      </c>
      <c r="D41" s="81">
        <f>LEFT(B41,3)&amp;" "&amp;RIGHT(A41,2)</f>
        <v/>
      </c>
      <c r="E41" s="83">
        <f>COUNTIFS(t_date,"&gt;="&amp;C41,t_date,"&lt;"&amp;EDATE(C41,1),t_name,"?*",t_status,"&lt;&gt;❌ Отменена")</f>
        <v/>
      </c>
      <c r="F41" s="83">
        <f>COUNTIFS(t_date,"&gt;="&amp;C41,t_date,"&lt;"&amp;EDATE(C41,1),t_status,"✅ Выполнена")</f>
        <v/>
      </c>
      <c r="G41" s="84">
        <f>IF(E41=0,"",F41/E41)</f>
        <v/>
      </c>
      <c r="H41" s="83">
        <f>COUNTIFS(t_date,"&gt;="&amp;C41,t_date,"&lt;"&amp;EDATE(C41,1),t_od,"&gt;0")</f>
        <v/>
      </c>
      <c r="I41" s="83">
        <f>COUNTIFS(t_done,"&gt;="&amp;C41,t_done,"&lt;"&amp;EDATE(C41,1))</f>
        <v/>
      </c>
      <c r="J41" s="83">
        <f>COUNTIFS(e_date,"&gt;="&amp;C41,e_date,"&lt;"&amp;EDATE(C41,1),e_name,"?*")</f>
        <v/>
      </c>
      <c r="K41" s="85">
        <f>SUMIFS(e_dur,e_date,"&gt;="&amp;C41,e_date,"&lt;"&amp;EDATE(C41,1))</f>
        <v/>
      </c>
      <c r="L41" s="85">
        <f>SUMIFS(e_dur,e_date,"&gt;="&amp;C41,e_date,"&lt;"&amp;EDATE(C41,1),e_status,"✅ Сделано")</f>
        <v/>
      </c>
    </row>
    <row r="42">
      <c r="A42" s="79" t="n">
        <v>2029</v>
      </c>
      <c r="B42" s="79" t="inlineStr">
        <is>
          <t>Февраль</t>
        </is>
      </c>
      <c r="C42" s="80" t="n">
        <v>47150</v>
      </c>
      <c r="D42" s="79">
        <f>LEFT(B42,3)&amp;" "&amp;RIGHT(A42,2)</f>
        <v/>
      </c>
      <c r="E42" s="66">
        <f>COUNTIFS(t_date,"&gt;="&amp;C42,t_date,"&lt;"&amp;EDATE(C42,1),t_name,"?*",t_status,"&lt;&gt;❌ Отменена")</f>
        <v/>
      </c>
      <c r="F42" s="66">
        <f>COUNTIFS(t_date,"&gt;="&amp;C42,t_date,"&lt;"&amp;EDATE(C42,1),t_status,"✅ Выполнена")</f>
        <v/>
      </c>
      <c r="G42" s="67">
        <f>IF(E42=0,"",F42/E42)</f>
        <v/>
      </c>
      <c r="H42" s="66">
        <f>COUNTIFS(t_date,"&gt;="&amp;C42,t_date,"&lt;"&amp;EDATE(C42,1),t_od,"&gt;0")</f>
        <v/>
      </c>
      <c r="I42" s="66">
        <f>COUNTIFS(t_done,"&gt;="&amp;C42,t_done,"&lt;"&amp;EDATE(C42,1))</f>
        <v/>
      </c>
      <c r="J42" s="66">
        <f>COUNTIFS(e_date,"&gt;="&amp;C42,e_date,"&lt;"&amp;EDATE(C42,1),e_name,"?*")</f>
        <v/>
      </c>
      <c r="K42" s="69">
        <f>SUMIFS(e_dur,e_date,"&gt;="&amp;C42,e_date,"&lt;"&amp;EDATE(C42,1))</f>
        <v/>
      </c>
      <c r="L42" s="69">
        <f>SUMIFS(e_dur,e_date,"&gt;="&amp;C42,e_date,"&lt;"&amp;EDATE(C42,1),e_status,"✅ Сделано")</f>
        <v/>
      </c>
    </row>
    <row r="43">
      <c r="A43" s="79" t="n">
        <v>2029</v>
      </c>
      <c r="B43" s="79" t="inlineStr">
        <is>
          <t>Март</t>
        </is>
      </c>
      <c r="C43" s="80" t="n">
        <v>47178</v>
      </c>
      <c r="D43" s="79">
        <f>LEFT(B43,3)&amp;" "&amp;RIGHT(A43,2)</f>
        <v/>
      </c>
      <c r="E43" s="66">
        <f>COUNTIFS(t_date,"&gt;="&amp;C43,t_date,"&lt;"&amp;EDATE(C43,1),t_name,"?*",t_status,"&lt;&gt;❌ Отменена")</f>
        <v/>
      </c>
      <c r="F43" s="66">
        <f>COUNTIFS(t_date,"&gt;="&amp;C43,t_date,"&lt;"&amp;EDATE(C43,1),t_status,"✅ Выполнена")</f>
        <v/>
      </c>
      <c r="G43" s="67">
        <f>IF(E43=0,"",F43/E43)</f>
        <v/>
      </c>
      <c r="H43" s="66">
        <f>COUNTIFS(t_date,"&gt;="&amp;C43,t_date,"&lt;"&amp;EDATE(C43,1),t_od,"&gt;0")</f>
        <v/>
      </c>
      <c r="I43" s="66">
        <f>COUNTIFS(t_done,"&gt;="&amp;C43,t_done,"&lt;"&amp;EDATE(C43,1))</f>
        <v/>
      </c>
      <c r="J43" s="66">
        <f>COUNTIFS(e_date,"&gt;="&amp;C43,e_date,"&lt;"&amp;EDATE(C43,1),e_name,"?*")</f>
        <v/>
      </c>
      <c r="K43" s="69">
        <f>SUMIFS(e_dur,e_date,"&gt;="&amp;C43,e_date,"&lt;"&amp;EDATE(C43,1))</f>
        <v/>
      </c>
      <c r="L43" s="69">
        <f>SUMIFS(e_dur,e_date,"&gt;="&amp;C43,e_date,"&lt;"&amp;EDATE(C43,1),e_status,"✅ Сделано")</f>
        <v/>
      </c>
    </row>
    <row r="44">
      <c r="A44" s="79" t="n">
        <v>2029</v>
      </c>
      <c r="B44" s="79" t="inlineStr">
        <is>
          <t>Апрель</t>
        </is>
      </c>
      <c r="C44" s="80" t="n">
        <v>47209</v>
      </c>
      <c r="D44" s="79">
        <f>LEFT(B44,3)&amp;" "&amp;RIGHT(A44,2)</f>
        <v/>
      </c>
      <c r="E44" s="66">
        <f>COUNTIFS(t_date,"&gt;="&amp;C44,t_date,"&lt;"&amp;EDATE(C44,1),t_name,"?*",t_status,"&lt;&gt;❌ Отменена")</f>
        <v/>
      </c>
      <c r="F44" s="66">
        <f>COUNTIFS(t_date,"&gt;="&amp;C44,t_date,"&lt;"&amp;EDATE(C44,1),t_status,"✅ Выполнена")</f>
        <v/>
      </c>
      <c r="G44" s="67">
        <f>IF(E44=0,"",F44/E44)</f>
        <v/>
      </c>
      <c r="H44" s="66">
        <f>COUNTIFS(t_date,"&gt;="&amp;C44,t_date,"&lt;"&amp;EDATE(C44,1),t_od,"&gt;0")</f>
        <v/>
      </c>
      <c r="I44" s="66">
        <f>COUNTIFS(t_done,"&gt;="&amp;C44,t_done,"&lt;"&amp;EDATE(C44,1))</f>
        <v/>
      </c>
      <c r="J44" s="66">
        <f>COUNTIFS(e_date,"&gt;="&amp;C44,e_date,"&lt;"&amp;EDATE(C44,1),e_name,"?*")</f>
        <v/>
      </c>
      <c r="K44" s="69">
        <f>SUMIFS(e_dur,e_date,"&gt;="&amp;C44,e_date,"&lt;"&amp;EDATE(C44,1))</f>
        <v/>
      </c>
      <c r="L44" s="69">
        <f>SUMIFS(e_dur,e_date,"&gt;="&amp;C44,e_date,"&lt;"&amp;EDATE(C44,1),e_status,"✅ Сделано")</f>
        <v/>
      </c>
    </row>
    <row r="45">
      <c r="A45" s="79" t="n">
        <v>2029</v>
      </c>
      <c r="B45" s="79" t="inlineStr">
        <is>
          <t>Май</t>
        </is>
      </c>
      <c r="C45" s="80" t="n">
        <v>47239</v>
      </c>
      <c r="D45" s="79">
        <f>LEFT(B45,3)&amp;" "&amp;RIGHT(A45,2)</f>
        <v/>
      </c>
      <c r="E45" s="66">
        <f>COUNTIFS(t_date,"&gt;="&amp;C45,t_date,"&lt;"&amp;EDATE(C45,1),t_name,"?*",t_status,"&lt;&gt;❌ Отменена")</f>
        <v/>
      </c>
      <c r="F45" s="66">
        <f>COUNTIFS(t_date,"&gt;="&amp;C45,t_date,"&lt;"&amp;EDATE(C45,1),t_status,"✅ Выполнена")</f>
        <v/>
      </c>
      <c r="G45" s="67">
        <f>IF(E45=0,"",F45/E45)</f>
        <v/>
      </c>
      <c r="H45" s="66">
        <f>COUNTIFS(t_date,"&gt;="&amp;C45,t_date,"&lt;"&amp;EDATE(C45,1),t_od,"&gt;0")</f>
        <v/>
      </c>
      <c r="I45" s="66">
        <f>COUNTIFS(t_done,"&gt;="&amp;C45,t_done,"&lt;"&amp;EDATE(C45,1))</f>
        <v/>
      </c>
      <c r="J45" s="66">
        <f>COUNTIFS(e_date,"&gt;="&amp;C45,e_date,"&lt;"&amp;EDATE(C45,1),e_name,"?*")</f>
        <v/>
      </c>
      <c r="K45" s="69">
        <f>SUMIFS(e_dur,e_date,"&gt;="&amp;C45,e_date,"&lt;"&amp;EDATE(C45,1))</f>
        <v/>
      </c>
      <c r="L45" s="69">
        <f>SUMIFS(e_dur,e_date,"&gt;="&amp;C45,e_date,"&lt;"&amp;EDATE(C45,1),e_status,"✅ Сделано")</f>
        <v/>
      </c>
    </row>
    <row r="46">
      <c r="A46" s="79" t="n">
        <v>2029</v>
      </c>
      <c r="B46" s="79" t="inlineStr">
        <is>
          <t>Июнь</t>
        </is>
      </c>
      <c r="C46" s="80" t="n">
        <v>47270</v>
      </c>
      <c r="D46" s="79">
        <f>LEFT(B46,3)&amp;" "&amp;RIGHT(A46,2)</f>
        <v/>
      </c>
      <c r="E46" s="66">
        <f>COUNTIFS(t_date,"&gt;="&amp;C46,t_date,"&lt;"&amp;EDATE(C46,1),t_name,"?*",t_status,"&lt;&gt;❌ Отменена")</f>
        <v/>
      </c>
      <c r="F46" s="66">
        <f>COUNTIFS(t_date,"&gt;="&amp;C46,t_date,"&lt;"&amp;EDATE(C46,1),t_status,"✅ Выполнена")</f>
        <v/>
      </c>
      <c r="G46" s="67">
        <f>IF(E46=0,"",F46/E46)</f>
        <v/>
      </c>
      <c r="H46" s="66">
        <f>COUNTIFS(t_date,"&gt;="&amp;C46,t_date,"&lt;"&amp;EDATE(C46,1),t_od,"&gt;0")</f>
        <v/>
      </c>
      <c r="I46" s="66">
        <f>COUNTIFS(t_done,"&gt;="&amp;C46,t_done,"&lt;"&amp;EDATE(C46,1))</f>
        <v/>
      </c>
      <c r="J46" s="66">
        <f>COUNTIFS(e_date,"&gt;="&amp;C46,e_date,"&lt;"&amp;EDATE(C46,1),e_name,"?*")</f>
        <v/>
      </c>
      <c r="K46" s="69">
        <f>SUMIFS(e_dur,e_date,"&gt;="&amp;C46,e_date,"&lt;"&amp;EDATE(C46,1))</f>
        <v/>
      </c>
      <c r="L46" s="69">
        <f>SUMIFS(e_dur,e_date,"&gt;="&amp;C46,e_date,"&lt;"&amp;EDATE(C46,1),e_status,"✅ Сделано")</f>
        <v/>
      </c>
    </row>
    <row r="47">
      <c r="A47" s="79" t="n">
        <v>2029</v>
      </c>
      <c r="B47" s="79" t="inlineStr">
        <is>
          <t>Июль</t>
        </is>
      </c>
      <c r="C47" s="80" t="n">
        <v>47300</v>
      </c>
      <c r="D47" s="79">
        <f>LEFT(B47,3)&amp;" "&amp;RIGHT(A47,2)</f>
        <v/>
      </c>
      <c r="E47" s="66">
        <f>COUNTIFS(t_date,"&gt;="&amp;C47,t_date,"&lt;"&amp;EDATE(C47,1),t_name,"?*",t_status,"&lt;&gt;❌ Отменена")</f>
        <v/>
      </c>
      <c r="F47" s="66">
        <f>COUNTIFS(t_date,"&gt;="&amp;C47,t_date,"&lt;"&amp;EDATE(C47,1),t_status,"✅ Выполнена")</f>
        <v/>
      </c>
      <c r="G47" s="67">
        <f>IF(E47=0,"",F47/E47)</f>
        <v/>
      </c>
      <c r="H47" s="66">
        <f>COUNTIFS(t_date,"&gt;="&amp;C47,t_date,"&lt;"&amp;EDATE(C47,1),t_od,"&gt;0")</f>
        <v/>
      </c>
      <c r="I47" s="66">
        <f>COUNTIFS(t_done,"&gt;="&amp;C47,t_done,"&lt;"&amp;EDATE(C47,1))</f>
        <v/>
      </c>
      <c r="J47" s="66">
        <f>COUNTIFS(e_date,"&gt;="&amp;C47,e_date,"&lt;"&amp;EDATE(C47,1),e_name,"?*")</f>
        <v/>
      </c>
      <c r="K47" s="69">
        <f>SUMIFS(e_dur,e_date,"&gt;="&amp;C47,e_date,"&lt;"&amp;EDATE(C47,1))</f>
        <v/>
      </c>
      <c r="L47" s="69">
        <f>SUMIFS(e_dur,e_date,"&gt;="&amp;C47,e_date,"&lt;"&amp;EDATE(C47,1),e_status,"✅ Сделано")</f>
        <v/>
      </c>
    </row>
    <row r="48">
      <c r="A48" s="79" t="n">
        <v>2029</v>
      </c>
      <c r="B48" s="79" t="inlineStr">
        <is>
          <t>Август</t>
        </is>
      </c>
      <c r="C48" s="80" t="n">
        <v>47331</v>
      </c>
      <c r="D48" s="79">
        <f>LEFT(B48,3)&amp;" "&amp;RIGHT(A48,2)</f>
        <v/>
      </c>
      <c r="E48" s="66">
        <f>COUNTIFS(t_date,"&gt;="&amp;C48,t_date,"&lt;"&amp;EDATE(C48,1),t_name,"?*",t_status,"&lt;&gt;❌ Отменена")</f>
        <v/>
      </c>
      <c r="F48" s="66">
        <f>COUNTIFS(t_date,"&gt;="&amp;C48,t_date,"&lt;"&amp;EDATE(C48,1),t_status,"✅ Выполнена")</f>
        <v/>
      </c>
      <c r="G48" s="67">
        <f>IF(E48=0,"",F48/E48)</f>
        <v/>
      </c>
      <c r="H48" s="66">
        <f>COUNTIFS(t_date,"&gt;="&amp;C48,t_date,"&lt;"&amp;EDATE(C48,1),t_od,"&gt;0")</f>
        <v/>
      </c>
      <c r="I48" s="66">
        <f>COUNTIFS(t_done,"&gt;="&amp;C48,t_done,"&lt;"&amp;EDATE(C48,1))</f>
        <v/>
      </c>
      <c r="J48" s="66">
        <f>COUNTIFS(e_date,"&gt;="&amp;C48,e_date,"&lt;"&amp;EDATE(C48,1),e_name,"?*")</f>
        <v/>
      </c>
      <c r="K48" s="69">
        <f>SUMIFS(e_dur,e_date,"&gt;="&amp;C48,e_date,"&lt;"&amp;EDATE(C48,1))</f>
        <v/>
      </c>
      <c r="L48" s="69">
        <f>SUMIFS(e_dur,e_date,"&gt;="&amp;C48,e_date,"&lt;"&amp;EDATE(C48,1),e_status,"✅ Сделано")</f>
        <v/>
      </c>
    </row>
    <row r="49">
      <c r="A49" s="79" t="n">
        <v>2029</v>
      </c>
      <c r="B49" s="79" t="inlineStr">
        <is>
          <t>Сентябрь</t>
        </is>
      </c>
      <c r="C49" s="80" t="n">
        <v>47362</v>
      </c>
      <c r="D49" s="79">
        <f>LEFT(B49,3)&amp;" "&amp;RIGHT(A49,2)</f>
        <v/>
      </c>
      <c r="E49" s="66">
        <f>COUNTIFS(t_date,"&gt;="&amp;C49,t_date,"&lt;"&amp;EDATE(C49,1),t_name,"?*",t_status,"&lt;&gt;❌ Отменена")</f>
        <v/>
      </c>
      <c r="F49" s="66">
        <f>COUNTIFS(t_date,"&gt;="&amp;C49,t_date,"&lt;"&amp;EDATE(C49,1),t_status,"✅ Выполнена")</f>
        <v/>
      </c>
      <c r="G49" s="67">
        <f>IF(E49=0,"",F49/E49)</f>
        <v/>
      </c>
      <c r="H49" s="66">
        <f>COUNTIFS(t_date,"&gt;="&amp;C49,t_date,"&lt;"&amp;EDATE(C49,1),t_od,"&gt;0")</f>
        <v/>
      </c>
      <c r="I49" s="66">
        <f>COUNTIFS(t_done,"&gt;="&amp;C49,t_done,"&lt;"&amp;EDATE(C49,1))</f>
        <v/>
      </c>
      <c r="J49" s="66">
        <f>COUNTIFS(e_date,"&gt;="&amp;C49,e_date,"&lt;"&amp;EDATE(C49,1),e_name,"?*")</f>
        <v/>
      </c>
      <c r="K49" s="69">
        <f>SUMIFS(e_dur,e_date,"&gt;="&amp;C49,e_date,"&lt;"&amp;EDATE(C49,1))</f>
        <v/>
      </c>
      <c r="L49" s="69">
        <f>SUMIFS(e_dur,e_date,"&gt;="&amp;C49,e_date,"&lt;"&amp;EDATE(C49,1),e_status,"✅ Сделано")</f>
        <v/>
      </c>
    </row>
    <row r="50">
      <c r="A50" s="79" t="n">
        <v>2029</v>
      </c>
      <c r="B50" s="79" t="inlineStr">
        <is>
          <t>Октябрь</t>
        </is>
      </c>
      <c r="C50" s="80" t="n">
        <v>47392</v>
      </c>
      <c r="D50" s="79">
        <f>LEFT(B50,3)&amp;" "&amp;RIGHT(A50,2)</f>
        <v/>
      </c>
      <c r="E50" s="66">
        <f>COUNTIFS(t_date,"&gt;="&amp;C50,t_date,"&lt;"&amp;EDATE(C50,1),t_name,"?*",t_status,"&lt;&gt;❌ Отменена")</f>
        <v/>
      </c>
      <c r="F50" s="66">
        <f>COUNTIFS(t_date,"&gt;="&amp;C50,t_date,"&lt;"&amp;EDATE(C50,1),t_status,"✅ Выполнена")</f>
        <v/>
      </c>
      <c r="G50" s="67">
        <f>IF(E50=0,"",F50/E50)</f>
        <v/>
      </c>
      <c r="H50" s="66">
        <f>COUNTIFS(t_date,"&gt;="&amp;C50,t_date,"&lt;"&amp;EDATE(C50,1),t_od,"&gt;0")</f>
        <v/>
      </c>
      <c r="I50" s="66">
        <f>COUNTIFS(t_done,"&gt;="&amp;C50,t_done,"&lt;"&amp;EDATE(C50,1))</f>
        <v/>
      </c>
      <c r="J50" s="66">
        <f>COUNTIFS(e_date,"&gt;="&amp;C50,e_date,"&lt;"&amp;EDATE(C50,1),e_name,"?*")</f>
        <v/>
      </c>
      <c r="K50" s="69">
        <f>SUMIFS(e_dur,e_date,"&gt;="&amp;C50,e_date,"&lt;"&amp;EDATE(C50,1))</f>
        <v/>
      </c>
      <c r="L50" s="69">
        <f>SUMIFS(e_dur,e_date,"&gt;="&amp;C50,e_date,"&lt;"&amp;EDATE(C50,1),e_status,"✅ Сделано")</f>
        <v/>
      </c>
    </row>
    <row r="51">
      <c r="A51" s="79" t="n">
        <v>2029</v>
      </c>
      <c r="B51" s="79" t="inlineStr">
        <is>
          <t>Ноябрь</t>
        </is>
      </c>
      <c r="C51" s="80" t="n">
        <v>47423</v>
      </c>
      <c r="D51" s="79">
        <f>LEFT(B51,3)&amp;" "&amp;RIGHT(A51,2)</f>
        <v/>
      </c>
      <c r="E51" s="66">
        <f>COUNTIFS(t_date,"&gt;="&amp;C51,t_date,"&lt;"&amp;EDATE(C51,1),t_name,"?*",t_status,"&lt;&gt;❌ Отменена")</f>
        <v/>
      </c>
      <c r="F51" s="66">
        <f>COUNTIFS(t_date,"&gt;="&amp;C51,t_date,"&lt;"&amp;EDATE(C51,1),t_status,"✅ Выполнена")</f>
        <v/>
      </c>
      <c r="G51" s="67">
        <f>IF(E51=0,"",F51/E51)</f>
        <v/>
      </c>
      <c r="H51" s="66">
        <f>COUNTIFS(t_date,"&gt;="&amp;C51,t_date,"&lt;"&amp;EDATE(C51,1),t_od,"&gt;0")</f>
        <v/>
      </c>
      <c r="I51" s="66">
        <f>COUNTIFS(t_done,"&gt;="&amp;C51,t_done,"&lt;"&amp;EDATE(C51,1))</f>
        <v/>
      </c>
      <c r="J51" s="66">
        <f>COUNTIFS(e_date,"&gt;="&amp;C51,e_date,"&lt;"&amp;EDATE(C51,1),e_name,"?*")</f>
        <v/>
      </c>
      <c r="K51" s="69">
        <f>SUMIFS(e_dur,e_date,"&gt;="&amp;C51,e_date,"&lt;"&amp;EDATE(C51,1))</f>
        <v/>
      </c>
      <c r="L51" s="69">
        <f>SUMIFS(e_dur,e_date,"&gt;="&amp;C51,e_date,"&lt;"&amp;EDATE(C51,1),e_status,"✅ Сделано")</f>
        <v/>
      </c>
    </row>
    <row r="52">
      <c r="A52" s="79" t="n">
        <v>2029</v>
      </c>
      <c r="B52" s="79" t="inlineStr">
        <is>
          <t>Декабрь</t>
        </is>
      </c>
      <c r="C52" s="80" t="n">
        <v>47453</v>
      </c>
      <c r="D52" s="79">
        <f>LEFT(B52,3)&amp;" "&amp;RIGHT(A52,2)</f>
        <v/>
      </c>
      <c r="E52" s="66">
        <f>COUNTIFS(t_date,"&gt;="&amp;C52,t_date,"&lt;"&amp;EDATE(C52,1),t_name,"?*",t_status,"&lt;&gt;❌ Отменена")</f>
        <v/>
      </c>
      <c r="F52" s="66">
        <f>COUNTIFS(t_date,"&gt;="&amp;C52,t_date,"&lt;"&amp;EDATE(C52,1),t_status,"✅ Выполнена")</f>
        <v/>
      </c>
      <c r="G52" s="67">
        <f>IF(E52=0,"",F52/E52)</f>
        <v/>
      </c>
      <c r="H52" s="66">
        <f>COUNTIFS(t_date,"&gt;="&amp;C52,t_date,"&lt;"&amp;EDATE(C52,1),t_od,"&gt;0")</f>
        <v/>
      </c>
      <c r="I52" s="66">
        <f>COUNTIFS(t_done,"&gt;="&amp;C52,t_done,"&lt;"&amp;EDATE(C52,1))</f>
        <v/>
      </c>
      <c r="J52" s="66">
        <f>COUNTIFS(e_date,"&gt;="&amp;C52,e_date,"&lt;"&amp;EDATE(C52,1),e_name,"?*")</f>
        <v/>
      </c>
      <c r="K52" s="69">
        <f>SUMIFS(e_dur,e_date,"&gt;="&amp;C52,e_date,"&lt;"&amp;EDATE(C52,1))</f>
        <v/>
      </c>
      <c r="L52" s="69">
        <f>SUMIFS(e_dur,e_date,"&gt;="&amp;C52,e_date,"&lt;"&amp;EDATE(C52,1),e_status,"✅ Сделано")</f>
        <v/>
      </c>
    </row>
    <row r="53">
      <c r="A53" s="81" t="n">
        <v>2030</v>
      </c>
      <c r="B53" s="81" t="inlineStr">
        <is>
          <t>Январь</t>
        </is>
      </c>
      <c r="C53" s="82" t="n">
        <v>47484</v>
      </c>
      <c r="D53" s="81">
        <f>LEFT(B53,3)&amp;" "&amp;RIGHT(A53,2)</f>
        <v/>
      </c>
      <c r="E53" s="83">
        <f>COUNTIFS(t_date,"&gt;="&amp;C53,t_date,"&lt;"&amp;EDATE(C53,1),t_name,"?*",t_status,"&lt;&gt;❌ Отменена")</f>
        <v/>
      </c>
      <c r="F53" s="83">
        <f>COUNTIFS(t_date,"&gt;="&amp;C53,t_date,"&lt;"&amp;EDATE(C53,1),t_status,"✅ Выполнена")</f>
        <v/>
      </c>
      <c r="G53" s="84">
        <f>IF(E53=0,"",F53/E53)</f>
        <v/>
      </c>
      <c r="H53" s="83">
        <f>COUNTIFS(t_date,"&gt;="&amp;C53,t_date,"&lt;"&amp;EDATE(C53,1),t_od,"&gt;0")</f>
        <v/>
      </c>
      <c r="I53" s="83">
        <f>COUNTIFS(t_done,"&gt;="&amp;C53,t_done,"&lt;"&amp;EDATE(C53,1))</f>
        <v/>
      </c>
      <c r="J53" s="83">
        <f>COUNTIFS(e_date,"&gt;="&amp;C53,e_date,"&lt;"&amp;EDATE(C53,1),e_name,"?*")</f>
        <v/>
      </c>
      <c r="K53" s="85">
        <f>SUMIFS(e_dur,e_date,"&gt;="&amp;C53,e_date,"&lt;"&amp;EDATE(C53,1))</f>
        <v/>
      </c>
      <c r="L53" s="85">
        <f>SUMIFS(e_dur,e_date,"&gt;="&amp;C53,e_date,"&lt;"&amp;EDATE(C53,1),e_status,"✅ Сделано")</f>
        <v/>
      </c>
    </row>
    <row r="54">
      <c r="A54" s="79" t="n">
        <v>2030</v>
      </c>
      <c r="B54" s="79" t="inlineStr">
        <is>
          <t>Февраль</t>
        </is>
      </c>
      <c r="C54" s="80" t="n">
        <v>47515</v>
      </c>
      <c r="D54" s="79">
        <f>LEFT(B54,3)&amp;" "&amp;RIGHT(A54,2)</f>
        <v/>
      </c>
      <c r="E54" s="66">
        <f>COUNTIFS(t_date,"&gt;="&amp;C54,t_date,"&lt;"&amp;EDATE(C54,1),t_name,"?*",t_status,"&lt;&gt;❌ Отменена")</f>
        <v/>
      </c>
      <c r="F54" s="66">
        <f>COUNTIFS(t_date,"&gt;="&amp;C54,t_date,"&lt;"&amp;EDATE(C54,1),t_status,"✅ Выполнена")</f>
        <v/>
      </c>
      <c r="G54" s="67">
        <f>IF(E54=0,"",F54/E54)</f>
        <v/>
      </c>
      <c r="H54" s="66">
        <f>COUNTIFS(t_date,"&gt;="&amp;C54,t_date,"&lt;"&amp;EDATE(C54,1),t_od,"&gt;0")</f>
        <v/>
      </c>
      <c r="I54" s="66">
        <f>COUNTIFS(t_done,"&gt;="&amp;C54,t_done,"&lt;"&amp;EDATE(C54,1))</f>
        <v/>
      </c>
      <c r="J54" s="66">
        <f>COUNTIFS(e_date,"&gt;="&amp;C54,e_date,"&lt;"&amp;EDATE(C54,1),e_name,"?*")</f>
        <v/>
      </c>
      <c r="K54" s="69">
        <f>SUMIFS(e_dur,e_date,"&gt;="&amp;C54,e_date,"&lt;"&amp;EDATE(C54,1))</f>
        <v/>
      </c>
      <c r="L54" s="69">
        <f>SUMIFS(e_dur,e_date,"&gt;="&amp;C54,e_date,"&lt;"&amp;EDATE(C54,1),e_status,"✅ Сделано")</f>
        <v/>
      </c>
    </row>
    <row r="55">
      <c r="A55" s="79" t="n">
        <v>2030</v>
      </c>
      <c r="B55" s="79" t="inlineStr">
        <is>
          <t>Март</t>
        </is>
      </c>
      <c r="C55" s="80" t="n">
        <v>47543</v>
      </c>
      <c r="D55" s="79">
        <f>LEFT(B55,3)&amp;" "&amp;RIGHT(A55,2)</f>
        <v/>
      </c>
      <c r="E55" s="66">
        <f>COUNTIFS(t_date,"&gt;="&amp;C55,t_date,"&lt;"&amp;EDATE(C55,1),t_name,"?*",t_status,"&lt;&gt;❌ Отменена")</f>
        <v/>
      </c>
      <c r="F55" s="66">
        <f>COUNTIFS(t_date,"&gt;="&amp;C55,t_date,"&lt;"&amp;EDATE(C55,1),t_status,"✅ Выполнена")</f>
        <v/>
      </c>
      <c r="G55" s="67">
        <f>IF(E55=0,"",F55/E55)</f>
        <v/>
      </c>
      <c r="H55" s="66">
        <f>COUNTIFS(t_date,"&gt;="&amp;C55,t_date,"&lt;"&amp;EDATE(C55,1),t_od,"&gt;0")</f>
        <v/>
      </c>
      <c r="I55" s="66">
        <f>COUNTIFS(t_done,"&gt;="&amp;C55,t_done,"&lt;"&amp;EDATE(C55,1))</f>
        <v/>
      </c>
      <c r="J55" s="66">
        <f>COUNTIFS(e_date,"&gt;="&amp;C55,e_date,"&lt;"&amp;EDATE(C55,1),e_name,"?*")</f>
        <v/>
      </c>
      <c r="K55" s="69">
        <f>SUMIFS(e_dur,e_date,"&gt;="&amp;C55,e_date,"&lt;"&amp;EDATE(C55,1))</f>
        <v/>
      </c>
      <c r="L55" s="69">
        <f>SUMIFS(e_dur,e_date,"&gt;="&amp;C55,e_date,"&lt;"&amp;EDATE(C55,1),e_status,"✅ Сделано")</f>
        <v/>
      </c>
    </row>
    <row r="56">
      <c r="A56" s="79" t="n">
        <v>2030</v>
      </c>
      <c r="B56" s="79" t="inlineStr">
        <is>
          <t>Апрель</t>
        </is>
      </c>
      <c r="C56" s="80" t="n">
        <v>47574</v>
      </c>
      <c r="D56" s="79">
        <f>LEFT(B56,3)&amp;" "&amp;RIGHT(A56,2)</f>
        <v/>
      </c>
      <c r="E56" s="66">
        <f>COUNTIFS(t_date,"&gt;="&amp;C56,t_date,"&lt;"&amp;EDATE(C56,1),t_name,"?*",t_status,"&lt;&gt;❌ Отменена")</f>
        <v/>
      </c>
      <c r="F56" s="66">
        <f>COUNTIFS(t_date,"&gt;="&amp;C56,t_date,"&lt;"&amp;EDATE(C56,1),t_status,"✅ Выполнена")</f>
        <v/>
      </c>
      <c r="G56" s="67">
        <f>IF(E56=0,"",F56/E56)</f>
        <v/>
      </c>
      <c r="H56" s="66">
        <f>COUNTIFS(t_date,"&gt;="&amp;C56,t_date,"&lt;"&amp;EDATE(C56,1),t_od,"&gt;0")</f>
        <v/>
      </c>
      <c r="I56" s="66">
        <f>COUNTIFS(t_done,"&gt;="&amp;C56,t_done,"&lt;"&amp;EDATE(C56,1))</f>
        <v/>
      </c>
      <c r="J56" s="66">
        <f>COUNTIFS(e_date,"&gt;="&amp;C56,e_date,"&lt;"&amp;EDATE(C56,1),e_name,"?*")</f>
        <v/>
      </c>
      <c r="K56" s="69">
        <f>SUMIFS(e_dur,e_date,"&gt;="&amp;C56,e_date,"&lt;"&amp;EDATE(C56,1))</f>
        <v/>
      </c>
      <c r="L56" s="69">
        <f>SUMIFS(e_dur,e_date,"&gt;="&amp;C56,e_date,"&lt;"&amp;EDATE(C56,1),e_status,"✅ Сделано")</f>
        <v/>
      </c>
    </row>
    <row r="57">
      <c r="A57" s="79" t="n">
        <v>2030</v>
      </c>
      <c r="B57" s="79" t="inlineStr">
        <is>
          <t>Май</t>
        </is>
      </c>
      <c r="C57" s="80" t="n">
        <v>47604</v>
      </c>
      <c r="D57" s="79">
        <f>LEFT(B57,3)&amp;" "&amp;RIGHT(A57,2)</f>
        <v/>
      </c>
      <c r="E57" s="66">
        <f>COUNTIFS(t_date,"&gt;="&amp;C57,t_date,"&lt;"&amp;EDATE(C57,1),t_name,"?*",t_status,"&lt;&gt;❌ Отменена")</f>
        <v/>
      </c>
      <c r="F57" s="66">
        <f>COUNTIFS(t_date,"&gt;="&amp;C57,t_date,"&lt;"&amp;EDATE(C57,1),t_status,"✅ Выполнена")</f>
        <v/>
      </c>
      <c r="G57" s="67">
        <f>IF(E57=0,"",F57/E57)</f>
        <v/>
      </c>
      <c r="H57" s="66">
        <f>COUNTIFS(t_date,"&gt;="&amp;C57,t_date,"&lt;"&amp;EDATE(C57,1),t_od,"&gt;0")</f>
        <v/>
      </c>
      <c r="I57" s="66">
        <f>COUNTIFS(t_done,"&gt;="&amp;C57,t_done,"&lt;"&amp;EDATE(C57,1))</f>
        <v/>
      </c>
      <c r="J57" s="66">
        <f>COUNTIFS(e_date,"&gt;="&amp;C57,e_date,"&lt;"&amp;EDATE(C57,1),e_name,"?*")</f>
        <v/>
      </c>
      <c r="K57" s="69">
        <f>SUMIFS(e_dur,e_date,"&gt;="&amp;C57,e_date,"&lt;"&amp;EDATE(C57,1))</f>
        <v/>
      </c>
      <c r="L57" s="69">
        <f>SUMIFS(e_dur,e_date,"&gt;="&amp;C57,e_date,"&lt;"&amp;EDATE(C57,1),e_status,"✅ Сделано")</f>
        <v/>
      </c>
    </row>
    <row r="58">
      <c r="A58" s="79" t="n">
        <v>2030</v>
      </c>
      <c r="B58" s="79" t="inlineStr">
        <is>
          <t>Июнь</t>
        </is>
      </c>
      <c r="C58" s="80" t="n">
        <v>47635</v>
      </c>
      <c r="D58" s="79">
        <f>LEFT(B58,3)&amp;" "&amp;RIGHT(A58,2)</f>
        <v/>
      </c>
      <c r="E58" s="66">
        <f>COUNTIFS(t_date,"&gt;="&amp;C58,t_date,"&lt;"&amp;EDATE(C58,1),t_name,"?*",t_status,"&lt;&gt;❌ Отменена")</f>
        <v/>
      </c>
      <c r="F58" s="66">
        <f>COUNTIFS(t_date,"&gt;="&amp;C58,t_date,"&lt;"&amp;EDATE(C58,1),t_status,"✅ Выполнена")</f>
        <v/>
      </c>
      <c r="G58" s="67">
        <f>IF(E58=0,"",F58/E58)</f>
        <v/>
      </c>
      <c r="H58" s="66">
        <f>COUNTIFS(t_date,"&gt;="&amp;C58,t_date,"&lt;"&amp;EDATE(C58,1),t_od,"&gt;0")</f>
        <v/>
      </c>
      <c r="I58" s="66">
        <f>COUNTIFS(t_done,"&gt;="&amp;C58,t_done,"&lt;"&amp;EDATE(C58,1))</f>
        <v/>
      </c>
      <c r="J58" s="66">
        <f>COUNTIFS(e_date,"&gt;="&amp;C58,e_date,"&lt;"&amp;EDATE(C58,1),e_name,"?*")</f>
        <v/>
      </c>
      <c r="K58" s="69">
        <f>SUMIFS(e_dur,e_date,"&gt;="&amp;C58,e_date,"&lt;"&amp;EDATE(C58,1))</f>
        <v/>
      </c>
      <c r="L58" s="69">
        <f>SUMIFS(e_dur,e_date,"&gt;="&amp;C58,e_date,"&lt;"&amp;EDATE(C58,1),e_status,"✅ Сделано")</f>
        <v/>
      </c>
    </row>
    <row r="59">
      <c r="A59" s="79" t="n">
        <v>2030</v>
      </c>
      <c r="B59" s="79" t="inlineStr">
        <is>
          <t>Июль</t>
        </is>
      </c>
      <c r="C59" s="80" t="n">
        <v>47665</v>
      </c>
      <c r="D59" s="79">
        <f>LEFT(B59,3)&amp;" "&amp;RIGHT(A59,2)</f>
        <v/>
      </c>
      <c r="E59" s="66">
        <f>COUNTIFS(t_date,"&gt;="&amp;C59,t_date,"&lt;"&amp;EDATE(C59,1),t_name,"?*",t_status,"&lt;&gt;❌ Отменена")</f>
        <v/>
      </c>
      <c r="F59" s="66">
        <f>COUNTIFS(t_date,"&gt;="&amp;C59,t_date,"&lt;"&amp;EDATE(C59,1),t_status,"✅ Выполнена")</f>
        <v/>
      </c>
      <c r="G59" s="67">
        <f>IF(E59=0,"",F59/E59)</f>
        <v/>
      </c>
      <c r="H59" s="66">
        <f>COUNTIFS(t_date,"&gt;="&amp;C59,t_date,"&lt;"&amp;EDATE(C59,1),t_od,"&gt;0")</f>
        <v/>
      </c>
      <c r="I59" s="66">
        <f>COUNTIFS(t_done,"&gt;="&amp;C59,t_done,"&lt;"&amp;EDATE(C59,1))</f>
        <v/>
      </c>
      <c r="J59" s="66">
        <f>COUNTIFS(e_date,"&gt;="&amp;C59,e_date,"&lt;"&amp;EDATE(C59,1),e_name,"?*")</f>
        <v/>
      </c>
      <c r="K59" s="69">
        <f>SUMIFS(e_dur,e_date,"&gt;="&amp;C59,e_date,"&lt;"&amp;EDATE(C59,1))</f>
        <v/>
      </c>
      <c r="L59" s="69">
        <f>SUMIFS(e_dur,e_date,"&gt;="&amp;C59,e_date,"&lt;"&amp;EDATE(C59,1),e_status,"✅ Сделано")</f>
        <v/>
      </c>
    </row>
    <row r="60">
      <c r="A60" s="79" t="n">
        <v>2030</v>
      </c>
      <c r="B60" s="79" t="inlineStr">
        <is>
          <t>Август</t>
        </is>
      </c>
      <c r="C60" s="80" t="n">
        <v>47696</v>
      </c>
      <c r="D60" s="79">
        <f>LEFT(B60,3)&amp;" "&amp;RIGHT(A60,2)</f>
        <v/>
      </c>
      <c r="E60" s="66">
        <f>COUNTIFS(t_date,"&gt;="&amp;C60,t_date,"&lt;"&amp;EDATE(C60,1),t_name,"?*",t_status,"&lt;&gt;❌ Отменена")</f>
        <v/>
      </c>
      <c r="F60" s="66">
        <f>COUNTIFS(t_date,"&gt;="&amp;C60,t_date,"&lt;"&amp;EDATE(C60,1),t_status,"✅ Выполнена")</f>
        <v/>
      </c>
      <c r="G60" s="67">
        <f>IF(E60=0,"",F60/E60)</f>
        <v/>
      </c>
      <c r="H60" s="66">
        <f>COUNTIFS(t_date,"&gt;="&amp;C60,t_date,"&lt;"&amp;EDATE(C60,1),t_od,"&gt;0")</f>
        <v/>
      </c>
      <c r="I60" s="66">
        <f>COUNTIFS(t_done,"&gt;="&amp;C60,t_done,"&lt;"&amp;EDATE(C60,1))</f>
        <v/>
      </c>
      <c r="J60" s="66">
        <f>COUNTIFS(e_date,"&gt;="&amp;C60,e_date,"&lt;"&amp;EDATE(C60,1),e_name,"?*")</f>
        <v/>
      </c>
      <c r="K60" s="69">
        <f>SUMIFS(e_dur,e_date,"&gt;="&amp;C60,e_date,"&lt;"&amp;EDATE(C60,1))</f>
        <v/>
      </c>
      <c r="L60" s="69">
        <f>SUMIFS(e_dur,e_date,"&gt;="&amp;C60,e_date,"&lt;"&amp;EDATE(C60,1),e_status,"✅ Сделано")</f>
        <v/>
      </c>
    </row>
    <row r="61">
      <c r="A61" s="79" t="n">
        <v>2030</v>
      </c>
      <c r="B61" s="79" t="inlineStr">
        <is>
          <t>Сентябрь</t>
        </is>
      </c>
      <c r="C61" s="80" t="n">
        <v>47727</v>
      </c>
      <c r="D61" s="79">
        <f>LEFT(B61,3)&amp;" "&amp;RIGHT(A61,2)</f>
        <v/>
      </c>
      <c r="E61" s="66">
        <f>COUNTIFS(t_date,"&gt;="&amp;C61,t_date,"&lt;"&amp;EDATE(C61,1),t_name,"?*",t_status,"&lt;&gt;❌ Отменена")</f>
        <v/>
      </c>
      <c r="F61" s="66">
        <f>COUNTIFS(t_date,"&gt;="&amp;C61,t_date,"&lt;"&amp;EDATE(C61,1),t_status,"✅ Выполнена")</f>
        <v/>
      </c>
      <c r="G61" s="67">
        <f>IF(E61=0,"",F61/E61)</f>
        <v/>
      </c>
      <c r="H61" s="66">
        <f>COUNTIFS(t_date,"&gt;="&amp;C61,t_date,"&lt;"&amp;EDATE(C61,1),t_od,"&gt;0")</f>
        <v/>
      </c>
      <c r="I61" s="66">
        <f>COUNTIFS(t_done,"&gt;="&amp;C61,t_done,"&lt;"&amp;EDATE(C61,1))</f>
        <v/>
      </c>
      <c r="J61" s="66">
        <f>COUNTIFS(e_date,"&gt;="&amp;C61,e_date,"&lt;"&amp;EDATE(C61,1),e_name,"?*")</f>
        <v/>
      </c>
      <c r="K61" s="69">
        <f>SUMIFS(e_dur,e_date,"&gt;="&amp;C61,e_date,"&lt;"&amp;EDATE(C61,1))</f>
        <v/>
      </c>
      <c r="L61" s="69">
        <f>SUMIFS(e_dur,e_date,"&gt;="&amp;C61,e_date,"&lt;"&amp;EDATE(C61,1),e_status,"✅ Сделано")</f>
        <v/>
      </c>
    </row>
    <row r="62">
      <c r="A62" s="79" t="n">
        <v>2030</v>
      </c>
      <c r="B62" s="79" t="inlineStr">
        <is>
          <t>Октябрь</t>
        </is>
      </c>
      <c r="C62" s="80" t="n">
        <v>47757</v>
      </c>
      <c r="D62" s="79">
        <f>LEFT(B62,3)&amp;" "&amp;RIGHT(A62,2)</f>
        <v/>
      </c>
      <c r="E62" s="66">
        <f>COUNTIFS(t_date,"&gt;="&amp;C62,t_date,"&lt;"&amp;EDATE(C62,1),t_name,"?*",t_status,"&lt;&gt;❌ Отменена")</f>
        <v/>
      </c>
      <c r="F62" s="66">
        <f>COUNTIFS(t_date,"&gt;="&amp;C62,t_date,"&lt;"&amp;EDATE(C62,1),t_status,"✅ Выполнена")</f>
        <v/>
      </c>
      <c r="G62" s="67">
        <f>IF(E62=0,"",F62/E62)</f>
        <v/>
      </c>
      <c r="H62" s="66">
        <f>COUNTIFS(t_date,"&gt;="&amp;C62,t_date,"&lt;"&amp;EDATE(C62,1),t_od,"&gt;0")</f>
        <v/>
      </c>
      <c r="I62" s="66">
        <f>COUNTIFS(t_done,"&gt;="&amp;C62,t_done,"&lt;"&amp;EDATE(C62,1))</f>
        <v/>
      </c>
      <c r="J62" s="66">
        <f>COUNTIFS(e_date,"&gt;="&amp;C62,e_date,"&lt;"&amp;EDATE(C62,1),e_name,"?*")</f>
        <v/>
      </c>
      <c r="K62" s="69">
        <f>SUMIFS(e_dur,e_date,"&gt;="&amp;C62,e_date,"&lt;"&amp;EDATE(C62,1))</f>
        <v/>
      </c>
      <c r="L62" s="69">
        <f>SUMIFS(e_dur,e_date,"&gt;="&amp;C62,e_date,"&lt;"&amp;EDATE(C62,1),e_status,"✅ Сделано")</f>
        <v/>
      </c>
    </row>
    <row r="63">
      <c r="A63" s="79" t="n">
        <v>2030</v>
      </c>
      <c r="B63" s="79" t="inlineStr">
        <is>
          <t>Ноябрь</t>
        </is>
      </c>
      <c r="C63" s="80" t="n">
        <v>47788</v>
      </c>
      <c r="D63" s="79">
        <f>LEFT(B63,3)&amp;" "&amp;RIGHT(A63,2)</f>
        <v/>
      </c>
      <c r="E63" s="66">
        <f>COUNTIFS(t_date,"&gt;="&amp;C63,t_date,"&lt;"&amp;EDATE(C63,1),t_name,"?*",t_status,"&lt;&gt;❌ Отменена")</f>
        <v/>
      </c>
      <c r="F63" s="66">
        <f>COUNTIFS(t_date,"&gt;="&amp;C63,t_date,"&lt;"&amp;EDATE(C63,1),t_status,"✅ Выполнена")</f>
        <v/>
      </c>
      <c r="G63" s="67">
        <f>IF(E63=0,"",F63/E63)</f>
        <v/>
      </c>
      <c r="H63" s="66">
        <f>COUNTIFS(t_date,"&gt;="&amp;C63,t_date,"&lt;"&amp;EDATE(C63,1),t_od,"&gt;0")</f>
        <v/>
      </c>
      <c r="I63" s="66">
        <f>COUNTIFS(t_done,"&gt;="&amp;C63,t_done,"&lt;"&amp;EDATE(C63,1))</f>
        <v/>
      </c>
      <c r="J63" s="66">
        <f>COUNTIFS(e_date,"&gt;="&amp;C63,e_date,"&lt;"&amp;EDATE(C63,1),e_name,"?*")</f>
        <v/>
      </c>
      <c r="K63" s="69">
        <f>SUMIFS(e_dur,e_date,"&gt;="&amp;C63,e_date,"&lt;"&amp;EDATE(C63,1))</f>
        <v/>
      </c>
      <c r="L63" s="69">
        <f>SUMIFS(e_dur,e_date,"&gt;="&amp;C63,e_date,"&lt;"&amp;EDATE(C63,1),e_status,"✅ Сделано")</f>
        <v/>
      </c>
    </row>
    <row r="64">
      <c r="A64" s="79" t="n">
        <v>2030</v>
      </c>
      <c r="B64" s="79" t="inlineStr">
        <is>
          <t>Декабрь</t>
        </is>
      </c>
      <c r="C64" s="80" t="n">
        <v>47818</v>
      </c>
      <c r="D64" s="79">
        <f>LEFT(B64,3)&amp;" "&amp;RIGHT(A64,2)</f>
        <v/>
      </c>
      <c r="E64" s="66">
        <f>COUNTIFS(t_date,"&gt;="&amp;C64,t_date,"&lt;"&amp;EDATE(C64,1),t_name,"?*",t_status,"&lt;&gt;❌ Отменена")</f>
        <v/>
      </c>
      <c r="F64" s="66">
        <f>COUNTIFS(t_date,"&gt;="&amp;C64,t_date,"&lt;"&amp;EDATE(C64,1),t_status,"✅ Выполнена")</f>
        <v/>
      </c>
      <c r="G64" s="67">
        <f>IF(E64=0,"",F64/E64)</f>
        <v/>
      </c>
      <c r="H64" s="66">
        <f>COUNTIFS(t_date,"&gt;="&amp;C64,t_date,"&lt;"&amp;EDATE(C64,1),t_od,"&gt;0")</f>
        <v/>
      </c>
      <c r="I64" s="66">
        <f>COUNTIFS(t_done,"&gt;="&amp;C64,t_done,"&lt;"&amp;EDATE(C64,1))</f>
        <v/>
      </c>
      <c r="J64" s="66">
        <f>COUNTIFS(e_date,"&gt;="&amp;C64,e_date,"&lt;"&amp;EDATE(C64,1),e_name,"?*")</f>
        <v/>
      </c>
      <c r="K64" s="69">
        <f>SUMIFS(e_dur,e_date,"&gt;="&amp;C64,e_date,"&lt;"&amp;EDATE(C64,1))</f>
        <v/>
      </c>
      <c r="L64" s="69">
        <f>SUMIFS(e_dur,e_date,"&gt;="&amp;C64,e_date,"&lt;"&amp;EDATE(C64,1),e_status,"✅ Сделано")</f>
        <v/>
      </c>
    </row>
    <row r="65">
      <c r="A65" s="86" t="inlineStr">
        <is>
          <t>Σ ИТОГО</t>
        </is>
      </c>
      <c r="B65" s="86" t="n"/>
      <c r="C65" s="86" t="n"/>
      <c r="D65" s="86" t="n"/>
      <c r="E65" s="87">
        <f>SUM(E5:E64)</f>
        <v/>
      </c>
      <c r="F65" s="87">
        <f>SUM(F5:F64)</f>
        <v/>
      </c>
      <c r="G65" s="88">
        <f>IF(E65=0,"",F65/E65)</f>
        <v/>
      </c>
      <c r="H65" s="87">
        <f>SUM(H5:H64)</f>
        <v/>
      </c>
      <c r="I65" s="87">
        <f>SUM(I5:I64)</f>
        <v/>
      </c>
      <c r="J65" s="87">
        <f>SUM(J5:J64)</f>
        <v/>
      </c>
      <c r="K65" s="89">
        <f>SUM(K5:K64)</f>
        <v/>
      </c>
      <c r="L65" s="89">
        <f>SUM(L5:L64)</f>
        <v/>
      </c>
    </row>
  </sheetData>
  <autoFilter ref="A4:L64"/>
  <mergeCells count="3">
    <mergeCell ref="A2:L2"/>
    <mergeCell ref="A65:D65"/>
    <mergeCell ref="A1:L1"/>
  </mergeCells>
  <conditionalFormatting sqref="A5:L64">
    <cfRule type="expression" priority="1" dxfId="13">
      <formula>AND($A5=YEAR(TODAY()),MONTH($C5)=MONTH(TODAY()))</formula>
    </cfRule>
  </conditionalFormatting>
  <conditionalFormatting sqref="G5:G65">
    <cfRule type="dataBar" priority="2">
      <dataBar>
        <cfvo type="num" val="0"/>
        <cfvo type="num" val="1"/>
        <color rgb="002E9E5B"/>
      </dataBar>
    </cfRule>
  </conditionalFormatting>
  <conditionalFormatting sqref="H5:H65">
    <cfRule type="cellIs" priority="3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62839"/>
    <outlinePr summaryBelow="1" summaryRight="1"/>
    <pageSetUpPr/>
  </sheetPr>
  <dimension ref="A1:L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" customWidth="1" min="2" max="2"/>
    <col width="22" customWidth="1" min="3" max="3"/>
    <col width="3" customWidth="1" min="4" max="4"/>
    <col width="14" customWidth="1" min="5" max="5"/>
    <col width="3" customWidth="1" min="6" max="6"/>
    <col width="16" customWidth="1" min="7" max="7"/>
    <col width="3" customWidth="1" min="8" max="8"/>
    <col width="18" customWidth="1" min="9" max="9"/>
    <col width="3" customWidth="1" min="10" max="10"/>
    <col width="9" customWidth="1" min="11" max="11"/>
    <col width="13" customWidth="1" min="12" max="12"/>
  </cols>
  <sheetData>
    <row r="1" ht="36" customHeight="1">
      <c r="A1" s="90" t="inlineStr">
        <is>
          <t>📚 Справочник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</row>
    <row r="2" ht="30" customHeight="1">
      <c r="A2" s="3" t="inlineStr">
        <is>
          <t>Источник всех выпадающих списков. Дописывайте свои группы занятий и категории в пустые жёлтые строки — они сразу появятся в списках и сводках.</t>
        </is>
      </c>
    </row>
    <row r="3">
      <c r="A3" s="18" t="inlineStr">
        <is>
          <t>Группа — сфера жизни, категория — тип дела</t>
        </is>
      </c>
    </row>
    <row r="4" ht="34" customHeight="1">
      <c r="A4" s="92" t="inlineStr">
        <is>
          <t>🗂 Группа занятий</t>
        </is>
      </c>
      <c r="C4" s="92" t="inlineStr">
        <is>
          <t>🏷 Категория</t>
        </is>
      </c>
      <c r="E4" s="92" t="inlineStr">
        <is>
          <t>🎯 Приоритет</t>
        </is>
      </c>
      <c r="G4" s="92" t="inlineStr">
        <is>
          <t>🚦 Статус задачи</t>
        </is>
      </c>
      <c r="I4" s="92" t="inlineStr">
        <is>
          <t>🚦 Статус дела</t>
        </is>
      </c>
      <c r="K4" s="92" t="inlineStr">
        <is>
          <t>📆 Год</t>
        </is>
      </c>
      <c r="L4" s="92" t="inlineStr">
        <is>
          <t>🗓 Месяц</t>
        </is>
      </c>
    </row>
    <row r="5">
      <c r="A5" s="93" t="inlineStr">
        <is>
          <t>💼 Работа</t>
        </is>
      </c>
      <c r="C5" s="93" t="inlineStr">
        <is>
          <t>📌 Задача</t>
        </is>
      </c>
      <c r="E5" s="94" t="inlineStr">
        <is>
          <t>🔥 Высокий</t>
        </is>
      </c>
      <c r="G5" s="94" t="inlineStr">
        <is>
          <t>⏳ Не начата</t>
        </is>
      </c>
      <c r="I5" s="94" t="inlineStr">
        <is>
          <t>⏰ Запланировано</t>
        </is>
      </c>
      <c r="K5" s="94" t="n">
        <v>2026</v>
      </c>
      <c r="L5" s="94" t="inlineStr">
        <is>
          <t>Январь</t>
        </is>
      </c>
    </row>
    <row r="6">
      <c r="A6" s="93" t="inlineStr">
        <is>
          <t>🏠 Дом и быт</t>
        </is>
      </c>
      <c r="C6" s="93" t="inlineStr">
        <is>
          <t>📞 Звонок</t>
        </is>
      </c>
      <c r="E6" s="94" t="inlineStr">
        <is>
          <t>⭐ Средний</t>
        </is>
      </c>
      <c r="G6" s="94" t="inlineStr">
        <is>
          <t>🔄 В работе</t>
        </is>
      </c>
      <c r="I6" s="94" t="inlineStr">
        <is>
          <t>✅ Сделано</t>
        </is>
      </c>
      <c r="K6" s="94" t="n">
        <v>2027</v>
      </c>
      <c r="L6" s="94" t="inlineStr">
        <is>
          <t>Февраль</t>
        </is>
      </c>
    </row>
    <row r="7">
      <c r="A7" s="93" t="inlineStr">
        <is>
          <t>💪 Спорт и здоровье</t>
        </is>
      </c>
      <c r="C7" s="93" t="inlineStr">
        <is>
          <t>🤝 Встреча</t>
        </is>
      </c>
      <c r="E7" s="94" t="inlineStr">
        <is>
          <t>💤 Низкий</t>
        </is>
      </c>
      <c r="G7" s="94" t="inlineStr">
        <is>
          <t>✅ Выполнена</t>
        </is>
      </c>
      <c r="I7" s="94" t="inlineStr">
        <is>
          <t>❌ Пропущено</t>
        </is>
      </c>
      <c r="K7" s="94" t="n">
        <v>2028</v>
      </c>
      <c r="L7" s="94" t="inlineStr">
        <is>
          <t>Март</t>
        </is>
      </c>
    </row>
    <row r="8">
      <c r="A8" s="93" t="inlineStr">
        <is>
          <t>📚 Учёба</t>
        </is>
      </c>
      <c r="C8" s="93" t="inlineStr">
        <is>
          <t>🛒 Покупка</t>
        </is>
      </c>
      <c r="G8" s="94" t="inlineStr">
        <is>
          <t>❌ Отменена</t>
        </is>
      </c>
      <c r="K8" s="94" t="n">
        <v>2029</v>
      </c>
      <c r="L8" s="94" t="inlineStr">
        <is>
          <t>Апрель</t>
        </is>
      </c>
    </row>
    <row r="9">
      <c r="A9" s="93" t="inlineStr">
        <is>
          <t>👪 Семья и друзья</t>
        </is>
      </c>
      <c r="C9" s="93" t="inlineStr">
        <is>
          <t>🔁 Привычка</t>
        </is>
      </c>
      <c r="K9" s="94" t="n">
        <v>2030</v>
      </c>
      <c r="L9" s="94" t="inlineStr">
        <is>
          <t>Май</t>
        </is>
      </c>
    </row>
    <row r="10">
      <c r="A10" s="93" t="inlineStr">
        <is>
          <t>🎨 Хобби</t>
        </is>
      </c>
      <c r="C10" s="93" t="inlineStr">
        <is>
          <t>📝 Документы</t>
        </is>
      </c>
      <c r="L10" s="94" t="inlineStr">
        <is>
          <t>Июнь</t>
        </is>
      </c>
    </row>
    <row r="11">
      <c r="A11" s="93" t="inlineStr">
        <is>
          <t>💰 Финансы</t>
        </is>
      </c>
      <c r="C11" s="93" t="inlineStr">
        <is>
          <t>🎉 Мероприятие</t>
        </is>
      </c>
      <c r="L11" s="94" t="inlineStr">
        <is>
          <t>Июль</t>
        </is>
      </c>
    </row>
    <row r="12">
      <c r="A12" s="93" t="inlineStr">
        <is>
          <t>🧘 Отдых</t>
        </is>
      </c>
      <c r="C12" s="93" t="inlineStr">
        <is>
          <t>💡 Идея</t>
        </is>
      </c>
      <c r="L12" s="94" t="inlineStr">
        <is>
          <t>Август</t>
        </is>
      </c>
    </row>
    <row r="13">
      <c r="A13" s="93" t="inlineStr">
        <is>
          <t>🚀 Проекты</t>
        </is>
      </c>
      <c r="C13" s="93" t="n"/>
      <c r="L13" s="94" t="inlineStr">
        <is>
          <t>Сентябрь</t>
        </is>
      </c>
    </row>
    <row r="14">
      <c r="A14" s="93" t="n"/>
      <c r="C14" s="93" t="n"/>
      <c r="L14" s="94" t="inlineStr">
        <is>
          <t>Октябрь</t>
        </is>
      </c>
    </row>
    <row r="15">
      <c r="A15" s="93" t="n"/>
      <c r="C15" s="93" t="n"/>
      <c r="L15" s="94" t="inlineStr">
        <is>
          <t>Ноябрь</t>
        </is>
      </c>
    </row>
    <row r="16">
      <c r="A16" s="93" t="n"/>
      <c r="C16" s="93" t="n"/>
      <c r="L16" s="94" t="inlineStr">
        <is>
          <t>Декабрь</t>
        </is>
      </c>
    </row>
    <row r="17">
      <c r="A17" s="93" t="n"/>
      <c r="C17" s="93" t="n"/>
    </row>
    <row r="18">
      <c r="A18" s="93" t="n"/>
      <c r="C18" s="93" t="n"/>
    </row>
    <row r="19">
      <c r="A19" s="93" t="n"/>
      <c r="C19" s="93" t="n"/>
    </row>
    <row r="20">
      <c r="A20" s="93" t="n"/>
      <c r="C20" s="93" t="n"/>
    </row>
    <row r="21">
      <c r="A21" s="93" t="n"/>
      <c r="C21" s="93" t="n"/>
    </row>
    <row r="22">
      <c r="A22" s="93" t="n"/>
      <c r="C22" s="93" t="n"/>
    </row>
    <row r="23">
      <c r="A23" s="93" t="n"/>
      <c r="C23" s="93" t="n"/>
    </row>
    <row r="24">
      <c r="A24" s="93" t="n"/>
      <c r="C24" s="93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2026-10-04T23:59:42Z</dcterms:created>
  <dcterms:modified xsi:type="dcterms:W3CDTF">2026-10-04T23:59:46Z</dcterms:modified>
</cp:coreProperties>
</file>