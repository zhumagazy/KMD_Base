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кладные" sheetId="1" state="visible" r:id="rId1"/>
  </sheets>
  <definedNames>
    <definedName name="_xlnm._FilterDatabase" localSheetId="0" hidden="1">'Накладные'!$A$1:$K$132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###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E6B3A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0" fontId="2" fillId="4" borderId="1" pivotButton="0" quotePrefix="0" xfId="0"/>
    <xf numFmtId="166" fontId="2" fillId="3" borderId="1" pivotButton="0" quotePrefix="0" xfId="0"/>
    <xf numFmtId="3" fontId="2" fillId="3" borderId="1" pivotButton="0" quotePrefix="0" xfId="0"/>
    <xf numFmtId="3" fontId="2" fillId="4" borderId="1" pivotButton="0" quotePrefix="0" xfId="0"/>
    <xf numFmtId="0" fontId="2" fillId="0" borderId="1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8" customWidth="1" min="4" max="4"/>
    <col width="12" customWidth="1" min="5" max="5"/>
    <col width="11" customWidth="1" min="6" max="6"/>
    <col width="13" customWidth="1" min="7" max="7"/>
    <col width="12" customWidth="1" min="8" max="8"/>
    <col width="14" customWidth="1" min="9" max="9"/>
    <col width="14" customWidth="1" min="10" max="10"/>
    <col width="40" customWidth="1" min="11" max="11"/>
  </cols>
  <sheetData>
    <row r="1" ht="32" customHeight="1">
      <c r="A1" s="1" t="inlineStr">
        <is>
          <t>Дата</t>
        </is>
      </c>
      <c r="B1" s="1" t="inlineStr">
        <is>
          <t>Поставщик</t>
        </is>
      </c>
      <c r="C1" s="1" t="inlineStr">
        <is>
          <t>Товар</t>
        </is>
      </c>
      <c r="D1" s="1" t="inlineStr">
        <is>
          <t>Ед.Изм</t>
        </is>
      </c>
      <c r="E1" s="1" t="inlineStr">
        <is>
          <t>Количество</t>
        </is>
      </c>
      <c r="F1" s="1" t="inlineStr">
        <is>
          <t>Цена</t>
        </is>
      </c>
      <c r="G1" s="1" t="inlineStr">
        <is>
          <t>Сумма</t>
        </is>
      </c>
      <c r="H1" s="1" t="inlineStr">
        <is>
          <t>Оплачено</t>
        </is>
      </c>
      <c r="I1" s="1" t="inlineStr">
        <is>
          <t>Остаток к оплате</t>
        </is>
      </c>
      <c r="J1" s="1" t="inlineStr">
        <is>
          <t>Статус оплаты</t>
        </is>
      </c>
      <c r="K1" s="1" t="inlineStr">
        <is>
          <t>Примечание</t>
        </is>
      </c>
    </row>
    <row r="2">
      <c r="A2" s="2" t="n">
        <v>46267</v>
      </c>
      <c r="B2" s="3" t="inlineStr">
        <is>
          <t>ТОО "ADV STORE (АДВ СТОР)"</t>
        </is>
      </c>
      <c r="C2" s="3" t="inlineStr">
        <is>
          <t>ПВХ 8 ММ ПЛ 0,45 122*244 ЭКО</t>
        </is>
      </c>
      <c r="D2" s="4" t="inlineStr">
        <is>
          <t>шт</t>
        </is>
      </c>
      <c r="E2" s="5" t="n">
        <v>1</v>
      </c>
      <c r="F2" s="6" t="n">
        <v>4200</v>
      </c>
      <c r="G2" s="7">
        <f>E2*F2</f>
        <v/>
      </c>
      <c r="H2" s="7" t="n">
        <v>0</v>
      </c>
      <c r="I2" s="7">
        <f>G2-H2</f>
        <v/>
      </c>
      <c r="J2" s="4" t="n"/>
      <c r="K2" s="8" t="inlineStr">
        <is>
          <t>Накл. №22701</t>
        </is>
      </c>
    </row>
    <row r="3">
      <c r="A3" s="2" t="n">
        <v>46267</v>
      </c>
      <c r="B3" s="3" t="inlineStr">
        <is>
          <t>ТОО "ADV STORE (АДВ СТОР)"</t>
        </is>
      </c>
      <c r="C3" s="3" t="inlineStr">
        <is>
          <t>Доставка</t>
        </is>
      </c>
      <c r="D3" s="4" t="inlineStr">
        <is>
          <t>ус</t>
        </is>
      </c>
      <c r="E3" s="5" t="n">
        <v>1</v>
      </c>
      <c r="F3" s="6" t="n">
        <v>1200</v>
      </c>
      <c r="G3" s="7">
        <f>E3*F3</f>
        <v/>
      </c>
      <c r="H3" s="7" t="n">
        <v>0</v>
      </c>
      <c r="I3" s="7">
        <f>G3-H3</f>
        <v/>
      </c>
      <c r="J3" s="4" t="n"/>
      <c r="K3" s="8" t="inlineStr">
        <is>
          <t>Накл. №22701</t>
        </is>
      </c>
    </row>
    <row r="4">
      <c r="A4" s="2" t="n">
        <v>46267</v>
      </c>
      <c r="B4" s="3" t="inlineStr">
        <is>
          <t>ТОО "ADV STORE (АДВ СТОР)"</t>
        </is>
      </c>
      <c r="C4" s="3" t="inlineStr">
        <is>
          <t>ПВХ 20мм, пл 0,45, 1,22*2,44 СЕРИИ А</t>
        </is>
      </c>
      <c r="D4" s="4" t="inlineStr">
        <is>
          <t>шт</t>
        </is>
      </c>
      <c r="E4" s="5" t="n">
        <v>1</v>
      </c>
      <c r="F4" s="6" t="n">
        <v>13500</v>
      </c>
      <c r="G4" s="7">
        <f>E4*F4</f>
        <v/>
      </c>
      <c r="H4" s="7" t="n">
        <v>0</v>
      </c>
      <c r="I4" s="7">
        <f>G4-H4</f>
        <v/>
      </c>
      <c r="J4" s="4" t="n"/>
      <c r="K4" s="8" t="inlineStr">
        <is>
          <t>Накл. №22709</t>
        </is>
      </c>
    </row>
    <row r="5">
      <c r="A5" s="2" t="n">
        <v>46267</v>
      </c>
      <c r="B5" s="3" t="inlineStr">
        <is>
          <t>ТОО "ADV STORE (АДВ СТОР)"</t>
        </is>
      </c>
      <c r="C5" s="3" t="inlineStr">
        <is>
          <t>Дистанционные держатели 12*20 серебро матовое</t>
        </is>
      </c>
      <c r="D5" s="4" t="inlineStr">
        <is>
          <t>шт</t>
        </is>
      </c>
      <c r="E5" s="5" t="n">
        <v>22</v>
      </c>
      <c r="F5" s="6" t="n">
        <v>90</v>
      </c>
      <c r="G5" s="7">
        <f>E5*F5</f>
        <v/>
      </c>
      <c r="H5" s="7" t="n">
        <v>0</v>
      </c>
      <c r="I5" s="7">
        <f>G5-H5</f>
        <v/>
      </c>
      <c r="J5" s="4" t="n"/>
      <c r="K5" s="8" t="inlineStr">
        <is>
          <t>Накл. №22721</t>
        </is>
      </c>
    </row>
    <row r="6">
      <c r="A6" s="2" t="n">
        <v>46267</v>
      </c>
      <c r="B6" s="3" t="inlineStr">
        <is>
          <t>ТОО "ADV STORE (АДВ СТОР)"</t>
        </is>
      </c>
      <c r="C6" s="3" t="inlineStr">
        <is>
          <t>Дистанционные держатели 25*30 серебро матовое</t>
        </is>
      </c>
      <c r="D6" s="4" t="inlineStr">
        <is>
          <t>шт</t>
        </is>
      </c>
      <c r="E6" s="5" t="n">
        <v>8</v>
      </c>
      <c r="F6" s="6" t="n">
        <v>200</v>
      </c>
      <c r="G6" s="7">
        <f>E6*F6</f>
        <v/>
      </c>
      <c r="H6" s="7" t="n">
        <v>0</v>
      </c>
      <c r="I6" s="7">
        <f>G6-H6</f>
        <v/>
      </c>
      <c r="J6" s="4" t="n"/>
      <c r="K6" s="8" t="inlineStr">
        <is>
          <t>Накл. №22721</t>
        </is>
      </c>
    </row>
    <row r="7">
      <c r="A7" s="2" t="n">
        <v>46267</v>
      </c>
      <c r="B7" s="3" t="inlineStr">
        <is>
          <t>ТОО "ADV STORE (АДВ СТОР)"</t>
        </is>
      </c>
      <c r="C7" s="3" t="inlineStr">
        <is>
          <t>Диодная лента 1м/120 шт 12V белый 4000k S</t>
        </is>
      </c>
      <c r="D7" s="4" t="inlineStr">
        <is>
          <t>м</t>
        </is>
      </c>
      <c r="E7" s="5" t="n">
        <v>30</v>
      </c>
      <c r="F7" s="6" t="n">
        <v>500</v>
      </c>
      <c r="G7" s="7">
        <f>E7*F7</f>
        <v/>
      </c>
      <c r="H7" s="7" t="n">
        <v>0</v>
      </c>
      <c r="I7" s="7">
        <f>G7-H7</f>
        <v/>
      </c>
      <c r="J7" s="4" t="n"/>
      <c r="K7" s="8" t="inlineStr">
        <is>
          <t>Накл. №22721</t>
        </is>
      </c>
    </row>
    <row r="8">
      <c r="A8" s="2" t="n">
        <v>46267</v>
      </c>
      <c r="B8" s="3" t="inlineStr">
        <is>
          <t>ТОО "ADV STORE (АДВ СТОР)"</t>
        </is>
      </c>
      <c r="C8" s="3" t="inlineStr">
        <is>
          <t>Нож 9mm A300G ЖЕЛЕЗНЫЙ ЧЕРНЫЙ</t>
        </is>
      </c>
      <c r="D8" s="4" t="inlineStr">
        <is>
          <t>шт</t>
        </is>
      </c>
      <c r="E8" s="5" t="n">
        <v>2</v>
      </c>
      <c r="F8" s="6" t="n">
        <v>2500</v>
      </c>
      <c r="G8" s="7">
        <f>E8*F8</f>
        <v/>
      </c>
      <c r="H8" s="7" t="n">
        <v>0</v>
      </c>
      <c r="I8" s="7">
        <f>G8-H8</f>
        <v/>
      </c>
      <c r="J8" s="4" t="n"/>
      <c r="K8" s="8" t="inlineStr">
        <is>
          <t>Накл. №22721</t>
        </is>
      </c>
    </row>
    <row r="9">
      <c r="A9" s="2" t="n">
        <v>46267</v>
      </c>
      <c r="B9" s="3" t="inlineStr">
        <is>
          <t>ТОО "ADV STORE (АДВ СТОР)"</t>
        </is>
      </c>
      <c r="C9" s="3" t="inlineStr">
        <is>
          <t>Нож дятел 9мм FD-708</t>
        </is>
      </c>
      <c r="D9" s="4" t="inlineStr">
        <is>
          <t>шт</t>
        </is>
      </c>
      <c r="E9" s="5" t="n">
        <v>2</v>
      </c>
      <c r="F9" s="6" t="n">
        <v>800</v>
      </c>
      <c r="G9" s="7">
        <f>E9*F9</f>
        <v/>
      </c>
      <c r="H9" s="7" t="n">
        <v>0</v>
      </c>
      <c r="I9" s="7">
        <f>G9-H9</f>
        <v/>
      </c>
      <c r="J9" s="4" t="n"/>
      <c r="K9" s="8" t="inlineStr">
        <is>
          <t>Накл. №22721</t>
        </is>
      </c>
    </row>
    <row r="10">
      <c r="A10" s="2" t="n">
        <v>46267</v>
      </c>
      <c r="B10" s="3" t="inlineStr">
        <is>
          <t>ТОО "ADV STORE (АДВ СТОР)"</t>
        </is>
      </c>
      <c r="C10" s="3" t="inlineStr">
        <is>
          <t>Провод ШВВП 2*0,75 белый</t>
        </is>
      </c>
      <c r="D10" s="4" t="inlineStr">
        <is>
          <t>м</t>
        </is>
      </c>
      <c r="E10" s="5" t="n">
        <v>30</v>
      </c>
      <c r="F10" s="6" t="n">
        <v>130</v>
      </c>
      <c r="G10" s="7">
        <f>E10*F10</f>
        <v/>
      </c>
      <c r="H10" s="7" t="n">
        <v>0</v>
      </c>
      <c r="I10" s="7">
        <f>G10-H10</f>
        <v/>
      </c>
      <c r="J10" s="4" t="n"/>
      <c r="K10" s="8" t="inlineStr">
        <is>
          <t>Накл. №22721</t>
        </is>
      </c>
    </row>
    <row r="11">
      <c r="A11" s="2" t="n">
        <v>46267</v>
      </c>
      <c r="B11" s="3" t="inlineStr">
        <is>
          <t>ТОО "ADV STORE (АДВ СТОР)"</t>
        </is>
      </c>
      <c r="C11" s="3" t="inlineStr">
        <is>
          <t>Провод ШВВП 2*0,75 черный</t>
        </is>
      </c>
      <c r="D11" s="4" t="inlineStr">
        <is>
          <t>м</t>
        </is>
      </c>
      <c r="E11" s="5" t="n">
        <v>60</v>
      </c>
      <c r="F11" s="6" t="n">
        <v>130</v>
      </c>
      <c r="G11" s="7">
        <f>E11*F11</f>
        <v/>
      </c>
      <c r="H11" s="7" t="n">
        <v>0</v>
      </c>
      <c r="I11" s="7">
        <f>G11-H11</f>
        <v/>
      </c>
      <c r="J11" s="4" t="n"/>
      <c r="K11" s="8" t="inlineStr">
        <is>
          <t>Накл. №22721</t>
        </is>
      </c>
    </row>
    <row r="12">
      <c r="A12" s="2" t="n">
        <v>46267</v>
      </c>
      <c r="B12" s="3" t="inlineStr">
        <is>
          <t>ТОО "ADV STORE (АДВ СТОР)"</t>
        </is>
      </c>
      <c r="C12" s="3" t="inlineStr">
        <is>
          <t>Изолента 15мм*20м белая Aviora/200 305-060</t>
        </is>
      </c>
      <c r="D12" s="4" t="inlineStr">
        <is>
          <t>шт</t>
        </is>
      </c>
      <c r="E12" s="5" t="n">
        <v>2</v>
      </c>
      <c r="F12" s="6" t="n">
        <v>500</v>
      </c>
      <c r="G12" s="7">
        <f>E12*F12</f>
        <v/>
      </c>
      <c r="H12" s="7" t="n">
        <v>0</v>
      </c>
      <c r="I12" s="7">
        <f>G12-H12</f>
        <v/>
      </c>
      <c r="J12" s="4" t="n"/>
      <c r="K12" s="8" t="inlineStr">
        <is>
          <t>Накл. №22721</t>
        </is>
      </c>
    </row>
    <row r="13">
      <c r="A13" s="2" t="n">
        <v>46267</v>
      </c>
      <c r="B13" s="3" t="inlineStr">
        <is>
          <t>ТОО "ADV STORE (АДВ СТОР)"</t>
        </is>
      </c>
      <c r="C13" s="3" t="inlineStr">
        <is>
          <t>Изолента 15мм*20м черная Aviora/200 305-004</t>
        </is>
      </c>
      <c r="D13" s="4" t="inlineStr">
        <is>
          <t>шт</t>
        </is>
      </c>
      <c r="E13" s="5" t="n">
        <v>2</v>
      </c>
      <c r="F13" s="6" t="n">
        <v>500</v>
      </c>
      <c r="G13" s="7">
        <f>E13*F13</f>
        <v/>
      </c>
      <c r="H13" s="7" t="n">
        <v>0</v>
      </c>
      <c r="I13" s="7">
        <f>G13-H13</f>
        <v/>
      </c>
      <c r="J13" s="4" t="n"/>
      <c r="K13" s="8" t="inlineStr">
        <is>
          <t>Накл. №22721</t>
        </is>
      </c>
    </row>
    <row r="14">
      <c r="A14" s="2" t="n">
        <v>46268</v>
      </c>
      <c r="B14" s="3" t="inlineStr">
        <is>
          <t>ТОО "ADV STORE (АДВ СТОР)"</t>
        </is>
      </c>
      <c r="C14" s="3" t="inlineStr">
        <is>
          <t>Провод ПРОЗРАЧНЫЙ 2*0,35</t>
        </is>
      </c>
      <c r="D14" s="4" t="inlineStr">
        <is>
          <t>м</t>
        </is>
      </c>
      <c r="E14" s="5" t="n">
        <v>20</v>
      </c>
      <c r="F14" s="6" t="n">
        <v>130</v>
      </c>
      <c r="G14" s="7">
        <f>E14*F14</f>
        <v/>
      </c>
      <c r="H14" s="7" t="n">
        <v>0</v>
      </c>
      <c r="I14" s="7">
        <f>G14-H14</f>
        <v/>
      </c>
      <c r="J14" s="4" t="n"/>
      <c r="K14" s="8" t="inlineStr">
        <is>
          <t>Накл. №22858</t>
        </is>
      </c>
    </row>
    <row r="15">
      <c r="A15" s="2" t="n">
        <v>46268</v>
      </c>
      <c r="B15" s="3" t="inlineStr">
        <is>
          <t>ТОО "ADV STORE (АДВ СТОР)"</t>
        </is>
      </c>
      <c r="C15" s="3" t="inlineStr">
        <is>
          <t>Краска Arton A911 Black черный</t>
        </is>
      </c>
      <c r="D15" s="4" t="inlineStr">
        <is>
          <t>шт</t>
        </is>
      </c>
      <c r="E15" s="5" t="n">
        <v>1</v>
      </c>
      <c r="F15" s="6" t="n">
        <v>4500</v>
      </c>
      <c r="G15" s="7">
        <f>E15*F15</f>
        <v/>
      </c>
      <c r="H15" s="7" t="n">
        <v>0</v>
      </c>
      <c r="I15" s="7">
        <f>G15-H15</f>
        <v/>
      </c>
      <c r="J15" s="4" t="n"/>
      <c r="K15" s="8" t="inlineStr">
        <is>
          <t>Накл. №22858</t>
        </is>
      </c>
    </row>
    <row r="16">
      <c r="A16" s="2" t="n">
        <v>46269</v>
      </c>
      <c r="B16" s="3" t="inlineStr">
        <is>
          <t>ТОО "ADV STORE (АДВ СТОР)"</t>
        </is>
      </c>
      <c r="C16" s="3" t="inlineStr">
        <is>
          <t>АКРИЛ 2,5мм белый 425 122*244 ЭКО</t>
        </is>
      </c>
      <c r="D16" s="4" t="inlineStr">
        <is>
          <t>шт</t>
        </is>
      </c>
      <c r="E16" s="5" t="n">
        <v>1</v>
      </c>
      <c r="F16" s="6" t="n">
        <v>17800</v>
      </c>
      <c r="G16" s="7">
        <f>E16*F16</f>
        <v/>
      </c>
      <c r="H16" s="7" t="n">
        <v>0</v>
      </c>
      <c r="I16" s="7">
        <f>G16-H16</f>
        <v/>
      </c>
      <c r="J16" s="4" t="n"/>
      <c r="K16" s="8" t="inlineStr">
        <is>
          <t>Накл. №22983</t>
        </is>
      </c>
    </row>
    <row r="17">
      <c r="A17" s="2" t="n">
        <v>46269</v>
      </c>
      <c r="B17" s="3" t="inlineStr">
        <is>
          <t>ТОО "ADV STORE (АДВ СТОР)"</t>
        </is>
      </c>
      <c r="C17" s="3" t="inlineStr">
        <is>
          <t>АКРИЛ 3мм(2,5) черный 502 122*244 ЭКО</t>
        </is>
      </c>
      <c r="D17" s="4" t="inlineStr">
        <is>
          <t>шт</t>
        </is>
      </c>
      <c r="E17" s="5" t="n">
        <v>1</v>
      </c>
      <c r="F17" s="6" t="n">
        <v>17800</v>
      </c>
      <c r="G17" s="7">
        <f>E17*F17</f>
        <v/>
      </c>
      <c r="H17" s="7" t="n">
        <v>0</v>
      </c>
      <c r="I17" s="7">
        <f>G17-H17</f>
        <v/>
      </c>
      <c r="J17" s="4" t="n"/>
      <c r="K17" s="8" t="inlineStr">
        <is>
          <t>Накл. №22992</t>
        </is>
      </c>
    </row>
    <row r="18">
      <c r="A18" s="2" t="n">
        <v>46269</v>
      </c>
      <c r="B18" s="3" t="inlineStr">
        <is>
          <t>ТОО "ADV STORE (АДВ СТОР)"</t>
        </is>
      </c>
      <c r="C18" s="3" t="inlineStr">
        <is>
          <t>АКРИЛ 3мм(2,5) прозрачный 000 122*244 ЭКО</t>
        </is>
      </c>
      <c r="D18" s="4" t="inlineStr">
        <is>
          <t>шт</t>
        </is>
      </c>
      <c r="E18" s="5" t="n">
        <v>1</v>
      </c>
      <c r="F18" s="6" t="n">
        <v>17800</v>
      </c>
      <c r="G18" s="7">
        <f>E18*F18</f>
        <v/>
      </c>
      <c r="H18" s="7" t="n">
        <v>0</v>
      </c>
      <c r="I18" s="7">
        <f>G18-H18</f>
        <v/>
      </c>
      <c r="J18" s="4" t="n"/>
      <c r="K18" s="8" t="inlineStr">
        <is>
          <t>Накл. №23050</t>
        </is>
      </c>
    </row>
    <row r="19">
      <c r="A19" s="2" t="n">
        <v>46270</v>
      </c>
      <c r="B19" s="3" t="inlineStr">
        <is>
          <t>ТОО "ADV STORE (АДВ СТОР)"</t>
        </is>
      </c>
      <c r="C19" s="3" t="inlineStr">
        <is>
          <t>АКРИЛ 3мм(2,5) черный 502 122*244 ЭКО</t>
        </is>
      </c>
      <c r="D19" s="4" t="inlineStr">
        <is>
          <t>шт</t>
        </is>
      </c>
      <c r="E19" s="5" t="n">
        <v>7</v>
      </c>
      <c r="F19" s="6" t="n">
        <v>17800</v>
      </c>
      <c r="G19" s="7">
        <f>E19*F19</f>
        <v/>
      </c>
      <c r="H19" s="7" t="n">
        <v>0</v>
      </c>
      <c r="I19" s="7">
        <f>G19-H19</f>
        <v/>
      </c>
      <c r="J19" s="4" t="n"/>
      <c r="K19" s="8" t="inlineStr">
        <is>
          <t>Накл. №23074</t>
        </is>
      </c>
    </row>
    <row r="20">
      <c r="A20" s="2" t="n">
        <v>46270</v>
      </c>
      <c r="B20" s="3" t="inlineStr">
        <is>
          <t>ТОО "ADV STORE (АДВ СТОР)"</t>
        </is>
      </c>
      <c r="C20" s="3" t="inlineStr">
        <is>
          <t>АКРИЛ 2,5мм белый 425 122*244 ЭКО</t>
        </is>
      </c>
      <c r="D20" s="4" t="inlineStr">
        <is>
          <t>шт</t>
        </is>
      </c>
      <c r="E20" s="5" t="n">
        <v>7</v>
      </c>
      <c r="F20" s="6" t="n">
        <v>17800</v>
      </c>
      <c r="G20" s="7">
        <f>E20*F20</f>
        <v/>
      </c>
      <c r="H20" s="7" t="n">
        <v>0</v>
      </c>
      <c r="I20" s="7">
        <f>G20-H20</f>
        <v/>
      </c>
      <c r="J20" s="4" t="n"/>
      <c r="K20" s="8" t="inlineStr">
        <is>
          <t>Накл. №23074</t>
        </is>
      </c>
    </row>
    <row r="21">
      <c r="A21" s="2" t="n">
        <v>46270</v>
      </c>
      <c r="B21" s="3" t="inlineStr">
        <is>
          <t>ТОО "ADV STORE (АДВ СТОР)"</t>
        </is>
      </c>
      <c r="C21" s="3" t="inlineStr">
        <is>
          <t>ПВХ 8 ММ ПЛ 0,45 122*244 ЭКО</t>
        </is>
      </c>
      <c r="D21" s="4" t="inlineStr">
        <is>
          <t>шт</t>
        </is>
      </c>
      <c r="E21" s="5" t="n">
        <v>12</v>
      </c>
      <c r="F21" s="6" t="n">
        <v>4200</v>
      </c>
      <c r="G21" s="7">
        <f>E21*F21</f>
        <v/>
      </c>
      <c r="H21" s="7" t="n">
        <v>0</v>
      </c>
      <c r="I21" s="7">
        <f>G21-H21</f>
        <v/>
      </c>
      <c r="J21" s="4" t="n"/>
      <c r="K21" s="8" t="inlineStr">
        <is>
          <t>Накл. №23074</t>
        </is>
      </c>
    </row>
    <row r="22">
      <c r="A22" s="2" t="n">
        <v>46270</v>
      </c>
      <c r="B22" s="3" t="inlineStr">
        <is>
          <t>ТОО "ADV STORE (АДВ СТОР)"</t>
        </is>
      </c>
      <c r="C22" s="3" t="inlineStr">
        <is>
          <t>Скотч двусторонний 1,24м*50м 140мик прозрачный</t>
        </is>
      </c>
      <c r="D22" s="4" t="inlineStr">
        <is>
          <t>м</t>
        </is>
      </c>
      <c r="E22" s="5" t="n">
        <v>20</v>
      </c>
      <c r="F22" s="6" t="n">
        <v>2400</v>
      </c>
      <c r="G22" s="7">
        <f>E22*F22</f>
        <v/>
      </c>
      <c r="H22" s="7" t="n">
        <v>0</v>
      </c>
      <c r="I22" s="7">
        <f>G22-H22</f>
        <v/>
      </c>
      <c r="J22" s="4" t="n"/>
      <c r="K22" s="8" t="inlineStr">
        <is>
          <t>Накл. №23074</t>
        </is>
      </c>
    </row>
    <row r="23">
      <c r="A23" s="2" t="n">
        <v>46270</v>
      </c>
      <c r="B23" s="3" t="inlineStr">
        <is>
          <t>ТОО "ADV STORE (АДВ СТОР)"</t>
        </is>
      </c>
      <c r="C23" s="3" t="inlineStr">
        <is>
          <t>Доставка</t>
        </is>
      </c>
      <c r="D23" s="4" t="inlineStr">
        <is>
          <t>ус</t>
        </is>
      </c>
      <c r="E23" s="5" t="n">
        <v>1</v>
      </c>
      <c r="F23" s="6" t="n">
        <v>1200</v>
      </c>
      <c r="G23" s="7">
        <f>E23*F23</f>
        <v/>
      </c>
      <c r="H23" s="7" t="n">
        <v>0</v>
      </c>
      <c r="I23" s="7">
        <f>G23-H23</f>
        <v/>
      </c>
      <c r="J23" s="4" t="n"/>
      <c r="K23" s="8" t="inlineStr">
        <is>
          <t>Накл. №23074</t>
        </is>
      </c>
    </row>
    <row r="24">
      <c r="A24" s="2" t="n">
        <v>46272</v>
      </c>
      <c r="B24" s="3" t="inlineStr">
        <is>
          <t>ТОО "ADV STORE (АДВ СТОР)"</t>
        </is>
      </c>
      <c r="C24" s="3" t="inlineStr">
        <is>
          <t>ПВХ 3мм, пл 0,6, 1,22*2,44</t>
        </is>
      </c>
      <c r="D24" s="4" t="inlineStr">
        <is>
          <t>шт</t>
        </is>
      </c>
      <c r="E24" s="5" t="n">
        <v>2</v>
      </c>
      <c r="F24" s="6" t="n">
        <v>5800</v>
      </c>
      <c r="G24" s="7">
        <f>E24*F24</f>
        <v/>
      </c>
      <c r="H24" s="7" t="n">
        <v>0</v>
      </c>
      <c r="I24" s="7">
        <f>G24-H24</f>
        <v/>
      </c>
      <c r="J24" s="4" t="n"/>
      <c r="K24" s="8" t="inlineStr">
        <is>
          <t>Накл. №23159</t>
        </is>
      </c>
    </row>
    <row r="25">
      <c r="A25" s="2" t="n">
        <v>46272</v>
      </c>
      <c r="B25" s="3" t="inlineStr">
        <is>
          <t>ТОО "ADV STORE (АДВ СТОР)"</t>
        </is>
      </c>
      <c r="C25" s="3" t="inlineStr">
        <is>
          <t>ПВХ 5 ММ ПЛ 0,45 122*244 ЭКО</t>
        </is>
      </c>
      <c r="D25" s="4" t="inlineStr">
        <is>
          <t>шт</t>
        </is>
      </c>
      <c r="E25" s="5" t="n">
        <v>2</v>
      </c>
      <c r="F25" s="6" t="n">
        <v>2500</v>
      </c>
      <c r="G25" s="7">
        <f>E25*F25</f>
        <v/>
      </c>
      <c r="H25" s="7" t="n">
        <v>0</v>
      </c>
      <c r="I25" s="7">
        <f>G25-H25</f>
        <v/>
      </c>
      <c r="J25" s="4" t="n"/>
      <c r="K25" s="8" t="inlineStr">
        <is>
          <t>Накл. №23159</t>
        </is>
      </c>
    </row>
    <row r="26">
      <c r="A26" s="2" t="n">
        <v>46272</v>
      </c>
      <c r="B26" s="3" t="inlineStr">
        <is>
          <t>ТОО "ADV STORE (АДВ СТОР)"</t>
        </is>
      </c>
      <c r="C26" s="3" t="inlineStr">
        <is>
          <t>Доставка</t>
        </is>
      </c>
      <c r="D26" s="4" t="inlineStr">
        <is>
          <t>ус</t>
        </is>
      </c>
      <c r="E26" s="5" t="n">
        <v>1</v>
      </c>
      <c r="F26" s="6" t="n">
        <v>1200</v>
      </c>
      <c r="G26" s="7">
        <f>E26*F26</f>
        <v/>
      </c>
      <c r="H26" s="7" t="n">
        <v>0</v>
      </c>
      <c r="I26" s="7">
        <f>G26-H26</f>
        <v/>
      </c>
      <c r="J26" s="4" t="n"/>
      <c r="K26" s="8" t="inlineStr">
        <is>
          <t>Накл. №23159</t>
        </is>
      </c>
    </row>
    <row r="27">
      <c r="A27" s="2" t="n">
        <v>46272</v>
      </c>
      <c r="B27" s="3" t="inlineStr">
        <is>
          <t>ТОО "ADV STORE (АДВ СТОР)"</t>
        </is>
      </c>
      <c r="C27" s="3" t="inlineStr">
        <is>
          <t>Пленка для печати матовая 140гр, 1,27*50</t>
        </is>
      </c>
      <c r="D27" s="4" t="inlineStr">
        <is>
          <t>р.</t>
        </is>
      </c>
      <c r="E27" s="5" t="n">
        <v>1</v>
      </c>
      <c r="F27" s="6" t="n">
        <v>28000</v>
      </c>
      <c r="G27" s="7">
        <f>E27*F27</f>
        <v/>
      </c>
      <c r="H27" s="7" t="n">
        <v>0</v>
      </c>
      <c r="I27" s="7">
        <f>G27-H27</f>
        <v/>
      </c>
      <c r="J27" s="4" t="n"/>
      <c r="K27" s="8" t="inlineStr">
        <is>
          <t>Накл. №23167</t>
        </is>
      </c>
    </row>
    <row r="28">
      <c r="A28" s="2" t="n">
        <v>46272</v>
      </c>
      <c r="B28" s="3" t="inlineStr">
        <is>
          <t>ТОО "ADV STORE (АДВ СТОР)"</t>
        </is>
      </c>
      <c r="C28" s="3" t="inlineStr">
        <is>
          <t>Диоды 220v 4-х 1/1 6000к (7*7СМ)</t>
        </is>
      </c>
      <c r="D28" s="4" t="inlineStr">
        <is>
          <t>шт</t>
        </is>
      </c>
      <c r="E28" s="5" t="n">
        <v>40</v>
      </c>
      <c r="F28" s="6" t="n">
        <v>160</v>
      </c>
      <c r="G28" s="7">
        <f>E28*F28</f>
        <v/>
      </c>
      <c r="H28" s="7" t="n">
        <v>0</v>
      </c>
      <c r="I28" s="7">
        <f>G28-H28</f>
        <v/>
      </c>
      <c r="J28" s="4" t="n"/>
      <c r="K28" s="8" t="inlineStr">
        <is>
          <t>Накл. №23167</t>
        </is>
      </c>
    </row>
    <row r="29">
      <c r="A29" s="2" t="n">
        <v>46272</v>
      </c>
      <c r="B29" s="3" t="inlineStr">
        <is>
          <t>ТОО "ADV STORE (АДВ СТОР)"</t>
        </is>
      </c>
      <c r="C29" s="3" t="inlineStr">
        <is>
          <t>Трансформатор -150W эко закрытый</t>
        </is>
      </c>
      <c r="D29" s="4" t="inlineStr">
        <is>
          <t>шт</t>
        </is>
      </c>
      <c r="E29" s="5" t="n">
        <v>1</v>
      </c>
      <c r="F29" s="6" t="n">
        <v>6300</v>
      </c>
      <c r="G29" s="7">
        <f>E29*F29</f>
        <v/>
      </c>
      <c r="H29" s="7" t="n">
        <v>0</v>
      </c>
      <c r="I29" s="7">
        <f>G29-H29</f>
        <v/>
      </c>
      <c r="J29" s="4" t="n"/>
      <c r="K29" s="8" t="inlineStr">
        <is>
          <t>Накл. №23167</t>
        </is>
      </c>
    </row>
    <row r="30">
      <c r="A30" s="2" t="n">
        <v>46272</v>
      </c>
      <c r="B30" s="3" t="inlineStr">
        <is>
          <t>ТОО "ADV STORE (АДВ СТОР)"</t>
        </is>
      </c>
      <c r="C30" s="3" t="inlineStr">
        <is>
          <t>Трансформатор -200W эко закрытый</t>
        </is>
      </c>
      <c r="D30" s="4" t="inlineStr">
        <is>
          <t>шт</t>
        </is>
      </c>
      <c r="E30" s="5" t="n">
        <v>3</v>
      </c>
      <c r="F30" s="6" t="n">
        <v>7300</v>
      </c>
      <c r="G30" s="7">
        <f>E30*F30</f>
        <v/>
      </c>
      <c r="H30" s="7" t="n">
        <v>0</v>
      </c>
      <c r="I30" s="7">
        <f>G30-H30</f>
        <v/>
      </c>
      <c r="J30" s="4" t="n"/>
      <c r="K30" s="8" t="inlineStr">
        <is>
          <t>Накл. №23167</t>
        </is>
      </c>
    </row>
    <row r="31">
      <c r="A31" s="2" t="n">
        <v>46272</v>
      </c>
      <c r="B31" s="3" t="inlineStr">
        <is>
          <t>ТОО "ADV STORE (АДВ СТОР)"</t>
        </is>
      </c>
      <c r="C31" s="3" t="inlineStr">
        <is>
          <t>Трансформатор -250W эко закрытый</t>
        </is>
      </c>
      <c r="D31" s="4" t="inlineStr">
        <is>
          <t>шт</t>
        </is>
      </c>
      <c r="E31" s="5" t="n">
        <v>2</v>
      </c>
      <c r="F31" s="6" t="n">
        <v>8300</v>
      </c>
      <c r="G31" s="7">
        <f>E31*F31</f>
        <v/>
      </c>
      <c r="H31" s="7" t="n">
        <v>0</v>
      </c>
      <c r="I31" s="7">
        <f>G31-H31</f>
        <v/>
      </c>
      <c r="J31" s="4" t="n"/>
      <c r="K31" s="8" t="inlineStr">
        <is>
          <t>Накл. №23167</t>
        </is>
      </c>
    </row>
    <row r="32">
      <c r="A32" s="2" t="n">
        <v>46272</v>
      </c>
      <c r="B32" s="3" t="inlineStr">
        <is>
          <t>ТОО "ADV STORE (АДВ СТОР)"</t>
        </is>
      </c>
      <c r="C32" s="3" t="inlineStr">
        <is>
          <t>Трансформатор -300W эко закрытый</t>
        </is>
      </c>
      <c r="D32" s="4" t="inlineStr">
        <is>
          <t>шт</t>
        </is>
      </c>
      <c r="E32" s="5" t="n">
        <v>1</v>
      </c>
      <c r="F32" s="6" t="n">
        <v>9700</v>
      </c>
      <c r="G32" s="7">
        <f>E32*F32</f>
        <v/>
      </c>
      <c r="H32" s="7" t="n">
        <v>0</v>
      </c>
      <c r="I32" s="7">
        <f>G32-H32</f>
        <v/>
      </c>
      <c r="J32" s="4" t="n"/>
      <c r="K32" s="8" t="inlineStr">
        <is>
          <t>Накл. №23167</t>
        </is>
      </c>
    </row>
    <row r="33">
      <c r="A33" s="2" t="n">
        <v>46272</v>
      </c>
      <c r="B33" s="3" t="inlineStr">
        <is>
          <t>ТОО "ADV STORE (АДВ СТОР)"</t>
        </is>
      </c>
      <c r="C33" s="3" t="inlineStr">
        <is>
          <t>Скотч двусторонний черный 2см*50м</t>
        </is>
      </c>
      <c r="D33" s="4" t="inlineStr">
        <is>
          <t>р.</t>
        </is>
      </c>
      <c r="E33" s="5" t="n">
        <v>2</v>
      </c>
      <c r="F33" s="6" t="n">
        <v>3100</v>
      </c>
      <c r="G33" s="7">
        <f>E33*F33</f>
        <v/>
      </c>
      <c r="H33" s="7" t="n">
        <v>0</v>
      </c>
      <c r="I33" s="7">
        <f>G33-H33</f>
        <v/>
      </c>
      <c r="J33" s="4" t="n"/>
      <c r="K33" s="8" t="inlineStr">
        <is>
          <t>Накл. №23167</t>
        </is>
      </c>
    </row>
    <row r="34">
      <c r="A34" s="2" t="n">
        <v>46272</v>
      </c>
      <c r="B34" s="3" t="inlineStr">
        <is>
          <t>ТОО "ADV STORE (АДВ СТОР)"</t>
        </is>
      </c>
      <c r="C34" s="3" t="inlineStr">
        <is>
          <t>Запаска TAJIMA 9мм</t>
        </is>
      </c>
      <c r="D34" s="4" t="inlineStr">
        <is>
          <t>шт</t>
        </is>
      </c>
      <c r="E34" s="5" t="n">
        <v>2</v>
      </c>
      <c r="F34" s="6" t="n">
        <v>1400</v>
      </c>
      <c r="G34" s="7">
        <f>E34*F34</f>
        <v/>
      </c>
      <c r="H34" s="7" t="n">
        <v>0</v>
      </c>
      <c r="I34" s="7">
        <f>G34-H34</f>
        <v/>
      </c>
      <c r="J34" s="4" t="n"/>
      <c r="K34" s="8" t="inlineStr">
        <is>
          <t>Накл. №23167</t>
        </is>
      </c>
    </row>
    <row r="35">
      <c r="A35" s="2" t="n">
        <v>46272</v>
      </c>
      <c r="B35" s="3" t="inlineStr">
        <is>
          <t>ТОО "ADV STORE (АДВ СТОР)"</t>
        </is>
      </c>
      <c r="C35" s="3" t="inlineStr">
        <is>
          <t>Клей Akfix 400 мл</t>
        </is>
      </c>
      <c r="D35" s="4" t="inlineStr">
        <is>
          <t>шт</t>
        </is>
      </c>
      <c r="E35" s="5" t="n">
        <v>4</v>
      </c>
      <c r="F35" s="6" t="n">
        <v>2200</v>
      </c>
      <c r="G35" s="7">
        <f>E35*F35</f>
        <v/>
      </c>
      <c r="H35" s="7" t="n">
        <v>0</v>
      </c>
      <c r="I35" s="7">
        <f>G35-H35</f>
        <v/>
      </c>
      <c r="J35" s="4" t="n"/>
      <c r="K35" s="8" t="inlineStr">
        <is>
          <t>Накл. №23167</t>
        </is>
      </c>
    </row>
    <row r="36">
      <c r="A36" s="2" t="n">
        <v>46273</v>
      </c>
      <c r="B36" s="3" t="inlineStr">
        <is>
          <t>ТОО "ADV STORE (АДВ СТОР)"</t>
        </is>
      </c>
      <c r="C36" s="3" t="inlineStr">
        <is>
          <t>ПВХ 5мм, пл 0,6, 1,22*2,44</t>
        </is>
      </c>
      <c r="D36" s="4" t="inlineStr">
        <is>
          <t>шт</t>
        </is>
      </c>
      <c r="E36" s="5" t="n">
        <v>18</v>
      </c>
      <c r="F36" s="6" t="n">
        <v>8200</v>
      </c>
      <c r="G36" s="7">
        <f>E36*F36</f>
        <v/>
      </c>
      <c r="H36" s="7" t="n">
        <v>0</v>
      </c>
      <c r="I36" s="7">
        <f>G36-H36</f>
        <v/>
      </c>
      <c r="J36" s="4" t="n"/>
      <c r="K36" s="8" t="inlineStr">
        <is>
          <t>Накл. №23281</t>
        </is>
      </c>
    </row>
    <row r="37">
      <c r="A37" s="2" t="n">
        <v>46273</v>
      </c>
      <c r="B37" s="3" t="inlineStr">
        <is>
          <t>ТОО "ADV STORE (АДВ СТОР)"</t>
        </is>
      </c>
      <c r="C37" s="3" t="inlineStr">
        <is>
          <t>Доставка</t>
        </is>
      </c>
      <c r="D37" s="4" t="inlineStr">
        <is>
          <t>ус</t>
        </is>
      </c>
      <c r="E37" s="5" t="n">
        <v>1</v>
      </c>
      <c r="F37" s="6" t="n">
        <v>1200</v>
      </c>
      <c r="G37" s="7">
        <f>E37*F37</f>
        <v/>
      </c>
      <c r="H37" s="7" t="n">
        <v>0</v>
      </c>
      <c r="I37" s="7">
        <f>G37-H37</f>
        <v/>
      </c>
      <c r="J37" s="4" t="n"/>
      <c r="K37" s="8" t="inlineStr">
        <is>
          <t>Накл. №23281</t>
        </is>
      </c>
    </row>
    <row r="38">
      <c r="A38" s="2" t="n">
        <v>46273</v>
      </c>
      <c r="B38" s="3" t="inlineStr">
        <is>
          <t>ТОО "ADV STORE (АДВ СТОР)"</t>
        </is>
      </c>
      <c r="C38" s="3" t="inlineStr">
        <is>
          <t>Диоды линза 12v трехточечные 1,5W белые 6000к</t>
        </is>
      </c>
      <c r="D38" s="4" t="inlineStr">
        <is>
          <t>шт</t>
        </is>
      </c>
      <c r="E38" s="5" t="n">
        <v>600</v>
      </c>
      <c r="F38" s="6" t="n">
        <v>35</v>
      </c>
      <c r="G38" s="7">
        <f>E38*F38</f>
        <v/>
      </c>
      <c r="H38" s="7" t="n">
        <v>0</v>
      </c>
      <c r="I38" s="7">
        <f>G38-H38</f>
        <v/>
      </c>
      <c r="J38" s="4" t="n"/>
      <c r="K38" s="8" t="inlineStr">
        <is>
          <t>Накл. №23309</t>
        </is>
      </c>
    </row>
    <row r="39">
      <c r="A39" s="2" t="n">
        <v>46273</v>
      </c>
      <c r="B39" s="3" t="inlineStr">
        <is>
          <t>ТОО "ADV STORE (АДВ СТОР)"</t>
        </is>
      </c>
      <c r="C39" s="3" t="inlineStr">
        <is>
          <t>Нож дятел 9мм FD-708</t>
        </is>
      </c>
      <c r="D39" s="4" t="inlineStr">
        <is>
          <t>шт</t>
        </is>
      </c>
      <c r="E39" s="5" t="n">
        <v>1</v>
      </c>
      <c r="F39" s="6" t="n">
        <v>800</v>
      </c>
      <c r="G39" s="7">
        <f>E39*F39</f>
        <v/>
      </c>
      <c r="H39" s="7" t="n">
        <v>0</v>
      </c>
      <c r="I39" s="7">
        <f>G39-H39</f>
        <v/>
      </c>
      <c r="J39" s="4" t="n"/>
      <c r="K39" s="8" t="inlineStr">
        <is>
          <t>Накл. №23309</t>
        </is>
      </c>
    </row>
    <row r="40">
      <c r="A40" s="2" t="n">
        <v>46274</v>
      </c>
      <c r="B40" s="3" t="inlineStr">
        <is>
          <t>ТОО "ADV STORE (АДВ СТОР)"</t>
        </is>
      </c>
      <c r="C40" s="3" t="inlineStr">
        <is>
          <t>Трансформатор -300W эко закрытый</t>
        </is>
      </c>
      <c r="D40" s="4" t="inlineStr">
        <is>
          <t>шт</t>
        </is>
      </c>
      <c r="E40" s="5" t="n">
        <v>2</v>
      </c>
      <c r="F40" s="6" t="n">
        <v>9700</v>
      </c>
      <c r="G40" s="7">
        <f>E40*F40</f>
        <v/>
      </c>
      <c r="H40" s="7" t="n">
        <v>0</v>
      </c>
      <c r="I40" s="7">
        <f>G40-H40</f>
        <v/>
      </c>
      <c r="J40" s="4" t="n"/>
      <c r="K40" s="8" t="inlineStr">
        <is>
          <t>Накл. №23444</t>
        </is>
      </c>
    </row>
    <row r="41">
      <c r="A41" s="2" t="n">
        <v>46275</v>
      </c>
      <c r="B41" s="3" t="inlineStr">
        <is>
          <t>ТОО "ADV STORE (АДВ СТОР)"</t>
        </is>
      </c>
      <c r="C41" s="3" t="inlineStr">
        <is>
          <t>Клей 502</t>
        </is>
      </c>
      <c r="D41" s="4" t="inlineStr">
        <is>
          <t>шт</t>
        </is>
      </c>
      <c r="E41" s="5" t="n">
        <v>50</v>
      </c>
      <c r="F41" s="6" t="n">
        <v>320</v>
      </c>
      <c r="G41" s="7">
        <f>E41*F41</f>
        <v/>
      </c>
      <c r="H41" s="7" t="n">
        <v>0</v>
      </c>
      <c r="I41" s="7">
        <f>G41-H41</f>
        <v/>
      </c>
      <c r="J41" s="4" t="n"/>
      <c r="K41" s="8" t="inlineStr">
        <is>
          <t>Накл. №23596</t>
        </is>
      </c>
    </row>
    <row r="42">
      <c r="A42" s="2" t="n">
        <v>46275</v>
      </c>
      <c r="B42" s="3" t="inlineStr">
        <is>
          <t>ТОО "ADV STORE (АДВ СТОР)"</t>
        </is>
      </c>
      <c r="C42" s="3" t="inlineStr">
        <is>
          <t>Скотч двусторонний черный 2см*50м</t>
        </is>
      </c>
      <c r="D42" s="4" t="inlineStr">
        <is>
          <t>р.</t>
        </is>
      </c>
      <c r="E42" s="5" t="n">
        <v>2</v>
      </c>
      <c r="F42" s="6" t="n">
        <v>3100</v>
      </c>
      <c r="G42" s="7">
        <f>E42*F42</f>
        <v/>
      </c>
      <c r="H42" s="7" t="n">
        <v>0</v>
      </c>
      <c r="I42" s="7">
        <f>G42-H42</f>
        <v/>
      </c>
      <c r="J42" s="4" t="n"/>
      <c r="K42" s="8" t="inlineStr">
        <is>
          <t>Накл. №23596</t>
        </is>
      </c>
    </row>
    <row r="43">
      <c r="A43" s="2" t="n">
        <v>46275</v>
      </c>
      <c r="B43" s="3" t="inlineStr">
        <is>
          <t>ТОО "ADV STORE (АДВ СТОР)"</t>
        </is>
      </c>
      <c r="C43" s="3" t="inlineStr">
        <is>
          <t>Усики для клея (100 шт/пач.)</t>
        </is>
      </c>
      <c r="D43" s="4" t="inlineStr">
        <is>
          <t>шт</t>
        </is>
      </c>
      <c r="E43" s="5" t="n">
        <v>1</v>
      </c>
      <c r="F43" s="6" t="n">
        <v>1500</v>
      </c>
      <c r="G43" s="7">
        <f>E43*F43</f>
        <v/>
      </c>
      <c r="H43" s="7" t="n">
        <v>0</v>
      </c>
      <c r="I43" s="7">
        <f>G43-H43</f>
        <v/>
      </c>
      <c r="J43" s="4" t="n"/>
      <c r="K43" s="8" t="inlineStr">
        <is>
          <t>Накл. №23596</t>
        </is>
      </c>
    </row>
    <row r="44">
      <c r="A44" s="2" t="n">
        <v>46275</v>
      </c>
      <c r="B44" s="3" t="inlineStr">
        <is>
          <t>ТОО "ADV STORE (АДВ СТОР)"</t>
        </is>
      </c>
      <c r="C44" s="3" t="inlineStr">
        <is>
          <t>Пленка 1,22м М-3171 коричневая</t>
        </is>
      </c>
      <c r="D44" s="4" t="inlineStr">
        <is>
          <t>м</t>
        </is>
      </c>
      <c r="E44" s="5" t="n">
        <v>8</v>
      </c>
      <c r="F44" s="6" t="n">
        <v>1250</v>
      </c>
      <c r="G44" s="7">
        <f>E44*F44</f>
        <v/>
      </c>
      <c r="H44" s="7" t="n">
        <v>0</v>
      </c>
      <c r="I44" s="7">
        <f>G44-H44</f>
        <v/>
      </c>
      <c r="J44" s="4" t="n"/>
      <c r="K44" s="8" t="inlineStr">
        <is>
          <t>Накл. №23614</t>
        </is>
      </c>
    </row>
    <row r="45">
      <c r="A45" s="2" t="n">
        <v>46275</v>
      </c>
      <c r="B45" s="3" t="inlineStr">
        <is>
          <t>ТОО "ADV STORE (АДВ СТОР)"</t>
        </is>
      </c>
      <c r="C45" s="3" t="inlineStr">
        <is>
          <t>Диоды линзовые 12v трехточечные 1,5W белые SAMSUNG</t>
        </is>
      </c>
      <c r="D45" s="4" t="inlineStr">
        <is>
          <t>шт</t>
        </is>
      </c>
      <c r="E45" s="5" t="n">
        <v>1000</v>
      </c>
      <c r="F45" s="6" t="n">
        <v>90</v>
      </c>
      <c r="G45" s="7">
        <f>E45*F45</f>
        <v/>
      </c>
      <c r="H45" s="7" t="n">
        <v>0</v>
      </c>
      <c r="I45" s="7">
        <f>G45-H45</f>
        <v/>
      </c>
      <c r="J45" s="4" t="n"/>
      <c r="K45" s="8" t="inlineStr">
        <is>
          <t>Накл. №23614</t>
        </is>
      </c>
    </row>
    <row r="46">
      <c r="A46" s="2" t="n">
        <v>46276</v>
      </c>
      <c r="B46" s="3" t="inlineStr">
        <is>
          <t>ТОО "ADV STORE (АДВ СТОР)"</t>
        </is>
      </c>
      <c r="C46" s="3" t="inlineStr">
        <is>
          <t>Профиль алюминиевый 25ММ*50ММ*5,8м тюбинг 0,8мм хлыст</t>
        </is>
      </c>
      <c r="D46" s="4" t="inlineStr">
        <is>
          <t>шт</t>
        </is>
      </c>
      <c r="E46" s="5" t="n">
        <v>12</v>
      </c>
      <c r="F46" s="6" t="n">
        <v>4500</v>
      </c>
      <c r="G46" s="7">
        <f>E46*F46</f>
        <v/>
      </c>
      <c r="H46" s="7" t="n">
        <v>0</v>
      </c>
      <c r="I46" s="7">
        <f>G46-H46</f>
        <v/>
      </c>
      <c r="J46" s="4" t="n"/>
      <c r="K46" s="8" t="inlineStr">
        <is>
          <t>Накл. №23706</t>
        </is>
      </c>
    </row>
    <row r="47">
      <c r="A47" s="2" t="n">
        <v>46276</v>
      </c>
      <c r="B47" s="3" t="inlineStr">
        <is>
          <t>ТОО "ADV STORE (АДВ СТОР)"</t>
        </is>
      </c>
      <c r="C47" s="3" t="inlineStr">
        <is>
          <t>Доставка</t>
        </is>
      </c>
      <c r="D47" s="4" t="inlineStr">
        <is>
          <t>ус</t>
        </is>
      </c>
      <c r="E47" s="5" t="n">
        <v>1</v>
      </c>
      <c r="F47" s="6" t="n">
        <v>1200</v>
      </c>
      <c r="G47" s="7">
        <f>E47*F47</f>
        <v/>
      </c>
      <c r="H47" s="7" t="n">
        <v>0</v>
      </c>
      <c r="I47" s="7">
        <f>G47-H47</f>
        <v/>
      </c>
      <c r="J47" s="4" t="n"/>
      <c r="K47" s="8" t="inlineStr">
        <is>
          <t>Накл. №23706</t>
        </is>
      </c>
    </row>
    <row r="48">
      <c r="A48" s="2" t="n">
        <v>46276</v>
      </c>
      <c r="B48" s="3" t="inlineStr">
        <is>
          <t>ТОО "ADV STORE (АДВ СТОР)"</t>
        </is>
      </c>
      <c r="C48" s="3" t="inlineStr">
        <is>
          <t>Акрил 3 мм темно-зеленый 348 1,22*2,44</t>
        </is>
      </c>
      <c r="D48" s="4" t="inlineStr">
        <is>
          <t>шт</t>
        </is>
      </c>
      <c r="E48" s="5" t="n">
        <v>0.5</v>
      </c>
      <c r="F48" s="6" t="n">
        <v>22800</v>
      </c>
      <c r="G48" s="7">
        <f>E48*F48</f>
        <v/>
      </c>
      <c r="H48" s="7" t="n">
        <v>0</v>
      </c>
      <c r="I48" s="7">
        <f>G48-H48</f>
        <v/>
      </c>
      <c r="J48" s="4" t="n"/>
      <c r="K48" s="8" t="inlineStr">
        <is>
          <t>Накл. №23729</t>
        </is>
      </c>
    </row>
    <row r="49">
      <c r="A49" s="2" t="n">
        <v>46276</v>
      </c>
      <c r="B49" s="3" t="inlineStr">
        <is>
          <t>ТОО "ADV STORE (АДВ СТОР)"</t>
        </is>
      </c>
      <c r="C49" s="3" t="inlineStr">
        <is>
          <t>Диоды линза 12v трехточечные 1,5W белые 6000к</t>
        </is>
      </c>
      <c r="D49" s="4" t="inlineStr">
        <is>
          <t>шт</t>
        </is>
      </c>
      <c r="E49" s="5" t="n">
        <v>600</v>
      </c>
      <c r="F49" s="6" t="n">
        <v>35</v>
      </c>
      <c r="G49" s="7">
        <f>E49*F49</f>
        <v/>
      </c>
      <c r="H49" s="7" t="n">
        <v>0</v>
      </c>
      <c r="I49" s="7">
        <f>G49-H49</f>
        <v/>
      </c>
      <c r="J49" s="4" t="n"/>
      <c r="K49" s="8" t="inlineStr">
        <is>
          <t>Накл. №23729</t>
        </is>
      </c>
    </row>
    <row r="50">
      <c r="A50" s="2" t="n">
        <v>46276</v>
      </c>
      <c r="B50" s="3" t="inlineStr">
        <is>
          <t>ТОО "ADV STORE (АДВ СТОР)"</t>
        </is>
      </c>
      <c r="C50" s="3" t="inlineStr">
        <is>
          <t>КЛЕЙ 201 YI LONG</t>
        </is>
      </c>
      <c r="D50" s="4" t="inlineStr">
        <is>
          <t>шт</t>
        </is>
      </c>
      <c r="E50" s="5" t="n">
        <v>50</v>
      </c>
      <c r="F50" s="6" t="n">
        <v>320</v>
      </c>
      <c r="G50" s="7">
        <f>E50*F50</f>
        <v/>
      </c>
      <c r="H50" s="7" t="n">
        <v>0</v>
      </c>
      <c r="I50" s="7">
        <f>G50-H50</f>
        <v/>
      </c>
      <c r="J50" s="4" t="n"/>
      <c r="K50" s="8" t="inlineStr">
        <is>
          <t>Накл. №23729</t>
        </is>
      </c>
    </row>
    <row r="51">
      <c r="A51" s="2" t="n">
        <v>46277</v>
      </c>
      <c r="B51" s="3" t="inlineStr">
        <is>
          <t>ТОО "ADV STORE (АДВ СТОР)"</t>
        </is>
      </c>
      <c r="C51" s="3" t="inlineStr">
        <is>
          <t>Дистанционные держатели 16*25 серебро матовое</t>
        </is>
      </c>
      <c r="D51" s="4" t="inlineStr">
        <is>
          <t>шт</t>
        </is>
      </c>
      <c r="E51" s="5" t="n">
        <v>15</v>
      </c>
      <c r="F51" s="6" t="n">
        <v>110</v>
      </c>
      <c r="G51" s="7">
        <f>E51*F51</f>
        <v/>
      </c>
      <c r="H51" s="7" t="n">
        <v>0</v>
      </c>
      <c r="I51" s="7">
        <f>G51-H51</f>
        <v/>
      </c>
      <c r="J51" s="4" t="n"/>
      <c r="K51" s="8" t="inlineStr">
        <is>
          <t>Накл. №23850</t>
        </is>
      </c>
    </row>
    <row r="52">
      <c r="A52" s="2" t="n">
        <v>46279</v>
      </c>
      <c r="B52" s="3" t="inlineStr">
        <is>
          <t>ТОО "ADV STORE (АДВ СТОР)"</t>
        </is>
      </c>
      <c r="C52" s="3" t="inlineStr">
        <is>
          <t>АКРИЛ 2,5мм белый 425 122*244 ЭКО</t>
        </is>
      </c>
      <c r="D52" s="4" t="inlineStr">
        <is>
          <t>шт</t>
        </is>
      </c>
      <c r="E52" s="5" t="n">
        <v>3</v>
      </c>
      <c r="F52" s="6" t="n">
        <v>17800</v>
      </c>
      <c r="G52" s="7">
        <f>E52*F52</f>
        <v/>
      </c>
      <c r="H52" s="7" t="n">
        <v>0</v>
      </c>
      <c r="I52" s="7">
        <f>G52-H52</f>
        <v/>
      </c>
      <c r="J52" s="4" t="n"/>
      <c r="K52" s="8" t="inlineStr">
        <is>
          <t>Накл. №23898</t>
        </is>
      </c>
    </row>
    <row r="53">
      <c r="A53" s="2" t="n">
        <v>46279</v>
      </c>
      <c r="B53" s="3" t="inlineStr">
        <is>
          <t>ТОО "ADV STORE (АДВ СТОР)"</t>
        </is>
      </c>
      <c r="C53" s="3" t="inlineStr">
        <is>
          <t>ПВХ 8 ММ ПЛ 0,45 122*244 ЭКО</t>
        </is>
      </c>
      <c r="D53" s="4" t="inlineStr">
        <is>
          <t>шт</t>
        </is>
      </c>
      <c r="E53" s="5" t="n">
        <v>3</v>
      </c>
      <c r="F53" s="6" t="n">
        <v>4200</v>
      </c>
      <c r="G53" s="7">
        <f>E53*F53</f>
        <v/>
      </c>
      <c r="H53" s="7" t="n">
        <v>0</v>
      </c>
      <c r="I53" s="7">
        <f>G53-H53</f>
        <v/>
      </c>
      <c r="J53" s="4" t="n"/>
      <c r="K53" s="8" t="inlineStr">
        <is>
          <t>Накл. №23898</t>
        </is>
      </c>
    </row>
    <row r="54">
      <c r="A54" s="2" t="n">
        <v>46279</v>
      </c>
      <c r="B54" s="3" t="inlineStr">
        <is>
          <t>ТОО "ADV STORE (АДВ СТОР)"</t>
        </is>
      </c>
      <c r="C54" s="3" t="inlineStr">
        <is>
          <t>ПВХ 5 ММ ПЛ 0,45 122*244 ЭКО</t>
        </is>
      </c>
      <c r="D54" s="4" t="inlineStr">
        <is>
          <t>шт</t>
        </is>
      </c>
      <c r="E54" s="5" t="n">
        <v>3</v>
      </c>
      <c r="F54" s="6" t="n">
        <v>2500</v>
      </c>
      <c r="G54" s="7">
        <f>E54*F54</f>
        <v/>
      </c>
      <c r="H54" s="7" t="n">
        <v>0</v>
      </c>
      <c r="I54" s="7">
        <f>G54-H54</f>
        <v/>
      </c>
      <c r="J54" s="4" t="n"/>
      <c r="K54" s="8" t="inlineStr">
        <is>
          <t>Накл. №23898</t>
        </is>
      </c>
    </row>
    <row r="55">
      <c r="A55" s="2" t="n">
        <v>46279</v>
      </c>
      <c r="B55" s="3" t="inlineStr">
        <is>
          <t>ТОО "ADV STORE (АДВ СТОР)"</t>
        </is>
      </c>
      <c r="C55" s="3" t="inlineStr">
        <is>
          <t>ПВХ 3мм, пл 0,45, 1,22*2,44 СЕРИИ А</t>
        </is>
      </c>
      <c r="D55" s="4" t="inlineStr">
        <is>
          <t>шт</t>
        </is>
      </c>
      <c r="E55" s="5" t="n">
        <v>2</v>
      </c>
      <c r="F55" s="6" t="n">
        <v>2200</v>
      </c>
      <c r="G55" s="7">
        <f>E55*F55</f>
        <v/>
      </c>
      <c r="H55" s="7" t="n">
        <v>0</v>
      </c>
      <c r="I55" s="7">
        <f>G55-H55</f>
        <v/>
      </c>
      <c r="J55" s="4" t="n"/>
      <c r="K55" s="8" t="inlineStr">
        <is>
          <t>Накл. №23898</t>
        </is>
      </c>
    </row>
    <row r="56">
      <c r="A56" s="2" t="n">
        <v>46279</v>
      </c>
      <c r="B56" s="3" t="inlineStr">
        <is>
          <t>ТОО "ADV STORE (АДВ СТОР)"</t>
        </is>
      </c>
      <c r="C56" s="3" t="inlineStr">
        <is>
          <t>Баннер 340 гр мат 3,2*50м</t>
        </is>
      </c>
      <c r="D56" s="4" t="inlineStr">
        <is>
          <t>шт</t>
        </is>
      </c>
      <c r="E56" s="5" t="n">
        <v>1</v>
      </c>
      <c r="F56" s="6" t="n">
        <v>43000</v>
      </c>
      <c r="G56" s="7">
        <f>E56*F56</f>
        <v/>
      </c>
      <c r="H56" s="7" t="n">
        <v>0</v>
      </c>
      <c r="I56" s="7">
        <f>G56-H56</f>
        <v/>
      </c>
      <c r="J56" s="4" t="n"/>
      <c r="K56" s="8" t="inlineStr">
        <is>
          <t>Накл. №23898</t>
        </is>
      </c>
    </row>
    <row r="57">
      <c r="A57" s="2" t="n">
        <v>46279</v>
      </c>
      <c r="B57" s="3" t="inlineStr">
        <is>
          <t>ТОО "ADV STORE (АДВ СТОР)"</t>
        </is>
      </c>
      <c r="C57" s="3" t="inlineStr">
        <is>
          <t>Доставка</t>
        </is>
      </c>
      <c r="D57" s="4" t="inlineStr">
        <is>
          <t>ус</t>
        </is>
      </c>
      <c r="E57" s="5" t="n">
        <v>1</v>
      </c>
      <c r="F57" s="6" t="n">
        <v>1200</v>
      </c>
      <c r="G57" s="7">
        <f>E57*F57</f>
        <v/>
      </c>
      <c r="H57" s="7" t="n">
        <v>0</v>
      </c>
      <c r="I57" s="7">
        <f>G57-H57</f>
        <v/>
      </c>
      <c r="J57" s="4" t="n"/>
      <c r="K57" s="8" t="inlineStr">
        <is>
          <t>Накл. №23898</t>
        </is>
      </c>
    </row>
    <row r="58">
      <c r="A58" s="2" t="n">
        <v>46279</v>
      </c>
      <c r="B58" s="3" t="inlineStr">
        <is>
          <t>ТОО "ADV STORE (АДВ СТОР)"</t>
        </is>
      </c>
      <c r="C58" s="3" t="inlineStr">
        <is>
          <t>Краска Arton A815 Chocolate шоколад</t>
        </is>
      </c>
      <c r="D58" s="4" t="inlineStr">
        <is>
          <t>шт</t>
        </is>
      </c>
      <c r="E58" s="5" t="n">
        <v>1</v>
      </c>
      <c r="F58" s="6" t="n">
        <v>4500</v>
      </c>
      <c r="G58" s="7">
        <f>E58*F58</f>
        <v/>
      </c>
      <c r="H58" s="7" t="n">
        <v>0</v>
      </c>
      <c r="I58" s="7">
        <f>G58-H58</f>
        <v/>
      </c>
      <c r="J58" s="4" t="n"/>
      <c r="K58" s="8" t="inlineStr">
        <is>
          <t>Накл. №23901</t>
        </is>
      </c>
    </row>
    <row r="59">
      <c r="A59" s="2" t="n">
        <v>46279</v>
      </c>
      <c r="B59" s="3" t="inlineStr">
        <is>
          <t>ТОО "ADV STORE (АДВ СТОР)"</t>
        </is>
      </c>
      <c r="C59" s="3" t="inlineStr">
        <is>
          <t>Диод ф9мм-12V 0.3W зеленый</t>
        </is>
      </c>
      <c r="D59" s="4" t="inlineStr">
        <is>
          <t>шт</t>
        </is>
      </c>
      <c r="E59" s="5" t="n">
        <v>320</v>
      </c>
      <c r="F59" s="6" t="n">
        <v>20</v>
      </c>
      <c r="G59" s="7">
        <f>E59*F59</f>
        <v/>
      </c>
      <c r="H59" s="7" t="n">
        <v>0</v>
      </c>
      <c r="I59" s="7">
        <f>G59-H59</f>
        <v/>
      </c>
      <c r="J59" s="4" t="n"/>
      <c r="K59" s="8" t="inlineStr">
        <is>
          <t>Накл. №23928</t>
        </is>
      </c>
    </row>
    <row r="60">
      <c r="A60" s="2" t="n">
        <v>46279</v>
      </c>
      <c r="B60" s="3" t="inlineStr">
        <is>
          <t>ТОО "ADV STORE (АДВ СТОР)"</t>
        </is>
      </c>
      <c r="C60" s="3" t="inlineStr">
        <is>
          <t>Скотч для баннера 2см*50м</t>
        </is>
      </c>
      <c r="D60" s="4" t="inlineStr">
        <is>
          <t>р.</t>
        </is>
      </c>
      <c r="E60" s="5" t="n">
        <v>2</v>
      </c>
      <c r="F60" s="6" t="n">
        <v>3600</v>
      </c>
      <c r="G60" s="7">
        <f>E60*F60</f>
        <v/>
      </c>
      <c r="H60" s="7" t="n">
        <v>0</v>
      </c>
      <c r="I60" s="7">
        <f>G60-H60</f>
        <v/>
      </c>
      <c r="J60" s="4" t="n"/>
      <c r="K60" s="8" t="inlineStr">
        <is>
          <t>Накл. №23928</t>
        </is>
      </c>
    </row>
    <row r="61">
      <c r="A61" s="2" t="n">
        <v>46280</v>
      </c>
      <c r="B61" s="3" t="inlineStr">
        <is>
          <t>ТОО "ADV STORE (АДВ СТОР)"</t>
        </is>
      </c>
      <c r="C61" s="3" t="inlineStr">
        <is>
          <t>Акрил зеркало золото 3 мм 1,22*2,44</t>
        </is>
      </c>
      <c r="D61" s="4" t="inlineStr">
        <is>
          <t>шт</t>
        </is>
      </c>
      <c r="E61" s="5" t="n">
        <v>0.5</v>
      </c>
      <c r="F61" s="6" t="n">
        <v>23800</v>
      </c>
      <c r="G61" s="7">
        <f>E61*F61</f>
        <v/>
      </c>
      <c r="H61" s="7" t="n">
        <v>0</v>
      </c>
      <c r="I61" s="7">
        <f>G61-H61</f>
        <v/>
      </c>
      <c r="J61" s="4" t="n"/>
      <c r="K61" s="8" t="inlineStr">
        <is>
          <t>Накл. №24053</t>
        </is>
      </c>
    </row>
    <row r="62">
      <c r="A62" s="2" t="n">
        <v>46280</v>
      </c>
      <c r="B62" s="3" t="inlineStr">
        <is>
          <t>ТОО "ADV STORE (АДВ СТОР)"</t>
        </is>
      </c>
      <c r="C62" s="3" t="inlineStr">
        <is>
          <t>Алюкобонд 3 мм 18 мкр 007-белый</t>
        </is>
      </c>
      <c r="D62" s="4" t="inlineStr">
        <is>
          <t>шт</t>
        </is>
      </c>
      <c r="E62" s="5" t="n">
        <v>8</v>
      </c>
      <c r="F62" s="6" t="n">
        <v>14200</v>
      </c>
      <c r="G62" s="7">
        <f>E62*F62</f>
        <v/>
      </c>
      <c r="H62" s="7" t="n">
        <v>0</v>
      </c>
      <c r="I62" s="7">
        <f>G62-H62</f>
        <v/>
      </c>
      <c r="J62" s="4" t="n"/>
      <c r="K62" s="8" t="inlineStr">
        <is>
          <t>Накл. №24072</t>
        </is>
      </c>
    </row>
    <row r="63">
      <c r="A63" s="2" t="n">
        <v>46280</v>
      </c>
      <c r="B63" s="3" t="inlineStr">
        <is>
          <t>ТОО "ADV STORE (АДВ СТОР)"</t>
        </is>
      </c>
      <c r="C63" s="3" t="inlineStr">
        <is>
          <t>ПВХ 8 ММ ПЛ 0,45 122*244 ЭКО</t>
        </is>
      </c>
      <c r="D63" s="4" t="inlineStr">
        <is>
          <t>шт</t>
        </is>
      </c>
      <c r="E63" s="5" t="n">
        <v>4</v>
      </c>
      <c r="F63" s="6" t="n">
        <v>4200</v>
      </c>
      <c r="G63" s="7">
        <f>E63*F63</f>
        <v/>
      </c>
      <c r="H63" s="7" t="n">
        <v>0</v>
      </c>
      <c r="I63" s="7">
        <f>G63-H63</f>
        <v/>
      </c>
      <c r="J63" s="4" t="n"/>
      <c r="K63" s="8" t="inlineStr">
        <is>
          <t>Накл. №24072</t>
        </is>
      </c>
    </row>
    <row r="64">
      <c r="A64" s="2" t="n">
        <v>46280</v>
      </c>
      <c r="B64" s="3" t="inlineStr">
        <is>
          <t>ТОО "ADV STORE (АДВ СТОР)"</t>
        </is>
      </c>
      <c r="C64" s="3" t="inlineStr">
        <is>
          <t>Доставка</t>
        </is>
      </c>
      <c r="D64" s="4" t="inlineStr">
        <is>
          <t>ус</t>
        </is>
      </c>
      <c r="E64" s="5" t="n">
        <v>1</v>
      </c>
      <c r="F64" s="6" t="n">
        <v>1200</v>
      </c>
      <c r="G64" s="7">
        <f>E64*F64</f>
        <v/>
      </c>
      <c r="H64" s="7" t="n">
        <v>0</v>
      </c>
      <c r="I64" s="7">
        <f>G64-H64</f>
        <v/>
      </c>
      <c r="J64" s="4" t="n"/>
      <c r="K64" s="8" t="inlineStr">
        <is>
          <t>Накл. №24072</t>
        </is>
      </c>
    </row>
    <row r="65">
      <c r="A65" s="2" t="n">
        <v>46281</v>
      </c>
      <c r="B65" s="3" t="inlineStr">
        <is>
          <t>ТОО "ADV STORE (АДВ СТОР)"</t>
        </is>
      </c>
      <c r="C65" s="3" t="inlineStr">
        <is>
          <t>Трансформатор -150W эко закрытый</t>
        </is>
      </c>
      <c r="D65" s="4" t="inlineStr">
        <is>
          <t>шт</t>
        </is>
      </c>
      <c r="E65" s="5" t="n">
        <v>2</v>
      </c>
      <c r="F65" s="6" t="n">
        <v>6300</v>
      </c>
      <c r="G65" s="7">
        <f>E65*F65</f>
        <v/>
      </c>
      <c r="H65" s="7" t="n">
        <v>0</v>
      </c>
      <c r="I65" s="7">
        <f>G65-H65</f>
        <v/>
      </c>
      <c r="J65" s="4" t="n"/>
      <c r="K65" s="8" t="inlineStr">
        <is>
          <t>Накл. №24180</t>
        </is>
      </c>
    </row>
    <row r="66">
      <c r="A66" s="2" t="n">
        <v>46281</v>
      </c>
      <c r="B66" s="3" t="inlineStr">
        <is>
          <t>ТОО "ADV STORE (АДВ СТОР)"</t>
        </is>
      </c>
      <c r="C66" s="3" t="inlineStr">
        <is>
          <t>Трансформатор -200W эко закрытый</t>
        </is>
      </c>
      <c r="D66" s="4" t="inlineStr">
        <is>
          <t>шт</t>
        </is>
      </c>
      <c r="E66" s="5" t="n">
        <v>2</v>
      </c>
      <c r="F66" s="6" t="n">
        <v>7300</v>
      </c>
      <c r="G66" s="7">
        <f>E66*F66</f>
        <v/>
      </c>
      <c r="H66" s="7" t="n">
        <v>0</v>
      </c>
      <c r="I66" s="7">
        <f>G66-H66</f>
        <v/>
      </c>
      <c r="J66" s="4" t="n"/>
      <c r="K66" s="8" t="inlineStr">
        <is>
          <t>Накл. №24180</t>
        </is>
      </c>
    </row>
    <row r="67">
      <c r="A67" s="2" t="n">
        <v>46281</v>
      </c>
      <c r="B67" s="3" t="inlineStr">
        <is>
          <t>ТОО "ADV STORE (АДВ СТОР)"</t>
        </is>
      </c>
      <c r="C67" s="3" t="inlineStr">
        <is>
          <t>Трансформатор -300W эко закрытый</t>
        </is>
      </c>
      <c r="D67" s="4" t="inlineStr">
        <is>
          <t>шт</t>
        </is>
      </c>
      <c r="E67" s="5" t="n">
        <v>2</v>
      </c>
      <c r="F67" s="6" t="n">
        <v>9700</v>
      </c>
      <c r="G67" s="7">
        <f>E67*F67</f>
        <v/>
      </c>
      <c r="H67" s="7" t="n">
        <v>0</v>
      </c>
      <c r="I67" s="7">
        <f>G67-H67</f>
        <v/>
      </c>
      <c r="J67" s="4" t="n"/>
      <c r="K67" s="8" t="inlineStr">
        <is>
          <t>Накл. №24180</t>
        </is>
      </c>
    </row>
    <row r="68">
      <c r="A68" s="2" t="n">
        <v>46281</v>
      </c>
      <c r="B68" s="3" t="inlineStr">
        <is>
          <t>ТОО "ADV STORE (АДВ СТОР)"</t>
        </is>
      </c>
      <c r="C68" s="3" t="inlineStr">
        <is>
          <t>Изолента 15мм*20м белая Aviora/200 305-060</t>
        </is>
      </c>
      <c r="D68" s="4" t="inlineStr">
        <is>
          <t>шт</t>
        </is>
      </c>
      <c r="E68" s="5" t="n">
        <v>3</v>
      </c>
      <c r="F68" s="6" t="n">
        <v>500</v>
      </c>
      <c r="G68" s="7">
        <f>E68*F68</f>
        <v/>
      </c>
      <c r="H68" s="7" t="n">
        <v>0</v>
      </c>
      <c r="I68" s="7">
        <f>G68-H68</f>
        <v/>
      </c>
      <c r="J68" s="4" t="n"/>
      <c r="K68" s="8" t="inlineStr">
        <is>
          <t>Накл. №24180</t>
        </is>
      </c>
    </row>
    <row r="69">
      <c r="A69" s="2" t="n">
        <v>46281</v>
      </c>
      <c r="B69" s="3" t="inlineStr">
        <is>
          <t>ТОО "ADV STORE (АДВ СТОР)"</t>
        </is>
      </c>
      <c r="C69" s="3" t="inlineStr">
        <is>
          <t>Изолента 15мм*20м черная Aviora/200 305-004</t>
        </is>
      </c>
      <c r="D69" s="4" t="inlineStr">
        <is>
          <t>шт</t>
        </is>
      </c>
      <c r="E69" s="5" t="n">
        <v>3</v>
      </c>
      <c r="F69" s="6" t="n">
        <v>500</v>
      </c>
      <c r="G69" s="7">
        <f>E69*F69</f>
        <v/>
      </c>
      <c r="H69" s="7" t="n">
        <v>0</v>
      </c>
      <c r="I69" s="7">
        <f>G69-H69</f>
        <v/>
      </c>
      <c r="J69" s="4" t="n"/>
      <c r="K69" s="8" t="inlineStr">
        <is>
          <t>Накл. №24180</t>
        </is>
      </c>
    </row>
    <row r="70">
      <c r="A70" s="2" t="n">
        <v>46281</v>
      </c>
      <c r="B70" s="3" t="inlineStr">
        <is>
          <t>ТОО "ADV STORE (АДВ СТОР)"</t>
        </is>
      </c>
      <c r="C70" s="3" t="inlineStr">
        <is>
          <t>Скотч двусторонний черный 2см*50м</t>
        </is>
      </c>
      <c r="D70" s="4" t="inlineStr">
        <is>
          <t>р.</t>
        </is>
      </c>
      <c r="E70" s="5" t="n">
        <v>1</v>
      </c>
      <c r="F70" s="6" t="n">
        <v>3100</v>
      </c>
      <c r="G70" s="7">
        <f>E70*F70</f>
        <v/>
      </c>
      <c r="H70" s="7" t="n">
        <v>0</v>
      </c>
      <c r="I70" s="7">
        <f>G70-H70</f>
        <v/>
      </c>
      <c r="J70" s="4" t="n"/>
      <c r="K70" s="8" t="inlineStr">
        <is>
          <t>Накл. №24180</t>
        </is>
      </c>
    </row>
    <row r="71">
      <c r="A71" s="2" t="n">
        <v>46281</v>
      </c>
      <c r="B71" s="3" t="inlineStr">
        <is>
          <t>ТОО "ADV STORE (АДВ СТОР)"</t>
        </is>
      </c>
      <c r="C71" s="3" t="inlineStr">
        <is>
          <t>Краска Arton A818 Macadamia темно коричневый</t>
        </is>
      </c>
      <c r="D71" s="4" t="inlineStr">
        <is>
          <t>шт</t>
        </is>
      </c>
      <c r="E71" s="5" t="n">
        <v>1</v>
      </c>
      <c r="F71" s="6" t="n">
        <v>4500</v>
      </c>
      <c r="G71" s="7">
        <f>E71*F71</f>
        <v/>
      </c>
      <c r="H71" s="7" t="n">
        <v>0</v>
      </c>
      <c r="I71" s="7">
        <f>G71-H71</f>
        <v/>
      </c>
      <c r="J71" s="4" t="n"/>
      <c r="K71" s="8" t="inlineStr">
        <is>
          <t>Накл. №24180</t>
        </is>
      </c>
    </row>
    <row r="72">
      <c r="A72" s="2" t="n">
        <v>46283</v>
      </c>
      <c r="B72" s="3" t="inlineStr">
        <is>
          <t>ТОО "ADV STORE (АДВ СТОР)"</t>
        </is>
      </c>
      <c r="C72" s="3" t="inlineStr">
        <is>
          <t>Профиль алюминиевый 25ММ*50ММ*5,8м тюбинг 0,8мм хлыст</t>
        </is>
      </c>
      <c r="D72" s="4" t="inlineStr">
        <is>
          <t>шт</t>
        </is>
      </c>
      <c r="E72" s="5" t="n">
        <v>6</v>
      </c>
      <c r="F72" s="6" t="n">
        <v>4500</v>
      </c>
      <c r="G72" s="7">
        <f>E72*F72</f>
        <v/>
      </c>
      <c r="H72" s="7" t="n">
        <v>0</v>
      </c>
      <c r="I72" s="7">
        <f>G72-H72</f>
        <v/>
      </c>
      <c r="J72" s="4" t="n"/>
      <c r="K72" s="8" t="inlineStr">
        <is>
          <t>Накл. №24439</t>
        </is>
      </c>
    </row>
    <row r="73">
      <c r="A73" s="2" t="n">
        <v>46283</v>
      </c>
      <c r="B73" s="3" t="inlineStr">
        <is>
          <t>ТОО "ADV STORE (АДВ СТОР)"</t>
        </is>
      </c>
      <c r="C73" s="3" t="inlineStr">
        <is>
          <t>Алюкобонд 3 мм 18 мкр 007-белый</t>
        </is>
      </c>
      <c r="D73" s="4" t="inlineStr">
        <is>
          <t>шт</t>
        </is>
      </c>
      <c r="E73" s="5" t="n">
        <v>1</v>
      </c>
      <c r="F73" s="6" t="n">
        <v>14200</v>
      </c>
      <c r="G73" s="7">
        <f>E73*F73</f>
        <v/>
      </c>
      <c r="H73" s="7" t="n">
        <v>0</v>
      </c>
      <c r="I73" s="7">
        <f>G73-H73</f>
        <v/>
      </c>
      <c r="J73" s="4" t="n"/>
      <c r="K73" s="8" t="inlineStr">
        <is>
          <t>Накл. №24439</t>
        </is>
      </c>
    </row>
    <row r="74">
      <c r="A74" s="2" t="n">
        <v>46283</v>
      </c>
      <c r="B74" s="3" t="inlineStr">
        <is>
          <t>ТОО "ADV STORE (АДВ СТОР)"</t>
        </is>
      </c>
      <c r="C74" s="3" t="inlineStr">
        <is>
          <t>Доставка</t>
        </is>
      </c>
      <c r="D74" s="4" t="inlineStr">
        <is>
          <t>ус</t>
        </is>
      </c>
      <c r="E74" s="5" t="n">
        <v>1</v>
      </c>
      <c r="F74" s="6" t="n">
        <v>1200</v>
      </c>
      <c r="G74" s="7">
        <f>E74*F74</f>
        <v/>
      </c>
      <c r="H74" s="7" t="n">
        <v>0</v>
      </c>
      <c r="I74" s="7">
        <f>G74-H74</f>
        <v/>
      </c>
      <c r="J74" s="4" t="n"/>
      <c r="K74" s="8" t="inlineStr">
        <is>
          <t>Накл. №24439</t>
        </is>
      </c>
    </row>
    <row r="75">
      <c r="A75" s="2" t="n">
        <v>46283</v>
      </c>
      <c r="B75" s="3" t="inlineStr">
        <is>
          <t>ТОО "ADV STORE (АДВ СТОР)"</t>
        </is>
      </c>
      <c r="C75" s="3" t="inlineStr">
        <is>
          <t>Ткань для головки станка пачка 20*20см (150шт)</t>
        </is>
      </c>
      <c r="D75" s="4" t="inlineStr">
        <is>
          <t>шт</t>
        </is>
      </c>
      <c r="E75" s="5" t="n">
        <v>1</v>
      </c>
      <c r="F75" s="6" t="n">
        <v>3500</v>
      </c>
      <c r="G75" s="7">
        <f>E75*F75</f>
        <v/>
      </c>
      <c r="H75" s="7" t="n">
        <v>0</v>
      </c>
      <c r="I75" s="7">
        <f>G75-H75</f>
        <v/>
      </c>
      <c r="J75" s="4" t="n"/>
      <c r="K75" s="8" t="inlineStr">
        <is>
          <t>Накл. №24485</t>
        </is>
      </c>
    </row>
    <row r="76">
      <c r="A76" s="2" t="n">
        <v>46283</v>
      </c>
      <c r="B76" s="3" t="inlineStr">
        <is>
          <t>ТОО "ADV STORE (АДВ СТОР)"</t>
        </is>
      </c>
      <c r="C76" s="3" t="inlineStr">
        <is>
          <t>Палочки для головки станка маленькие</t>
        </is>
      </c>
      <c r="D76" s="4" t="inlineStr">
        <is>
          <t>шт</t>
        </is>
      </c>
      <c r="E76" s="5" t="n">
        <v>50</v>
      </c>
      <c r="F76" s="6" t="n">
        <v>80</v>
      </c>
      <c r="G76" s="7">
        <f>E76*F76</f>
        <v/>
      </c>
      <c r="H76" s="7" t="n">
        <v>0</v>
      </c>
      <c r="I76" s="7">
        <f>G76-H76</f>
        <v/>
      </c>
      <c r="J76" s="4" t="n"/>
      <c r="K76" s="8" t="inlineStr">
        <is>
          <t>Накл. №24485</t>
        </is>
      </c>
    </row>
    <row r="77">
      <c r="A77" s="2" t="n">
        <v>46283</v>
      </c>
      <c r="B77" s="3" t="inlineStr">
        <is>
          <t>ТОО "ADV STORE (АДВ СТОР)"</t>
        </is>
      </c>
      <c r="C77" s="3" t="inlineStr">
        <is>
          <t>Баннер 340 гр мат 3,2*50м</t>
        </is>
      </c>
      <c r="D77" s="4" t="inlineStr">
        <is>
          <t>шт</t>
        </is>
      </c>
      <c r="E77" s="5" t="n">
        <v>1</v>
      </c>
      <c r="F77" s="6" t="n">
        <v>43000</v>
      </c>
      <c r="G77" s="7">
        <f>E77*F77</f>
        <v/>
      </c>
      <c r="H77" s="7" t="n">
        <v>0</v>
      </c>
      <c r="I77" s="7">
        <f>G77-H77</f>
        <v/>
      </c>
      <c r="J77" s="4" t="n"/>
      <c r="K77" s="8" t="inlineStr">
        <is>
          <t>Накл. №24569</t>
        </is>
      </c>
    </row>
    <row r="78">
      <c r="A78" s="2" t="n">
        <v>46283</v>
      </c>
      <c r="B78" s="3" t="inlineStr">
        <is>
          <t>ТОО "ADV STORE (АДВ СТОР)"</t>
        </is>
      </c>
      <c r="C78" s="3" t="inlineStr">
        <is>
          <t>Доставка</t>
        </is>
      </c>
      <c r="D78" s="4" t="inlineStr">
        <is>
          <t>ус</t>
        </is>
      </c>
      <c r="E78" s="5" t="n">
        <v>1</v>
      </c>
      <c r="F78" s="6" t="n">
        <v>1200</v>
      </c>
      <c r="G78" s="7">
        <f>E78*F78</f>
        <v/>
      </c>
      <c r="H78" s="7" t="n">
        <v>0</v>
      </c>
      <c r="I78" s="7">
        <f>G78-H78</f>
        <v/>
      </c>
      <c r="J78" s="4" t="n"/>
      <c r="K78" s="8" t="inlineStr">
        <is>
          <t>Накл. №24569</t>
        </is>
      </c>
    </row>
    <row r="79">
      <c r="A79" s="2" t="n">
        <v>46284</v>
      </c>
      <c r="B79" s="3" t="inlineStr">
        <is>
          <t>ТОО "ADV STORE (АДВ СТОР)"</t>
        </is>
      </c>
      <c r="C79" s="3" t="inlineStr">
        <is>
          <t>Профиль алюминиевый 25ММ*50ММ*5,8м тюбинг 0,8мм хлыст</t>
        </is>
      </c>
      <c r="D79" s="4" t="inlineStr">
        <is>
          <t>шт</t>
        </is>
      </c>
      <c r="E79" s="5" t="n">
        <v>12</v>
      </c>
      <c r="F79" s="6" t="n">
        <v>4500</v>
      </c>
      <c r="G79" s="7">
        <f>E79*F79</f>
        <v/>
      </c>
      <c r="H79" s="7" t="n">
        <v>0</v>
      </c>
      <c r="I79" s="7">
        <f>G79-H79</f>
        <v/>
      </c>
      <c r="J79" s="4" t="n"/>
      <c r="K79" s="8" t="inlineStr">
        <is>
          <t>Накл. №24580</t>
        </is>
      </c>
    </row>
    <row r="80">
      <c r="A80" s="2" t="n">
        <v>46284</v>
      </c>
      <c r="B80" s="3" t="inlineStr">
        <is>
          <t>ТОО "ADV STORE (АДВ СТОР)"</t>
        </is>
      </c>
      <c r="C80" s="3" t="inlineStr">
        <is>
          <t>Скотч двусторонний черный 2см*50м</t>
        </is>
      </c>
      <c r="D80" s="4" t="inlineStr">
        <is>
          <t>р.</t>
        </is>
      </c>
      <c r="E80" s="5" t="n">
        <v>4</v>
      </c>
      <c r="F80" s="6" t="n">
        <v>3100</v>
      </c>
      <c r="G80" s="7">
        <f>E80*F80</f>
        <v/>
      </c>
      <c r="H80" s="7" t="n">
        <v>0</v>
      </c>
      <c r="I80" s="7">
        <f>G80-H80</f>
        <v/>
      </c>
      <c r="J80" s="4" t="n"/>
      <c r="K80" s="8" t="inlineStr">
        <is>
          <t>Накл. №24580</t>
        </is>
      </c>
    </row>
    <row r="81">
      <c r="A81" s="2" t="n">
        <v>46284</v>
      </c>
      <c r="B81" s="3" t="inlineStr">
        <is>
          <t>ТОО "ADV STORE (АДВ СТОР)"</t>
        </is>
      </c>
      <c r="C81" s="3" t="inlineStr">
        <is>
          <t>Краска 94 баллончик бронза матовый</t>
        </is>
      </c>
      <c r="D81" s="4" t="inlineStr">
        <is>
          <t>шт</t>
        </is>
      </c>
      <c r="E81" s="5" t="n">
        <v>5</v>
      </c>
      <c r="F81" s="6" t="n">
        <v>5500</v>
      </c>
      <c r="G81" s="7">
        <f>E81*F81</f>
        <v/>
      </c>
      <c r="H81" s="7" t="n">
        <v>0</v>
      </c>
      <c r="I81" s="7">
        <f>G81-H81</f>
        <v/>
      </c>
      <c r="J81" s="4" t="n"/>
      <c r="K81" s="8" t="inlineStr">
        <is>
          <t>Накл. №24584</t>
        </is>
      </c>
    </row>
    <row r="82">
      <c r="A82" s="2" t="n">
        <v>46284</v>
      </c>
      <c r="B82" s="3" t="inlineStr">
        <is>
          <t>ТОО "ADV STORE (АДВ СТОР)"</t>
        </is>
      </c>
      <c r="C82" s="3" t="inlineStr">
        <is>
          <t>Краска 94 баллончик бронза матовый</t>
        </is>
      </c>
      <c r="D82" s="4" t="inlineStr">
        <is>
          <t>шт</t>
        </is>
      </c>
      <c r="E82" s="5" t="n">
        <v>5</v>
      </c>
      <c r="F82" s="6" t="n">
        <v>5500</v>
      </c>
      <c r="G82" s="7">
        <f>E82*F82</f>
        <v/>
      </c>
      <c r="H82" s="7" t="n">
        <v>0</v>
      </c>
      <c r="I82" s="7">
        <f>G82-H82</f>
        <v/>
      </c>
      <c r="J82" s="4" t="n"/>
      <c r="K82" s="8" t="inlineStr">
        <is>
          <t>Накл. №24615</t>
        </is>
      </c>
    </row>
    <row r="83">
      <c r="A83" s="2" t="n">
        <v>46284</v>
      </c>
      <c r="B83" s="3" t="inlineStr">
        <is>
          <t>ТОО "ADV STORE (АДВ СТОР)"</t>
        </is>
      </c>
      <c r="C83" s="3" t="inlineStr">
        <is>
          <t>Скотч двусторонний черный 2см*50м</t>
        </is>
      </c>
      <c r="D83" s="4" t="inlineStr">
        <is>
          <t>р.</t>
        </is>
      </c>
      <c r="E83" s="5" t="n">
        <v>2</v>
      </c>
      <c r="F83" s="6" t="n">
        <v>3100</v>
      </c>
      <c r="G83" s="7">
        <f>E83*F83</f>
        <v/>
      </c>
      <c r="H83" s="7" t="n">
        <v>0</v>
      </c>
      <c r="I83" s="7">
        <f>G83-H83</f>
        <v/>
      </c>
      <c r="J83" s="4" t="n"/>
      <c r="K83" s="8" t="inlineStr">
        <is>
          <t>Накл. №24615</t>
        </is>
      </c>
    </row>
    <row r="84">
      <c r="A84" s="2" t="n">
        <v>46284</v>
      </c>
      <c r="B84" s="3" t="inlineStr">
        <is>
          <t>ТОО "ADV STORE (АДВ СТОР)"</t>
        </is>
      </c>
      <c r="C84" s="3" t="inlineStr">
        <is>
          <t>Трансформатор -300W эко закрытый</t>
        </is>
      </c>
      <c r="D84" s="4" t="inlineStr">
        <is>
          <t>шт</t>
        </is>
      </c>
      <c r="E84" s="5" t="n">
        <v>2</v>
      </c>
      <c r="F84" s="6" t="n">
        <v>9700</v>
      </c>
      <c r="G84" s="7">
        <f>E84*F84</f>
        <v/>
      </c>
      <c r="H84" s="7" t="n">
        <v>0</v>
      </c>
      <c r="I84" s="7">
        <f>G84-H84</f>
        <v/>
      </c>
      <c r="J84" s="4" t="n"/>
      <c r="K84" s="8" t="inlineStr">
        <is>
          <t>Накл. №24615</t>
        </is>
      </c>
    </row>
    <row r="85">
      <c r="A85" s="2" t="n">
        <v>46284</v>
      </c>
      <c r="B85" s="3" t="inlineStr">
        <is>
          <t>ТОО "ADV STORE (АДВ СТОР)"</t>
        </is>
      </c>
      <c r="C85" s="3" t="inlineStr">
        <is>
          <t>Трансформатор -200W эко закрытый</t>
        </is>
      </c>
      <c r="D85" s="4" t="inlineStr">
        <is>
          <t>шт</t>
        </is>
      </c>
      <c r="E85" s="5" t="n">
        <v>1</v>
      </c>
      <c r="F85" s="6" t="n">
        <v>7300</v>
      </c>
      <c r="G85" s="7">
        <f>E85*F85</f>
        <v/>
      </c>
      <c r="H85" s="7" t="n">
        <v>0</v>
      </c>
      <c r="I85" s="7">
        <f>G85-H85</f>
        <v/>
      </c>
      <c r="J85" s="4" t="n"/>
      <c r="K85" s="8" t="inlineStr">
        <is>
          <t>Накл. №24615</t>
        </is>
      </c>
    </row>
    <row r="86">
      <c r="A86" s="2" t="n">
        <v>46284</v>
      </c>
      <c r="B86" s="3" t="inlineStr">
        <is>
          <t>ТОО "ADV STORE (АДВ СТОР)"</t>
        </is>
      </c>
      <c r="C86" s="3" t="inlineStr">
        <is>
          <t>Трансформатор -500W эко закрытый</t>
        </is>
      </c>
      <c r="D86" s="4" t="inlineStr">
        <is>
          <t>шт</t>
        </is>
      </c>
      <c r="E86" s="5" t="n">
        <v>1</v>
      </c>
      <c r="F86" s="6" t="n">
        <v>14500</v>
      </c>
      <c r="G86" s="7">
        <f>E86*F86</f>
        <v/>
      </c>
      <c r="H86" s="7" t="n">
        <v>0</v>
      </c>
      <c r="I86" s="7">
        <f>G86-H86</f>
        <v/>
      </c>
      <c r="J86" s="4" t="n"/>
      <c r="K86" s="8" t="inlineStr">
        <is>
          <t>Накл. №24615</t>
        </is>
      </c>
    </row>
    <row r="87">
      <c r="A87" s="2" t="n">
        <v>46284</v>
      </c>
      <c r="B87" s="3" t="inlineStr">
        <is>
          <t>ТОО "ADV STORE (АДВ СТОР)"</t>
        </is>
      </c>
      <c r="C87" s="3" t="inlineStr">
        <is>
          <t>Фотореле 25А</t>
        </is>
      </c>
      <c r="D87" s="4" t="inlineStr">
        <is>
          <t>шт</t>
        </is>
      </c>
      <c r="E87" s="5" t="n">
        <v>2</v>
      </c>
      <c r="F87" s="6" t="n">
        <v>3500</v>
      </c>
      <c r="G87" s="7">
        <f>E87*F87</f>
        <v/>
      </c>
      <c r="H87" s="7" t="n">
        <v>0</v>
      </c>
      <c r="I87" s="7">
        <f>G87-H87</f>
        <v/>
      </c>
      <c r="J87" s="4" t="n"/>
      <c r="K87" s="8" t="inlineStr">
        <is>
          <t>Накл. №24615</t>
        </is>
      </c>
    </row>
    <row r="88">
      <c r="A88" s="2" t="n">
        <v>46284</v>
      </c>
      <c r="B88" s="3" t="inlineStr">
        <is>
          <t>ТОО "ADV STORE (АДВ СТОР)"</t>
        </is>
      </c>
      <c r="C88" s="3" t="inlineStr">
        <is>
          <t>PVC/PET 0.8 мм прозрачный</t>
        </is>
      </c>
      <c r="D88" s="4" t="inlineStr">
        <is>
          <t>шт</t>
        </is>
      </c>
      <c r="E88" s="5" t="n">
        <v>1</v>
      </c>
      <c r="F88" s="6" t="n">
        <v>3700</v>
      </c>
      <c r="G88" s="7">
        <f>E88*F88</f>
        <v/>
      </c>
      <c r="H88" s="7" t="n">
        <v>0</v>
      </c>
      <c r="I88" s="7">
        <f>G88-H88</f>
        <v/>
      </c>
      <c r="J88" s="4" t="n"/>
      <c r="K88" s="8" t="inlineStr">
        <is>
          <t>Накл. №24647</t>
        </is>
      </c>
    </row>
    <row r="89">
      <c r="A89" s="2" t="n">
        <v>46284</v>
      </c>
      <c r="B89" s="3" t="inlineStr">
        <is>
          <t>ТОО "ADV STORE (АДВ СТОР)"</t>
        </is>
      </c>
      <c r="C89" s="3" t="inlineStr">
        <is>
          <t>Клей Akfix 400 мл</t>
        </is>
      </c>
      <c r="D89" s="4" t="inlineStr">
        <is>
          <t>шт</t>
        </is>
      </c>
      <c r="E89" s="5" t="n">
        <v>2</v>
      </c>
      <c r="F89" s="6" t="n">
        <v>2200</v>
      </c>
      <c r="G89" s="7">
        <f>E89*F89</f>
        <v/>
      </c>
      <c r="H89" s="7" t="n">
        <v>0</v>
      </c>
      <c r="I89" s="7">
        <f>G89-H89</f>
        <v/>
      </c>
      <c r="J89" s="4" t="n"/>
      <c r="K89" s="8" t="inlineStr">
        <is>
          <t>Накл. №24647</t>
        </is>
      </c>
    </row>
    <row r="90">
      <c r="A90" s="2" t="n">
        <v>46286</v>
      </c>
      <c r="B90" s="3" t="inlineStr">
        <is>
          <t>ТОО "ADV STORE (АДВ СТОР)"</t>
        </is>
      </c>
      <c r="C90" s="3" t="inlineStr">
        <is>
          <t>Диоды 220v 4-х 1/1 6000к влагозащищенные</t>
        </is>
      </c>
      <c r="D90" s="4" t="inlineStr">
        <is>
          <t>шт</t>
        </is>
      </c>
      <c r="E90" s="5" t="n">
        <v>60</v>
      </c>
      <c r="F90" s="6" t="n">
        <v>220</v>
      </c>
      <c r="G90" s="7">
        <f>E90*F90</f>
        <v/>
      </c>
      <c r="H90" s="7" t="n">
        <v>0</v>
      </c>
      <c r="I90" s="7">
        <f>G90-H90</f>
        <v/>
      </c>
      <c r="J90" s="4" t="n"/>
      <c r="K90" s="8" t="inlineStr">
        <is>
          <t>Накл. №24681</t>
        </is>
      </c>
    </row>
    <row r="91">
      <c r="A91" s="2" t="n">
        <v>46286</v>
      </c>
      <c r="B91" s="3" t="inlineStr">
        <is>
          <t>ТОО "ADV STORE (АДВ СТОР)"</t>
        </is>
      </c>
      <c r="C91" s="3" t="inlineStr">
        <is>
          <t>Баннер 340 гр мат 3,2*50м</t>
        </is>
      </c>
      <c r="D91" s="4" t="inlineStr">
        <is>
          <t>шт</t>
        </is>
      </c>
      <c r="E91" s="5" t="n">
        <v>1</v>
      </c>
      <c r="F91" s="6" t="n">
        <v>43000</v>
      </c>
      <c r="G91" s="7">
        <f>E91*F91</f>
        <v/>
      </c>
      <c r="H91" s="7" t="n">
        <v>0</v>
      </c>
      <c r="I91" s="7">
        <f>G91-H91</f>
        <v/>
      </c>
      <c r="J91" s="4" t="n"/>
      <c r="K91" s="8" t="inlineStr">
        <is>
          <t>Накл. №24681</t>
        </is>
      </c>
    </row>
    <row r="92">
      <c r="A92" s="2" t="n">
        <v>46286</v>
      </c>
      <c r="B92" s="3" t="inlineStr">
        <is>
          <t>ТОО "ADV STORE (АДВ СТОР)"</t>
        </is>
      </c>
      <c r="C92" s="3" t="inlineStr">
        <is>
          <t>Провод ШВВП 2*0,75 белый</t>
        </is>
      </c>
      <c r="D92" s="4" t="inlineStr">
        <is>
          <t>м</t>
        </is>
      </c>
      <c r="E92" s="5" t="n">
        <v>50</v>
      </c>
      <c r="F92" s="6" t="n">
        <v>130</v>
      </c>
      <c r="G92" s="7">
        <f>E92*F92</f>
        <v/>
      </c>
      <c r="H92" s="7" t="n">
        <v>0</v>
      </c>
      <c r="I92" s="7">
        <f>G92-H92</f>
        <v/>
      </c>
      <c r="J92" s="4" t="n"/>
      <c r="K92" s="8" t="inlineStr">
        <is>
          <t>Накл. №24681</t>
        </is>
      </c>
    </row>
    <row r="93">
      <c r="A93" s="2" t="n">
        <v>46286</v>
      </c>
      <c r="B93" s="3" t="inlineStr">
        <is>
          <t>ТОО "ADV STORE (АДВ СТОР)"</t>
        </is>
      </c>
      <c r="C93" s="3" t="inlineStr">
        <is>
          <t>Доставка</t>
        </is>
      </c>
      <c r="D93" s="4" t="inlineStr">
        <is>
          <t>ус</t>
        </is>
      </c>
      <c r="E93" s="5" t="n">
        <v>1</v>
      </c>
      <c r="F93" s="6" t="n">
        <v>1200</v>
      </c>
      <c r="G93" s="7">
        <f>E93*F93</f>
        <v/>
      </c>
      <c r="H93" s="7" t="n">
        <v>0</v>
      </c>
      <c r="I93" s="7">
        <f>G93-H93</f>
        <v/>
      </c>
      <c r="J93" s="4" t="n"/>
      <c r="K93" s="8" t="inlineStr">
        <is>
          <t>Накл. №24681</t>
        </is>
      </c>
    </row>
    <row r="94">
      <c r="A94" s="2" t="n">
        <v>46286</v>
      </c>
      <c r="B94" s="3" t="inlineStr">
        <is>
          <t>ТОО "ADV STORE (АДВ СТОР)"</t>
        </is>
      </c>
      <c r="C94" s="3" t="inlineStr">
        <is>
          <t>Пленка 1,22м М-3169 зеленая</t>
        </is>
      </c>
      <c r="D94" s="4" t="inlineStr">
        <is>
          <t>м</t>
        </is>
      </c>
      <c r="E94" s="5" t="n">
        <v>2.5</v>
      </c>
      <c r="F94" s="6" t="n">
        <v>1250</v>
      </c>
      <c r="G94" s="7">
        <f>E94*F94</f>
        <v/>
      </c>
      <c r="H94" s="7" t="n">
        <v>0</v>
      </c>
      <c r="I94" s="7">
        <f>G94-H94</f>
        <v/>
      </c>
      <c r="J94" s="4" t="n"/>
      <c r="K94" s="8" t="inlineStr">
        <is>
          <t>Накл. №24684</t>
        </is>
      </c>
    </row>
    <row r="95">
      <c r="A95" s="2" t="n">
        <v>46287</v>
      </c>
      <c r="B95" s="3" t="inlineStr">
        <is>
          <t>ТОО "ADV STORE (АДВ СТОР)"</t>
        </is>
      </c>
      <c r="C95" s="3" t="inlineStr">
        <is>
          <t>ПВХ 5 ММ ПЛ 0,45 122*244 ЭКО</t>
        </is>
      </c>
      <c r="D95" s="4" t="inlineStr">
        <is>
          <t>шт</t>
        </is>
      </c>
      <c r="E95" s="5" t="n">
        <v>3</v>
      </c>
      <c r="F95" s="6" t="n">
        <v>2500</v>
      </c>
      <c r="G95" s="7">
        <f>E95*F95</f>
        <v/>
      </c>
      <c r="H95" s="7" t="n">
        <v>0</v>
      </c>
      <c r="I95" s="7">
        <f>G95-H95</f>
        <v/>
      </c>
      <c r="J95" s="4" t="n"/>
      <c r="K95" s="8" t="inlineStr">
        <is>
          <t>Накл. №24810</t>
        </is>
      </c>
    </row>
    <row r="96">
      <c r="A96" s="2" t="n">
        <v>46287</v>
      </c>
      <c r="B96" s="3" t="inlineStr">
        <is>
          <t>ТОО "ADV STORE (АДВ СТОР)"</t>
        </is>
      </c>
      <c r="C96" s="3" t="inlineStr">
        <is>
          <t>ПВХ 3мм, пл 0,45, 1,22*2,44 СЕРИИ А</t>
        </is>
      </c>
      <c r="D96" s="4" t="inlineStr">
        <is>
          <t>шт</t>
        </is>
      </c>
      <c r="E96" s="5" t="n">
        <v>2</v>
      </c>
      <c r="F96" s="6" t="n">
        <v>2200</v>
      </c>
      <c r="G96" s="7">
        <f>E96*F96</f>
        <v/>
      </c>
      <c r="H96" s="7" t="n">
        <v>0</v>
      </c>
      <c r="I96" s="7">
        <f>G96-H96</f>
        <v/>
      </c>
      <c r="J96" s="4" t="n"/>
      <c r="K96" s="8" t="inlineStr">
        <is>
          <t>Накл. №24810</t>
        </is>
      </c>
    </row>
    <row r="97">
      <c r="A97" s="2" t="n">
        <v>46287</v>
      </c>
      <c r="B97" s="3" t="inlineStr">
        <is>
          <t>ТОО "ADV STORE (АДВ СТОР)"</t>
        </is>
      </c>
      <c r="C97" s="3" t="inlineStr">
        <is>
          <t>АКРИЛ 2,5мм белый 425 122*244 ЭКО</t>
        </is>
      </c>
      <c r="D97" s="4" t="inlineStr">
        <is>
          <t>шт</t>
        </is>
      </c>
      <c r="E97" s="5" t="n">
        <v>2</v>
      </c>
      <c r="F97" s="6" t="n">
        <v>17800</v>
      </c>
      <c r="G97" s="7">
        <f>E97*F97</f>
        <v/>
      </c>
      <c r="H97" s="7" t="n">
        <v>0</v>
      </c>
      <c r="I97" s="7">
        <f>G97-H97</f>
        <v/>
      </c>
      <c r="J97" s="4" t="n"/>
      <c r="K97" s="8" t="inlineStr">
        <is>
          <t>Накл. №24810</t>
        </is>
      </c>
    </row>
    <row r="98">
      <c r="A98" s="2" t="n">
        <v>46287</v>
      </c>
      <c r="B98" s="3" t="inlineStr">
        <is>
          <t>ТОО "ADV STORE (АДВ СТОР)"</t>
        </is>
      </c>
      <c r="C98" s="3" t="inlineStr">
        <is>
          <t>ПВХ 8 ММ ПЛ 0,45 122*244 ЭКО</t>
        </is>
      </c>
      <c r="D98" s="4" t="inlineStr">
        <is>
          <t>шт</t>
        </is>
      </c>
      <c r="E98" s="5" t="n">
        <v>3</v>
      </c>
      <c r="F98" s="6" t="n">
        <v>4200</v>
      </c>
      <c r="G98" s="7">
        <f>E98*F98</f>
        <v/>
      </c>
      <c r="H98" s="7" t="n">
        <v>0</v>
      </c>
      <c r="I98" s="7">
        <f>G98-H98</f>
        <v/>
      </c>
      <c r="J98" s="4" t="n"/>
      <c r="K98" s="8" t="inlineStr">
        <is>
          <t>Накл. №24810</t>
        </is>
      </c>
    </row>
    <row r="99">
      <c r="A99" s="2" t="n">
        <v>46287</v>
      </c>
      <c r="B99" s="3" t="inlineStr">
        <is>
          <t>ТОО "ADV STORE (АДВ СТОР)"</t>
        </is>
      </c>
      <c r="C99" s="3" t="inlineStr">
        <is>
          <t>Доставка</t>
        </is>
      </c>
      <c r="D99" s="4" t="inlineStr">
        <is>
          <t>ус</t>
        </is>
      </c>
      <c r="E99" s="5" t="n">
        <v>1</v>
      </c>
      <c r="F99" s="6" t="n">
        <v>1200</v>
      </c>
      <c r="G99" s="7">
        <f>E99*F99</f>
        <v/>
      </c>
      <c r="H99" s="7" t="n">
        <v>0</v>
      </c>
      <c r="I99" s="7">
        <f>G99-H99</f>
        <v/>
      </c>
      <c r="J99" s="4" t="n"/>
      <c r="K99" s="8" t="inlineStr">
        <is>
          <t>Накл. №24810</t>
        </is>
      </c>
    </row>
    <row r="100">
      <c r="A100" s="2" t="n">
        <v>46287</v>
      </c>
      <c r="B100" s="3" t="inlineStr">
        <is>
          <t>ТОО "ADV STORE (АДВ СТОР)"</t>
        </is>
      </c>
      <c r="C100" s="3" t="inlineStr">
        <is>
          <t>АКРИЛ 3мм(2,5) черный 502 122*244 ЭКО</t>
        </is>
      </c>
      <c r="D100" s="4" t="inlineStr">
        <is>
          <t>шт</t>
        </is>
      </c>
      <c r="E100" s="5" t="n">
        <v>1</v>
      </c>
      <c r="F100" s="6" t="n">
        <v>17800</v>
      </c>
      <c r="G100" s="7">
        <f>E100*F100</f>
        <v/>
      </c>
      <c r="H100" s="7" t="n">
        <v>0</v>
      </c>
      <c r="I100" s="7">
        <f>G100-H100</f>
        <v/>
      </c>
      <c r="J100" s="4" t="n"/>
      <c r="K100" s="8" t="inlineStr">
        <is>
          <t>Накл. №24822</t>
        </is>
      </c>
    </row>
    <row r="101">
      <c r="A101" s="2" t="n">
        <v>46287</v>
      </c>
      <c r="B101" s="3" t="inlineStr">
        <is>
          <t>ТОО "ADV STORE (АДВ СТОР)"</t>
        </is>
      </c>
      <c r="C101" s="3" t="inlineStr">
        <is>
          <t>Диоды 220v 4-х 1/1 6000к (7*7СМ)</t>
        </is>
      </c>
      <c r="D101" s="4" t="inlineStr">
        <is>
          <t>шт</t>
        </is>
      </c>
      <c r="E101" s="5" t="n">
        <v>40</v>
      </c>
      <c r="F101" s="6" t="n">
        <v>160</v>
      </c>
      <c r="G101" s="7">
        <f>E101*F101</f>
        <v/>
      </c>
      <c r="H101" s="7" t="n">
        <v>0</v>
      </c>
      <c r="I101" s="7">
        <f>G101-H101</f>
        <v/>
      </c>
      <c r="J101" s="4" t="n"/>
      <c r="K101" s="8" t="inlineStr">
        <is>
          <t>Накл. №24854</t>
        </is>
      </c>
    </row>
    <row r="102">
      <c r="A102" s="2" t="n">
        <v>46287</v>
      </c>
      <c r="B102" s="3" t="inlineStr">
        <is>
          <t>ТОО "ADV STORE (АДВ СТОР)"</t>
        </is>
      </c>
      <c r="C102" s="3" t="inlineStr">
        <is>
          <t>Термосгибочный для сгибания пластиков ОДИНОЧНЫЙ УЗКИЙ</t>
        </is>
      </c>
      <c r="D102" s="4" t="inlineStr">
        <is>
          <t>шт</t>
        </is>
      </c>
      <c r="E102" s="5" t="n">
        <v>1</v>
      </c>
      <c r="F102" s="6" t="n">
        <v>5500</v>
      </c>
      <c r="G102" s="7">
        <f>E102*F102</f>
        <v/>
      </c>
      <c r="H102" s="7" t="n">
        <v>0</v>
      </c>
      <c r="I102" s="7">
        <f>G102-H102</f>
        <v/>
      </c>
      <c r="J102" s="4" t="n"/>
      <c r="K102" s="8" t="inlineStr">
        <is>
          <t>Накл. №24854</t>
        </is>
      </c>
    </row>
    <row r="103">
      <c r="A103" s="2" t="n">
        <v>46288</v>
      </c>
      <c r="B103" s="3" t="inlineStr">
        <is>
          <t>ТОО "ADV STORE (АДВ СТОР)"</t>
        </is>
      </c>
      <c r="C103" s="3" t="inlineStr">
        <is>
          <t>Трансформатор -200W эко закрытый</t>
        </is>
      </c>
      <c r="D103" s="4" t="inlineStr">
        <is>
          <t>шт</t>
        </is>
      </c>
      <c r="E103" s="5" t="n">
        <v>2</v>
      </c>
      <c r="F103" s="6" t="n">
        <v>7300</v>
      </c>
      <c r="G103" s="7">
        <f>E103*F103</f>
        <v/>
      </c>
      <c r="H103" s="7" t="n">
        <v>0</v>
      </c>
      <c r="I103" s="7">
        <f>G103-H103</f>
        <v/>
      </c>
      <c r="J103" s="4" t="n"/>
      <c r="K103" s="8" t="inlineStr">
        <is>
          <t>Накл. №24992</t>
        </is>
      </c>
    </row>
    <row r="104">
      <c r="A104" s="2" t="n">
        <v>46288</v>
      </c>
      <c r="B104" s="3" t="inlineStr">
        <is>
          <t>ТОО "ADV STORE (АДВ СТОР)"</t>
        </is>
      </c>
      <c r="C104" s="3" t="inlineStr">
        <is>
          <t>Трансформатор -300W эко закрытый</t>
        </is>
      </c>
      <c r="D104" s="4" t="inlineStr">
        <is>
          <t>шт</t>
        </is>
      </c>
      <c r="E104" s="5" t="n">
        <v>2</v>
      </c>
      <c r="F104" s="6" t="n">
        <v>9700</v>
      </c>
      <c r="G104" s="7">
        <f>E104*F104</f>
        <v/>
      </c>
      <c r="H104" s="7" t="n">
        <v>0</v>
      </c>
      <c r="I104" s="7">
        <f>G104-H104</f>
        <v/>
      </c>
      <c r="J104" s="4" t="n"/>
      <c r="K104" s="8" t="inlineStr">
        <is>
          <t>Накл. №24992</t>
        </is>
      </c>
    </row>
    <row r="105">
      <c r="A105" s="2" t="n">
        <v>46288</v>
      </c>
      <c r="B105" s="3" t="inlineStr">
        <is>
          <t>ТОО "ADV STORE (АДВ СТОР)"</t>
        </is>
      </c>
      <c r="C105" s="3" t="inlineStr">
        <is>
          <t>Трансформатор -400W эко закрытый</t>
        </is>
      </c>
      <c r="D105" s="4" t="inlineStr">
        <is>
          <t>шт</t>
        </is>
      </c>
      <c r="E105" s="5" t="n">
        <v>2</v>
      </c>
      <c r="F105" s="6" t="n">
        <v>12600</v>
      </c>
      <c r="G105" s="7">
        <f>E105*F105</f>
        <v/>
      </c>
      <c r="H105" s="7" t="n">
        <v>0</v>
      </c>
      <c r="I105" s="7">
        <f>G105-H105</f>
        <v/>
      </c>
      <c r="J105" s="4" t="n"/>
      <c r="K105" s="8" t="inlineStr">
        <is>
          <t>Накл. №24992</t>
        </is>
      </c>
    </row>
    <row r="106">
      <c r="A106" s="2" t="n">
        <v>46288</v>
      </c>
      <c r="B106" s="3" t="inlineStr">
        <is>
          <t>ТОО "ADV STORE (АДВ СТОР)"</t>
        </is>
      </c>
      <c r="C106" s="3" t="inlineStr">
        <is>
          <t>Диоды мини 2х точечные белые 0,4w 26*05 6000к</t>
        </is>
      </c>
      <c r="D106" s="4" t="inlineStr">
        <is>
          <t>шт</t>
        </is>
      </c>
      <c r="E106" s="5" t="n">
        <v>250</v>
      </c>
      <c r="F106" s="6" t="n">
        <v>35</v>
      </c>
      <c r="G106" s="7">
        <f>E106*F106</f>
        <v/>
      </c>
      <c r="H106" s="7" t="n">
        <v>0</v>
      </c>
      <c r="I106" s="7">
        <f>G106-H106</f>
        <v/>
      </c>
      <c r="J106" s="4" t="n"/>
      <c r="K106" s="8" t="inlineStr">
        <is>
          <t>Накл. №24992</t>
        </is>
      </c>
    </row>
    <row r="107">
      <c r="A107" s="2" t="n">
        <v>46288</v>
      </c>
      <c r="B107" s="3" t="inlineStr">
        <is>
          <t>ТОО "ADV STORE (АДВ СТОР)"</t>
        </is>
      </c>
      <c r="C107" s="3" t="inlineStr">
        <is>
          <t>Диоды линза 12v трехточечные 1,5W белые 6000к</t>
        </is>
      </c>
      <c r="D107" s="4" t="inlineStr">
        <is>
          <t>шт</t>
        </is>
      </c>
      <c r="E107" s="5" t="n">
        <v>1000</v>
      </c>
      <c r="F107" s="6" t="n">
        <v>35</v>
      </c>
      <c r="G107" s="7">
        <f>E107*F107</f>
        <v/>
      </c>
      <c r="H107" s="7" t="n">
        <v>0</v>
      </c>
      <c r="I107" s="7">
        <f>G107-H107</f>
        <v/>
      </c>
      <c r="J107" s="4" t="n"/>
      <c r="K107" s="8" t="inlineStr">
        <is>
          <t>Накл. №24992</t>
        </is>
      </c>
    </row>
    <row r="108">
      <c r="A108" s="2" t="n">
        <v>46289</v>
      </c>
      <c r="B108" s="3" t="inlineStr">
        <is>
          <t>ТОО "ADV STORE (АДВ СТОР)"</t>
        </is>
      </c>
      <c r="C108" s="3" t="inlineStr">
        <is>
          <t>Краска Arton A206 Halloween оранжевый</t>
        </is>
      </c>
      <c r="D108" s="4" t="inlineStr">
        <is>
          <t>шт</t>
        </is>
      </c>
      <c r="E108" s="5" t="n">
        <v>10</v>
      </c>
      <c r="F108" s="6" t="n">
        <v>4500</v>
      </c>
      <c r="G108" s="7">
        <f>E108*F108</f>
        <v/>
      </c>
      <c r="H108" s="7" t="n">
        <v>0</v>
      </c>
      <c r="I108" s="7">
        <f>G108-H108</f>
        <v/>
      </c>
      <c r="J108" s="4" t="n"/>
      <c r="K108" s="8" t="inlineStr">
        <is>
          <t>Накл. №25153</t>
        </is>
      </c>
    </row>
    <row r="109">
      <c r="A109" s="2" t="n">
        <v>46290</v>
      </c>
      <c r="B109" s="3" t="inlineStr">
        <is>
          <t>ТОО "ADV STORE (АДВ СТОР)"</t>
        </is>
      </c>
      <c r="C109" s="3" t="inlineStr">
        <is>
          <t>Кармашек магнитный ЗОЛОТО А4 (23,5*32,3)</t>
        </is>
      </c>
      <c r="D109" s="4" t="inlineStr">
        <is>
          <t>шт</t>
        </is>
      </c>
      <c r="E109" s="5" t="n">
        <v>36</v>
      </c>
      <c r="F109" s="6" t="n">
        <v>550</v>
      </c>
      <c r="G109" s="7">
        <f>E109*F109</f>
        <v/>
      </c>
      <c r="H109" s="7" t="n">
        <v>0</v>
      </c>
      <c r="I109" s="7">
        <f>G109-H109</f>
        <v/>
      </c>
      <c r="J109" s="4" t="n"/>
      <c r="K109" s="8" t="inlineStr">
        <is>
          <t>Накл. №25295</t>
        </is>
      </c>
    </row>
    <row r="110">
      <c r="A110" s="2" t="n">
        <v>46290</v>
      </c>
      <c r="B110" s="3" t="inlineStr">
        <is>
          <t>ТОО "ADV STORE (АДВ СТОР)"</t>
        </is>
      </c>
      <c r="C110" s="3" t="inlineStr">
        <is>
          <t>Диодная лента 1м/120 шт 12V белый 6000K S</t>
        </is>
      </c>
      <c r="D110" s="4" t="inlineStr">
        <is>
          <t>м</t>
        </is>
      </c>
      <c r="E110" s="5" t="n">
        <v>20</v>
      </c>
      <c r="F110" s="6" t="n">
        <v>500</v>
      </c>
      <c r="G110" s="7">
        <f>E110*F110</f>
        <v/>
      </c>
      <c r="H110" s="7" t="n">
        <v>0</v>
      </c>
      <c r="I110" s="7">
        <f>G110-H110</f>
        <v/>
      </c>
      <c r="J110" s="4" t="n"/>
      <c r="K110" s="8" t="inlineStr">
        <is>
          <t>Накл. №25295</t>
        </is>
      </c>
    </row>
    <row r="111">
      <c r="A111" s="2" t="n">
        <v>46291</v>
      </c>
      <c r="B111" s="3" t="inlineStr">
        <is>
          <t>ТОО "ADV STORE (АДВ СТОР)"</t>
        </is>
      </c>
      <c r="C111" s="3" t="inlineStr">
        <is>
          <t>Акрил 3 мм коричневый 8814 1,22*2,44</t>
        </is>
      </c>
      <c r="D111" s="4" t="inlineStr">
        <is>
          <t>шт</t>
        </is>
      </c>
      <c r="E111" s="5" t="n">
        <v>0.5</v>
      </c>
      <c r="F111" s="6" t="n">
        <v>22800</v>
      </c>
      <c r="G111" s="7">
        <f>E111*F111</f>
        <v/>
      </c>
      <c r="H111" s="7" t="n">
        <v>0</v>
      </c>
      <c r="I111" s="7">
        <f>G111-H111</f>
        <v/>
      </c>
      <c r="J111" s="4" t="n"/>
      <c r="K111" s="8" t="inlineStr">
        <is>
          <t>Накл. №25429</t>
        </is>
      </c>
    </row>
    <row r="112">
      <c r="A112" s="2" t="n">
        <v>46291</v>
      </c>
      <c r="B112" s="3" t="inlineStr">
        <is>
          <t>ТОО "ADV STORE (АДВ СТОР)"</t>
        </is>
      </c>
      <c r="C112" s="3" t="inlineStr">
        <is>
          <t>Пленка 1,22м М-3151 морковно-оранжевая</t>
        </is>
      </c>
      <c r="D112" s="4" t="inlineStr">
        <is>
          <t>м</t>
        </is>
      </c>
      <c r="E112" s="5" t="n">
        <v>4</v>
      </c>
      <c r="F112" s="6" t="n">
        <v>1250</v>
      </c>
      <c r="G112" s="7">
        <f>E112*F112</f>
        <v/>
      </c>
      <c r="H112" s="7" t="n">
        <v>0</v>
      </c>
      <c r="I112" s="7">
        <f>G112-H112</f>
        <v/>
      </c>
      <c r="J112" s="4" t="n"/>
      <c r="K112" s="8" t="inlineStr">
        <is>
          <t>Накл. №25429</t>
        </is>
      </c>
    </row>
    <row r="113">
      <c r="A113" s="2" t="n">
        <v>46291</v>
      </c>
      <c r="B113" s="3" t="inlineStr">
        <is>
          <t>ТОО "ADV STORE (АДВ СТОР)"</t>
        </is>
      </c>
      <c r="C113" s="3" t="inlineStr">
        <is>
          <t>Пленка витражная 1,22М-150ГР.</t>
        </is>
      </c>
      <c r="D113" s="4" t="inlineStr">
        <is>
          <t>м</t>
        </is>
      </c>
      <c r="E113" s="5" t="n">
        <v>15</v>
      </c>
      <c r="F113" s="6" t="n">
        <v>1200</v>
      </c>
      <c r="G113" s="7">
        <f>E113*F113</f>
        <v/>
      </c>
      <c r="H113" s="7" t="n">
        <v>0</v>
      </c>
      <c r="I113" s="7">
        <f>G113-H113</f>
        <v/>
      </c>
      <c r="J113" s="4" t="n"/>
      <c r="K113" s="8" t="inlineStr">
        <is>
          <t>Накл. №25429</t>
        </is>
      </c>
    </row>
    <row r="114">
      <c r="A114" s="2" t="n">
        <v>46291</v>
      </c>
      <c r="B114" s="3" t="inlineStr">
        <is>
          <t>ТОО "ADV STORE (АДВ СТОР)"</t>
        </is>
      </c>
      <c r="C114" s="3" t="inlineStr">
        <is>
          <t>АБС серебро царапка/черный</t>
        </is>
      </c>
      <c r="D114" s="4" t="inlineStr">
        <is>
          <t>шт</t>
        </is>
      </c>
      <c r="E114" s="5" t="n">
        <v>1</v>
      </c>
      <c r="F114" s="6" t="n">
        <v>2900</v>
      </c>
      <c r="G114" s="7">
        <f>E114*F114</f>
        <v/>
      </c>
      <c r="H114" s="7" t="n">
        <v>0</v>
      </c>
      <c r="I114" s="7">
        <f>G114-H114</f>
        <v/>
      </c>
      <c r="J114" s="4" t="n"/>
      <c r="K114" s="8" t="inlineStr">
        <is>
          <t>Накл. №25429</t>
        </is>
      </c>
    </row>
    <row r="115">
      <c r="A115" s="2" t="n">
        <v>46291</v>
      </c>
      <c r="B115" s="3" t="inlineStr">
        <is>
          <t>ТОО "ADV STORE (АДВ СТОР)"</t>
        </is>
      </c>
      <c r="C115" s="3" t="inlineStr">
        <is>
          <t>Акрил 3 мм коричневый 8814 1,22*2,44</t>
        </is>
      </c>
      <c r="D115" s="4" t="inlineStr">
        <is>
          <t>шт</t>
        </is>
      </c>
      <c r="E115" s="5" t="n">
        <v>0.5</v>
      </c>
      <c r="F115" s="6" t="n">
        <v>22800</v>
      </c>
      <c r="G115" s="7">
        <f>E115*F115</f>
        <v/>
      </c>
      <c r="H115" s="7" t="n">
        <v>0</v>
      </c>
      <c r="I115" s="7">
        <f>G115-H115</f>
        <v/>
      </c>
      <c r="J115" s="4" t="n"/>
      <c r="K115" s="8" t="inlineStr">
        <is>
          <t>Накл. №25475</t>
        </is>
      </c>
    </row>
    <row r="116">
      <c r="A116" s="2" t="n">
        <v>46293</v>
      </c>
      <c r="B116" s="3" t="inlineStr">
        <is>
          <t>ТОО "ADV STORE (АДВ СТОР)"</t>
        </is>
      </c>
      <c r="C116" s="3" t="inlineStr">
        <is>
          <t>Диоды линза 12v трехточечные 1,5W белые 6000к</t>
        </is>
      </c>
      <c r="D116" s="4" t="inlineStr">
        <is>
          <t>шт</t>
        </is>
      </c>
      <c r="E116" s="5" t="n">
        <v>600</v>
      </c>
      <c r="F116" s="6" t="n">
        <v>35</v>
      </c>
      <c r="G116" s="7">
        <f>E116*F116</f>
        <v/>
      </c>
      <c r="H116" s="7" t="n">
        <v>0</v>
      </c>
      <c r="I116" s="7">
        <f>G116-H116</f>
        <v/>
      </c>
      <c r="J116" s="4" t="n"/>
      <c r="K116" s="8" t="inlineStr">
        <is>
          <t>Накл. №25570</t>
        </is>
      </c>
    </row>
    <row r="117">
      <c r="A117" s="2" t="n">
        <v>46293</v>
      </c>
      <c r="B117" s="3" t="inlineStr">
        <is>
          <t>ТОО "ADV STORE (АДВ СТОР)"</t>
        </is>
      </c>
      <c r="C117" s="3" t="inlineStr">
        <is>
          <t>Диодная лента 1м/120 шт 12V белый 6000K S</t>
        </is>
      </c>
      <c r="D117" s="4" t="inlineStr">
        <is>
          <t>м</t>
        </is>
      </c>
      <c r="E117" s="5" t="n">
        <v>20</v>
      </c>
      <c r="F117" s="6" t="n">
        <v>500</v>
      </c>
      <c r="G117" s="7">
        <f>E117*F117</f>
        <v/>
      </c>
      <c r="H117" s="7" t="n">
        <v>0</v>
      </c>
      <c r="I117" s="7">
        <f>G117-H117</f>
        <v/>
      </c>
      <c r="J117" s="4" t="n"/>
      <c r="K117" s="8" t="inlineStr">
        <is>
          <t>Накл. №25570</t>
        </is>
      </c>
    </row>
    <row r="118">
      <c r="A118" s="2" t="n">
        <v>46293</v>
      </c>
      <c r="B118" s="3" t="inlineStr">
        <is>
          <t>ТОО "ADV STORE (АДВ СТОР)"</t>
        </is>
      </c>
      <c r="C118" s="3" t="inlineStr">
        <is>
          <t>Запаска TAJIMA 9мм</t>
        </is>
      </c>
      <c r="D118" s="4" t="inlineStr">
        <is>
          <t>шт</t>
        </is>
      </c>
      <c r="E118" s="5" t="n">
        <v>3</v>
      </c>
      <c r="F118" s="6" t="n">
        <v>1400</v>
      </c>
      <c r="G118" s="7">
        <f>E118*F118</f>
        <v/>
      </c>
      <c r="H118" s="7" t="n">
        <v>0</v>
      </c>
      <c r="I118" s="7">
        <f>G118-H118</f>
        <v/>
      </c>
      <c r="J118" s="4" t="n"/>
      <c r="K118" s="8" t="inlineStr">
        <is>
          <t>Накл. №25570</t>
        </is>
      </c>
    </row>
    <row r="119">
      <c r="A119" s="2" t="n">
        <v>46294</v>
      </c>
      <c r="B119" s="3" t="inlineStr">
        <is>
          <t>ТОО "ADV STORE (АДВ СТОР)"</t>
        </is>
      </c>
      <c r="C119" s="3" t="inlineStr">
        <is>
          <t>ПВХ 8мм, пл 0,6, 1,22*2,44</t>
        </is>
      </c>
      <c r="D119" s="4" t="inlineStr">
        <is>
          <t>шт</t>
        </is>
      </c>
      <c r="E119" s="5" t="n">
        <v>2</v>
      </c>
      <c r="F119" s="6" t="n">
        <v>13800</v>
      </c>
      <c r="G119" s="7">
        <f>E119*F119</f>
        <v/>
      </c>
      <c r="H119" s="7" t="n">
        <v>0</v>
      </c>
      <c r="I119" s="7">
        <f>G119-H119</f>
        <v/>
      </c>
      <c r="J119" s="4" t="n"/>
      <c r="K119" s="8" t="inlineStr">
        <is>
          <t>Накл. №25680</t>
        </is>
      </c>
    </row>
    <row r="120">
      <c r="A120" s="2" t="n">
        <v>46294</v>
      </c>
      <c r="B120" s="3" t="inlineStr">
        <is>
          <t>ТОО "ADV STORE (АДВ СТОР)"</t>
        </is>
      </c>
      <c r="C120" s="3" t="inlineStr">
        <is>
          <t>ПВХ 5мм, пл 0,45, 1,22*2,44 СЕРИИ А</t>
        </is>
      </c>
      <c r="D120" s="4" t="inlineStr">
        <is>
          <t>шт</t>
        </is>
      </c>
      <c r="E120" s="5" t="n">
        <v>3</v>
      </c>
      <c r="F120" s="6" t="n">
        <v>3400</v>
      </c>
      <c r="G120" s="7">
        <f>E120*F120</f>
        <v/>
      </c>
      <c r="H120" s="7" t="n">
        <v>0</v>
      </c>
      <c r="I120" s="7">
        <f>G120-H120</f>
        <v/>
      </c>
      <c r="J120" s="4" t="n"/>
      <c r="K120" s="8" t="inlineStr">
        <is>
          <t>Накл. №25680</t>
        </is>
      </c>
    </row>
    <row r="121">
      <c r="A121" s="2" t="n">
        <v>46294</v>
      </c>
      <c r="B121" s="3" t="inlineStr">
        <is>
          <t>ТОО "ADV STORE (АДВ СТОР)"</t>
        </is>
      </c>
      <c r="C121" s="3" t="inlineStr">
        <is>
          <t>АКРИЛ 2,5мм белый 425 122*244 ЭКО</t>
        </is>
      </c>
      <c r="D121" s="4" t="inlineStr">
        <is>
          <t>шт</t>
        </is>
      </c>
      <c r="E121" s="5" t="n">
        <v>2</v>
      </c>
      <c r="F121" s="6" t="n">
        <v>17800</v>
      </c>
      <c r="G121" s="7">
        <f>E121*F121</f>
        <v/>
      </c>
      <c r="H121" s="7" t="n">
        <v>0</v>
      </c>
      <c r="I121" s="7">
        <f>G121-H121</f>
        <v/>
      </c>
      <c r="J121" s="4" t="n"/>
      <c r="K121" s="8" t="inlineStr">
        <is>
          <t>Накл. №25680</t>
        </is>
      </c>
    </row>
    <row r="122">
      <c r="A122" s="2" t="n">
        <v>46294</v>
      </c>
      <c r="B122" s="3" t="inlineStr">
        <is>
          <t>ТОО "ADV STORE (АДВ СТОР)"</t>
        </is>
      </c>
      <c r="C122" s="3" t="inlineStr">
        <is>
          <t>Доставка</t>
        </is>
      </c>
      <c r="D122" s="4" t="inlineStr">
        <is>
          <t>ус</t>
        </is>
      </c>
      <c r="E122" s="5" t="n">
        <v>1</v>
      </c>
      <c r="F122" s="6" t="n">
        <v>1200</v>
      </c>
      <c r="G122" s="7">
        <f>E122*F122</f>
        <v/>
      </c>
      <c r="H122" s="7" t="n">
        <v>0</v>
      </c>
      <c r="I122" s="7">
        <f>G122-H122</f>
        <v/>
      </c>
      <c r="J122" s="4" t="n"/>
      <c r="K122" s="8" t="inlineStr">
        <is>
          <t>Накл. №25680</t>
        </is>
      </c>
    </row>
    <row r="123">
      <c r="A123" s="2" t="n">
        <v>46296</v>
      </c>
      <c r="B123" s="3" t="inlineStr">
        <is>
          <t>ТОО "ADV STORE (АДВ СТОР)"</t>
        </is>
      </c>
      <c r="C123" s="3" t="inlineStr">
        <is>
          <t>Пленка 1,22м М-3370 бежевая</t>
        </is>
      </c>
      <c r="D123" s="4" t="inlineStr">
        <is>
          <t>м</t>
        </is>
      </c>
      <c r="E123" s="5" t="n">
        <v>0.5</v>
      </c>
      <c r="F123" s="6" t="n">
        <v>1250</v>
      </c>
      <c r="G123" s="7">
        <f>E123*F123</f>
        <v/>
      </c>
      <c r="H123" s="7" t="n">
        <v>0</v>
      </c>
      <c r="I123" s="7">
        <f>G123-H123</f>
        <v/>
      </c>
      <c r="J123" s="4" t="n"/>
      <c r="K123" s="8" t="inlineStr">
        <is>
          <t>Накл. №26007. На накладной от руки: 51 725 − 22 500 = 29 225 (возможно, частичная оплата 22 500 — проверить)</t>
        </is>
      </c>
    </row>
    <row r="124">
      <c r="A124" s="2" t="n">
        <v>46296</v>
      </c>
      <c r="B124" s="3" t="inlineStr">
        <is>
          <t>ТОО "ADV STORE (АДВ СТОР)"</t>
        </is>
      </c>
      <c r="C124" s="3" t="inlineStr">
        <is>
          <t>Клей 96 жидкие гвозди</t>
        </is>
      </c>
      <c r="D124" s="4" t="inlineStr">
        <is>
          <t>шт</t>
        </is>
      </c>
      <c r="E124" s="5" t="n">
        <v>2</v>
      </c>
      <c r="F124" s="6" t="n">
        <v>2800</v>
      </c>
      <c r="G124" s="7">
        <f>E124*F124</f>
        <v/>
      </c>
      <c r="H124" s="7" t="n">
        <v>0</v>
      </c>
      <c r="I124" s="7">
        <f>G124-H124</f>
        <v/>
      </c>
      <c r="J124" s="4" t="n"/>
      <c r="K124" s="8" t="inlineStr">
        <is>
          <t>Накл. №26007</t>
        </is>
      </c>
    </row>
    <row r="125">
      <c r="A125" s="2" t="n">
        <v>46296</v>
      </c>
      <c r="B125" s="3" t="inlineStr">
        <is>
          <t>ТОО "ADV STORE (АДВ СТОР)"</t>
        </is>
      </c>
      <c r="C125" s="3" t="inlineStr">
        <is>
          <t>PVC/PET 1 мм прозрачный</t>
        </is>
      </c>
      <c r="D125" s="4" t="inlineStr">
        <is>
          <t>шт</t>
        </is>
      </c>
      <c r="E125" s="5" t="n">
        <v>1</v>
      </c>
      <c r="F125" s="6" t="n">
        <v>4900</v>
      </c>
      <c r="G125" s="7">
        <f>E125*F125</f>
        <v/>
      </c>
      <c r="H125" s="7" t="n">
        <v>0</v>
      </c>
      <c r="I125" s="7">
        <f>G125-H125</f>
        <v/>
      </c>
      <c r="J125" s="4" t="n"/>
      <c r="K125" s="8" t="inlineStr">
        <is>
          <t>Накл. №26007</t>
        </is>
      </c>
    </row>
    <row r="126">
      <c r="A126" s="2" t="n">
        <v>46296</v>
      </c>
      <c r="B126" s="3" t="inlineStr">
        <is>
          <t>ТОО "ADV STORE (АДВ СТОР)"</t>
        </is>
      </c>
      <c r="C126" s="3" t="inlineStr">
        <is>
          <t>Монтажная пленка SOMITAPE 1M</t>
        </is>
      </c>
      <c r="D126" s="4" t="inlineStr">
        <is>
          <t>м</t>
        </is>
      </c>
      <c r="E126" s="5" t="n">
        <v>50</v>
      </c>
      <c r="F126" s="6" t="n">
        <v>650</v>
      </c>
      <c r="G126" s="7">
        <f>E126*F126</f>
        <v/>
      </c>
      <c r="H126" s="7" t="n">
        <v>0</v>
      </c>
      <c r="I126" s="7">
        <f>G126-H126</f>
        <v/>
      </c>
      <c r="J126" s="4" t="n"/>
      <c r="K126" s="8" t="inlineStr">
        <is>
          <t>Накл. №26007</t>
        </is>
      </c>
    </row>
    <row r="127">
      <c r="A127" s="2" t="n">
        <v>46296</v>
      </c>
      <c r="B127" s="3" t="inlineStr">
        <is>
          <t>ТОО "ADV STORE (АДВ СТОР)"</t>
        </is>
      </c>
      <c r="C127" s="3" t="inlineStr">
        <is>
          <t>Трос ф 1,5мм серебро</t>
        </is>
      </c>
      <c r="D127" s="4" t="inlineStr">
        <is>
          <t>м</t>
        </is>
      </c>
      <c r="E127" s="5" t="n">
        <v>15</v>
      </c>
      <c r="F127" s="6" t="n">
        <v>90</v>
      </c>
      <c r="G127" s="7">
        <f>E127*F127</f>
        <v/>
      </c>
      <c r="H127" s="7" t="n">
        <v>0</v>
      </c>
      <c r="I127" s="7">
        <f>G127-H127</f>
        <v/>
      </c>
      <c r="J127" s="4" t="n"/>
      <c r="K127" s="8" t="inlineStr">
        <is>
          <t>Накл. №26007</t>
        </is>
      </c>
    </row>
    <row r="128">
      <c r="A128" s="2" t="n">
        <v>46296</v>
      </c>
      <c r="B128" s="3" t="inlineStr">
        <is>
          <t>ТОО "ADV STORE (АДВ СТОР)"</t>
        </is>
      </c>
      <c r="C128" s="3" t="inlineStr">
        <is>
          <t>Зажим для троса</t>
        </is>
      </c>
      <c r="D128" s="4" t="inlineStr">
        <is>
          <t>шт</t>
        </is>
      </c>
      <c r="E128" s="5" t="n">
        <v>10</v>
      </c>
      <c r="F128" s="6" t="n">
        <v>25</v>
      </c>
      <c r="G128" s="7">
        <f>E128*F128</f>
        <v/>
      </c>
      <c r="H128" s="7" t="n">
        <v>0</v>
      </c>
      <c r="I128" s="7">
        <f>G128-H128</f>
        <v/>
      </c>
      <c r="J128" s="4" t="n"/>
      <c r="K128" s="8" t="inlineStr">
        <is>
          <t>Накл. №26007</t>
        </is>
      </c>
    </row>
    <row r="129">
      <c r="A129" s="2" t="n">
        <v>46296</v>
      </c>
      <c r="B129" s="3" t="inlineStr">
        <is>
          <t>ТОО "ADV STORE (АДВ СТОР)"</t>
        </is>
      </c>
      <c r="C129" s="3" t="inlineStr">
        <is>
          <t>Зажим для троса горизонтальный</t>
        </is>
      </c>
      <c r="D129" s="4" t="inlineStr">
        <is>
          <t>шт</t>
        </is>
      </c>
      <c r="E129" s="5" t="n">
        <v>6</v>
      </c>
      <c r="F129" s="6" t="n">
        <v>350</v>
      </c>
      <c r="G129" s="7">
        <f>E129*F129</f>
        <v/>
      </c>
      <c r="H129" s="7" t="n">
        <v>0</v>
      </c>
      <c r="I129" s="7">
        <f>G129-H129</f>
        <v/>
      </c>
      <c r="J129" s="4" t="n"/>
      <c r="K129" s="8" t="inlineStr">
        <is>
          <t>Накл. №26007</t>
        </is>
      </c>
    </row>
    <row r="130">
      <c r="A130" s="2" t="n">
        <v>46296</v>
      </c>
      <c r="B130" s="3" t="inlineStr">
        <is>
          <t>ТОО "ADV STORE (АДВ СТОР)"</t>
        </is>
      </c>
      <c r="C130" s="3" t="inlineStr">
        <is>
          <t>Клей Akfix 400 мл</t>
        </is>
      </c>
      <c r="D130" s="4" t="inlineStr">
        <is>
          <t>шт</t>
        </is>
      </c>
      <c r="E130" s="5" t="n">
        <v>2</v>
      </c>
      <c r="F130" s="6" t="n">
        <v>2200</v>
      </c>
      <c r="G130" s="7">
        <f>E130*F130</f>
        <v/>
      </c>
      <c r="H130" s="7" t="n">
        <v>0</v>
      </c>
      <c r="I130" s="7">
        <f>G130-H130</f>
        <v/>
      </c>
      <c r="J130" s="4" t="n"/>
      <c r="K130" s="8" t="inlineStr">
        <is>
          <t>Накл. №26007</t>
        </is>
      </c>
    </row>
    <row r="131">
      <c r="A131" s="2" t="n">
        <v>46296</v>
      </c>
      <c r="B131" s="3" t="inlineStr">
        <is>
          <t>ТОО "ADV STORE (АДВ СТОР)"</t>
        </is>
      </c>
      <c r="C131" s="3" t="inlineStr">
        <is>
          <t>АКРИЛ 3мм(2,5) прозрачный 000 122*244 ЭКО</t>
        </is>
      </c>
      <c r="D131" s="4" t="inlineStr">
        <is>
          <t>шт</t>
        </is>
      </c>
      <c r="E131" s="5" t="n">
        <v>1</v>
      </c>
      <c r="F131" s="6" t="n">
        <v>17800</v>
      </c>
      <c r="G131" s="7">
        <f>E131*F131</f>
        <v/>
      </c>
      <c r="H131" s="7" t="n">
        <v>0</v>
      </c>
      <c r="I131" s="7">
        <f>G131-H131</f>
        <v/>
      </c>
      <c r="J131" s="4" t="n"/>
      <c r="K131" s="8" t="inlineStr">
        <is>
          <t>Накл. №26016</t>
        </is>
      </c>
    </row>
    <row r="132">
      <c r="A132" s="2" t="n">
        <v>46296</v>
      </c>
      <c r="B132" s="3" t="inlineStr">
        <is>
          <t>ТОО "ADV STORE (АДВ СТОР)"</t>
        </is>
      </c>
      <c r="C132" s="3" t="inlineStr">
        <is>
          <t>Доставка</t>
        </is>
      </c>
      <c r="D132" s="4" t="inlineStr">
        <is>
          <t>ус</t>
        </is>
      </c>
      <c r="E132" s="5" t="n">
        <v>1</v>
      </c>
      <c r="F132" s="6" t="n">
        <v>1200</v>
      </c>
      <c r="G132" s="7">
        <f>E132*F132</f>
        <v/>
      </c>
      <c r="H132" s="7" t="n">
        <v>0</v>
      </c>
      <c r="I132" s="7">
        <f>G132-H132</f>
        <v/>
      </c>
      <c r="J132" s="4" t="n"/>
      <c r="K132" s="8" t="inlineStr">
        <is>
          <t>Накл. №26016</t>
        </is>
      </c>
    </row>
    <row r="134">
      <c r="F134" s="9" t="inlineStr">
        <is>
          <t>Итого:</t>
        </is>
      </c>
      <c r="G134" s="10">
        <f>SUM(G2:G132)</f>
        <v/>
      </c>
      <c r="H134" s="10">
        <f>SUM(H2:H132)</f>
        <v/>
      </c>
      <c r="I134" s="10">
        <f>SUM(I2:I132)</f>
        <v/>
      </c>
    </row>
  </sheetData>
  <autoFilter ref="A1:K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2026-10-02T12:01:19Z</dcterms:created>
  <dcterms:modified xsi:type="dcterms:W3CDTF">2026-10-02T12:01:19Z</dcterms:modified>
</cp:coreProperties>
</file>